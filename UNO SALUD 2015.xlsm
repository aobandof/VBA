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VBA\"/>
    </mc:Choice>
  </mc:AlternateContent>
  <bookViews>
    <workbookView xWindow="0" yWindow="0" windowWidth="20400" windowHeight="7905" tabRatio="739"/>
  </bookViews>
  <sheets>
    <sheet name="PLANILLA" sheetId="7" r:id="rId1"/>
    <sheet name="FACTURACION" sheetId="3" r:id="rId2"/>
    <sheet name="ARANCEL" sheetId="9" r:id="rId3"/>
    <sheet name="DATOS" sheetId="1" r:id="rId4"/>
  </sheets>
  <functionGroups builtInGroupCount="18"/>
  <definedNames>
    <definedName name="_xlnm._FilterDatabase" localSheetId="2" hidden="1">ARANCEL!$A$1:$F$1</definedName>
    <definedName name="_xlnm._FilterDatabase" localSheetId="3" hidden="1">DATOS!$A$1:$M$1</definedName>
    <definedName name="_xlnm._FilterDatabase" localSheetId="1" hidden="1">FACTURACION!$A$1:$J$1</definedName>
    <definedName name="_xlnm._FilterDatabase" localSheetId="0" hidden="1">PLANILLA!$A$10:$M$10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7" l="1"/>
  <c r="K14" i="7" s="1"/>
  <c r="K12" i="7"/>
  <c r="K13" i="7"/>
  <c r="J12" i="7"/>
  <c r="J13" i="7"/>
  <c r="K19" i="7"/>
  <c r="J19" i="7"/>
  <c r="J11" i="7" l="1"/>
  <c r="K11" i="7" s="1"/>
  <c r="I8" i="7" l="1"/>
  <c r="I7" i="7"/>
  <c r="I6" i="7"/>
  <c r="I5" i="7"/>
  <c r="I4" i="7"/>
  <c r="I3" i="7"/>
  <c r="C8" i="7"/>
  <c r="C7" i="7"/>
  <c r="C6" i="7"/>
  <c r="C5" i="7"/>
  <c r="C4" i="7"/>
  <c r="C3" i="7"/>
</calcChain>
</file>

<file path=xl/sharedStrings.xml><?xml version="1.0" encoding="utf-8"?>
<sst xmlns="http://schemas.openxmlformats.org/spreadsheetml/2006/main" count="568" uniqueCount="382">
  <si>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</si>
  <si>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</si>
  <si>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</si>
  <si>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</si>
  <si>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</si>
  <si>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</si>
  <si>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</si>
  <si>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</si>
  <si>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</si>
  <si>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</si>
  <si>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</si>
  <si>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</si>
  <si>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</si>
  <si>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</si>
  <si>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</si>
  <si>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</si>
  <si>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</si>
  <si>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</si>
  <si>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</si>
  <si>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</si>
  <si>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</si>
  <si>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</si>
  <si>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</si>
  <si>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</si>
  <si>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</si>
  <si>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</si>
  <si>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</si>
  <si>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</si>
  <si>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</si>
  <si>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</si>
  <si>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</si>
  <si>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</si>
  <si>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</si>
  <si>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</si>
  <si>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FLORIDA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</si>
  <si>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</si>
  <si>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</si>
  <si>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</si>
  <si>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</si>
  <si>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</si>
  <si>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</si>
  <si>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</si>
  <si>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</si>
  <si>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</si>
  <si>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</si>
  <si>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</si>
  <si>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</si>
  <si>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</si>
  <si>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</si>
  <si>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</si>
  <si>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</si>
  <si>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</si>
  <si>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</si>
  <si>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</si>
  <si>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</si>
  <si>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</si>
  <si>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</si>
  <si>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</si>
  <si>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</si>
  <si>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</si>
  <si>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</si>
  <si>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</si>
  <si>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</si>
  <si>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</si>
  <si>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</si>
  <si>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</si>
  <si>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</si>
  <si>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</si>
  <si>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</si>
  <si>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</si>
  <si>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</si>
  <si>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</si>
  <si>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</si>
  <si>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</si>
  <si>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</si>
  <si>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</si>
  <si>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</si>
  <si>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</si>
  <si>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</si>
  <si>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</si>
  <si>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</si>
  <si>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</si>
  <si>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</si>
  <si>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</si>
  <si>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</si>
  <si>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</si>
  <si>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</si>
  <si>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</si>
  <si>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</si>
  <si>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</si>
  <si>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</si>
  <si>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</si>
  <si>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</si>
  <si>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</si>
  <si>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</si>
  <si>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</si>
  <si>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</si>
  <si>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</si>
  <si>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</si>
  <si>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</si>
  <si>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</si>
  <si>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</si>
  <si>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</si>
  <si>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</si>
  <si>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</si>
  <si>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</si>
  <si>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</si>
  <si>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</si>
  <si>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</si>
  <si>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</si>
  <si>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</si>
  <si>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</si>
  <si>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</si>
  <si>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</si>
  <si>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</si>
  <si>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</si>
  <si>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</si>
  <si>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</si>
  <si>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</si>
  <si>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</si>
  <si>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</si>
  <si>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</si>
  <si>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</si>
  <si>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</si>
  <si>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</si>
  <si>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</si>
  <si>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</si>
  <si>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</si>
  <si>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</si>
  <si>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</si>
  <si>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</si>
  <si>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</si>
  <si>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</si>
  <si>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</si>
  <si>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</si>
  <si>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</si>
  <si>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</si>
  <si>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</si>
  <si>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</si>
  <si>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</si>
  <si>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</si>
  <si>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</si>
  <si>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</si>
  <si>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</si>
  <si>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</si>
  <si>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</si>
  <si>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</si>
  <si>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</si>
  <si>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</si>
  <si>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</si>
  <si>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</si>
  <si>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</si>
  <si>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</si>
  <si>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</si>
  <si>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</si>
  <si>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</si>
  <si>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</si>
  <si>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</si>
  <si>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PLANILLA</t>
  </si>
  <si>
    <t>RAZON SOCIAL PLANILLA</t>
  </si>
  <si>
    <t>24.215.707-9</t>
  </si>
  <si>
    <t>DIRECCI9ON PLANILLA</t>
  </si>
  <si>
    <t>GIRO PLANILLA</t>
  </si>
  <si>
    <t>FANTASIA PLANILLA</t>
  </si>
  <si>
    <t>APUNTES PLANILLA</t>
  </si>
  <si>
    <t>ENCARGADO PLANILLA</t>
  </si>
  <si>
    <t>ofaber22@hotmail.com</t>
  </si>
  <si>
    <t>ABEL OBANDO</t>
  </si>
  <si>
    <t>33 9636332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</si>
  <si>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</si>
  <si>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</si>
  <si>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</si>
  <si>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</si>
  <si>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</si>
  <si>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</si>
  <si>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PLANILA 2015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</si>
  <si>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</si>
  <si>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</si>
  <si>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</si>
  <si>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</si>
  <si>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</si>
  <si>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</si>
  <si>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</si>
  <si>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</si>
  <si>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</si>
  <si>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</si>
  <si>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</si>
  <si>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</si>
  <si>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</si>
  <si>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</si>
  <si>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</si>
  <si>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</si>
  <si>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</si>
  <si>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</si>
  <si>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</si>
  <si>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</si>
  <si>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</si>
  <si>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</si>
  <si>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</si>
  <si>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</si>
  <si>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</si>
  <si>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</si>
  <si>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</si>
  <si>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</si>
  <si>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</si>
  <si>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</si>
  <si>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</si>
  <si>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</si>
  <si>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</si>
  <si>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</si>
  <si>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</si>
  <si>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</si>
  <si>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</si>
  <si>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</si>
  <si>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</si>
  <si>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</si>
  <si>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</si>
  <si>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</si>
  <si>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</si>
  <si>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</si>
  <si>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</si>
  <si>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</si>
  <si>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</si>
  <si>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</si>
  <si>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</si>
  <si>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</si>
  <si>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</si>
  <si>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</si>
  <si>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</si>
  <si>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</si>
  <si>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</si>
  <si>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</si>
  <si>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</si>
  <si>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</si>
  <si>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</si>
  <si>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</si>
  <si>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</si>
  <si>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</si>
  <si>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</si>
  <si>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</si>
  <si>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</si>
  <si>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</si>
  <si>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</si>
  <si>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</si>
  <si>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</si>
  <si>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</si>
  <si>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</si>
  <si>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</si>
  <si>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</si>
  <si>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</si>
  <si>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</si>
  <si>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</si>
  <si>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</si>
  <si>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</si>
  <si>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</si>
  <si>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</si>
  <si>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</si>
  <si>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</si>
  <si>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</si>
  <si>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</si>
  <si>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</si>
  <si>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</si>
  <si>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</si>
  <si>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</si>
  <si>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</si>
  <si>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</si>
  <si>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</si>
  <si>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</si>
  <si>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</si>
  <si>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</si>
  <si>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</si>
  <si>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</si>
  <si>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</si>
  <si>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</si>
  <si>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</si>
  <si>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</si>
  <si>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</si>
  <si>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</si>
  <si>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</si>
  <si>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</si>
  <si>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</si>
  <si>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</si>
  <si>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</si>
  <si>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</si>
  <si>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</si>
  <si>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</si>
  <si>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</si>
  <si>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</si>
  <si>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</si>
  <si>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</si>
  <si>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</si>
  <si>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</si>
  <si>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</si>
  <si>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</si>
  <si>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</si>
  <si>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</si>
  <si>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</si>
  <si>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</si>
  <si>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</si>
  <si>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</si>
  <si>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</si>
  <si>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</si>
  <si>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</si>
  <si>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</si>
  <si>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</si>
  <si>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</si>
  <si>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</si>
  <si>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</si>
  <si>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</si>
  <si>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</si>
  <si>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</si>
  <si>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</si>
  <si>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</si>
  <si>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</si>
  <si>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</si>
  <si>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</si>
  <si>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</si>
  <si>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</si>
  <si>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</si>
  <si>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</si>
  <si>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</si>
  <si>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</si>
  <si>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</si>
  <si>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</si>
  <si>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</si>
  <si>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</si>
  <si>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</si>
  <si>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</si>
  <si>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</si>
  <si>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</si>
  <si>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</si>
  <si>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</si>
  <si>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</si>
  <si>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</si>
  <si>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</si>
  <si>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</si>
  <si>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</si>
  <si>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</si>
  <si>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</si>
  <si>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</si>
  <si>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</si>
  <si>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</si>
  <si>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</si>
  <si>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</si>
  <si>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</si>
  <si>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</si>
  <si>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</si>
  <si>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</si>
  <si>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</si>
  <si>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</si>
  <si>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</si>
  <si>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</si>
  <si>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</si>
  <si>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</si>
  <si>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</si>
  <si>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</si>
  <si>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</si>
  <si>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</si>
  <si>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</si>
  <si>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</si>
  <si>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</si>
  <si>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</si>
  <si>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</si>
  <si>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</si>
  <si>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</si>
  <si>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</si>
  <si>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</si>
  <si>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</si>
  <si>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</si>
  <si>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</si>
  <si>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</si>
  <si>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</si>
  <si>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</si>
  <si>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</si>
  <si>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</si>
  <si>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</si>
  <si>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GUIA QUIRURGICA DIENTES TRANSPARENTE</t>
  </si>
  <si>
    <t>FRESADO</t>
  </si>
  <si>
    <t>PLANO DE RELAJACION BLANDO DURO</t>
  </si>
  <si>
    <t>VALOR
ARANCEL 2014</t>
  </si>
  <si>
    <t>TRABAJOS EN PROCESO</t>
  </si>
  <si>
    <t>ESCRIBIR ACA EL NOMBRE DE LA SUCURSAL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</si>
</sst>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</numFmts>
  <fonts count="2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11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0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6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left" vertical="center"/>
    </xf>
    <xf numFmtId="0" fontId="2" fillId="0" borderId="1" xfId="2" applyFill="1" applyBorder="1" applyAlignment="1">
      <alignment horizontal="left" vertical="center"/>
    </xf>
    <xf numFmtId="0" fontId="2" fillId="0" borderId="1" xfId="2" applyBorder="1"/>
    <xf numFmtId="0" fontId="3" fillId="0" borderId="1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vertical="center"/>
      <protection locked="0"/>
    </xf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6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 wrapText="1"/>
    </xf>
    <xf numFmtId="0" fontId="9" fillId="0" borderId="1" xfId="0" applyFont="1" applyBorder="1"/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9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9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9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9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9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9" fillId="14" borderId="1" xfId="0" applyFont="1" applyFill="1" applyBorder="1" applyAlignment="1">
      <alignment horizontal="left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9" fillId="7" borderId="1" xfId="0" applyFont="1" applyFill="1" applyBorder="1" applyAlignment="1">
      <alignment horizontal="left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9" fillId="5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8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9" fillId="16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6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7" fillId="5" borderId="1" xfId="0" applyNumberFormat="1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left" vertical="center" wrapText="1"/>
    </xf>
    <xf numFmtId="0" fontId="18" fillId="17" borderId="1" xfId="0" applyFont="1" applyFill="1" applyBorder="1" applyAlignment="1">
      <alignment horizontal="left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19" fillId="17" borderId="1" xfId="0" applyFont="1" applyFill="1" applyBorder="1" applyAlignment="1">
      <alignment horizontal="left" vertical="center" wrapText="1"/>
    </xf>
    <xf numFmtId="42" fontId="6" fillId="17" borderId="1" xfId="0" applyNumberFormat="1" applyFont="1" applyFill="1" applyBorder="1" applyAlignment="1">
      <alignment vertical="center"/>
    </xf>
    <xf numFmtId="0" fontId="11" fillId="15" borderId="1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Alignment="1">
      <alignment horizontal="center"/>
    </xf>
    <xf numFmtId="0" fontId="14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>
      <alignment horizontal="center" vertical="center" wrapText="1"/>
    </xf>
    <xf numFmtId="0" fontId="8" fillId="19" borderId="0" xfId="0" applyFont="1" applyFill="1" applyAlignment="1">
      <alignment horizontal="center"/>
    </xf>
    <xf numFmtId="0" fontId="13" fillId="20" borderId="0" xfId="1" applyFont="1" applyFill="1" applyAlignment="1" applyProtection="1">
      <alignment horizontal="left" vertical="center"/>
      <protection locked="0"/>
    </xf>
    <xf numFmtId="0" fontId="13" fillId="20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0" fontId="20" fillId="4" borderId="0" xfId="1" applyFont="1" applyFill="1" applyBorder="1" applyAlignment="1" applyProtection="1">
      <alignment horizontal="left" vertical="center"/>
      <protection locked="0"/>
    </xf>
    <xf numFmtId="0" fontId="0" fillId="0" borderId="1" xfId="0" applyBorder="1" applyAlignment="1">
      <alignment horizontal="center"/>
    </xf>
    <xf numFmtId="42" fontId="21" fillId="21" borderId="1" xfId="0" applyNumberFormat="1" applyFont="1" applyFill="1" applyBorder="1" applyAlignment="1">
      <alignment horizontal="center"/>
    </xf>
    <xf numFmtId="42" fontId="22" fillId="11" borderId="1" xfId="0" applyNumberFormat="1" applyFont="1" applyFill="1" applyBorder="1" applyAlignment="1">
      <alignment horizontal="center"/>
    </xf>
    <xf numFmtId="0" fontId="23" fillId="22" borderId="1" xfId="0" applyFont="1" applyFill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 wrapText="1"/>
    </xf>
    <xf numFmtId="0" fontId="11" fillId="23" borderId="1" xfId="0" applyFont="1" applyFill="1" applyBorder="1" applyAlignment="1" applyProtection="1">
      <alignment horizontal="center" vertical="center"/>
      <protection locked="0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FF99FF"/>
      <color rgb="FF007A37"/>
      <color rgb="FFFF66FF"/>
      <color rgb="FF0323AD"/>
      <color rgb="FF114875"/>
      <color rgb="FFC7DDF1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13" Type="http://schemas.openxmlformats.org/officeDocument/2006/relationships/hyperlink" Target="mailto:ofaber22@hot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12" Type="http://schemas.openxmlformats.org/officeDocument/2006/relationships/hyperlink" Target="mailto:ofaber22@hotmail.com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hyperlink" Target="mailto:ofaber22@hotmail.com" TargetMode="External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Relationship Id="rId1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AB19"/>
  <sheetViews>
    <sheetView tabSelected="1" workbookViewId="0">
      <selection activeCell="D11" sqref="D11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12" max="12" width="12.42578125" customWidth="1"/>
    <col min="13" max="13" width="32.5703125" customWidth="1"/>
  </cols>
  <sheetData>
    <row r="1" spans="1:28" ht="26.25" x14ac:dyDescent="0.4">
      <c r="A1" s="94" t="s">
        <v>169</v>
      </c>
      <c r="B1" s="94"/>
      <c r="C1" s="94"/>
      <c r="D1" s="94"/>
      <c r="E1" s="94"/>
      <c r="F1" s="94"/>
      <c r="G1" s="94"/>
      <c r="H1" s="94"/>
      <c r="I1" s="94"/>
      <c r="J1" s="94"/>
      <c r="K1" s="94"/>
    </row>
    <row r="2" spans="1:28" ht="27" x14ac:dyDescent="0.5">
      <c r="A2" s="98" t="s">
        <v>381</v>
      </c>
      <c r="B2" s="98"/>
      <c r="C2" s="98"/>
      <c r="D2" s="98"/>
      <c r="E2" s="98"/>
      <c r="F2" s="98"/>
      <c r="G2" s="98"/>
      <c r="H2" s="98"/>
      <c r="I2" s="98"/>
      <c r="J2" s="98"/>
      <c r="K2" s="98"/>
    </row>
    <row r="3" spans="1:28" ht="12.75" customHeight="1" x14ac:dyDescent="0.25">
      <c r="A3" s="99" t="s">
        <v>170</v>
      </c>
      <c r="B3" s="99"/>
      <c r="C3" s="27" t="str">
        <f>IFERROR(VLOOKUP($A$2,DATOS!$A$2:$N$15,2,FALSE),"SUCURSAL NO ENCONTRADA")</f>
        <v>SUCURSAL NO ENCONTRADA</v>
      </c>
      <c r="H3" s="100" t="s">
        <v>179</v>
      </c>
      <c r="I3" s="27" t="str">
        <f>IFERROR(VLOOKUP($A$2,DATOS!$A$2:$N$15,8,FALSE),"SUCURSAL NO ENCONTRADA")</f>
        <v>SUCURSAL NO ENCONTRADA</v>
      </c>
    </row>
    <row r="4" spans="1:28" ht="12.75" customHeight="1" x14ac:dyDescent="0.25">
      <c r="A4" s="99" t="s">
        <v>171</v>
      </c>
      <c r="B4" s="99"/>
      <c r="C4" s="27" t="str">
        <f>IFERROR(VLOOKUP($A$2,DATOS!$A$2:$N$15,3,FALSE),"SUCURSAL NO ENCONTRADA")</f>
        <v>SUCURSAL NO ENCONTRADA</v>
      </c>
      <c r="H4" s="100" t="s">
        <v>177</v>
      </c>
      <c r="I4" s="27" t="str">
        <f>IFERROR(VLOOKUP($A$2,DATOS!$A$2:$N$15,9,FALSE),"SUCURSAL NO ENCONTRADA")</f>
        <v>SUCURSAL NO ENCONTRADA</v>
      </c>
      <c r="K4" s="101"/>
    </row>
    <row r="5" spans="1:28" ht="12.75" customHeight="1" x14ac:dyDescent="0.25">
      <c r="A5" s="99" t="s">
        <v>172</v>
      </c>
      <c r="B5" s="99"/>
      <c r="C5" s="27" t="str">
        <f>IFERROR(VLOOKUP($A$2,DATOS!$A$2:$N$15,4,FALSE),"SUCURSAL NO ENCONTRADA")</f>
        <v>SUCURSAL NO ENCONTRADA</v>
      </c>
      <c r="H5" s="100" t="s">
        <v>176</v>
      </c>
      <c r="I5" s="27" t="str">
        <f>IFERROR(VLOOKUP($A$2,DATOS!$A$2:$N$15,10,FALSE),"SUCURSAL NO ENCONTRADA")</f>
        <v>SUCURSAL NO ENCONTRADA</v>
      </c>
    </row>
    <row r="6" spans="1:28" ht="12.75" customHeight="1" x14ac:dyDescent="0.25">
      <c r="A6" s="99" t="s">
        <v>173</v>
      </c>
      <c r="B6" s="99"/>
      <c r="C6" s="27" t="str">
        <f>IFERROR(VLOOKUP($A$2,DATOS!$A$2:$N$15,5,FALSE),"SUCURSAL NO ENCONTRADA")</f>
        <v>SUCURSAL NO ENCONTRADA</v>
      </c>
      <c r="H6" s="100" t="s">
        <v>180</v>
      </c>
      <c r="I6" s="27" t="str">
        <f>IFERROR(VLOOKUP($A$2,DATOS!$A$2:$N$15,11,FALSE),"SUCURSAL NO ENCONTRADA")</f>
        <v>SUCURSAL NO ENCONTRADA</v>
      </c>
    </row>
    <row r="7" spans="1:28" ht="12.75" customHeight="1" x14ac:dyDescent="0.25">
      <c r="A7" s="99" t="s">
        <v>174</v>
      </c>
      <c r="B7" s="99"/>
      <c r="C7" s="27" t="str">
        <f>IFERROR(VLOOKUP($A$2,DATOS!$A$2:$N$15,6,FALSE),"SUCURSAL NO ENCONTRADA")</f>
        <v>SUCURSAL NO ENCONTRADA</v>
      </c>
      <c r="H7" s="100" t="s">
        <v>177</v>
      </c>
      <c r="I7" s="27" t="str">
        <f>IFERROR(VLOOKUP($A$2,DATOS!$A$2:$N$15,12,FALSE),"SUCURSAL NO ENCONTRADA")</f>
        <v>SUCURSAL NO ENCONTRADA</v>
      </c>
    </row>
    <row r="8" spans="1:28" ht="14.25" customHeight="1" x14ac:dyDescent="0.25">
      <c r="A8" s="103" t="s">
        <v>178</v>
      </c>
      <c r="B8" s="103"/>
      <c r="C8" s="102" t="str">
        <f>IFERROR(VLOOKUP($A$2,DATOS!$A$2:$N$15,7,FALSE),"SUCURSAL NO ENCONTRADA")</f>
        <v>SUCURSAL NO ENCONTRADA</v>
      </c>
      <c r="D8" s="102"/>
      <c r="E8" s="102"/>
      <c r="F8" s="27"/>
      <c r="G8" s="26"/>
      <c r="H8" s="100" t="s">
        <v>176</v>
      </c>
      <c r="I8" s="27" t="str">
        <f>IFERROR(VLOOKUP($A$2,DATOS!$A$2:$N$15,13,FALSE),"SUCURSAL NO ENCONTRADA")</f>
        <v>SUCURSAL NO ENCONTRADA</v>
      </c>
    </row>
    <row r="9" spans="1:28" s="25" customFormat="1" ht="23.25" customHeight="1" outlineLevel="1" x14ac:dyDescent="0.25">
      <c r="A9" s="93" t="s">
        <v>175</v>
      </c>
      <c r="B9" s="93"/>
      <c r="C9" s="93"/>
      <c r="D9" s="93"/>
      <c r="E9" s="93"/>
      <c r="F9" s="93"/>
      <c r="G9" s="93"/>
      <c r="H9" s="93"/>
      <c r="I9" s="93"/>
      <c r="J9" s="93"/>
      <c r="K9" s="93"/>
      <c r="L9" s="22"/>
      <c r="M9" s="22"/>
      <c r="N9" s="23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</row>
    <row r="10" spans="1:28" ht="24.75" customHeight="1" x14ac:dyDescent="0.25">
      <c r="A10" s="95" t="s">
        <v>97</v>
      </c>
      <c r="B10" s="95" t="s">
        <v>98</v>
      </c>
      <c r="C10" s="96" t="s">
        <v>102</v>
      </c>
      <c r="D10" s="95" t="s">
        <v>99</v>
      </c>
      <c r="E10" s="95" t="s">
        <v>100</v>
      </c>
      <c r="F10" s="95" t="s">
        <v>101</v>
      </c>
      <c r="G10" s="95" t="s">
        <v>104</v>
      </c>
      <c r="H10" s="95" t="s">
        <v>103</v>
      </c>
      <c r="I10" s="95" t="s">
        <v>109</v>
      </c>
      <c r="J10" s="96" t="s">
        <v>105</v>
      </c>
      <c r="K10" s="96" t="s">
        <v>106</v>
      </c>
      <c r="L10" s="97" t="s">
        <v>181</v>
      </c>
      <c r="M10" s="97" t="s">
        <v>107</v>
      </c>
    </row>
    <row r="11" spans="1:28" x14ac:dyDescent="0.25">
      <c r="A11" s="9"/>
      <c r="B11" s="9"/>
      <c r="C11" s="9"/>
      <c r="D11" s="9"/>
      <c r="E11" s="9"/>
      <c r="F11" s="9"/>
      <c r="G11" s="9"/>
      <c r="H11" s="9"/>
      <c r="I11" s="104"/>
      <c r="J11" s="105" t="str">
        <f>IF(F11="","",VLOOKUP(F11,ARANCEL!$E$2:$F$123,2))</f>
        <v/>
      </c>
      <c r="K11" s="106" t="str">
        <f>IF(I11=0,"",J11*I11)</f>
        <v/>
      </c>
      <c r="L11" s="9"/>
      <c r="M11" s="31"/>
    </row>
    <row r="12" spans="1:28" x14ac:dyDescent="0.25">
      <c r="A12" s="9"/>
      <c r="B12" s="9"/>
      <c r="C12" s="9"/>
      <c r="D12" s="9"/>
      <c r="E12" s="9"/>
      <c r="F12" s="9"/>
      <c r="G12" s="9"/>
      <c r="H12" s="9"/>
      <c r="I12" s="104"/>
      <c r="J12" s="105" t="str">
        <f>IF(F12="","",VLOOKUP(F12,ARANCEL!$E$2:$F$123,2))</f>
        <v/>
      </c>
      <c r="K12" s="106" t="str">
        <f t="shared" ref="K12:K14" si="0">IF(I12=0,"",J12*I12)</f>
        <v/>
      </c>
      <c r="L12" s="9"/>
      <c r="M12" s="31"/>
    </row>
    <row r="13" spans="1:28" x14ac:dyDescent="0.25">
      <c r="A13" s="9"/>
      <c r="B13" s="9"/>
      <c r="C13" s="9"/>
      <c r="D13" s="9"/>
      <c r="E13" s="9"/>
      <c r="F13" s="9"/>
      <c r="G13" s="9"/>
      <c r="H13" s="9"/>
      <c r="I13" s="104"/>
      <c r="J13" s="105" t="str">
        <f>IF(F13="","",VLOOKUP(F13,ARANCEL!$E$2:$F$123,2))</f>
        <v/>
      </c>
      <c r="K13" s="106" t="str">
        <f t="shared" si="0"/>
        <v/>
      </c>
      <c r="L13" s="9"/>
      <c r="M13" s="31"/>
    </row>
    <row r="14" spans="1:28" x14ac:dyDescent="0.25">
      <c r="A14" s="9"/>
      <c r="B14" s="9"/>
      <c r="C14" s="9"/>
      <c r="D14" s="9"/>
      <c r="E14" s="9"/>
      <c r="F14" s="9"/>
      <c r="G14" s="9"/>
      <c r="H14" s="9"/>
      <c r="I14" s="104"/>
      <c r="J14" s="105" t="str">
        <f>IF(F14="","",VLOOKUP(F14,ARANCEL!$E$2:$F$123,2))</f>
        <v/>
      </c>
      <c r="K14" s="106" t="str">
        <f t="shared" si="0"/>
        <v/>
      </c>
      <c r="L14" s="9"/>
      <c r="M14" s="31"/>
    </row>
    <row r="17" spans="1:11" ht="20.25" customHeight="1" x14ac:dyDescent="0.25">
      <c r="A17" s="109" t="s">
        <v>380</v>
      </c>
      <c r="B17" s="109"/>
      <c r="C17" s="109"/>
      <c r="D17" s="109"/>
      <c r="E17" s="109"/>
      <c r="F17" s="109"/>
      <c r="G17" s="109"/>
      <c r="H17" s="109"/>
      <c r="I17" s="109"/>
      <c r="J17" s="109"/>
      <c r="K17" s="109"/>
    </row>
    <row r="18" spans="1:11" ht="24" x14ac:dyDescent="0.25">
      <c r="A18" s="107" t="s">
        <v>97</v>
      </c>
      <c r="B18" s="107" t="s">
        <v>98</v>
      </c>
      <c r="C18" s="108" t="s">
        <v>102</v>
      </c>
      <c r="D18" s="107" t="s">
        <v>99</v>
      </c>
      <c r="E18" s="107" t="s">
        <v>100</v>
      </c>
      <c r="F18" s="107" t="s">
        <v>101</v>
      </c>
      <c r="G18" s="107" t="s">
        <v>104</v>
      </c>
      <c r="H18" s="107" t="s">
        <v>103</v>
      </c>
      <c r="I18" s="107" t="s">
        <v>109</v>
      </c>
      <c r="J18" s="108" t="s">
        <v>105</v>
      </c>
      <c r="K18" s="108" t="s">
        <v>106</v>
      </c>
    </row>
    <row r="19" spans="1:11" x14ac:dyDescent="0.25">
      <c r="A19" s="9"/>
      <c r="B19" s="9"/>
      <c r="C19" s="9"/>
      <c r="D19" s="9"/>
      <c r="E19" s="9"/>
      <c r="F19" s="9"/>
      <c r="G19" s="9"/>
      <c r="H19" s="9"/>
      <c r="I19" s="104"/>
      <c r="J19" s="105" t="str">
        <f>IF(F19="","",VLOOKUP(F19,ARANCEL!$E$2:$F$123,2))</f>
        <v/>
      </c>
      <c r="K19" s="106" t="str">
        <f>IF(I19=0,"",J19*I19)</f>
        <v/>
      </c>
    </row>
  </sheetData>
  <autoFilter ref="A10:M10"/>
  <mergeCells count="10">
    <mergeCell ref="A17:K17"/>
    <mergeCell ref="A6:B6"/>
    <mergeCell ref="A7:B7"/>
    <mergeCell ref="A8:B8"/>
    <mergeCell ref="A9:K9"/>
    <mergeCell ref="A1:K1"/>
    <mergeCell ref="A2:K2"/>
    <mergeCell ref="A3:B3"/>
    <mergeCell ref="A4:B4"/>
    <mergeCell ref="A5:B5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workbookViewId="0">
      <selection activeCell="C17" sqref="C17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108</v>
      </c>
      <c r="C1" s="10" t="s">
        <v>118</v>
      </c>
      <c r="D1" s="11" t="s">
        <v>110</v>
      </c>
      <c r="E1" s="10" t="s">
        <v>115</v>
      </c>
      <c r="F1" s="10" t="s">
        <v>111</v>
      </c>
      <c r="G1" s="11" t="s">
        <v>112</v>
      </c>
      <c r="H1" s="10" t="s">
        <v>120</v>
      </c>
      <c r="I1" s="10" t="s">
        <v>113</v>
      </c>
      <c r="J1" s="11" t="s">
        <v>114</v>
      </c>
    </row>
    <row r="2" spans="1:10" x14ac:dyDescent="0.25">
      <c r="A2" s="9"/>
      <c r="B2" s="12"/>
      <c r="C2" s="13"/>
      <c r="D2" s="9"/>
      <c r="E2" s="9"/>
      <c r="F2" s="9"/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sheetProtection algorithmName="SHA-512" hashValue="hZ6jknR1P6LPZI+KXuBro6Qs23hsvwMFznryAAaTPle2ghm77GbIzmBdwlZbQrQZkjaGgpbA8sTkqoT0y8WEKQ==" saltValue="mMwJQ/tk/yR5n0sXk6++rg==" spinCount="100000" sheet="1" objects="1" scenarios="1"/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workbookViewId="0">
      <selection activeCell="C127" sqref="C127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32" customWidth="1"/>
    <col min="5" max="5" width="38.85546875" customWidth="1"/>
    <col min="6" max="6" width="11.85546875" customWidth="1"/>
  </cols>
  <sheetData>
    <row r="1" spans="1:6" ht="36" x14ac:dyDescent="0.25">
      <c r="A1" s="29" t="s">
        <v>343</v>
      </c>
      <c r="B1" s="29" t="s">
        <v>344</v>
      </c>
      <c r="C1" s="29" t="s">
        <v>345</v>
      </c>
      <c r="D1" s="30" t="s">
        <v>346</v>
      </c>
      <c r="E1" s="29" t="s">
        <v>347</v>
      </c>
      <c r="F1" s="87" t="s">
        <v>379</v>
      </c>
    </row>
    <row r="2" spans="1:6" ht="22.5" x14ac:dyDescent="0.25">
      <c r="A2" s="28" t="s">
        <v>204</v>
      </c>
      <c r="B2" s="28" t="s">
        <v>256</v>
      </c>
      <c r="C2" s="28"/>
      <c r="D2" s="36"/>
      <c r="E2" s="38" t="s">
        <v>116</v>
      </c>
      <c r="F2" s="76">
        <v>33370.239999999998</v>
      </c>
    </row>
    <row r="3" spans="1:6" ht="22.5" x14ac:dyDescent="0.25">
      <c r="A3" s="28" t="s">
        <v>203</v>
      </c>
      <c r="B3" s="28" t="s">
        <v>256</v>
      </c>
      <c r="C3" s="28"/>
      <c r="D3" s="36"/>
      <c r="E3" s="38" t="s">
        <v>349</v>
      </c>
      <c r="F3" s="76">
        <v>29439.999999999996</v>
      </c>
    </row>
    <row r="4" spans="1:6" ht="33.75" x14ac:dyDescent="0.25">
      <c r="A4" s="28" t="s">
        <v>257</v>
      </c>
      <c r="B4" s="28" t="s">
        <v>256</v>
      </c>
      <c r="C4" s="28" t="s">
        <v>348</v>
      </c>
      <c r="D4" s="36"/>
      <c r="E4" s="38" t="s">
        <v>350</v>
      </c>
      <c r="F4" s="76">
        <v>51627.64</v>
      </c>
    </row>
    <row r="5" spans="1:6" ht="22.5" x14ac:dyDescent="0.25">
      <c r="A5" s="28" t="s">
        <v>258</v>
      </c>
      <c r="B5" s="28" t="s">
        <v>256</v>
      </c>
      <c r="C5" s="37" t="s">
        <v>351</v>
      </c>
      <c r="D5" s="36"/>
      <c r="E5" s="38" t="s">
        <v>352</v>
      </c>
      <c r="F5" s="76">
        <v>7100.56</v>
      </c>
    </row>
    <row r="6" spans="1:6" x14ac:dyDescent="0.25">
      <c r="A6" s="35" t="s">
        <v>206</v>
      </c>
      <c r="B6" s="35" t="s">
        <v>259</v>
      </c>
      <c r="C6" s="39"/>
      <c r="D6" s="40"/>
      <c r="E6" s="41" t="s">
        <v>205</v>
      </c>
      <c r="F6" s="77">
        <v>57959.999999999993</v>
      </c>
    </row>
    <row r="7" spans="1:6" ht="22.5" x14ac:dyDescent="0.25">
      <c r="A7" s="35" t="s">
        <v>244</v>
      </c>
      <c r="B7" s="35" t="s">
        <v>259</v>
      </c>
      <c r="C7" s="39" t="s">
        <v>340</v>
      </c>
      <c r="D7" s="40"/>
      <c r="E7" s="41" t="s">
        <v>353</v>
      </c>
      <c r="F7" s="77">
        <v>57959.999999999993</v>
      </c>
    </row>
    <row r="8" spans="1:6" x14ac:dyDescent="0.25">
      <c r="A8" s="35" t="s">
        <v>196</v>
      </c>
      <c r="B8" s="35" t="s">
        <v>259</v>
      </c>
      <c r="C8" s="39"/>
      <c r="D8" s="40"/>
      <c r="E8" s="41" t="s">
        <v>195</v>
      </c>
      <c r="F8" s="77">
        <v>55061.999999999993</v>
      </c>
    </row>
    <row r="9" spans="1:6" x14ac:dyDescent="0.25">
      <c r="A9" s="35" t="s">
        <v>221</v>
      </c>
      <c r="B9" s="35" t="s">
        <v>259</v>
      </c>
      <c r="C9" s="39"/>
      <c r="D9" s="40"/>
      <c r="E9" s="41" t="s">
        <v>220</v>
      </c>
      <c r="F9" s="77">
        <v>55061.999999999993</v>
      </c>
    </row>
    <row r="10" spans="1:6" x14ac:dyDescent="0.25">
      <c r="A10" s="35" t="s">
        <v>260</v>
      </c>
      <c r="B10" s="35" t="s">
        <v>259</v>
      </c>
      <c r="C10" s="39"/>
      <c r="D10" s="40"/>
      <c r="E10" s="41" t="s">
        <v>354</v>
      </c>
      <c r="F10" s="77">
        <v>115919.99999999999</v>
      </c>
    </row>
    <row r="11" spans="1:6" x14ac:dyDescent="0.25">
      <c r="A11" s="35" t="s">
        <v>200</v>
      </c>
      <c r="B11" s="35" t="s">
        <v>259</v>
      </c>
      <c r="C11" s="39"/>
      <c r="D11" s="40"/>
      <c r="E11" s="41" t="s">
        <v>199</v>
      </c>
      <c r="F11" s="77">
        <v>149730</v>
      </c>
    </row>
    <row r="12" spans="1:6" x14ac:dyDescent="0.25">
      <c r="A12" s="35" t="s">
        <v>261</v>
      </c>
      <c r="B12" s="35" t="s">
        <v>259</v>
      </c>
      <c r="C12" s="39" t="s">
        <v>340</v>
      </c>
      <c r="D12" s="40"/>
      <c r="E12" s="41" t="s">
        <v>355</v>
      </c>
      <c r="F12" s="77">
        <v>57959.999999999993</v>
      </c>
    </row>
    <row r="13" spans="1:6" x14ac:dyDescent="0.25">
      <c r="A13" s="42" t="s">
        <v>216</v>
      </c>
      <c r="B13" s="42" t="s">
        <v>262</v>
      </c>
      <c r="C13" s="43"/>
      <c r="D13" s="44"/>
      <c r="E13" s="45"/>
      <c r="F13" s="78">
        <v>49701.159999999996</v>
      </c>
    </row>
    <row r="14" spans="1:6" x14ac:dyDescent="0.25">
      <c r="A14" s="42" t="s">
        <v>193</v>
      </c>
      <c r="B14" s="42" t="s">
        <v>262</v>
      </c>
      <c r="C14" s="43"/>
      <c r="D14" s="44"/>
      <c r="E14" s="45"/>
      <c r="F14" s="78">
        <v>49701.159999999996</v>
      </c>
    </row>
    <row r="15" spans="1:6" x14ac:dyDescent="0.25">
      <c r="A15" s="50" t="s">
        <v>189</v>
      </c>
      <c r="B15" s="50" t="s">
        <v>263</v>
      </c>
      <c r="C15" s="51"/>
      <c r="D15" s="52"/>
      <c r="E15" s="53" t="s">
        <v>117</v>
      </c>
      <c r="F15" s="79">
        <v>5274.3600000000006</v>
      </c>
    </row>
    <row r="16" spans="1:6" x14ac:dyDescent="0.25">
      <c r="A16" s="50" t="s">
        <v>188</v>
      </c>
      <c r="B16" s="50" t="s">
        <v>263</v>
      </c>
      <c r="C16" s="51"/>
      <c r="D16" s="52"/>
      <c r="E16" s="53" t="s">
        <v>188</v>
      </c>
      <c r="F16" s="79">
        <v>5274.3600000000006</v>
      </c>
    </row>
    <row r="17" spans="1:6" x14ac:dyDescent="0.25">
      <c r="A17" s="50" t="s">
        <v>264</v>
      </c>
      <c r="B17" s="50" t="s">
        <v>263</v>
      </c>
      <c r="C17" s="51"/>
      <c r="D17" s="52"/>
      <c r="E17" s="53"/>
      <c r="F17" s="79">
        <v>0</v>
      </c>
    </row>
    <row r="18" spans="1:6" x14ac:dyDescent="0.25">
      <c r="A18" s="50" t="s">
        <v>265</v>
      </c>
      <c r="B18" s="50" t="s">
        <v>263</v>
      </c>
      <c r="C18" s="51"/>
      <c r="D18" s="52"/>
      <c r="E18" s="53"/>
      <c r="F18" s="79">
        <v>0</v>
      </c>
    </row>
    <row r="19" spans="1:6" x14ac:dyDescent="0.25">
      <c r="A19" s="46" t="s">
        <v>219</v>
      </c>
      <c r="B19" s="46" t="s">
        <v>266</v>
      </c>
      <c r="C19" s="47"/>
      <c r="D19" s="48"/>
      <c r="E19" s="49"/>
      <c r="F19" s="80">
        <v>30428.999999999996</v>
      </c>
    </row>
    <row r="20" spans="1:6" x14ac:dyDescent="0.25">
      <c r="A20" s="46" t="s">
        <v>194</v>
      </c>
      <c r="B20" s="46" t="s">
        <v>266</v>
      </c>
      <c r="C20" s="47"/>
      <c r="D20" s="48"/>
      <c r="E20" s="49"/>
      <c r="F20" s="80">
        <v>30428.999999999996</v>
      </c>
    </row>
    <row r="21" spans="1:6" x14ac:dyDescent="0.25">
      <c r="A21" s="46" t="s">
        <v>267</v>
      </c>
      <c r="B21" s="46" t="s">
        <v>266</v>
      </c>
      <c r="C21" s="47"/>
      <c r="D21" s="48"/>
      <c r="E21" s="49"/>
      <c r="F21" s="80">
        <v>33472.36</v>
      </c>
    </row>
    <row r="22" spans="1:6" x14ac:dyDescent="0.25">
      <c r="A22" s="46" t="s">
        <v>268</v>
      </c>
      <c r="B22" s="46" t="s">
        <v>266</v>
      </c>
      <c r="C22" s="47"/>
      <c r="D22" s="48"/>
      <c r="E22" s="49"/>
      <c r="F22" s="80">
        <v>15214.960000000001</v>
      </c>
    </row>
    <row r="23" spans="1:6" x14ac:dyDescent="0.25">
      <c r="A23" s="46" t="s">
        <v>269</v>
      </c>
      <c r="B23" s="46" t="s">
        <v>266</v>
      </c>
      <c r="C23" s="47" t="s">
        <v>356</v>
      </c>
      <c r="D23" s="48"/>
      <c r="E23" s="49"/>
      <c r="F23" s="80">
        <v>9129.16</v>
      </c>
    </row>
    <row r="24" spans="1:6" x14ac:dyDescent="0.25">
      <c r="A24" s="54" t="s">
        <v>271</v>
      </c>
      <c r="B24" s="54" t="s">
        <v>270</v>
      </c>
      <c r="C24" s="55"/>
      <c r="D24" s="56"/>
      <c r="E24" s="57" t="s">
        <v>366</v>
      </c>
      <c r="F24" s="81">
        <v>9129.16</v>
      </c>
    </row>
    <row r="25" spans="1:6" x14ac:dyDescent="0.25">
      <c r="A25" s="54" t="s">
        <v>272</v>
      </c>
      <c r="B25" s="54" t="s">
        <v>270</v>
      </c>
      <c r="C25" s="55"/>
      <c r="D25" s="56"/>
      <c r="E25" s="57"/>
      <c r="F25" s="81">
        <v>13186.36</v>
      </c>
    </row>
    <row r="26" spans="1:6" x14ac:dyDescent="0.25">
      <c r="A26" s="54" t="s">
        <v>273</v>
      </c>
      <c r="B26" s="54" t="s">
        <v>270</v>
      </c>
      <c r="C26" s="55"/>
      <c r="D26" s="56"/>
      <c r="E26" s="57" t="s">
        <v>367</v>
      </c>
      <c r="F26" s="81">
        <v>24343.199999999997</v>
      </c>
    </row>
    <row r="27" spans="1:6" x14ac:dyDescent="0.25">
      <c r="A27" s="54" t="s">
        <v>274</v>
      </c>
      <c r="B27" s="54" t="s">
        <v>270</v>
      </c>
      <c r="C27" s="55"/>
      <c r="D27" s="56"/>
      <c r="E27" s="57"/>
      <c r="F27" s="81">
        <v>45643.96</v>
      </c>
    </row>
    <row r="28" spans="1:6" x14ac:dyDescent="0.25">
      <c r="A28" s="54" t="s">
        <v>218</v>
      </c>
      <c r="B28" s="54" t="s">
        <v>270</v>
      </c>
      <c r="C28" s="55"/>
      <c r="D28" s="56"/>
      <c r="E28" s="57" t="s">
        <v>217</v>
      </c>
      <c r="F28" s="81">
        <v>17243.560000000001</v>
      </c>
    </row>
    <row r="29" spans="1:6" x14ac:dyDescent="0.25">
      <c r="A29" s="54" t="s">
        <v>224</v>
      </c>
      <c r="B29" s="54" t="s">
        <v>270</v>
      </c>
      <c r="C29" s="55"/>
      <c r="D29" s="56"/>
      <c r="E29" s="57" t="s">
        <v>223</v>
      </c>
      <c r="F29" s="81">
        <v>14098.999999999998</v>
      </c>
    </row>
    <row r="30" spans="1:6" x14ac:dyDescent="0.25">
      <c r="A30" s="54" t="s">
        <v>225</v>
      </c>
      <c r="B30" s="54" t="s">
        <v>270</v>
      </c>
      <c r="C30" s="55"/>
      <c r="D30" s="56"/>
      <c r="E30" s="57" t="s">
        <v>365</v>
      </c>
      <c r="F30" s="81">
        <v>23836.28</v>
      </c>
    </row>
    <row r="31" spans="1:6" x14ac:dyDescent="0.25">
      <c r="A31" s="54" t="s">
        <v>243</v>
      </c>
      <c r="B31" s="54" t="s">
        <v>270</v>
      </c>
      <c r="C31" s="55"/>
      <c r="D31" s="56"/>
      <c r="E31" s="57"/>
      <c r="F31" s="81">
        <v>3651.48</v>
      </c>
    </row>
    <row r="32" spans="1:6" x14ac:dyDescent="0.25">
      <c r="A32" s="58" t="s">
        <v>276</v>
      </c>
      <c r="B32" s="58" t="s">
        <v>275</v>
      </c>
      <c r="C32" s="59"/>
      <c r="D32" s="60"/>
      <c r="E32" s="61"/>
      <c r="F32" s="82">
        <v>14098.999999999998</v>
      </c>
    </row>
    <row r="33" spans="1:6" ht="22.5" x14ac:dyDescent="0.25">
      <c r="A33" s="58" t="s">
        <v>341</v>
      </c>
      <c r="B33" s="58" t="s">
        <v>275</v>
      </c>
      <c r="C33" s="59" t="s">
        <v>277</v>
      </c>
      <c r="D33" s="60"/>
      <c r="E33" s="61"/>
      <c r="F33" s="82">
        <v>83071.399999999994</v>
      </c>
    </row>
    <row r="34" spans="1:6" x14ac:dyDescent="0.25">
      <c r="A34" s="58" t="s">
        <v>234</v>
      </c>
      <c r="B34" s="58" t="s">
        <v>275</v>
      </c>
      <c r="C34" s="59"/>
      <c r="D34" s="60"/>
      <c r="E34" s="61" t="s">
        <v>368</v>
      </c>
      <c r="F34" s="82">
        <v>55057.687499999993</v>
      </c>
    </row>
    <row r="35" spans="1:6" x14ac:dyDescent="0.25">
      <c r="A35" s="58" t="s">
        <v>207</v>
      </c>
      <c r="B35" s="58" t="s">
        <v>275</v>
      </c>
      <c r="C35" s="59"/>
      <c r="D35" s="60"/>
      <c r="E35" s="61" t="s">
        <v>369</v>
      </c>
      <c r="F35" s="82">
        <v>9129.16</v>
      </c>
    </row>
    <row r="36" spans="1:6" ht="22.5" x14ac:dyDescent="0.25">
      <c r="A36" s="58" t="s">
        <v>228</v>
      </c>
      <c r="B36" s="58" t="s">
        <v>275</v>
      </c>
      <c r="C36" s="59" t="s">
        <v>278</v>
      </c>
      <c r="D36" s="60"/>
      <c r="E36" s="61" t="s">
        <v>370</v>
      </c>
      <c r="F36" s="82">
        <v>25800.249999999996</v>
      </c>
    </row>
    <row r="37" spans="1:6" x14ac:dyDescent="0.25">
      <c r="A37" s="58" t="s">
        <v>229</v>
      </c>
      <c r="B37" s="58" t="s">
        <v>275</v>
      </c>
      <c r="C37" s="59"/>
      <c r="D37" s="60"/>
      <c r="E37" s="61" t="s">
        <v>378</v>
      </c>
      <c r="F37" s="82">
        <v>35500.959999999999</v>
      </c>
    </row>
    <row r="38" spans="1:6" x14ac:dyDescent="0.25">
      <c r="A38" s="58" t="s">
        <v>279</v>
      </c>
      <c r="B38" s="58" t="s">
        <v>275</v>
      </c>
      <c r="C38" s="59"/>
      <c r="D38" s="60"/>
      <c r="E38" s="61"/>
      <c r="F38" s="82">
        <v>42600.6</v>
      </c>
    </row>
    <row r="39" spans="1:6" x14ac:dyDescent="0.25">
      <c r="A39" s="58" t="s">
        <v>254</v>
      </c>
      <c r="B39" s="58" t="s">
        <v>275</v>
      </c>
      <c r="C39" s="59"/>
      <c r="D39" s="60"/>
      <c r="E39" s="61" t="s">
        <v>371</v>
      </c>
      <c r="F39" s="82">
        <v>53758.36</v>
      </c>
    </row>
    <row r="40" spans="1:6" x14ac:dyDescent="0.25">
      <c r="A40" s="58" t="s">
        <v>231</v>
      </c>
      <c r="B40" s="58" t="s">
        <v>275</v>
      </c>
      <c r="C40" s="59"/>
      <c r="D40" s="60"/>
      <c r="E40" s="61" t="s">
        <v>230</v>
      </c>
      <c r="F40" s="82">
        <v>44597.287499999999</v>
      </c>
    </row>
    <row r="41" spans="1:6" x14ac:dyDescent="0.25">
      <c r="A41" s="58" t="s">
        <v>342</v>
      </c>
      <c r="B41" s="58" t="s">
        <v>275</v>
      </c>
      <c r="C41" s="59"/>
      <c r="D41" s="60"/>
      <c r="E41" s="61" t="s">
        <v>232</v>
      </c>
      <c r="F41" s="82">
        <v>22299.074999999997</v>
      </c>
    </row>
    <row r="42" spans="1:6" x14ac:dyDescent="0.25">
      <c r="A42" s="58" t="s">
        <v>280</v>
      </c>
      <c r="B42" s="58" t="s">
        <v>275</v>
      </c>
      <c r="C42" s="59"/>
      <c r="D42" s="60"/>
      <c r="E42" s="61"/>
      <c r="F42" s="82">
        <v>17250</v>
      </c>
    </row>
    <row r="43" spans="1:6" x14ac:dyDescent="0.25">
      <c r="A43" s="58" t="s">
        <v>246</v>
      </c>
      <c r="B43" s="58" t="s">
        <v>275</v>
      </c>
      <c r="C43" s="59"/>
      <c r="D43" s="60"/>
      <c r="E43" s="61" t="s">
        <v>245</v>
      </c>
      <c r="F43" s="82">
        <v>17243.560000000001</v>
      </c>
    </row>
    <row r="44" spans="1:6" x14ac:dyDescent="0.25">
      <c r="A44" s="58" t="s">
        <v>281</v>
      </c>
      <c r="B44" s="58" t="s">
        <v>275</v>
      </c>
      <c r="C44" s="59"/>
      <c r="D44" s="60"/>
      <c r="E44" s="61"/>
      <c r="F44" s="82">
        <v>31443.759999999998</v>
      </c>
    </row>
    <row r="45" spans="1:6" ht="22.5" x14ac:dyDescent="0.25">
      <c r="A45" s="58" t="s">
        <v>247</v>
      </c>
      <c r="B45" s="58" t="s">
        <v>275</v>
      </c>
      <c r="C45" s="59"/>
      <c r="D45" s="60"/>
      <c r="E45" s="61" t="s">
        <v>372</v>
      </c>
      <c r="F45" s="82">
        <v>10143</v>
      </c>
    </row>
    <row r="46" spans="1:6" ht="22.5" x14ac:dyDescent="0.25">
      <c r="A46" s="58" t="s">
        <v>249</v>
      </c>
      <c r="B46" s="58" t="s">
        <v>275</v>
      </c>
      <c r="C46" s="59"/>
      <c r="D46" s="60"/>
      <c r="E46" s="61" t="s">
        <v>248</v>
      </c>
      <c r="F46" s="82">
        <v>12499.349999999999</v>
      </c>
    </row>
    <row r="47" spans="1:6" x14ac:dyDescent="0.25">
      <c r="A47" s="58" t="s">
        <v>251</v>
      </c>
      <c r="B47" s="58" t="s">
        <v>275</v>
      </c>
      <c r="C47" s="59"/>
      <c r="D47" s="60"/>
      <c r="E47" s="61" t="s">
        <v>250</v>
      </c>
      <c r="F47" s="82">
        <v>10400.599999999999</v>
      </c>
    </row>
    <row r="48" spans="1:6" x14ac:dyDescent="0.25">
      <c r="A48" s="58" t="s">
        <v>282</v>
      </c>
      <c r="B48" s="58" t="s">
        <v>275</v>
      </c>
      <c r="C48" s="59"/>
      <c r="D48" s="60"/>
      <c r="E48" s="61"/>
      <c r="F48" s="82">
        <v>5071.96</v>
      </c>
    </row>
    <row r="49" spans="1:6" x14ac:dyDescent="0.25">
      <c r="A49" s="62" t="s">
        <v>235</v>
      </c>
      <c r="B49" s="62" t="s">
        <v>283</v>
      </c>
      <c r="C49" s="63"/>
      <c r="D49" s="64"/>
      <c r="E49" s="65" t="s">
        <v>119</v>
      </c>
      <c r="F49" s="83">
        <v>65929.959999999992</v>
      </c>
    </row>
    <row r="50" spans="1:6" x14ac:dyDescent="0.25">
      <c r="A50" s="62" t="s">
        <v>284</v>
      </c>
      <c r="B50" s="62" t="s">
        <v>283</v>
      </c>
      <c r="C50" s="63"/>
      <c r="D50" s="64"/>
      <c r="E50" s="65" t="s">
        <v>373</v>
      </c>
      <c r="F50" s="83">
        <v>87229.799999999988</v>
      </c>
    </row>
    <row r="51" spans="1:6" x14ac:dyDescent="0.25">
      <c r="A51" s="62" t="s">
        <v>237</v>
      </c>
      <c r="B51" s="62" t="s">
        <v>283</v>
      </c>
      <c r="C51" s="63"/>
      <c r="D51" s="64"/>
      <c r="E51" s="65" t="s">
        <v>236</v>
      </c>
      <c r="F51" s="83">
        <v>40572</v>
      </c>
    </row>
    <row r="52" spans="1:6" x14ac:dyDescent="0.25">
      <c r="A52" s="62" t="s">
        <v>253</v>
      </c>
      <c r="B52" s="62" t="s">
        <v>283</v>
      </c>
      <c r="C52" s="63"/>
      <c r="D52" s="64"/>
      <c r="E52" s="65" t="s">
        <v>252</v>
      </c>
      <c r="F52" s="83">
        <v>19272.16</v>
      </c>
    </row>
    <row r="53" spans="1:6" x14ac:dyDescent="0.25">
      <c r="A53" s="62" t="s">
        <v>285</v>
      </c>
      <c r="B53" s="62" t="s">
        <v>283</v>
      </c>
      <c r="C53" s="63"/>
      <c r="D53" s="64"/>
      <c r="E53" s="65"/>
      <c r="F53" s="83">
        <v>23329.360000000001</v>
      </c>
    </row>
    <row r="54" spans="1:6" ht="45" x14ac:dyDescent="0.25">
      <c r="A54" s="34" t="s">
        <v>209</v>
      </c>
      <c r="B54" s="34" t="s">
        <v>357</v>
      </c>
      <c r="C54" s="66" t="s">
        <v>286</v>
      </c>
      <c r="D54" s="67"/>
      <c r="E54" s="68"/>
      <c r="F54" s="84">
        <v>110519.59999999999</v>
      </c>
    </row>
    <row r="55" spans="1:6" ht="45" x14ac:dyDescent="0.25">
      <c r="A55" s="34" t="s">
        <v>358</v>
      </c>
      <c r="B55" s="34" t="s">
        <v>357</v>
      </c>
      <c r="C55" s="66" t="s">
        <v>286</v>
      </c>
      <c r="D55" s="67"/>
      <c r="E55" s="68"/>
      <c r="F55" s="84">
        <v>204520.59999999998</v>
      </c>
    </row>
    <row r="56" spans="1:6" ht="22.5" x14ac:dyDescent="0.25">
      <c r="A56" s="34" t="s">
        <v>233</v>
      </c>
      <c r="B56" s="34" t="s">
        <v>357</v>
      </c>
      <c r="C56" s="66" t="s">
        <v>287</v>
      </c>
      <c r="D56" s="67"/>
      <c r="E56" s="68"/>
      <c r="F56" s="84">
        <v>334719</v>
      </c>
    </row>
    <row r="57" spans="1:6" ht="22.5" x14ac:dyDescent="0.25">
      <c r="A57" s="34" t="s">
        <v>198</v>
      </c>
      <c r="B57" s="34" t="s">
        <v>357</v>
      </c>
      <c r="C57" s="66" t="s">
        <v>288</v>
      </c>
      <c r="D57" s="67"/>
      <c r="E57" s="68" t="s">
        <v>197</v>
      </c>
      <c r="F57" s="84">
        <v>45643.96</v>
      </c>
    </row>
    <row r="58" spans="1:6" ht="22.5" x14ac:dyDescent="0.25">
      <c r="A58" s="34" t="s">
        <v>202</v>
      </c>
      <c r="B58" s="34" t="s">
        <v>357</v>
      </c>
      <c r="C58" s="66" t="s">
        <v>289</v>
      </c>
      <c r="D58" s="67"/>
      <c r="E58" s="68" t="s">
        <v>201</v>
      </c>
      <c r="F58" s="84">
        <v>42600.6</v>
      </c>
    </row>
    <row r="59" spans="1:6" ht="22.5" x14ac:dyDescent="0.25">
      <c r="A59" s="34" t="s">
        <v>226</v>
      </c>
      <c r="B59" s="34" t="s">
        <v>357</v>
      </c>
      <c r="C59" s="66" t="s">
        <v>290</v>
      </c>
      <c r="D59" s="67"/>
      <c r="E59" s="68" t="s">
        <v>374</v>
      </c>
      <c r="F59" s="84">
        <v>22314.6</v>
      </c>
    </row>
    <row r="60" spans="1:6" x14ac:dyDescent="0.25">
      <c r="A60" s="34" t="s">
        <v>291</v>
      </c>
      <c r="B60" s="34" t="s">
        <v>357</v>
      </c>
      <c r="C60" s="66" t="s">
        <v>359</v>
      </c>
      <c r="D60" s="67"/>
      <c r="E60" s="68" t="s">
        <v>375</v>
      </c>
      <c r="F60" s="84">
        <v>0</v>
      </c>
    </row>
    <row r="61" spans="1:6" ht="22.5" x14ac:dyDescent="0.25">
      <c r="A61" s="34" t="s">
        <v>292</v>
      </c>
      <c r="B61" s="34" t="s">
        <v>357</v>
      </c>
      <c r="C61" s="66" t="s">
        <v>360</v>
      </c>
      <c r="D61" s="67"/>
      <c r="E61" s="68"/>
      <c r="F61" s="84">
        <v>84000.599999999991</v>
      </c>
    </row>
    <row r="62" spans="1:6" ht="33.75" x14ac:dyDescent="0.25">
      <c r="A62" s="34" t="s">
        <v>293</v>
      </c>
      <c r="B62" s="34" t="s">
        <v>357</v>
      </c>
      <c r="C62" s="66" t="s">
        <v>361</v>
      </c>
      <c r="D62" s="67"/>
      <c r="E62" s="68"/>
      <c r="F62" s="84">
        <v>60519.899999999994</v>
      </c>
    </row>
    <row r="63" spans="1:6" x14ac:dyDescent="0.25">
      <c r="A63" s="34" t="s">
        <v>211</v>
      </c>
      <c r="B63" s="34" t="s">
        <v>357</v>
      </c>
      <c r="C63" s="66" t="s">
        <v>340</v>
      </c>
      <c r="D63" s="67"/>
      <c r="E63" s="68" t="s">
        <v>210</v>
      </c>
      <c r="F63" s="84">
        <v>2738.8399999999997</v>
      </c>
    </row>
    <row r="64" spans="1:6" x14ac:dyDescent="0.25">
      <c r="A64" s="34" t="s">
        <v>294</v>
      </c>
      <c r="B64" s="34" t="s">
        <v>357</v>
      </c>
      <c r="C64" s="66" t="s">
        <v>340</v>
      </c>
      <c r="D64" s="67"/>
      <c r="E64" s="68"/>
      <c r="F64" s="84">
        <v>5274.3600000000006</v>
      </c>
    </row>
    <row r="65" spans="1:6" x14ac:dyDescent="0.25">
      <c r="A65" s="34" t="s">
        <v>295</v>
      </c>
      <c r="B65" s="34" t="s">
        <v>357</v>
      </c>
      <c r="C65" s="66" t="s">
        <v>340</v>
      </c>
      <c r="D65" s="67"/>
      <c r="E65" s="68"/>
      <c r="F65" s="84">
        <v>0</v>
      </c>
    </row>
    <row r="66" spans="1:6" x14ac:dyDescent="0.25">
      <c r="A66" s="34" t="s">
        <v>296</v>
      </c>
      <c r="B66" s="34" t="s">
        <v>357</v>
      </c>
      <c r="C66" s="66" t="s">
        <v>340</v>
      </c>
      <c r="D66" s="67"/>
      <c r="E66" s="68"/>
      <c r="F66" s="84">
        <v>7100.56</v>
      </c>
    </row>
    <row r="67" spans="1:6" ht="33.75" x14ac:dyDescent="0.25">
      <c r="A67" s="34" t="s">
        <v>297</v>
      </c>
      <c r="B67" s="34" t="s">
        <v>357</v>
      </c>
      <c r="C67" s="66" t="s">
        <v>298</v>
      </c>
      <c r="D67" s="67"/>
      <c r="E67" s="68"/>
      <c r="F67" s="84">
        <v>632923.19999999995</v>
      </c>
    </row>
    <row r="68" spans="1:6" ht="33.75" x14ac:dyDescent="0.25">
      <c r="A68" s="34" t="s">
        <v>299</v>
      </c>
      <c r="B68" s="34" t="s">
        <v>357</v>
      </c>
      <c r="C68" s="66" t="s">
        <v>300</v>
      </c>
      <c r="D68" s="67"/>
      <c r="E68" s="68"/>
      <c r="F68" s="84">
        <v>547722</v>
      </c>
    </row>
    <row r="69" spans="1:6" ht="22.5" x14ac:dyDescent="0.25">
      <c r="A69" s="34" t="s">
        <v>213</v>
      </c>
      <c r="B69" s="34" t="s">
        <v>357</v>
      </c>
      <c r="C69" s="66"/>
      <c r="D69" s="67"/>
      <c r="E69" s="68" t="s">
        <v>212</v>
      </c>
      <c r="F69" s="84">
        <v>13997.8</v>
      </c>
    </row>
    <row r="70" spans="1:6" ht="22.5" x14ac:dyDescent="0.25">
      <c r="A70" s="34" t="s">
        <v>215</v>
      </c>
      <c r="B70" s="34" t="s">
        <v>357</v>
      </c>
      <c r="C70" s="66" t="s">
        <v>301</v>
      </c>
      <c r="D70" s="67"/>
      <c r="E70" s="68" t="s">
        <v>376</v>
      </c>
      <c r="F70" s="84">
        <v>15721.88</v>
      </c>
    </row>
    <row r="71" spans="1:6" ht="33.75" x14ac:dyDescent="0.25">
      <c r="A71" s="34" t="s">
        <v>214</v>
      </c>
      <c r="B71" s="34" t="s">
        <v>357</v>
      </c>
      <c r="C71" s="66" t="s">
        <v>302</v>
      </c>
      <c r="D71" s="67"/>
      <c r="E71" s="68"/>
      <c r="F71" s="84">
        <v>16735.72</v>
      </c>
    </row>
    <row r="72" spans="1:6" ht="22.5" x14ac:dyDescent="0.25">
      <c r="A72" s="34" t="s">
        <v>303</v>
      </c>
      <c r="B72" s="34" t="s">
        <v>357</v>
      </c>
      <c r="C72" s="66"/>
      <c r="D72" s="67"/>
      <c r="E72" s="68"/>
      <c r="F72" s="84">
        <v>0</v>
      </c>
    </row>
    <row r="73" spans="1:6" x14ac:dyDescent="0.25">
      <c r="A73" s="34" t="s">
        <v>239</v>
      </c>
      <c r="B73" s="34" t="s">
        <v>357</v>
      </c>
      <c r="C73" s="66"/>
      <c r="D73" s="67"/>
      <c r="E73" s="68" t="s">
        <v>238</v>
      </c>
      <c r="F73" s="84">
        <v>8520.119999999999</v>
      </c>
    </row>
    <row r="74" spans="1:6" x14ac:dyDescent="0.25">
      <c r="A74" s="34" t="s">
        <v>242</v>
      </c>
      <c r="B74" s="34" t="s">
        <v>357</v>
      </c>
      <c r="C74" s="66"/>
      <c r="D74" s="67"/>
      <c r="E74" s="68" t="s">
        <v>241</v>
      </c>
      <c r="F74" s="84">
        <v>5274.3600000000006</v>
      </c>
    </row>
    <row r="75" spans="1:6" ht="22.5" x14ac:dyDescent="0.25">
      <c r="A75" s="34" t="s">
        <v>304</v>
      </c>
      <c r="B75" s="34" t="s">
        <v>357</v>
      </c>
      <c r="C75" s="66"/>
      <c r="D75" s="67"/>
      <c r="E75" s="68"/>
      <c r="F75" s="84">
        <v>0</v>
      </c>
    </row>
    <row r="76" spans="1:6" x14ac:dyDescent="0.25">
      <c r="A76" s="34" t="s">
        <v>305</v>
      </c>
      <c r="B76" s="34" t="s">
        <v>357</v>
      </c>
      <c r="C76" s="66"/>
      <c r="D76" s="67"/>
      <c r="E76" s="68"/>
      <c r="F76" s="84">
        <v>0</v>
      </c>
    </row>
    <row r="77" spans="1:6" x14ac:dyDescent="0.25">
      <c r="A77" s="34" t="s">
        <v>306</v>
      </c>
      <c r="B77" s="34" t="s">
        <v>357</v>
      </c>
      <c r="C77" s="66"/>
      <c r="D77" s="67"/>
      <c r="E77" s="68"/>
      <c r="F77" s="84">
        <v>32457.599999999999</v>
      </c>
    </row>
    <row r="78" spans="1:6" ht="33.75" x14ac:dyDescent="0.25">
      <c r="A78" s="88" t="s">
        <v>307</v>
      </c>
      <c r="B78" s="88" t="s">
        <v>363</v>
      </c>
      <c r="C78" s="89" t="s">
        <v>362</v>
      </c>
      <c r="D78" s="90"/>
      <c r="E78" s="91"/>
      <c r="F78" s="92">
        <v>17243.560000000001</v>
      </c>
    </row>
    <row r="79" spans="1:6" ht="33.75" x14ac:dyDescent="0.25">
      <c r="A79" s="88" t="s">
        <v>308</v>
      </c>
      <c r="B79" s="88" t="s">
        <v>363</v>
      </c>
      <c r="C79" s="89" t="s">
        <v>362</v>
      </c>
      <c r="D79" s="90"/>
      <c r="E79" s="91"/>
      <c r="F79" s="92">
        <v>14200.199999999999</v>
      </c>
    </row>
    <row r="80" spans="1:6" ht="33.75" x14ac:dyDescent="0.25">
      <c r="A80" s="88" t="s">
        <v>309</v>
      </c>
      <c r="B80" s="88" t="s">
        <v>363</v>
      </c>
      <c r="C80" s="89" t="s">
        <v>362</v>
      </c>
      <c r="D80" s="90"/>
      <c r="E80" s="91"/>
      <c r="F80" s="92">
        <v>17243.560000000001</v>
      </c>
    </row>
    <row r="81" spans="1:6" ht="33.75" x14ac:dyDescent="0.25">
      <c r="A81" s="88" t="s">
        <v>310</v>
      </c>
      <c r="B81" s="88" t="s">
        <v>363</v>
      </c>
      <c r="C81" s="89" t="s">
        <v>362</v>
      </c>
      <c r="D81" s="90"/>
      <c r="E81" s="91"/>
      <c r="F81" s="92">
        <v>12171.599999999999</v>
      </c>
    </row>
    <row r="82" spans="1:6" ht="33.75" x14ac:dyDescent="0.25">
      <c r="A82" s="88" t="s">
        <v>311</v>
      </c>
      <c r="B82" s="88" t="s">
        <v>363</v>
      </c>
      <c r="C82" s="89" t="s">
        <v>362</v>
      </c>
      <c r="D82" s="90"/>
      <c r="E82" s="91"/>
      <c r="F82" s="92">
        <v>8621.32</v>
      </c>
    </row>
    <row r="83" spans="1:6" ht="33.75" x14ac:dyDescent="0.25">
      <c r="A83" s="88" t="s">
        <v>312</v>
      </c>
      <c r="B83" s="88" t="s">
        <v>363</v>
      </c>
      <c r="C83" s="89" t="s">
        <v>362</v>
      </c>
      <c r="D83" s="90"/>
      <c r="E83" s="91"/>
      <c r="F83" s="92">
        <v>20286</v>
      </c>
    </row>
    <row r="84" spans="1:6" ht="33.75" x14ac:dyDescent="0.25">
      <c r="A84" s="88" t="s">
        <v>313</v>
      </c>
      <c r="B84" s="88" t="s">
        <v>363</v>
      </c>
      <c r="C84" s="89" t="s">
        <v>362</v>
      </c>
      <c r="D84" s="90"/>
      <c r="E84" s="91"/>
      <c r="F84" s="92">
        <v>20286</v>
      </c>
    </row>
    <row r="85" spans="1:6" x14ac:dyDescent="0.25">
      <c r="A85" s="72" t="s">
        <v>314</v>
      </c>
      <c r="B85" s="72" t="s">
        <v>364</v>
      </c>
      <c r="C85" s="73"/>
      <c r="D85" s="74"/>
      <c r="E85" s="75"/>
      <c r="F85" s="85">
        <v>35500.959999999999</v>
      </c>
    </row>
    <row r="86" spans="1:6" x14ac:dyDescent="0.25">
      <c r="A86" s="72" t="s">
        <v>315</v>
      </c>
      <c r="B86" s="72" t="s">
        <v>364</v>
      </c>
      <c r="C86" s="73"/>
      <c r="D86" s="74"/>
      <c r="E86" s="75"/>
      <c r="F86" s="85">
        <v>50714.999999999993</v>
      </c>
    </row>
    <row r="87" spans="1:6" x14ac:dyDescent="0.25">
      <c r="A87" s="72" t="s">
        <v>316</v>
      </c>
      <c r="B87" s="72" t="s">
        <v>364</v>
      </c>
      <c r="C87" s="73"/>
      <c r="D87" s="74"/>
      <c r="E87" s="75"/>
      <c r="F87" s="85">
        <v>15214.960000000001</v>
      </c>
    </row>
    <row r="88" spans="1:6" x14ac:dyDescent="0.25">
      <c r="A88" s="72" t="s">
        <v>317</v>
      </c>
      <c r="B88" s="72" t="s">
        <v>364</v>
      </c>
      <c r="C88" s="73"/>
      <c r="D88" s="74"/>
      <c r="E88" s="75"/>
      <c r="F88" s="85">
        <v>55786.96</v>
      </c>
    </row>
    <row r="89" spans="1:6" x14ac:dyDescent="0.25">
      <c r="A89" s="72" t="s">
        <v>318</v>
      </c>
      <c r="B89" s="72" t="s">
        <v>364</v>
      </c>
      <c r="C89" s="73"/>
      <c r="D89" s="74"/>
      <c r="E89" s="75"/>
      <c r="F89" s="85">
        <v>65929.959999999992</v>
      </c>
    </row>
    <row r="90" spans="1:6" x14ac:dyDescent="0.25">
      <c r="A90" s="72" t="s">
        <v>319</v>
      </c>
      <c r="B90" s="72" t="s">
        <v>364</v>
      </c>
      <c r="C90" s="73"/>
      <c r="D90" s="74"/>
      <c r="E90" s="75"/>
      <c r="F90" s="85">
        <v>65929.959999999992</v>
      </c>
    </row>
    <row r="91" spans="1:6" x14ac:dyDescent="0.25">
      <c r="A91" s="72" t="s">
        <v>320</v>
      </c>
      <c r="B91" s="72" t="s">
        <v>364</v>
      </c>
      <c r="C91" s="73"/>
      <c r="D91" s="74"/>
      <c r="E91" s="75"/>
      <c r="F91" s="85">
        <v>65929.959999999992</v>
      </c>
    </row>
    <row r="92" spans="1:6" x14ac:dyDescent="0.25">
      <c r="A92" s="72" t="s">
        <v>321</v>
      </c>
      <c r="B92" s="72" t="s">
        <v>364</v>
      </c>
      <c r="C92" s="73"/>
      <c r="D92" s="74"/>
      <c r="E92" s="75"/>
      <c r="F92" s="85">
        <v>35500.959999999999</v>
      </c>
    </row>
    <row r="93" spans="1:6" x14ac:dyDescent="0.25">
      <c r="A93" s="72" t="s">
        <v>322</v>
      </c>
      <c r="B93" s="72" t="s">
        <v>364</v>
      </c>
      <c r="C93" s="73"/>
      <c r="D93" s="74"/>
      <c r="E93" s="75"/>
      <c r="F93" s="85">
        <v>35500.959999999999</v>
      </c>
    </row>
    <row r="94" spans="1:6" x14ac:dyDescent="0.25">
      <c r="A94" s="72" t="s">
        <v>323</v>
      </c>
      <c r="B94" s="72" t="s">
        <v>364</v>
      </c>
      <c r="C94" s="73"/>
      <c r="D94" s="74"/>
      <c r="E94" s="75"/>
      <c r="F94" s="85">
        <v>45643.96</v>
      </c>
    </row>
    <row r="95" spans="1:6" x14ac:dyDescent="0.25">
      <c r="A95" s="72" t="s">
        <v>324</v>
      </c>
      <c r="B95" s="72" t="s">
        <v>364</v>
      </c>
      <c r="C95" s="73"/>
      <c r="D95" s="74"/>
      <c r="E95" s="75"/>
      <c r="F95" s="85">
        <v>45643.96</v>
      </c>
    </row>
    <row r="96" spans="1:6" x14ac:dyDescent="0.25">
      <c r="A96" s="72" t="s">
        <v>325</v>
      </c>
      <c r="B96" s="72" t="s">
        <v>364</v>
      </c>
      <c r="C96" s="73"/>
      <c r="D96" s="74"/>
      <c r="E96" s="75"/>
      <c r="F96" s="85">
        <v>30428.999999999996</v>
      </c>
    </row>
    <row r="97" spans="1:6" x14ac:dyDescent="0.25">
      <c r="A97" s="72" t="s">
        <v>240</v>
      </c>
      <c r="B97" s="72" t="s">
        <v>364</v>
      </c>
      <c r="C97" s="73"/>
      <c r="D97" s="74"/>
      <c r="E97" s="75"/>
      <c r="F97" s="85">
        <v>8114.4</v>
      </c>
    </row>
    <row r="98" spans="1:6" x14ac:dyDescent="0.25">
      <c r="A98" s="72" t="s">
        <v>326</v>
      </c>
      <c r="B98" s="72" t="s">
        <v>364</v>
      </c>
      <c r="C98" s="73"/>
      <c r="D98" s="74"/>
      <c r="E98" s="75"/>
      <c r="F98" s="85">
        <v>35500.959999999999</v>
      </c>
    </row>
    <row r="99" spans="1:6" x14ac:dyDescent="0.25">
      <c r="A99" s="72" t="s">
        <v>327</v>
      </c>
      <c r="B99" s="72" t="s">
        <v>364</v>
      </c>
      <c r="C99" s="73" t="s">
        <v>356</v>
      </c>
      <c r="D99" s="74"/>
      <c r="E99" s="75" t="s">
        <v>377</v>
      </c>
      <c r="F99" s="85">
        <v>9129.16</v>
      </c>
    </row>
    <row r="100" spans="1:6" x14ac:dyDescent="0.25">
      <c r="A100" s="72" t="s">
        <v>328</v>
      </c>
      <c r="B100" s="72" t="s">
        <v>364</v>
      </c>
      <c r="C100" s="73"/>
      <c r="D100" s="74"/>
      <c r="E100" s="75"/>
      <c r="F100" s="85">
        <v>18764.32</v>
      </c>
    </row>
    <row r="101" spans="1:6" x14ac:dyDescent="0.25">
      <c r="A101" s="72" t="s">
        <v>329</v>
      </c>
      <c r="B101" s="72" t="s">
        <v>364</v>
      </c>
      <c r="C101" s="73"/>
      <c r="D101" s="74"/>
      <c r="E101" s="75"/>
      <c r="F101" s="85">
        <v>22314.6</v>
      </c>
    </row>
    <row r="102" spans="1:6" x14ac:dyDescent="0.25">
      <c r="A102" s="72" t="s">
        <v>330</v>
      </c>
      <c r="B102" s="72" t="s">
        <v>364</v>
      </c>
      <c r="C102" s="73"/>
      <c r="D102" s="74"/>
      <c r="E102" s="75"/>
      <c r="F102" s="85">
        <v>33472.36</v>
      </c>
    </row>
    <row r="103" spans="1:6" x14ac:dyDescent="0.25">
      <c r="A103" s="72" t="s">
        <v>331</v>
      </c>
      <c r="B103" s="72" t="s">
        <v>364</v>
      </c>
      <c r="C103" s="73"/>
      <c r="D103" s="74"/>
      <c r="E103" s="75"/>
      <c r="F103" s="85">
        <v>40572</v>
      </c>
    </row>
    <row r="104" spans="1:6" x14ac:dyDescent="0.25">
      <c r="A104" s="72" t="s">
        <v>332</v>
      </c>
      <c r="B104" s="72" t="s">
        <v>364</v>
      </c>
      <c r="C104" s="73"/>
      <c r="D104" s="74"/>
      <c r="E104" s="75"/>
      <c r="F104" s="85">
        <v>33472.36</v>
      </c>
    </row>
    <row r="105" spans="1:6" x14ac:dyDescent="0.25">
      <c r="A105" s="72" t="s">
        <v>333</v>
      </c>
      <c r="B105" s="72" t="s">
        <v>364</v>
      </c>
      <c r="C105" s="73"/>
      <c r="D105" s="74"/>
      <c r="E105" s="75"/>
      <c r="F105" s="85">
        <v>15214.960000000001</v>
      </c>
    </row>
    <row r="106" spans="1:6" x14ac:dyDescent="0.25">
      <c r="A106" s="72" t="s">
        <v>334</v>
      </c>
      <c r="B106" s="72" t="s">
        <v>364</v>
      </c>
      <c r="C106" s="73"/>
      <c r="D106" s="74"/>
      <c r="E106" s="75"/>
      <c r="F106" s="85">
        <v>22314.6</v>
      </c>
    </row>
    <row r="107" spans="1:6" x14ac:dyDescent="0.25">
      <c r="A107" s="72" t="s">
        <v>335</v>
      </c>
      <c r="B107" s="72" t="s">
        <v>364</v>
      </c>
      <c r="C107" s="73"/>
      <c r="D107" s="74"/>
      <c r="E107" s="75"/>
      <c r="F107" s="85">
        <v>15214.960000000001</v>
      </c>
    </row>
    <row r="108" spans="1:6" x14ac:dyDescent="0.25">
      <c r="A108" s="72" t="s">
        <v>336</v>
      </c>
      <c r="B108" s="72" t="s">
        <v>364</v>
      </c>
      <c r="C108" s="73"/>
      <c r="D108" s="74"/>
      <c r="E108" s="75"/>
      <c r="F108" s="85">
        <v>25357.96</v>
      </c>
    </row>
    <row r="109" spans="1:6" x14ac:dyDescent="0.25">
      <c r="A109" s="72" t="s">
        <v>337</v>
      </c>
      <c r="B109" s="72" t="s">
        <v>364</v>
      </c>
      <c r="C109" s="73"/>
      <c r="D109" s="74"/>
      <c r="E109" s="75"/>
      <c r="F109" s="85">
        <v>30428.999999999996</v>
      </c>
    </row>
    <row r="110" spans="1:6" x14ac:dyDescent="0.25">
      <c r="A110" s="72" t="s">
        <v>338</v>
      </c>
      <c r="B110" s="72" t="s">
        <v>364</v>
      </c>
      <c r="C110" s="73"/>
      <c r="D110" s="74"/>
      <c r="E110" s="75"/>
      <c r="F110" s="85">
        <v>35500.959999999999</v>
      </c>
    </row>
    <row r="111" spans="1:6" x14ac:dyDescent="0.25">
      <c r="A111" s="33" t="s">
        <v>222</v>
      </c>
      <c r="B111" s="33" t="s">
        <v>339</v>
      </c>
      <c r="C111" s="69"/>
      <c r="D111" s="70"/>
      <c r="E111" s="71" t="s">
        <v>222</v>
      </c>
      <c r="F111" s="86">
        <v>18764.32</v>
      </c>
    </row>
    <row r="112" spans="1:6" x14ac:dyDescent="0.25">
      <c r="A112" s="33" t="s">
        <v>227</v>
      </c>
      <c r="B112" s="33" t="s">
        <v>339</v>
      </c>
      <c r="C112" s="69"/>
      <c r="D112" s="70"/>
      <c r="E112" s="71" t="s">
        <v>227</v>
      </c>
      <c r="F112" s="86">
        <v>18764.32</v>
      </c>
    </row>
    <row r="113" spans="1:6" x14ac:dyDescent="0.25">
      <c r="A113" s="33" t="s">
        <v>255</v>
      </c>
      <c r="B113" s="33" t="s">
        <v>339</v>
      </c>
      <c r="C113" s="69"/>
      <c r="D113" s="70"/>
      <c r="E113" s="71" t="s">
        <v>255</v>
      </c>
      <c r="F113" s="86">
        <v>14200.199999999999</v>
      </c>
    </row>
    <row r="114" spans="1:6" x14ac:dyDescent="0.25">
      <c r="A114" s="33" t="s">
        <v>208</v>
      </c>
      <c r="B114" s="33" t="s">
        <v>339</v>
      </c>
      <c r="C114" s="69"/>
      <c r="D114" s="70"/>
      <c r="E114" s="71" t="s">
        <v>208</v>
      </c>
      <c r="F114" s="86">
        <v>36514.799999999996</v>
      </c>
    </row>
    <row r="115" spans="1:6" ht="33.75" x14ac:dyDescent="0.25">
      <c r="A115" s="33" t="s">
        <v>182</v>
      </c>
      <c r="B115" s="33" t="s">
        <v>339</v>
      </c>
      <c r="C115" s="69" t="s">
        <v>183</v>
      </c>
      <c r="D115" s="70"/>
      <c r="E115" s="71" t="s">
        <v>182</v>
      </c>
      <c r="F115" s="86">
        <v>22310</v>
      </c>
    </row>
    <row r="116" spans="1:6" ht="90" x14ac:dyDescent="0.25">
      <c r="A116" s="33" t="s">
        <v>184</v>
      </c>
      <c r="B116" s="33" t="s">
        <v>339</v>
      </c>
      <c r="C116" s="69" t="s">
        <v>185</v>
      </c>
      <c r="D116" s="70"/>
      <c r="E116" s="71" t="s">
        <v>184</v>
      </c>
      <c r="F116" s="86">
        <v>18764</v>
      </c>
    </row>
    <row r="117" spans="1:6" ht="67.5" x14ac:dyDescent="0.25">
      <c r="A117" s="33" t="s">
        <v>186</v>
      </c>
      <c r="B117" s="33" t="s">
        <v>339</v>
      </c>
      <c r="C117" s="69" t="s">
        <v>187</v>
      </c>
      <c r="D117" s="70"/>
      <c r="E117" s="71" t="s">
        <v>186</v>
      </c>
      <c r="F117" s="86">
        <v>18764</v>
      </c>
    </row>
    <row r="118" spans="1:6" x14ac:dyDescent="0.25">
      <c r="A118" s="33" t="s">
        <v>190</v>
      </c>
      <c r="B118" s="33" t="s">
        <v>339</v>
      </c>
      <c r="C118" s="69"/>
      <c r="D118" s="70"/>
      <c r="E118" s="71" t="s">
        <v>190</v>
      </c>
      <c r="F118" s="86">
        <v>4521</v>
      </c>
    </row>
    <row r="119" spans="1:6" x14ac:dyDescent="0.25">
      <c r="A119" s="33" t="s">
        <v>191</v>
      </c>
      <c r="B119" s="33" t="s">
        <v>339</v>
      </c>
      <c r="C119" s="69"/>
      <c r="D119" s="70"/>
      <c r="E119" s="71" t="s">
        <v>191</v>
      </c>
      <c r="F119" s="86">
        <v>12374</v>
      </c>
    </row>
    <row r="120" spans="1:6" x14ac:dyDescent="0.25">
      <c r="A120" s="33" t="s">
        <v>222</v>
      </c>
      <c r="B120" s="33" t="s">
        <v>339</v>
      </c>
      <c r="C120" s="69"/>
      <c r="D120" s="70"/>
      <c r="E120" s="71" t="s">
        <v>222</v>
      </c>
      <c r="F120" s="86">
        <v>18764.32</v>
      </c>
    </row>
    <row r="121" spans="1:6" x14ac:dyDescent="0.25">
      <c r="A121" s="33" t="s">
        <v>255</v>
      </c>
      <c r="B121" s="33" t="s">
        <v>339</v>
      </c>
      <c r="C121" s="69"/>
      <c r="D121" s="70"/>
      <c r="E121" s="71" t="s">
        <v>255</v>
      </c>
      <c r="F121" s="86">
        <v>14200.199999999999</v>
      </c>
    </row>
    <row r="122" spans="1:6" x14ac:dyDescent="0.25">
      <c r="A122" s="33" t="s">
        <v>192</v>
      </c>
      <c r="B122" s="33" t="s">
        <v>339</v>
      </c>
      <c r="C122" s="69"/>
      <c r="D122" s="70"/>
      <c r="E122" s="71" t="s">
        <v>192</v>
      </c>
      <c r="F122" s="86">
        <v>18764</v>
      </c>
    </row>
    <row r="123" spans="1:6" x14ac:dyDescent="0.25">
      <c r="A123" s="33" t="s">
        <v>208</v>
      </c>
      <c r="B123" s="33" t="s">
        <v>339</v>
      </c>
      <c r="C123" s="69"/>
      <c r="D123" s="70"/>
      <c r="E123" s="71" t="s">
        <v>208</v>
      </c>
      <c r="F123" s="86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5"/>
  <sheetViews>
    <sheetView zoomScale="90" zoomScaleNormal="90" workbookViewId="0">
      <pane ySplit="1" topLeftCell="A2" activePane="bottomLeft" state="frozen"/>
      <selection pane="bottomLeft" activeCell="H5" sqref="H5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148</v>
      </c>
      <c r="L2" s="4" t="s">
        <v>16</v>
      </c>
      <c r="M2" s="5" t="s">
        <v>64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149</v>
      </c>
      <c r="L3" s="4" t="s">
        <v>26</v>
      </c>
      <c r="M3" s="5" t="s">
        <v>65</v>
      </c>
      <c r="N3" s="4" t="s">
        <v>28</v>
      </c>
    </row>
    <row r="4" spans="1:14" ht="33" customHeight="1" x14ac:dyDescent="0.25">
      <c r="A4" s="8" t="s">
        <v>33</v>
      </c>
      <c r="B4" s="2" t="s">
        <v>121</v>
      </c>
      <c r="C4" s="3" t="s">
        <v>30</v>
      </c>
      <c r="D4" s="2" t="s">
        <v>127</v>
      </c>
      <c r="E4" s="2" t="s">
        <v>11</v>
      </c>
      <c r="F4" s="2" t="s">
        <v>136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150</v>
      </c>
      <c r="L4" s="4" t="s">
        <v>31</v>
      </c>
      <c r="M4" s="5" t="s">
        <v>66</v>
      </c>
      <c r="N4" s="4" t="s">
        <v>32</v>
      </c>
    </row>
    <row r="5" spans="1:14" ht="33" customHeight="1" x14ac:dyDescent="0.25">
      <c r="A5" s="8" t="s">
        <v>34</v>
      </c>
      <c r="B5" s="2" t="s">
        <v>122</v>
      </c>
      <c r="C5" s="3" t="s">
        <v>44</v>
      </c>
      <c r="D5" s="2" t="s">
        <v>128</v>
      </c>
      <c r="E5" s="2" t="s">
        <v>11</v>
      </c>
      <c r="F5" s="2" t="s">
        <v>137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147</v>
      </c>
      <c r="L5" s="4"/>
      <c r="M5" s="3"/>
      <c r="N5" s="4"/>
    </row>
    <row r="6" spans="1:14" ht="33" customHeight="1" x14ac:dyDescent="0.25">
      <c r="A6" s="8" t="s">
        <v>35</v>
      </c>
      <c r="B6" s="2" t="s">
        <v>45</v>
      </c>
      <c r="C6" s="3" t="s">
        <v>46</v>
      </c>
      <c r="D6" s="2" t="s">
        <v>47</v>
      </c>
      <c r="E6" s="2" t="s">
        <v>11</v>
      </c>
      <c r="F6" s="2" t="s">
        <v>138</v>
      </c>
      <c r="G6" s="2"/>
      <c r="H6" s="1" t="s">
        <v>144</v>
      </c>
      <c r="I6" s="4" t="s">
        <v>48</v>
      </c>
      <c r="J6" s="3"/>
      <c r="K6" s="2" t="s">
        <v>151</v>
      </c>
      <c r="L6" s="4"/>
      <c r="M6" s="5" t="s">
        <v>67</v>
      </c>
      <c r="N6" s="4" t="s">
        <v>49</v>
      </c>
    </row>
    <row r="7" spans="1:14" ht="33" customHeight="1" x14ac:dyDescent="0.25">
      <c r="A7" s="8" t="s">
        <v>36</v>
      </c>
      <c r="B7" s="2" t="s">
        <v>123</v>
      </c>
      <c r="C7" s="3" t="s">
        <v>50</v>
      </c>
      <c r="D7" s="2" t="s">
        <v>129</v>
      </c>
      <c r="E7" s="2" t="s">
        <v>51</v>
      </c>
      <c r="F7" s="2" t="s">
        <v>139</v>
      </c>
      <c r="G7" s="2"/>
      <c r="H7" s="1" t="s">
        <v>145</v>
      </c>
      <c r="I7" s="4" t="s">
        <v>52</v>
      </c>
      <c r="J7" s="3" t="s">
        <v>53</v>
      </c>
      <c r="K7" s="2" t="s">
        <v>54</v>
      </c>
      <c r="L7" s="4"/>
      <c r="M7" s="3"/>
      <c r="N7" s="4"/>
    </row>
    <row r="8" spans="1:14" ht="33" customHeight="1" x14ac:dyDescent="0.25">
      <c r="A8" s="8" t="s">
        <v>37</v>
      </c>
      <c r="B8" s="2" t="s">
        <v>55</v>
      </c>
      <c r="C8" s="3" t="s">
        <v>56</v>
      </c>
      <c r="D8" s="2" t="s">
        <v>57</v>
      </c>
      <c r="E8" s="2" t="s">
        <v>11</v>
      </c>
      <c r="F8" s="2" t="s">
        <v>58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152</v>
      </c>
      <c r="L8" s="4" t="s">
        <v>59</v>
      </c>
      <c r="M8" s="5" t="s">
        <v>60</v>
      </c>
      <c r="N8" s="4" t="s">
        <v>61</v>
      </c>
    </row>
    <row r="9" spans="1:14" ht="33" customHeight="1" x14ac:dyDescent="0.25">
      <c r="A9" s="8" t="s">
        <v>38</v>
      </c>
      <c r="B9" s="2" t="s">
        <v>124</v>
      </c>
      <c r="C9" s="3" t="s">
        <v>62</v>
      </c>
      <c r="D9" s="2" t="s">
        <v>130</v>
      </c>
      <c r="E9" s="2" t="s">
        <v>135</v>
      </c>
      <c r="F9" s="2" t="s">
        <v>140</v>
      </c>
      <c r="G9" s="2"/>
      <c r="H9" s="1" t="s">
        <v>146</v>
      </c>
      <c r="I9" s="4" t="s">
        <v>63</v>
      </c>
      <c r="J9" s="3"/>
      <c r="K9" s="2" t="s">
        <v>153</v>
      </c>
      <c r="L9" s="4"/>
      <c r="M9" s="5" t="s">
        <v>68</v>
      </c>
      <c r="N9" s="4"/>
    </row>
    <row r="10" spans="1:14" ht="33" customHeight="1" x14ac:dyDescent="0.25">
      <c r="A10" s="8" t="s">
        <v>39</v>
      </c>
      <c r="B10" s="2" t="s">
        <v>125</v>
      </c>
      <c r="C10" s="3" t="s">
        <v>69</v>
      </c>
      <c r="D10" s="2" t="s">
        <v>131</v>
      </c>
      <c r="E10" s="2" t="s">
        <v>11</v>
      </c>
      <c r="F10" s="2" t="s">
        <v>141</v>
      </c>
      <c r="G10" s="2"/>
      <c r="H10" s="1" t="s">
        <v>147</v>
      </c>
      <c r="I10" s="4" t="s">
        <v>70</v>
      </c>
      <c r="J10" s="3"/>
      <c r="K10" s="2" t="s">
        <v>154</v>
      </c>
      <c r="L10" s="4"/>
      <c r="M10" s="3" t="s">
        <v>71</v>
      </c>
      <c r="N10" s="4" t="s">
        <v>72</v>
      </c>
    </row>
    <row r="11" spans="1:14" ht="33" customHeight="1" x14ac:dyDescent="0.25">
      <c r="A11" s="8" t="s">
        <v>40</v>
      </c>
      <c r="B11" s="2" t="s">
        <v>126</v>
      </c>
      <c r="C11" s="3" t="s">
        <v>73</v>
      </c>
      <c r="D11" s="2" t="s">
        <v>132</v>
      </c>
      <c r="E11" s="2" t="s">
        <v>11</v>
      </c>
      <c r="F11" s="2" t="s">
        <v>142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155</v>
      </c>
      <c r="L11" s="4" t="s">
        <v>74</v>
      </c>
      <c r="M11" s="5" t="s">
        <v>75</v>
      </c>
      <c r="N11" s="4" t="s">
        <v>76</v>
      </c>
    </row>
    <row r="12" spans="1:14" ht="33" customHeight="1" x14ac:dyDescent="0.25">
      <c r="A12" s="8" t="s">
        <v>41</v>
      </c>
      <c r="B12" s="2" t="s">
        <v>77</v>
      </c>
      <c r="C12" s="3" t="s">
        <v>78</v>
      </c>
      <c r="D12" s="2" t="s">
        <v>133</v>
      </c>
      <c r="E12" s="2" t="s">
        <v>11</v>
      </c>
      <c r="F12" s="2" t="s">
        <v>143</v>
      </c>
      <c r="G12" s="2"/>
      <c r="H12" s="1" t="s">
        <v>79</v>
      </c>
      <c r="I12" s="4"/>
      <c r="J12" s="3"/>
      <c r="K12" s="2" t="s">
        <v>86</v>
      </c>
      <c r="L12" s="4" t="s">
        <v>80</v>
      </c>
      <c r="M12" s="5" t="s">
        <v>81</v>
      </c>
      <c r="N12" s="4" t="s">
        <v>82</v>
      </c>
    </row>
    <row r="13" spans="1:14" ht="33" customHeight="1" x14ac:dyDescent="0.25">
      <c r="A13" s="8" t="s">
        <v>42</v>
      </c>
      <c r="B13" s="2" t="s">
        <v>83</v>
      </c>
      <c r="C13" s="3" t="s">
        <v>84</v>
      </c>
      <c r="D13" s="2" t="s">
        <v>134</v>
      </c>
      <c r="E13" s="2" t="s">
        <v>11</v>
      </c>
      <c r="F13" s="2" t="s">
        <v>85</v>
      </c>
      <c r="G13" s="2"/>
      <c r="H13" s="1" t="s">
        <v>86</v>
      </c>
      <c r="I13" s="4" t="s">
        <v>80</v>
      </c>
      <c r="J13" s="3"/>
      <c r="K13" s="2" t="s">
        <v>156</v>
      </c>
      <c r="L13" s="4"/>
      <c r="M13" s="5" t="s">
        <v>88</v>
      </c>
      <c r="N13" s="4" t="s">
        <v>87</v>
      </c>
    </row>
    <row r="14" spans="1:14" ht="33" customHeight="1" x14ac:dyDescent="0.25">
      <c r="A14" s="8" t="s">
        <v>43</v>
      </c>
      <c r="B14" s="2" t="s">
        <v>89</v>
      </c>
      <c r="C14" s="3" t="s">
        <v>90</v>
      </c>
      <c r="D14" s="2" t="s">
        <v>91</v>
      </c>
      <c r="E14" s="2" t="s">
        <v>11</v>
      </c>
      <c r="F14" s="2" t="s">
        <v>92</v>
      </c>
      <c r="G14" s="2"/>
      <c r="H14" s="1" t="s">
        <v>93</v>
      </c>
      <c r="I14" s="4" t="s">
        <v>94</v>
      </c>
      <c r="J14" s="3"/>
      <c r="K14" s="2" t="s">
        <v>157</v>
      </c>
      <c r="L14" s="4"/>
      <c r="M14" s="5" t="s">
        <v>95</v>
      </c>
      <c r="N14" s="4" t="s">
        <v>96</v>
      </c>
    </row>
    <row r="15" spans="1:14" x14ac:dyDescent="0.25">
      <c r="A15" s="15" t="s">
        <v>158</v>
      </c>
      <c r="B15" s="16" t="s">
        <v>159</v>
      </c>
      <c r="C15" s="17" t="s">
        <v>160</v>
      </c>
      <c r="D15" s="16" t="s">
        <v>161</v>
      </c>
      <c r="E15" s="16" t="s">
        <v>162</v>
      </c>
      <c r="F15" s="16" t="s">
        <v>163</v>
      </c>
      <c r="G15" s="16" t="s">
        <v>164</v>
      </c>
      <c r="H15" s="18" t="s">
        <v>165</v>
      </c>
      <c r="I15" s="19" t="s">
        <v>166</v>
      </c>
      <c r="J15" s="9">
        <v>94460339</v>
      </c>
      <c r="K15" s="16" t="s">
        <v>167</v>
      </c>
      <c r="L15" s="20" t="s">
        <v>166</v>
      </c>
      <c r="M15" s="21" t="s">
        <v>168</v>
      </c>
      <c r="N15" s="19" t="s">
        <v>166</v>
      </c>
    </row>
  </sheetData>
  <autoFilter ref="A1:M1"/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  <hyperlink ref="I15" r:id="rId11"/>
    <hyperlink ref="L15" r:id="rId12"/>
    <hyperlink ref="N15" r:id="rId13"/>
  </hyperlinks>
  <pageMargins left="0.7" right="0.7" top="0.75" bottom="0.75" header="0.3" footer="0.3"/>
  <pageSetup orientation="portrait" horizontalDpi="0" verticalDpi="0"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PLANILLA</vt:lpstr>
      <vt:lpstr>FACTURACION</vt:lpstr>
      <vt:lpstr>ARANCEL</vt:lpstr>
      <vt:lpstr>DATOS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dcterms:created xsi:type="dcterms:W3CDTF">2014-12-18T14:07:09Z</dcterms:created>
  <dcterms:modified xsi:type="dcterms:W3CDTF">2015-01-05T20:46:05Z</dcterms:modified>
</cp:coreProperties>
</file>