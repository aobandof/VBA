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GITHUB\VBA\"/>
    </mc:Choice>
  </mc:AlternateContent>
  <bookViews>
    <workbookView xWindow="0" yWindow="0" windowWidth="20400" windowHeight="7905" tabRatio="739" activeTab="5"/>
  </bookViews>
  <sheets>
    <sheet name="ESTACION CENTRAL" sheetId="6" r:id="rId1"/>
    <sheet name="MONEDA" sheetId="5" r:id="rId2"/>
    <sheet name="DATOS_FACTURACION" sheetId="1" r:id="rId3"/>
    <sheet name="PLANILLA_SUCURSAL" sheetId="2" r:id="rId4"/>
    <sheet name="FACTURACION" sheetId="3" r:id="rId5"/>
    <sheet name="PLANILLA" sheetId="7" r:id="rId6"/>
  </sheets>
  <functionGroups builtInGroupCount="18"/>
  <definedNames>
    <definedName name="_xlnm._FilterDatabase" localSheetId="2" hidden="1">DATOS_FACTURACION!$A$1:$M$1</definedName>
    <definedName name="_xlnm._FilterDatabase" localSheetId="0" hidden="1">'ESTACION CENTRAL'!$A$4:$M$4</definedName>
    <definedName name="_xlnm._FilterDatabase" localSheetId="4" hidden="1">FACTURACION!$A$1:$J$1</definedName>
    <definedName name="_xlnm._FilterDatabase" localSheetId="1" hidden="1">MONEDA!$A$4:$M$4</definedName>
    <definedName name="_xlnm._FilterDatabase" localSheetId="3" hidden="1">PLANILLA_SUCURSAL!$A$4:$M$4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2" i="7" l="1"/>
  <c r="C3" i="7" s="1"/>
  <c r="K12" i="6" l="1"/>
  <c r="K11" i="6"/>
  <c r="K10" i="6"/>
  <c r="K9" i="6"/>
  <c r="K8" i="6"/>
  <c r="K7" i="6"/>
  <c r="K6" i="6"/>
  <c r="K5" i="6"/>
  <c r="K12" i="5" l="1"/>
  <c r="K11" i="5"/>
  <c r="K10" i="5"/>
  <c r="K9" i="5"/>
  <c r="K8" i="5"/>
  <c r="K7" i="5"/>
  <c r="K6" i="5"/>
  <c r="K5" i="5"/>
  <c r="K6" i="2" l="1"/>
  <c r="K7" i="2"/>
  <c r="K8" i="2"/>
  <c r="K9" i="2"/>
  <c r="K10" i="2"/>
  <c r="K11" i="2"/>
  <c r="K12" i="2"/>
  <c r="K5" i="2"/>
</calcChain>
</file>

<file path=xl/sharedStrings.xml><?xml version="1.0" encoding="utf-8"?>
<sst xmlns="http://schemas.openxmlformats.org/spreadsheetml/2006/main" count="364" uniqueCount="201">
  <si>
    <t>SUCURSAL</t>
  </si>
  <si>
    <t>RAZON SOCIAL</t>
  </si>
  <si>
    <t>RUT</t>
  </si>
  <si>
    <t>DIRECCION</t>
  </si>
  <si>
    <t>GIRO</t>
  </si>
  <si>
    <t>EMAIL</t>
  </si>
  <si>
    <t>TELEFONO</t>
  </si>
  <si>
    <t>COYANCURA</t>
  </si>
  <si>
    <t>SOC. PRESTADORA DE SERVICIOS ODONTOLÓGICOS UNO SALUD LTDA.</t>
  </si>
  <si>
    <t>76.110.234-6</t>
  </si>
  <si>
    <t>COYANCURA 2229 - PROVIDENCIA</t>
  </si>
  <si>
    <t>CENTROS MÉDICOS DE ATENCIÓN AMBULATORIA</t>
  </si>
  <si>
    <t>UNO SALUD DENTAL LTDA.</t>
  </si>
  <si>
    <t>SEBASTIAN REYES</t>
  </si>
  <si>
    <t>Enviar Factura a Moneda Nº 953 - Sr. Sebastian Reyes</t>
  </si>
  <si>
    <t>laboratorios@unosalud.cl</t>
  </si>
  <si>
    <t>pcifuentes@unosalud.cl</t>
  </si>
  <si>
    <t>NOMBRE DE
FANTASIA</t>
  </si>
  <si>
    <t>APUNTES O NOTAS
DE FACTURACION</t>
  </si>
  <si>
    <t>ENCARGADO
PAGOS</t>
  </si>
  <si>
    <t>ENCARGADA
TRABAJOS</t>
  </si>
  <si>
    <t>ESTACION CENTRAL</t>
  </si>
  <si>
    <t xml:space="preserve">SOC. ODONTOLÓGICA UNO SALUD ESTACIÓN CENTRAL LTDA. </t>
  </si>
  <si>
    <t>76.244.474-7</t>
  </si>
  <si>
    <t xml:space="preserve">PASEO ARAUCO ESTACIÓN SAN FRANCISCO DE BORJA 122 LOCAL S-122 A </t>
  </si>
  <si>
    <t>UNO SALUD ESTACIÓN CENTRAL LTDA.</t>
  </si>
  <si>
    <t>jjarpa@unosalud.cl</t>
  </si>
  <si>
    <t>EMAIL
BODEGA</t>
  </si>
  <si>
    <t>bodegaestacioncentral@unosalud.cl</t>
  </si>
  <si>
    <t>bodegacoyancura@unosalud.cl</t>
  </si>
  <si>
    <t>76.324.871-2</t>
  </si>
  <si>
    <t>ccantillana@unosalud.cl</t>
  </si>
  <si>
    <t>bodegaprovidencia2@unosalud.cl</t>
  </si>
  <si>
    <t>LA CONCEPCION</t>
  </si>
  <si>
    <t>FLORIDA</t>
  </si>
  <si>
    <t>MANQUEHUE</t>
  </si>
  <si>
    <t>MAIPU</t>
  </si>
  <si>
    <t>MONEDA</t>
  </si>
  <si>
    <t>PUERTO MONTT</t>
  </si>
  <si>
    <t>SAN BERNARDO</t>
  </si>
  <si>
    <t>SANTA LUCIA</t>
  </si>
  <si>
    <t>VALPARAISO</t>
  </si>
  <si>
    <t>VIÑA DEL MAR</t>
  </si>
  <si>
    <t>VITACURA</t>
  </si>
  <si>
    <t>76.368.014-2</t>
  </si>
  <si>
    <t>SOCIEDAD ODONTOLÓGICA FELIPE BAYUK LTDA.</t>
  </si>
  <si>
    <t>76.178.117-0</t>
  </si>
  <si>
    <t>MANQUEHUE SUR 430 LOCAL 1-A LAS CONDES</t>
  </si>
  <si>
    <t>fbayuk@unosalud.cl</t>
  </si>
  <si>
    <t>bodegamanquehue@unosalud.cl</t>
  </si>
  <si>
    <t>76.339.245-7</t>
  </si>
  <si>
    <t>CENTROS DE ATENCION ODONTOLOGICA</t>
  </si>
  <si>
    <t>fcastillo@unosalud.cl</t>
  </si>
  <si>
    <t>7856 7410</t>
  </si>
  <si>
    <t>CLAUDIA</t>
  </si>
  <si>
    <t>SOC. ODONTOLÓGICA UNO SALUD MONEDA LTDA.</t>
  </si>
  <si>
    <t>76.144.936-2</t>
  </si>
  <si>
    <t>MONEDA 953</t>
  </si>
  <si>
    <t>UNO SALUD MONEDA LTDA.</t>
  </si>
  <si>
    <t>dsilva@unosalud.cl</t>
  </si>
  <si>
    <t>22 7638928
22 7638928</t>
  </si>
  <si>
    <t>bodegamodena@unosalud.cl</t>
  </si>
  <si>
    <t>76.330.243-1</t>
  </si>
  <si>
    <t>dr.cristian.eggers@gmail.com
ceggers@unosalud.cl</t>
  </si>
  <si>
    <t>22 7638923
22 7638924</t>
  </si>
  <si>
    <t>22 7638941
22 7638942</t>
  </si>
  <si>
    <t>22 7638978
22 7638979</t>
  </si>
  <si>
    <t>22 7638931
22 7638932</t>
  </si>
  <si>
    <t>22 7638990
22 7638994</t>
  </si>
  <si>
    <t>76.339.573-1</t>
  </si>
  <si>
    <t>cblanlot@unosalud.cl</t>
  </si>
  <si>
    <t>22 7638958</t>
  </si>
  <si>
    <t>bodegasanbernardo@unosalud.cl</t>
  </si>
  <si>
    <t xml:space="preserve">76.324.872-0 </t>
  </si>
  <si>
    <t>ccerda@unosalud.cl</t>
  </si>
  <si>
    <t>22 7638984
22 7638985</t>
  </si>
  <si>
    <t>bodegasantarosa@unosalud.cl</t>
  </si>
  <si>
    <t>CENTRO DE ATENCION ODONTOLOGICA</t>
  </si>
  <si>
    <t>76.301.027-9</t>
  </si>
  <si>
    <t>MARIA JOSE CELEDON</t>
  </si>
  <si>
    <t>jbascunan@unosalud.cl</t>
  </si>
  <si>
    <t>22 7638974
22 7638975</t>
  </si>
  <si>
    <t>bodegavalpariso@unosalud.cl</t>
  </si>
  <si>
    <t>SERVICIOS MÉDICOS Y ODONTOLÓGICOS BASCUÑAN Y COMPAÑÍA LTDA.</t>
  </si>
  <si>
    <t>76.191.735-8</t>
  </si>
  <si>
    <t>UNO SALUD VIÑA LTDA.</t>
  </si>
  <si>
    <t>MARIA JESUS BASCUÑAN</t>
  </si>
  <si>
    <t>Bodegavina@unosalud.cl</t>
  </si>
  <si>
    <t>22 7638936
22 7638937</t>
  </si>
  <si>
    <t>ODONTOLOGÍA CHACÓN LTDA.</t>
  </si>
  <si>
    <t>76.259.176-6</t>
  </si>
  <si>
    <t>VITACURA 5250 LOCAL 101 VITACURA</t>
  </si>
  <si>
    <t>UNO SALUD VITACURA</t>
  </si>
  <si>
    <t>FRANCISCO CHACON</t>
  </si>
  <si>
    <t>fchacon@unosalud.cl</t>
  </si>
  <si>
    <t>22 7638945
22 7638946</t>
  </si>
  <si>
    <t>bodegavitacura@unosalud.cl</t>
  </si>
  <si>
    <t>ITEM</t>
  </si>
  <si>
    <t>TICKET</t>
  </si>
  <si>
    <t>PACIENTE</t>
  </si>
  <si>
    <t>DOCTOR</t>
  </si>
  <si>
    <t>TRABAJO REALIZADO</t>
  </si>
  <si>
    <t>FECHA
ENTREGA</t>
  </si>
  <si>
    <t>PIEZA</t>
  </si>
  <si>
    <t>COLOR</t>
  </si>
  <si>
    <t>VALOR
UNITARIO</t>
  </si>
  <si>
    <t>VALOR
TOTAL</t>
  </si>
  <si>
    <t>DETALLE DE TRABAJO</t>
  </si>
  <si>
    <t>MES
FACTURACION</t>
  </si>
  <si>
    <t>CANT</t>
  </si>
  <si>
    <t>FACTURA</t>
  </si>
  <si>
    <t>FECHA
FACTURA</t>
  </si>
  <si>
    <t>RECIBO</t>
  </si>
  <si>
    <t>FECHA
RECIBO</t>
  </si>
  <si>
    <t>DETALLE DE PAGO</t>
  </si>
  <si>
    <t>MONTO FACTURADO</t>
  </si>
  <si>
    <t>VIRU ESTEFANY</t>
  </si>
  <si>
    <t>OBANDO</t>
  </si>
  <si>
    <t>LEIVA MARIA JOSE</t>
  </si>
  <si>
    <t>SANCHEZ PABLO</t>
  </si>
  <si>
    <t>ANGULO LUIS</t>
  </si>
  <si>
    <t>RAMOS DAVID</t>
  </si>
  <si>
    <t>NO RECUERDO DAMARY</t>
  </si>
  <si>
    <t>CANALES JANNETE</t>
  </si>
  <si>
    <t>CERON VICENTE</t>
  </si>
  <si>
    <t>INCRUSTACION SIGNUM</t>
  </si>
  <si>
    <t>CORONA PERIFERICA</t>
  </si>
  <si>
    <t>PROTESIS ACRILICA PARCIAL</t>
  </si>
  <si>
    <t>PERNO SIMPLE</t>
  </si>
  <si>
    <t>CORONA CEMENTADA</t>
  </si>
  <si>
    <t>CORONA ATORNILLADA</t>
  </si>
  <si>
    <t>PROVISORIO</t>
  </si>
  <si>
    <t>12-13</t>
  </si>
  <si>
    <t>3-5-5</t>
  </si>
  <si>
    <t>SUP</t>
  </si>
  <si>
    <t>7</t>
  </si>
  <si>
    <t>31</t>
  </si>
  <si>
    <t>30</t>
  </si>
  <si>
    <t>27</t>
  </si>
  <si>
    <t>SUP/INF</t>
  </si>
  <si>
    <t>FECHA
FACTURACION</t>
  </si>
  <si>
    <t>MONTO REALIZADO</t>
  </si>
  <si>
    <t>PROTESIS VALPLAST PARCIAL</t>
  </si>
  <si>
    <t>DICIEMBRE-2014</t>
  </si>
  <si>
    <t>ENERO-2015</t>
  </si>
  <si>
    <t>FEBRERO-2015</t>
  </si>
  <si>
    <t>MONTO RECIBO</t>
  </si>
  <si>
    <t>3-5-6</t>
  </si>
  <si>
    <t>21-12-2014</t>
  </si>
  <si>
    <t>20-12-2014</t>
  </si>
  <si>
    <t>SOC. ODONTOLÓGICA UNO SALUD LA CONCEPCIÓN LTDA</t>
  </si>
  <si>
    <t xml:space="preserve">SOC. ODONTOLÓGICA UNO SALUD LA FLORIDA LTDA. </t>
  </si>
  <si>
    <t>FEISA SALUD LTDA</t>
  </si>
  <si>
    <t>SOCIEDAD PRESTADORA DE SERVICIOS ODONTOLÓGICOS LOS ALERCES LTDA.</t>
  </si>
  <si>
    <t>SOCIEDAD ODONTOLOGICA B Y B LTDA</t>
  </si>
  <si>
    <t>SOC. ODONTOLÓGICA UNO SALUD SANTA LUCIA LTDA</t>
  </si>
  <si>
    <t>LA CONCEPCIÓN 201 LOCAL 102   PROVIDENCIA</t>
  </si>
  <si>
    <t xml:space="preserve">FROILAN ROA 894, LA FLORIDA. </t>
  </si>
  <si>
    <t>AVENIDA 5 DE ABRIL 33 LOCAL 35, MAIPU</t>
  </si>
  <si>
    <t>ILLAPE 10 LOCAL 1, PUERTO MONTT</t>
  </si>
  <si>
    <t xml:space="preserve">EYZAGUIRRE 650, SAN BERNARDO </t>
  </si>
  <si>
    <t>SANTA ROSA 12 LOCAL 14, SANTIAGO.</t>
  </si>
  <si>
    <t>BLANCO 1297, VALPARAISO</t>
  </si>
  <si>
    <t>TRECE NORTE 798, VIÑA DEL MAR</t>
  </si>
  <si>
    <t>CENTRO MÉDICO DE ATENCIÓN AMBULATORIA</t>
  </si>
  <si>
    <t>UNO SALUD LA CONCEPCIÓN.</t>
  </si>
  <si>
    <t>UNO SALUD LA FLORIDA LTDA.</t>
  </si>
  <si>
    <t>UNO SALUD MANQUEHUE LTDA</t>
  </si>
  <si>
    <t>UNO SALUD MAIPU</t>
  </si>
  <si>
    <t>UNO SALUD PUERTO MONTT</t>
  </si>
  <si>
    <t>UNO SALUD SAN BERNARDO</t>
  </si>
  <si>
    <t>UNO SALUD SANTA LUCIA LTDA.</t>
  </si>
  <si>
    <t>UNO SALUD VALPARAISO LTDA.</t>
  </si>
  <si>
    <t>FELIPE BAYUK</t>
  </si>
  <si>
    <t>FEDERICO CASTILLO</t>
  </si>
  <si>
    <t>CRISTIAN EGGERS</t>
  </si>
  <si>
    <t/>
  </si>
  <si>
    <t>PATRICIA CIFUENTES
GRACIELA PAVEZ</t>
  </si>
  <si>
    <t>JAVIER JARPA
DIANA GUZMAN</t>
  </si>
  <si>
    <t>CECILIA CANTILLANA
LORENA CASTRO</t>
  </si>
  <si>
    <t>ALEJANDRA CAVAGNOLA</t>
  </si>
  <si>
    <t>DANIEL SILVA
MARJORIE NARANJO</t>
  </si>
  <si>
    <t>CLAUDIA GATICA</t>
  </si>
  <si>
    <t>SCARLETTE FERNANDEZ</t>
  </si>
  <si>
    <t>CONSTANZA CERDA
TERESA GUZMAN</t>
  </si>
  <si>
    <t>CAMILA TRUJILLO</t>
  </si>
  <si>
    <t>VANESSA FLORES</t>
  </si>
  <si>
    <t>PLANILLA</t>
  </si>
  <si>
    <t>RAZON SOCIAL PLANILLA</t>
  </si>
  <si>
    <t>24.215.707-9</t>
  </si>
  <si>
    <t>DIRECCI9ON PLANILLA</t>
  </si>
  <si>
    <t>GIRO PLANILLA</t>
  </si>
  <si>
    <t>FANTASIA PLANILLA</t>
  </si>
  <si>
    <t>APUNTES PLANILLA</t>
  </si>
  <si>
    <t>ENCARGADO PLANILLA</t>
  </si>
  <si>
    <t>ofaber22@hotmail.com</t>
  </si>
  <si>
    <t>ABEL OBANDO</t>
  </si>
  <si>
    <t>33 9636332</t>
  </si>
  <si>
    <t>UNO SALUD DENTAL</t>
  </si>
  <si>
    <t xml:space="preserve">RAZON SOCIAL: </t>
  </si>
  <si>
    <t xml:space="preserve">RUT: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</si>
</sst>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6" formatCode="&quot;$&quot;\ #,##0;[Red]\-&quot;$&quot;\ #,##0"/>
    <numFmt numFmtId="42" formatCode="_-&quot;$&quot;\ * #,##0_-;\-&quot;$&quot;\ * #,##0_-;_-&quot;$&quot;\ * &quot;-&quot;_-;_-@_-"/>
    <numFmt numFmtId="164" formatCode="_(&quot;$&quot;* #,##0.00_);_(&quot;$&quot;* \(#,##0.00\);_(&quot;$&quot;* &quot;-&quot;??_);_(@_)"/>
    <numFmt numFmtId="165" formatCode="[$-C0A]mmmm/yy;@"/>
  </numFmts>
  <fonts count="13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b/>
      <u/>
      <sz val="9"/>
      <color theme="10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rgb="FFFFFF99"/>
      <name val="Calibri"/>
      <family val="2"/>
      <scheme val="minor"/>
    </font>
    <font>
      <b/>
      <sz val="10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8"/>
      <color theme="1"/>
      <name val="Arial Black"/>
      <family val="2"/>
    </font>
  </fonts>
  <fills count="5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00B0F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0" fontId="1" fillId="0" borderId="0"/>
    <xf numFmtId="0" fontId="2" fillId="0" borderId="0" applyNumberFormat="0" applyFill="0" applyBorder="0" applyAlignment="0" applyProtection="0"/>
    <xf numFmtId="164" fontId="1" fillId="0" borderId="0" applyFont="0" applyFill="0" applyBorder="0" applyAlignment="0" applyProtection="0"/>
  </cellStyleXfs>
  <cellXfs count="36">
    <xf numFmtId="0" fontId="0" fillId="0" borderId="0" xfId="0"/>
    <xf numFmtId="0" fontId="3" fillId="0" borderId="1" xfId="0" applyFont="1" applyBorder="1" applyAlignment="1">
      <alignment horizontal="left" vertical="center"/>
    </xf>
    <xf numFmtId="0" fontId="3" fillId="0" borderId="1" xfId="0" applyFont="1" applyBorder="1" applyAlignment="1">
      <alignment horizontal="left" vertical="center" wrapText="1"/>
    </xf>
    <xf numFmtId="0" fontId="3" fillId="0" borderId="1" xfId="0" applyFont="1" applyBorder="1" applyAlignment="1">
      <alignment horizontal="center" vertical="center"/>
    </xf>
    <xf numFmtId="0" fontId="4" fillId="0" borderId="1" xfId="2" applyFont="1" applyBorder="1" applyAlignment="1">
      <alignment horizontal="left" vertical="center"/>
    </xf>
    <xf numFmtId="0" fontId="3" fillId="0" borderId="1" xfId="0" applyFont="1" applyBorder="1" applyAlignment="1">
      <alignment horizontal="center" vertical="center" wrapText="1"/>
    </xf>
    <xf numFmtId="0" fontId="5" fillId="2" borderId="1" xfId="0" applyFont="1" applyFill="1" applyBorder="1" applyAlignment="1">
      <alignment horizontal="center" vertical="center"/>
    </xf>
    <xf numFmtId="0" fontId="5" fillId="2" borderId="1" xfId="0" applyFont="1" applyFill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 wrapText="1"/>
    </xf>
    <xf numFmtId="0" fontId="7" fillId="0" borderId="0" xfId="0" applyFont="1" applyAlignment="1">
      <alignment horizontal="center" vertical="center"/>
    </xf>
    <xf numFmtId="0" fontId="8" fillId="3" borderId="1" xfId="0" applyFont="1" applyFill="1" applyBorder="1" applyAlignment="1">
      <alignment horizontal="center" vertical="center"/>
    </xf>
    <xf numFmtId="0" fontId="8" fillId="3" borderId="1" xfId="0" applyFont="1" applyFill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center"/>
    </xf>
    <xf numFmtId="14" fontId="7" fillId="0" borderId="1" xfId="0" applyNumberFormat="1" applyFont="1" applyBorder="1" applyAlignment="1">
      <alignment horizontal="center" vertical="center"/>
    </xf>
    <xf numFmtId="49" fontId="7" fillId="0" borderId="1" xfId="0" applyNumberFormat="1" applyFont="1" applyBorder="1" applyAlignment="1">
      <alignment horizontal="center" vertical="center"/>
    </xf>
    <xf numFmtId="0" fontId="0" fillId="0" borderId="1" xfId="0" applyBorder="1"/>
    <xf numFmtId="0" fontId="9" fillId="4" borderId="1" xfId="0" applyFont="1" applyFill="1" applyBorder="1" applyAlignment="1">
      <alignment horizontal="center" vertical="center" wrapText="1"/>
    </xf>
    <xf numFmtId="0" fontId="9" fillId="4" borderId="1" xfId="0" applyFont="1" applyFill="1" applyBorder="1" applyAlignment="1">
      <alignment horizontal="center" vertical="center"/>
    </xf>
    <xf numFmtId="0" fontId="10" fillId="0" borderId="0" xfId="0" applyFont="1"/>
    <xf numFmtId="165" fontId="7" fillId="0" borderId="1" xfId="0" applyNumberFormat="1" applyFont="1" applyBorder="1" applyAlignment="1">
      <alignment horizontal="center" vertical="center"/>
    </xf>
    <xf numFmtId="0" fontId="7" fillId="0" borderId="1" xfId="0" applyFont="1" applyBorder="1" applyAlignment="1">
      <alignment horizontal="left" vertical="center"/>
    </xf>
    <xf numFmtId="42" fontId="7" fillId="0" borderId="1" xfId="0" applyNumberFormat="1" applyFont="1" applyBorder="1" applyAlignment="1">
      <alignment horizontal="center" vertical="center"/>
    </xf>
    <xf numFmtId="49" fontId="0" fillId="0" borderId="1" xfId="0" applyNumberFormat="1" applyBorder="1" applyAlignment="1">
      <alignment horizontal="center" vertical="center"/>
    </xf>
    <xf numFmtId="6" fontId="0" fillId="0" borderId="1" xfId="0" applyNumberFormat="1" applyBorder="1"/>
    <xf numFmtId="0" fontId="0" fillId="0" borderId="1" xfId="0" applyFont="1" applyBorder="1"/>
    <xf numFmtId="0" fontId="6" fillId="0" borderId="1" xfId="0" applyFont="1" applyFill="1" applyBorder="1" applyAlignment="1">
      <alignment horizontal="center" vertical="center" wrapText="1"/>
    </xf>
    <xf numFmtId="0" fontId="3" fillId="0" borderId="1" xfId="0" applyFont="1" applyFill="1" applyBorder="1" applyAlignment="1">
      <alignment horizontal="left" vertical="center" wrapText="1"/>
    </xf>
    <xf numFmtId="0" fontId="3" fillId="0" borderId="1" xfId="0" applyFont="1" applyFill="1" applyBorder="1" applyAlignment="1">
      <alignment horizontal="center" vertical="center"/>
    </xf>
    <xf numFmtId="0" fontId="3" fillId="0" borderId="1" xfId="0" applyFont="1" applyFill="1" applyBorder="1" applyAlignment="1">
      <alignment horizontal="left" vertical="center"/>
    </xf>
    <xf numFmtId="0" fontId="2" fillId="0" borderId="1" xfId="2" applyFill="1" applyBorder="1" applyAlignment="1">
      <alignment horizontal="left" vertical="center"/>
    </xf>
    <xf numFmtId="0" fontId="2" fillId="0" borderId="1" xfId="2" applyBorder="1"/>
    <xf numFmtId="0" fontId="3" fillId="0" borderId="1" xfId="0" applyFont="1" applyFill="1" applyBorder="1" applyAlignment="1">
      <alignment horizontal="center" vertical="center" wrapText="1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</cellXfs>
  <cellStyles count="4">
    <cellStyle name="Hipervínculo" xfId="2" builtinId="8"/>
    <cellStyle name="Moneda 2" xfId="3"/>
    <cellStyle name="Normal" xfId="0" builtinId="0"/>
    <cellStyle name="Normal 2" xfId="1"/>
  </cellStyles>
  <dxfs count="0"/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hyperlink" Target="mailto:dr.cristian.eggers@gmail.com" TargetMode="External"/><Relationship Id="rId13" Type="http://schemas.openxmlformats.org/officeDocument/2006/relationships/hyperlink" Target="mailto:ofaber22@hotmail.com" TargetMode="External"/><Relationship Id="rId3" Type="http://schemas.openxmlformats.org/officeDocument/2006/relationships/hyperlink" Target="mailto:laboratorios@unosalud.cl" TargetMode="External"/><Relationship Id="rId7" Type="http://schemas.openxmlformats.org/officeDocument/2006/relationships/hyperlink" Target="mailto:laboratorios@unosalud.cl" TargetMode="External"/><Relationship Id="rId12" Type="http://schemas.openxmlformats.org/officeDocument/2006/relationships/hyperlink" Target="mailto:ofaber22@hotmail.com" TargetMode="External"/><Relationship Id="rId2" Type="http://schemas.openxmlformats.org/officeDocument/2006/relationships/hyperlink" Target="mailto:pcifuentes@unosalud.cl" TargetMode="External"/><Relationship Id="rId1" Type="http://schemas.openxmlformats.org/officeDocument/2006/relationships/hyperlink" Target="mailto:laboratorios@unosalud.cl" TargetMode="External"/><Relationship Id="rId6" Type="http://schemas.openxmlformats.org/officeDocument/2006/relationships/hyperlink" Target="mailto:laboratorios@unosalud.cl" TargetMode="External"/><Relationship Id="rId11" Type="http://schemas.openxmlformats.org/officeDocument/2006/relationships/hyperlink" Target="mailto:ofaber22@hotmail.com" TargetMode="External"/><Relationship Id="rId5" Type="http://schemas.openxmlformats.org/officeDocument/2006/relationships/hyperlink" Target="mailto:laboratorios@unosalud.cl" TargetMode="External"/><Relationship Id="rId10" Type="http://schemas.openxmlformats.org/officeDocument/2006/relationships/hyperlink" Target="mailto:bodegavalpariso@unosalud.cl" TargetMode="External"/><Relationship Id="rId4" Type="http://schemas.openxmlformats.org/officeDocument/2006/relationships/hyperlink" Target="mailto:bodegaestacioncentral@unosalud.cl" TargetMode="External"/><Relationship Id="rId9" Type="http://schemas.openxmlformats.org/officeDocument/2006/relationships/hyperlink" Target="mailto:laboratorios@unosalud.cl" TargetMode="External"/><Relationship Id="rId1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4:M20"/>
  <sheetViews>
    <sheetView workbookViewId="0">
      <selection activeCell="A4" sqref="A4:K4"/>
    </sheetView>
  </sheetViews>
  <sheetFormatPr baseColWidth="10" defaultRowHeight="15" x14ac:dyDescent="0.25"/>
  <cols>
    <col min="1" max="1" width="5.28515625" customWidth="1"/>
    <col min="2" max="2" width="8.28515625" customWidth="1"/>
    <col min="4" max="4" width="24.5703125" customWidth="1"/>
    <col min="5" max="5" width="13" customWidth="1"/>
    <col min="6" max="6" width="29.5703125" customWidth="1"/>
    <col min="7" max="7" width="10.7109375" customWidth="1"/>
    <col min="9" max="9" width="5.42578125" customWidth="1"/>
    <col min="11" max="11" width="12" customWidth="1"/>
    <col min="12" max="12" width="15.140625" customWidth="1"/>
    <col min="13" max="13" width="24" customWidth="1"/>
  </cols>
  <sheetData>
    <row r="4" spans="1:13" s="9" customFormat="1" ht="25.5" x14ac:dyDescent="0.25">
      <c r="A4" s="10" t="s">
        <v>97</v>
      </c>
      <c r="B4" s="10" t="s">
        <v>98</v>
      </c>
      <c r="C4" s="11" t="s">
        <v>102</v>
      </c>
      <c r="D4" s="10" t="s">
        <v>99</v>
      </c>
      <c r="E4" s="10" t="s">
        <v>100</v>
      </c>
      <c r="F4" s="10" t="s">
        <v>101</v>
      </c>
      <c r="G4" s="10" t="s">
        <v>104</v>
      </c>
      <c r="H4" s="10" t="s">
        <v>103</v>
      </c>
      <c r="I4" s="10" t="s">
        <v>109</v>
      </c>
      <c r="J4" s="11" t="s">
        <v>105</v>
      </c>
      <c r="K4" s="11" t="s">
        <v>106</v>
      </c>
      <c r="L4" s="11" t="s">
        <v>140</v>
      </c>
      <c r="M4" s="11" t="s">
        <v>107</v>
      </c>
    </row>
    <row r="5" spans="1:13" s="9" customFormat="1" ht="12.75" x14ac:dyDescent="0.25">
      <c r="A5" s="12">
        <v>1</v>
      </c>
      <c r="B5" s="12">
        <v>11111</v>
      </c>
      <c r="C5" s="13">
        <v>41974</v>
      </c>
      <c r="D5" s="20" t="s">
        <v>116</v>
      </c>
      <c r="E5" s="12" t="s">
        <v>117</v>
      </c>
      <c r="F5" s="20" t="s">
        <v>125</v>
      </c>
      <c r="G5" s="12"/>
      <c r="H5" s="14" t="s">
        <v>132</v>
      </c>
      <c r="I5" s="12">
        <v>2</v>
      </c>
      <c r="J5" s="21">
        <v>10000</v>
      </c>
      <c r="K5" s="21">
        <f>I5*J5</f>
        <v>20000</v>
      </c>
      <c r="L5" s="14" t="s">
        <v>143</v>
      </c>
      <c r="M5" s="12"/>
    </row>
    <row r="6" spans="1:13" s="9" customFormat="1" ht="12.75" x14ac:dyDescent="0.25">
      <c r="A6" s="12">
        <v>2</v>
      </c>
      <c r="B6" s="12">
        <v>22222</v>
      </c>
      <c r="C6" s="13">
        <v>41974</v>
      </c>
      <c r="D6" s="20" t="s">
        <v>118</v>
      </c>
      <c r="E6" s="12" t="s">
        <v>117</v>
      </c>
      <c r="F6" s="20" t="s">
        <v>126</v>
      </c>
      <c r="G6" s="12"/>
      <c r="H6" s="14" t="s">
        <v>133</v>
      </c>
      <c r="I6" s="12">
        <v>3</v>
      </c>
      <c r="J6" s="21">
        <v>10001</v>
      </c>
      <c r="K6" s="21">
        <f t="shared" ref="K6:K12" si="0">I6*J6</f>
        <v>30003</v>
      </c>
      <c r="L6" s="14" t="s">
        <v>143</v>
      </c>
      <c r="M6" s="12"/>
    </row>
    <row r="7" spans="1:13" s="9" customFormat="1" ht="12.75" x14ac:dyDescent="0.25">
      <c r="A7" s="12">
        <v>3</v>
      </c>
      <c r="B7" s="12">
        <v>33333</v>
      </c>
      <c r="C7" s="13">
        <v>41974</v>
      </c>
      <c r="D7" s="20" t="s">
        <v>119</v>
      </c>
      <c r="E7" s="12" t="s">
        <v>117</v>
      </c>
      <c r="F7" s="20" t="s">
        <v>127</v>
      </c>
      <c r="G7" s="12"/>
      <c r="H7" s="14" t="s">
        <v>134</v>
      </c>
      <c r="I7" s="12">
        <v>1</v>
      </c>
      <c r="J7" s="21">
        <v>10002</v>
      </c>
      <c r="K7" s="21">
        <f t="shared" si="0"/>
        <v>10002</v>
      </c>
      <c r="L7" s="14" t="s">
        <v>143</v>
      </c>
      <c r="M7" s="12"/>
    </row>
    <row r="8" spans="1:13" s="9" customFormat="1" ht="12.75" x14ac:dyDescent="0.25">
      <c r="A8" s="12">
        <v>4</v>
      </c>
      <c r="B8" s="12">
        <v>44444</v>
      </c>
      <c r="C8" s="13">
        <v>41974</v>
      </c>
      <c r="D8" s="20" t="s">
        <v>120</v>
      </c>
      <c r="E8" s="12" t="s">
        <v>117</v>
      </c>
      <c r="F8" s="20" t="s">
        <v>128</v>
      </c>
      <c r="G8" s="12"/>
      <c r="H8" s="14" t="s">
        <v>135</v>
      </c>
      <c r="I8" s="12">
        <v>1</v>
      </c>
      <c r="J8" s="21">
        <v>10003</v>
      </c>
      <c r="K8" s="21">
        <f t="shared" si="0"/>
        <v>10003</v>
      </c>
      <c r="L8" s="14" t="s">
        <v>143</v>
      </c>
      <c r="M8" s="12"/>
    </row>
    <row r="9" spans="1:13" s="9" customFormat="1" ht="12.75" x14ac:dyDescent="0.25">
      <c r="A9" s="12">
        <v>5</v>
      </c>
      <c r="B9" s="12">
        <v>55555</v>
      </c>
      <c r="C9" s="13">
        <v>41974</v>
      </c>
      <c r="D9" s="20" t="s">
        <v>121</v>
      </c>
      <c r="E9" s="12" t="s">
        <v>117</v>
      </c>
      <c r="F9" s="20" t="s">
        <v>129</v>
      </c>
      <c r="G9" s="12"/>
      <c r="H9" s="14" t="s">
        <v>136</v>
      </c>
      <c r="I9" s="12">
        <v>1</v>
      </c>
      <c r="J9" s="21">
        <v>10004</v>
      </c>
      <c r="K9" s="21">
        <f t="shared" si="0"/>
        <v>10004</v>
      </c>
      <c r="L9" s="14" t="s">
        <v>144</v>
      </c>
      <c r="M9" s="12"/>
    </row>
    <row r="10" spans="1:13" s="9" customFormat="1" ht="12.75" x14ac:dyDescent="0.25">
      <c r="A10" s="12">
        <v>6</v>
      </c>
      <c r="B10" s="12">
        <v>66666</v>
      </c>
      <c r="C10" s="13">
        <v>41974</v>
      </c>
      <c r="D10" s="20" t="s">
        <v>122</v>
      </c>
      <c r="E10" s="12" t="s">
        <v>117</v>
      </c>
      <c r="F10" s="20" t="s">
        <v>130</v>
      </c>
      <c r="G10" s="12"/>
      <c r="H10" s="14" t="s">
        <v>137</v>
      </c>
      <c r="I10" s="12">
        <v>1</v>
      </c>
      <c r="J10" s="21">
        <v>10005</v>
      </c>
      <c r="K10" s="21">
        <f t="shared" si="0"/>
        <v>10005</v>
      </c>
      <c r="L10" s="14" t="s">
        <v>144</v>
      </c>
      <c r="M10" s="12"/>
    </row>
    <row r="11" spans="1:13" s="9" customFormat="1" ht="12.75" x14ac:dyDescent="0.25">
      <c r="A11" s="12">
        <v>7</v>
      </c>
      <c r="B11" s="12">
        <v>77777</v>
      </c>
      <c r="C11" s="13">
        <v>41974</v>
      </c>
      <c r="D11" s="20" t="s">
        <v>123</v>
      </c>
      <c r="E11" s="12" t="s">
        <v>117</v>
      </c>
      <c r="F11" s="20" t="s">
        <v>131</v>
      </c>
      <c r="G11" s="12"/>
      <c r="H11" s="14" t="s">
        <v>138</v>
      </c>
      <c r="I11" s="12">
        <v>1</v>
      </c>
      <c r="J11" s="21">
        <v>10006</v>
      </c>
      <c r="K11" s="21">
        <f t="shared" si="0"/>
        <v>10006</v>
      </c>
      <c r="L11" s="14" t="s">
        <v>145</v>
      </c>
      <c r="M11" s="12"/>
    </row>
    <row r="12" spans="1:13" s="9" customFormat="1" ht="12.75" x14ac:dyDescent="0.25">
      <c r="A12" s="12">
        <v>8</v>
      </c>
      <c r="B12" s="12">
        <v>88888</v>
      </c>
      <c r="C12" s="13">
        <v>41974</v>
      </c>
      <c r="D12" s="20" t="s">
        <v>124</v>
      </c>
      <c r="E12" s="12" t="s">
        <v>117</v>
      </c>
      <c r="F12" s="20" t="s">
        <v>142</v>
      </c>
      <c r="G12" s="12"/>
      <c r="H12" s="14" t="s">
        <v>139</v>
      </c>
      <c r="I12" s="12">
        <v>2</v>
      </c>
      <c r="J12" s="21">
        <v>10007</v>
      </c>
      <c r="K12" s="21">
        <f t="shared" si="0"/>
        <v>20014</v>
      </c>
      <c r="L12" s="14" t="s">
        <v>145</v>
      </c>
      <c r="M12" s="12"/>
    </row>
    <row r="13" spans="1:13" s="9" customFormat="1" ht="12.75" x14ac:dyDescent="0.25"/>
    <row r="14" spans="1:13" x14ac:dyDescent="0.25">
      <c r="L14" s="18"/>
    </row>
    <row r="20" spans="4:4" x14ac:dyDescent="0.25">
      <c r="D20" s="18"/>
    </row>
  </sheetData>
  <autoFilter ref="A4:M4"/>
  <pageMargins left="0.7" right="0.7" top="0.75" bottom="0.75" header="0.3" footer="0.3"/>
  <pageSetup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4:M20"/>
  <sheetViews>
    <sheetView workbookViewId="0">
      <selection activeCell="H18" sqref="H18"/>
    </sheetView>
  </sheetViews>
  <sheetFormatPr baseColWidth="10" defaultRowHeight="15" x14ac:dyDescent="0.25"/>
  <cols>
    <col min="1" max="1" width="5.28515625" customWidth="1"/>
    <col min="2" max="2" width="8.28515625" customWidth="1"/>
    <col min="4" max="4" width="24.5703125" customWidth="1"/>
    <col min="5" max="5" width="13" customWidth="1"/>
    <col min="6" max="6" width="29.5703125" customWidth="1"/>
    <col min="7" max="7" width="10.7109375" customWidth="1"/>
    <col min="9" max="9" width="5.42578125" customWidth="1"/>
    <col min="11" max="11" width="12" customWidth="1"/>
    <col min="12" max="12" width="15.140625" customWidth="1"/>
    <col min="13" max="13" width="24" customWidth="1"/>
  </cols>
  <sheetData>
    <row r="4" spans="1:13" s="9" customFormat="1" ht="25.5" x14ac:dyDescent="0.25">
      <c r="A4" s="10" t="s">
        <v>97</v>
      </c>
      <c r="B4" s="10" t="s">
        <v>98</v>
      </c>
      <c r="C4" s="11" t="s">
        <v>102</v>
      </c>
      <c r="D4" s="10" t="s">
        <v>99</v>
      </c>
      <c r="E4" s="10" t="s">
        <v>100</v>
      </c>
      <c r="F4" s="10" t="s">
        <v>101</v>
      </c>
      <c r="G4" s="10" t="s">
        <v>104</v>
      </c>
      <c r="H4" s="10" t="s">
        <v>103</v>
      </c>
      <c r="I4" s="10" t="s">
        <v>109</v>
      </c>
      <c r="J4" s="11" t="s">
        <v>105</v>
      </c>
      <c r="K4" s="11" t="s">
        <v>106</v>
      </c>
      <c r="L4" s="11" t="s">
        <v>140</v>
      </c>
      <c r="M4" s="11" t="s">
        <v>107</v>
      </c>
    </row>
    <row r="5" spans="1:13" s="9" customFormat="1" ht="12.75" x14ac:dyDescent="0.25">
      <c r="A5" s="12">
        <v>1</v>
      </c>
      <c r="B5" s="12">
        <v>11111</v>
      </c>
      <c r="C5" s="13">
        <v>41974</v>
      </c>
      <c r="D5" s="20" t="s">
        <v>116</v>
      </c>
      <c r="E5" s="12" t="s">
        <v>117</v>
      </c>
      <c r="F5" s="20" t="s">
        <v>125</v>
      </c>
      <c r="G5" s="12"/>
      <c r="H5" s="14" t="s">
        <v>132</v>
      </c>
      <c r="I5" s="12">
        <v>2</v>
      </c>
      <c r="J5" s="21">
        <v>10000</v>
      </c>
      <c r="K5" s="21">
        <f>I5*J5</f>
        <v>20000</v>
      </c>
      <c r="L5" s="14" t="s">
        <v>143</v>
      </c>
      <c r="M5" s="12"/>
    </row>
    <row r="6" spans="1:13" s="9" customFormat="1" ht="12.75" x14ac:dyDescent="0.25">
      <c r="A6" s="12">
        <v>2</v>
      </c>
      <c r="B6" s="12">
        <v>22222</v>
      </c>
      <c r="C6" s="13">
        <v>41974</v>
      </c>
      <c r="D6" s="20" t="s">
        <v>118</v>
      </c>
      <c r="E6" s="12" t="s">
        <v>117</v>
      </c>
      <c r="F6" s="20" t="s">
        <v>126</v>
      </c>
      <c r="G6" s="12"/>
      <c r="H6" s="14" t="s">
        <v>147</v>
      </c>
      <c r="I6" s="12">
        <v>3</v>
      </c>
      <c r="J6" s="21">
        <v>10001</v>
      </c>
      <c r="K6" s="21">
        <f t="shared" ref="K6:K12" si="0">I6*J6</f>
        <v>30003</v>
      </c>
      <c r="L6" s="14" t="s">
        <v>143</v>
      </c>
      <c r="M6" s="12"/>
    </row>
    <row r="7" spans="1:13" s="9" customFormat="1" ht="12.75" x14ac:dyDescent="0.25">
      <c r="A7" s="12">
        <v>3</v>
      </c>
      <c r="B7" s="12">
        <v>33333</v>
      </c>
      <c r="C7" s="13">
        <v>41974</v>
      </c>
      <c r="D7" s="20" t="s">
        <v>119</v>
      </c>
      <c r="E7" s="12" t="s">
        <v>117</v>
      </c>
      <c r="F7" s="20" t="s">
        <v>127</v>
      </c>
      <c r="G7" s="12"/>
      <c r="H7" s="14" t="s">
        <v>134</v>
      </c>
      <c r="I7" s="12">
        <v>1</v>
      </c>
      <c r="J7" s="21">
        <v>10002</v>
      </c>
      <c r="K7" s="21">
        <f t="shared" si="0"/>
        <v>10002</v>
      </c>
      <c r="L7" s="14" t="s">
        <v>143</v>
      </c>
      <c r="M7" s="12"/>
    </row>
    <row r="8" spans="1:13" s="9" customFormat="1" ht="12.75" x14ac:dyDescent="0.25">
      <c r="A8" s="12">
        <v>4</v>
      </c>
      <c r="B8" s="12">
        <v>44444</v>
      </c>
      <c r="C8" s="13">
        <v>41974</v>
      </c>
      <c r="D8" s="20" t="s">
        <v>120</v>
      </c>
      <c r="E8" s="12" t="s">
        <v>117</v>
      </c>
      <c r="F8" s="20" t="s">
        <v>128</v>
      </c>
      <c r="G8" s="12"/>
      <c r="H8" s="14" t="s">
        <v>135</v>
      </c>
      <c r="I8" s="12">
        <v>1</v>
      </c>
      <c r="J8" s="21">
        <v>10003</v>
      </c>
      <c r="K8" s="21">
        <f t="shared" si="0"/>
        <v>10003</v>
      </c>
      <c r="L8" s="14" t="s">
        <v>143</v>
      </c>
      <c r="M8" s="12"/>
    </row>
    <row r="9" spans="1:13" s="9" customFormat="1" ht="12.75" x14ac:dyDescent="0.25">
      <c r="A9" s="12">
        <v>5</v>
      </c>
      <c r="B9" s="12">
        <v>55555</v>
      </c>
      <c r="C9" s="13">
        <v>41974</v>
      </c>
      <c r="D9" s="20" t="s">
        <v>121</v>
      </c>
      <c r="E9" s="12" t="s">
        <v>117</v>
      </c>
      <c r="F9" s="20" t="s">
        <v>129</v>
      </c>
      <c r="G9" s="12"/>
      <c r="H9" s="14" t="s">
        <v>136</v>
      </c>
      <c r="I9" s="12">
        <v>1</v>
      </c>
      <c r="J9" s="21">
        <v>10004</v>
      </c>
      <c r="K9" s="21">
        <f t="shared" si="0"/>
        <v>10004</v>
      </c>
      <c r="L9" s="14" t="s">
        <v>144</v>
      </c>
      <c r="M9" s="12"/>
    </row>
    <row r="10" spans="1:13" s="9" customFormat="1" ht="12.75" x14ac:dyDescent="0.25">
      <c r="A10" s="12">
        <v>6</v>
      </c>
      <c r="B10" s="12">
        <v>66666</v>
      </c>
      <c r="C10" s="13">
        <v>41974</v>
      </c>
      <c r="D10" s="20" t="s">
        <v>122</v>
      </c>
      <c r="E10" s="12" t="s">
        <v>117</v>
      </c>
      <c r="F10" s="20" t="s">
        <v>130</v>
      </c>
      <c r="G10" s="12"/>
      <c r="H10" s="14" t="s">
        <v>137</v>
      </c>
      <c r="I10" s="12">
        <v>1</v>
      </c>
      <c r="J10" s="21">
        <v>10005</v>
      </c>
      <c r="K10" s="21">
        <f t="shared" si="0"/>
        <v>10005</v>
      </c>
      <c r="L10" s="14" t="s">
        <v>144</v>
      </c>
      <c r="M10" s="12"/>
    </row>
    <row r="11" spans="1:13" s="9" customFormat="1" ht="12.75" x14ac:dyDescent="0.25">
      <c r="A11" s="12">
        <v>7</v>
      </c>
      <c r="B11" s="12">
        <v>77777</v>
      </c>
      <c r="C11" s="13">
        <v>41974</v>
      </c>
      <c r="D11" s="20" t="s">
        <v>123</v>
      </c>
      <c r="E11" s="12" t="s">
        <v>117</v>
      </c>
      <c r="F11" s="20" t="s">
        <v>131</v>
      </c>
      <c r="G11" s="12"/>
      <c r="H11" s="14" t="s">
        <v>138</v>
      </c>
      <c r="I11" s="12">
        <v>1</v>
      </c>
      <c r="J11" s="21">
        <v>10006</v>
      </c>
      <c r="K11" s="21">
        <f t="shared" si="0"/>
        <v>10006</v>
      </c>
      <c r="L11" s="14" t="s">
        <v>144</v>
      </c>
      <c r="M11" s="12"/>
    </row>
    <row r="12" spans="1:13" s="9" customFormat="1" ht="12.75" x14ac:dyDescent="0.25">
      <c r="A12" s="12">
        <v>8</v>
      </c>
      <c r="B12" s="12">
        <v>88888</v>
      </c>
      <c r="C12" s="13">
        <v>41974</v>
      </c>
      <c r="D12" s="20" t="s">
        <v>124</v>
      </c>
      <c r="E12" s="12" t="s">
        <v>117</v>
      </c>
      <c r="F12" s="20" t="s">
        <v>142</v>
      </c>
      <c r="G12" s="12"/>
      <c r="H12" s="14" t="s">
        <v>139</v>
      </c>
      <c r="I12" s="12">
        <v>2</v>
      </c>
      <c r="J12" s="21">
        <v>10007</v>
      </c>
      <c r="K12" s="21">
        <f t="shared" si="0"/>
        <v>20014</v>
      </c>
      <c r="L12" s="14" t="s">
        <v>144</v>
      </c>
      <c r="M12" s="12"/>
    </row>
    <row r="13" spans="1:13" s="9" customFormat="1" ht="12.75" x14ac:dyDescent="0.25"/>
    <row r="14" spans="1:13" x14ac:dyDescent="0.25">
      <c r="L14" s="18"/>
    </row>
    <row r="20" spans="4:4" x14ac:dyDescent="0.25">
      <c r="D20" s="18"/>
    </row>
  </sheetData>
  <autoFilter ref="A4:M4"/>
  <pageMargins left="0.7" right="0.7" top="0.75" bottom="0.75" header="0.3" footer="0.3"/>
  <pageSetup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N15"/>
  <sheetViews>
    <sheetView zoomScale="90" zoomScaleNormal="90" workbookViewId="0">
      <pane ySplit="1" topLeftCell="A5" activePane="bottomLeft" state="frozen"/>
      <selection pane="bottomLeft" activeCell="B17" sqref="B17"/>
    </sheetView>
  </sheetViews>
  <sheetFormatPr baseColWidth="10" defaultRowHeight="15" x14ac:dyDescent="0.25"/>
  <cols>
    <col min="1" max="1" width="13.5703125" customWidth="1"/>
    <col min="2" max="2" width="29.7109375" customWidth="1"/>
    <col min="3" max="3" width="11.28515625" customWidth="1"/>
    <col min="4" max="4" width="28.140625" customWidth="1"/>
    <col min="5" max="5" width="32.140625" customWidth="1"/>
    <col min="6" max="7" width="20.140625" customWidth="1"/>
    <col min="8" max="8" width="12.85546875" customWidth="1"/>
    <col min="9" max="9" width="22.28515625" customWidth="1"/>
    <col min="10" max="10" width="10.5703125" customWidth="1"/>
    <col min="11" max="11" width="17.140625" customWidth="1"/>
    <col min="12" max="12" width="18" customWidth="1"/>
    <col min="13" max="13" width="10.42578125" customWidth="1"/>
    <col min="14" max="14" width="26.42578125" customWidth="1"/>
  </cols>
  <sheetData>
    <row r="1" spans="1:14" ht="30" customHeight="1" x14ac:dyDescent="0.25">
      <c r="A1" s="6" t="s">
        <v>0</v>
      </c>
      <c r="B1" s="6" t="s">
        <v>1</v>
      </c>
      <c r="C1" s="6" t="s">
        <v>2</v>
      </c>
      <c r="D1" s="6" t="s">
        <v>3</v>
      </c>
      <c r="E1" s="6" t="s">
        <v>4</v>
      </c>
      <c r="F1" s="7" t="s">
        <v>17</v>
      </c>
      <c r="G1" s="7" t="s">
        <v>18</v>
      </c>
      <c r="H1" s="7" t="s">
        <v>19</v>
      </c>
      <c r="I1" s="6" t="s">
        <v>5</v>
      </c>
      <c r="J1" s="6" t="s">
        <v>6</v>
      </c>
      <c r="K1" s="7" t="s">
        <v>20</v>
      </c>
      <c r="L1" s="6" t="s">
        <v>5</v>
      </c>
      <c r="M1" s="6" t="s">
        <v>6</v>
      </c>
      <c r="N1" s="7" t="s">
        <v>27</v>
      </c>
    </row>
    <row r="2" spans="1:14" ht="33" customHeight="1" x14ac:dyDescent="0.25">
      <c r="A2" s="8" t="s">
        <v>7</v>
      </c>
      <c r="B2" s="2" t="s">
        <v>8</v>
      </c>
      <c r="C2" s="3" t="s">
        <v>9</v>
      </c>
      <c r="D2" s="2" t="s">
        <v>10</v>
      </c>
      <c r="E2" s="2" t="s">
        <v>11</v>
      </c>
      <c r="F2" s="2" t="s">
        <v>12</v>
      </c>
      <c r="G2" s="2" t="s">
        <v>14</v>
      </c>
      <c r="H2" s="1" t="s">
        <v>13</v>
      </c>
      <c r="I2" s="4" t="s">
        <v>15</v>
      </c>
      <c r="J2" s="5">
        <v>227638906</v>
      </c>
      <c r="K2" s="2" t="s">
        <v>177</v>
      </c>
      <c r="L2" s="4" t="s">
        <v>16</v>
      </c>
      <c r="M2" s="5" t="s">
        <v>64</v>
      </c>
      <c r="N2" s="4" t="s">
        <v>29</v>
      </c>
    </row>
    <row r="3" spans="1:14" ht="33" customHeight="1" x14ac:dyDescent="0.25">
      <c r="A3" s="8" t="s">
        <v>21</v>
      </c>
      <c r="B3" s="2" t="s">
        <v>22</v>
      </c>
      <c r="C3" s="3" t="s">
        <v>23</v>
      </c>
      <c r="D3" s="2" t="s">
        <v>24</v>
      </c>
      <c r="E3" s="2" t="s">
        <v>11</v>
      </c>
      <c r="F3" s="2" t="s">
        <v>25</v>
      </c>
      <c r="G3" s="2" t="s">
        <v>14</v>
      </c>
      <c r="H3" s="1" t="s">
        <v>13</v>
      </c>
      <c r="I3" s="4" t="s">
        <v>15</v>
      </c>
      <c r="J3" s="5">
        <v>227638906</v>
      </c>
      <c r="K3" s="2" t="s">
        <v>178</v>
      </c>
      <c r="L3" s="4" t="s">
        <v>26</v>
      </c>
      <c r="M3" s="5" t="s">
        <v>65</v>
      </c>
      <c r="N3" s="4" t="s">
        <v>28</v>
      </c>
    </row>
    <row r="4" spans="1:14" ht="33" customHeight="1" x14ac:dyDescent="0.25">
      <c r="A4" s="8" t="s">
        <v>33</v>
      </c>
      <c r="B4" s="2" t="s">
        <v>150</v>
      </c>
      <c r="C4" s="3" t="s">
        <v>30</v>
      </c>
      <c r="D4" s="2" t="s">
        <v>156</v>
      </c>
      <c r="E4" s="2" t="s">
        <v>11</v>
      </c>
      <c r="F4" s="2" t="s">
        <v>165</v>
      </c>
      <c r="G4" s="2" t="s">
        <v>14</v>
      </c>
      <c r="H4" s="1" t="s">
        <v>13</v>
      </c>
      <c r="I4" s="4" t="s">
        <v>15</v>
      </c>
      <c r="J4" s="5">
        <v>227638906</v>
      </c>
      <c r="K4" s="2" t="s">
        <v>179</v>
      </c>
      <c r="L4" s="4" t="s">
        <v>31</v>
      </c>
      <c r="M4" s="5" t="s">
        <v>66</v>
      </c>
      <c r="N4" s="4" t="s">
        <v>32</v>
      </c>
    </row>
    <row r="5" spans="1:14" ht="33" customHeight="1" x14ac:dyDescent="0.25">
      <c r="A5" s="8" t="s">
        <v>34</v>
      </c>
      <c r="B5" s="2" t="s">
        <v>151</v>
      </c>
      <c r="C5" s="3" t="s">
        <v>44</v>
      </c>
      <c r="D5" s="2" t="s">
        <v>157</v>
      </c>
      <c r="E5" s="2" t="s">
        <v>11</v>
      </c>
      <c r="F5" s="2" t="s">
        <v>166</v>
      </c>
      <c r="G5" s="2" t="s">
        <v>14</v>
      </c>
      <c r="H5" s="1" t="s">
        <v>13</v>
      </c>
      <c r="I5" s="4" t="s">
        <v>15</v>
      </c>
      <c r="J5" s="5">
        <v>227638906</v>
      </c>
      <c r="K5" s="2" t="s">
        <v>176</v>
      </c>
      <c r="L5" s="4"/>
      <c r="M5" s="3"/>
      <c r="N5" s="4"/>
    </row>
    <row r="6" spans="1:14" ht="33" customHeight="1" x14ac:dyDescent="0.25">
      <c r="A6" s="8" t="s">
        <v>35</v>
      </c>
      <c r="B6" s="2" t="s">
        <v>45</v>
      </c>
      <c r="C6" s="3" t="s">
        <v>46</v>
      </c>
      <c r="D6" s="2" t="s">
        <v>47</v>
      </c>
      <c r="E6" s="2" t="s">
        <v>11</v>
      </c>
      <c r="F6" s="2" t="s">
        <v>167</v>
      </c>
      <c r="G6" s="2"/>
      <c r="H6" s="1" t="s">
        <v>173</v>
      </c>
      <c r="I6" s="4" t="s">
        <v>48</v>
      </c>
      <c r="J6" s="3"/>
      <c r="K6" s="2" t="s">
        <v>180</v>
      </c>
      <c r="L6" s="4"/>
      <c r="M6" s="5" t="s">
        <v>67</v>
      </c>
      <c r="N6" s="4" t="s">
        <v>49</v>
      </c>
    </row>
    <row r="7" spans="1:14" ht="33" customHeight="1" x14ac:dyDescent="0.25">
      <c r="A7" s="8" t="s">
        <v>36</v>
      </c>
      <c r="B7" s="2" t="s">
        <v>152</v>
      </c>
      <c r="C7" s="3" t="s">
        <v>50</v>
      </c>
      <c r="D7" s="2" t="s">
        <v>158</v>
      </c>
      <c r="E7" s="2" t="s">
        <v>51</v>
      </c>
      <c r="F7" s="2" t="s">
        <v>168</v>
      </c>
      <c r="G7" s="2"/>
      <c r="H7" s="1" t="s">
        <v>174</v>
      </c>
      <c r="I7" s="4" t="s">
        <v>52</v>
      </c>
      <c r="J7" s="3" t="s">
        <v>53</v>
      </c>
      <c r="K7" s="2" t="s">
        <v>54</v>
      </c>
      <c r="L7" s="4"/>
      <c r="M7" s="3"/>
      <c r="N7" s="4"/>
    </row>
    <row r="8" spans="1:14" ht="33" customHeight="1" x14ac:dyDescent="0.25">
      <c r="A8" s="8" t="s">
        <v>37</v>
      </c>
      <c r="B8" s="2" t="s">
        <v>55</v>
      </c>
      <c r="C8" s="3" t="s">
        <v>56</v>
      </c>
      <c r="D8" s="2" t="s">
        <v>57</v>
      </c>
      <c r="E8" s="2" t="s">
        <v>11</v>
      </c>
      <c r="F8" s="2" t="s">
        <v>58</v>
      </c>
      <c r="G8" s="2" t="s">
        <v>14</v>
      </c>
      <c r="H8" s="1" t="s">
        <v>13</v>
      </c>
      <c r="I8" s="4" t="s">
        <v>15</v>
      </c>
      <c r="J8" s="5">
        <v>227638906</v>
      </c>
      <c r="K8" s="2" t="s">
        <v>181</v>
      </c>
      <c r="L8" s="4" t="s">
        <v>59</v>
      </c>
      <c r="M8" s="5" t="s">
        <v>60</v>
      </c>
      <c r="N8" s="4" t="s">
        <v>61</v>
      </c>
    </row>
    <row r="9" spans="1:14" ht="33" customHeight="1" x14ac:dyDescent="0.25">
      <c r="A9" s="8" t="s">
        <v>38</v>
      </c>
      <c r="B9" s="2" t="s">
        <v>153</v>
      </c>
      <c r="C9" s="3" t="s">
        <v>62</v>
      </c>
      <c r="D9" s="2" t="s">
        <v>159</v>
      </c>
      <c r="E9" s="2" t="s">
        <v>164</v>
      </c>
      <c r="F9" s="2" t="s">
        <v>169</v>
      </c>
      <c r="G9" s="2"/>
      <c r="H9" s="1" t="s">
        <v>175</v>
      </c>
      <c r="I9" s="4" t="s">
        <v>63</v>
      </c>
      <c r="J9" s="3"/>
      <c r="K9" s="2" t="s">
        <v>182</v>
      </c>
      <c r="L9" s="4"/>
      <c r="M9" s="5" t="s">
        <v>68</v>
      </c>
      <c r="N9" s="4"/>
    </row>
    <row r="10" spans="1:14" ht="33" customHeight="1" x14ac:dyDescent="0.25">
      <c r="A10" s="8" t="s">
        <v>39</v>
      </c>
      <c r="B10" s="2" t="s">
        <v>154</v>
      </c>
      <c r="C10" s="3" t="s">
        <v>69</v>
      </c>
      <c r="D10" s="2" t="s">
        <v>160</v>
      </c>
      <c r="E10" s="2" t="s">
        <v>11</v>
      </c>
      <c r="F10" s="2" t="s">
        <v>170</v>
      </c>
      <c r="G10" s="2"/>
      <c r="H10" s="1" t="s">
        <v>176</v>
      </c>
      <c r="I10" s="4" t="s">
        <v>70</v>
      </c>
      <c r="J10" s="3"/>
      <c r="K10" s="2" t="s">
        <v>183</v>
      </c>
      <c r="L10" s="4"/>
      <c r="M10" s="3" t="s">
        <v>71</v>
      </c>
      <c r="N10" s="4" t="s">
        <v>72</v>
      </c>
    </row>
    <row r="11" spans="1:14" ht="33" customHeight="1" x14ac:dyDescent="0.25">
      <c r="A11" s="8" t="s">
        <v>40</v>
      </c>
      <c r="B11" s="2" t="s">
        <v>155</v>
      </c>
      <c r="C11" s="3" t="s">
        <v>73</v>
      </c>
      <c r="D11" s="2" t="s">
        <v>161</v>
      </c>
      <c r="E11" s="2" t="s">
        <v>11</v>
      </c>
      <c r="F11" s="2" t="s">
        <v>171</v>
      </c>
      <c r="G11" s="2" t="s">
        <v>14</v>
      </c>
      <c r="H11" s="1" t="s">
        <v>13</v>
      </c>
      <c r="I11" s="4" t="s">
        <v>15</v>
      </c>
      <c r="J11" s="5">
        <v>227638906</v>
      </c>
      <c r="K11" s="2" t="s">
        <v>184</v>
      </c>
      <c r="L11" s="4" t="s">
        <v>74</v>
      </c>
      <c r="M11" s="5" t="s">
        <v>75</v>
      </c>
      <c r="N11" s="4" t="s">
        <v>76</v>
      </c>
    </row>
    <row r="12" spans="1:14" ht="33" customHeight="1" x14ac:dyDescent="0.25">
      <c r="A12" s="8" t="s">
        <v>41</v>
      </c>
      <c r="B12" s="2" t="s">
        <v>77</v>
      </c>
      <c r="C12" s="3" t="s">
        <v>78</v>
      </c>
      <c r="D12" s="2" t="s">
        <v>162</v>
      </c>
      <c r="E12" s="2" t="s">
        <v>11</v>
      </c>
      <c r="F12" s="2" t="s">
        <v>172</v>
      </c>
      <c r="G12" s="2"/>
      <c r="H12" s="1" t="s">
        <v>79</v>
      </c>
      <c r="I12" s="4"/>
      <c r="J12" s="3"/>
      <c r="K12" s="2" t="s">
        <v>86</v>
      </c>
      <c r="L12" s="4" t="s">
        <v>80</v>
      </c>
      <c r="M12" s="5" t="s">
        <v>81</v>
      </c>
      <c r="N12" s="4" t="s">
        <v>82</v>
      </c>
    </row>
    <row r="13" spans="1:14" ht="33" customHeight="1" x14ac:dyDescent="0.25">
      <c r="A13" s="8" t="s">
        <v>42</v>
      </c>
      <c r="B13" s="2" t="s">
        <v>83</v>
      </c>
      <c r="C13" s="3" t="s">
        <v>84</v>
      </c>
      <c r="D13" s="2" t="s">
        <v>163</v>
      </c>
      <c r="E13" s="2" t="s">
        <v>11</v>
      </c>
      <c r="F13" s="2" t="s">
        <v>85</v>
      </c>
      <c r="G13" s="2"/>
      <c r="H13" s="1" t="s">
        <v>86</v>
      </c>
      <c r="I13" s="4" t="s">
        <v>80</v>
      </c>
      <c r="J13" s="3"/>
      <c r="K13" s="2" t="s">
        <v>185</v>
      </c>
      <c r="L13" s="4"/>
      <c r="M13" s="5" t="s">
        <v>88</v>
      </c>
      <c r="N13" s="4" t="s">
        <v>87</v>
      </c>
    </row>
    <row r="14" spans="1:14" ht="33" customHeight="1" x14ac:dyDescent="0.25">
      <c r="A14" s="8" t="s">
        <v>43</v>
      </c>
      <c r="B14" s="2" t="s">
        <v>89</v>
      </c>
      <c r="C14" s="3" t="s">
        <v>90</v>
      </c>
      <c r="D14" s="2" t="s">
        <v>91</v>
      </c>
      <c r="E14" s="2" t="s">
        <v>11</v>
      </c>
      <c r="F14" s="2" t="s">
        <v>92</v>
      </c>
      <c r="G14" s="2"/>
      <c r="H14" s="1" t="s">
        <v>93</v>
      </c>
      <c r="I14" s="4" t="s">
        <v>94</v>
      </c>
      <c r="J14" s="3"/>
      <c r="K14" s="2" t="s">
        <v>186</v>
      </c>
      <c r="L14" s="4"/>
      <c r="M14" s="5" t="s">
        <v>95</v>
      </c>
      <c r="N14" s="4" t="s">
        <v>96</v>
      </c>
    </row>
    <row r="15" spans="1:14" x14ac:dyDescent="0.25">
      <c r="A15" s="25" t="s">
        <v>187</v>
      </c>
      <c r="B15" s="26" t="s">
        <v>188</v>
      </c>
      <c r="C15" s="27" t="s">
        <v>189</v>
      </c>
      <c r="D15" s="26" t="s">
        <v>190</v>
      </c>
      <c r="E15" s="26" t="s">
        <v>191</v>
      </c>
      <c r="F15" s="26" t="s">
        <v>192</v>
      </c>
      <c r="G15" s="26" t="s">
        <v>193</v>
      </c>
      <c r="H15" s="28" t="s">
        <v>194</v>
      </c>
      <c r="I15" s="29" t="s">
        <v>195</v>
      </c>
      <c r="J15" s="15">
        <v>94460339</v>
      </c>
      <c r="K15" s="26" t="s">
        <v>196</v>
      </c>
      <c r="L15" s="30" t="s">
        <v>195</v>
      </c>
      <c r="M15" s="31" t="s">
        <v>197</v>
      </c>
      <c r="N15" s="29" t="s">
        <v>195</v>
      </c>
    </row>
  </sheetData>
  <autoFilter ref="A1:M1"/>
  <hyperlinks>
    <hyperlink ref="I2" r:id="rId1"/>
    <hyperlink ref="L2" r:id="rId2"/>
    <hyperlink ref="I3" r:id="rId3"/>
    <hyperlink ref="N2" r:id="rId4" display="bodegaestacioncentral@unosalud.cl"/>
    <hyperlink ref="I4" r:id="rId5"/>
    <hyperlink ref="I5" r:id="rId6"/>
    <hyperlink ref="I8" r:id="rId7"/>
    <hyperlink ref="I9" r:id="rId8" display="dr.cristian.eggers@gmail.com_x000a_"/>
    <hyperlink ref="I11" r:id="rId9"/>
    <hyperlink ref="N12" r:id="rId10"/>
    <hyperlink ref="I15" r:id="rId11"/>
    <hyperlink ref="L15" r:id="rId12"/>
    <hyperlink ref="N15" r:id="rId13"/>
  </hyperlinks>
  <pageMargins left="0.7" right="0.7" top="0.75" bottom="0.75" header="0.3" footer="0.3"/>
  <pageSetup orientation="portrait" horizontalDpi="0" verticalDpi="0" r:id="rId14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4:M13"/>
  <sheetViews>
    <sheetView workbookViewId="0">
      <selection activeCell="L7" sqref="L7"/>
    </sheetView>
  </sheetViews>
  <sheetFormatPr baseColWidth="10" defaultRowHeight="15" x14ac:dyDescent="0.25"/>
  <cols>
    <col min="1" max="1" width="5.28515625" customWidth="1"/>
    <col min="2" max="2" width="8.28515625" customWidth="1"/>
    <col min="4" max="4" width="24.5703125" customWidth="1"/>
    <col min="5" max="5" width="13" customWidth="1"/>
    <col min="6" max="6" width="29.5703125" customWidth="1"/>
    <col min="7" max="7" width="10.7109375" customWidth="1"/>
    <col min="9" max="9" width="5.42578125" customWidth="1"/>
    <col min="11" max="11" width="12" customWidth="1"/>
    <col min="12" max="12" width="15.140625" customWidth="1"/>
    <col min="13" max="13" width="24" customWidth="1"/>
  </cols>
  <sheetData>
    <row r="4" spans="1:13" s="9" customFormat="1" ht="25.5" x14ac:dyDescent="0.25">
      <c r="A4" s="10" t="s">
        <v>97</v>
      </c>
      <c r="B4" s="10" t="s">
        <v>98</v>
      </c>
      <c r="C4" s="11" t="s">
        <v>102</v>
      </c>
      <c r="D4" s="10" t="s">
        <v>99</v>
      </c>
      <c r="E4" s="10" t="s">
        <v>100</v>
      </c>
      <c r="F4" s="10" t="s">
        <v>101</v>
      </c>
      <c r="G4" s="10" t="s">
        <v>104</v>
      </c>
      <c r="H4" s="10" t="s">
        <v>103</v>
      </c>
      <c r="I4" s="10" t="s">
        <v>109</v>
      </c>
      <c r="J4" s="11" t="s">
        <v>105</v>
      </c>
      <c r="K4" s="11" t="s">
        <v>106</v>
      </c>
      <c r="L4" s="11" t="s">
        <v>140</v>
      </c>
      <c r="M4" s="11" t="s">
        <v>107</v>
      </c>
    </row>
    <row r="5" spans="1:13" s="9" customFormat="1" ht="12.75" x14ac:dyDescent="0.25">
      <c r="A5" s="12">
        <v>1</v>
      </c>
      <c r="B5" s="12">
        <v>11111</v>
      </c>
      <c r="C5" s="13">
        <v>41974</v>
      </c>
      <c r="D5" s="20" t="s">
        <v>116</v>
      </c>
      <c r="E5" s="12" t="s">
        <v>117</v>
      </c>
      <c r="F5" s="20" t="s">
        <v>125</v>
      </c>
      <c r="G5" s="12"/>
      <c r="H5" s="14" t="s">
        <v>132</v>
      </c>
      <c r="I5" s="12">
        <v>2</v>
      </c>
      <c r="J5" s="21">
        <v>10000</v>
      </c>
      <c r="K5" s="21">
        <f>I5*J5</f>
        <v>20000</v>
      </c>
      <c r="L5" s="19">
        <v>41974</v>
      </c>
      <c r="M5" s="12"/>
    </row>
    <row r="6" spans="1:13" s="9" customFormat="1" ht="12.75" x14ac:dyDescent="0.25">
      <c r="A6" s="12">
        <v>2</v>
      </c>
      <c r="B6" s="12">
        <v>22222</v>
      </c>
      <c r="C6" s="13">
        <v>41974</v>
      </c>
      <c r="D6" s="20" t="s">
        <v>118</v>
      </c>
      <c r="E6" s="12" t="s">
        <v>117</v>
      </c>
      <c r="F6" s="20" t="s">
        <v>126</v>
      </c>
      <c r="G6" s="12"/>
      <c r="H6" s="14" t="s">
        <v>133</v>
      </c>
      <c r="I6" s="12">
        <v>3</v>
      </c>
      <c r="J6" s="21">
        <v>10001</v>
      </c>
      <c r="K6" s="21">
        <f t="shared" ref="K6:K12" si="0">I6*J6</f>
        <v>30003</v>
      </c>
      <c r="L6" s="19">
        <v>41974</v>
      </c>
      <c r="M6" s="12"/>
    </row>
    <row r="7" spans="1:13" s="9" customFormat="1" ht="12.75" x14ac:dyDescent="0.25">
      <c r="A7" s="12">
        <v>3</v>
      </c>
      <c r="B7" s="12">
        <v>33333</v>
      </c>
      <c r="C7" s="13">
        <v>41974</v>
      </c>
      <c r="D7" s="20" t="s">
        <v>119</v>
      </c>
      <c r="E7" s="12" t="s">
        <v>117</v>
      </c>
      <c r="F7" s="20" t="s">
        <v>127</v>
      </c>
      <c r="G7" s="12"/>
      <c r="H7" s="14" t="s">
        <v>134</v>
      </c>
      <c r="I7" s="12">
        <v>1</v>
      </c>
      <c r="J7" s="21">
        <v>10002</v>
      </c>
      <c r="K7" s="21">
        <f t="shared" si="0"/>
        <v>10002</v>
      </c>
      <c r="L7" s="19">
        <v>41974</v>
      </c>
      <c r="M7" s="12"/>
    </row>
    <row r="8" spans="1:13" s="9" customFormat="1" ht="12.75" x14ac:dyDescent="0.25">
      <c r="A8" s="12">
        <v>4</v>
      </c>
      <c r="B8" s="12">
        <v>44444</v>
      </c>
      <c r="C8" s="13">
        <v>41974</v>
      </c>
      <c r="D8" s="20" t="s">
        <v>120</v>
      </c>
      <c r="E8" s="12" t="s">
        <v>117</v>
      </c>
      <c r="F8" s="20" t="s">
        <v>128</v>
      </c>
      <c r="G8" s="12"/>
      <c r="H8" s="14" t="s">
        <v>135</v>
      </c>
      <c r="I8" s="12">
        <v>1</v>
      </c>
      <c r="J8" s="21">
        <v>10003</v>
      </c>
      <c r="K8" s="21">
        <f t="shared" si="0"/>
        <v>10003</v>
      </c>
      <c r="L8" s="19">
        <v>41974</v>
      </c>
      <c r="M8" s="12"/>
    </row>
    <row r="9" spans="1:13" s="9" customFormat="1" ht="12.75" x14ac:dyDescent="0.25">
      <c r="A9" s="12">
        <v>5</v>
      </c>
      <c r="B9" s="12">
        <v>55555</v>
      </c>
      <c r="C9" s="13">
        <v>41974</v>
      </c>
      <c r="D9" s="20" t="s">
        <v>121</v>
      </c>
      <c r="E9" s="12" t="s">
        <v>117</v>
      </c>
      <c r="F9" s="20" t="s">
        <v>129</v>
      </c>
      <c r="G9" s="12"/>
      <c r="H9" s="14" t="s">
        <v>136</v>
      </c>
      <c r="I9" s="12">
        <v>1</v>
      </c>
      <c r="J9" s="21">
        <v>10004</v>
      </c>
      <c r="K9" s="21">
        <f t="shared" si="0"/>
        <v>10004</v>
      </c>
      <c r="L9" s="19">
        <v>41974</v>
      </c>
      <c r="M9" s="12"/>
    </row>
    <row r="10" spans="1:13" s="9" customFormat="1" ht="12.75" x14ac:dyDescent="0.25">
      <c r="A10" s="12">
        <v>6</v>
      </c>
      <c r="B10" s="12">
        <v>66666</v>
      </c>
      <c r="C10" s="13">
        <v>41974</v>
      </c>
      <c r="D10" s="20" t="s">
        <v>122</v>
      </c>
      <c r="E10" s="12" t="s">
        <v>117</v>
      </c>
      <c r="F10" s="20" t="s">
        <v>130</v>
      </c>
      <c r="G10" s="12"/>
      <c r="H10" s="14" t="s">
        <v>137</v>
      </c>
      <c r="I10" s="12">
        <v>1</v>
      </c>
      <c r="J10" s="21">
        <v>10005</v>
      </c>
      <c r="K10" s="21">
        <f t="shared" si="0"/>
        <v>10005</v>
      </c>
      <c r="L10" s="19">
        <v>42005</v>
      </c>
      <c r="M10" s="12"/>
    </row>
    <row r="11" spans="1:13" s="9" customFormat="1" ht="12.75" x14ac:dyDescent="0.25">
      <c r="A11" s="12">
        <v>7</v>
      </c>
      <c r="B11" s="12">
        <v>77777</v>
      </c>
      <c r="C11" s="13">
        <v>41974</v>
      </c>
      <c r="D11" s="20" t="s">
        <v>123</v>
      </c>
      <c r="E11" s="12" t="s">
        <v>117</v>
      </c>
      <c r="F11" s="20" t="s">
        <v>131</v>
      </c>
      <c r="G11" s="12"/>
      <c r="H11" s="14" t="s">
        <v>138</v>
      </c>
      <c r="I11" s="12">
        <v>1</v>
      </c>
      <c r="J11" s="21">
        <v>10006</v>
      </c>
      <c r="K11" s="21">
        <f t="shared" si="0"/>
        <v>10006</v>
      </c>
      <c r="L11" s="19">
        <v>42005</v>
      </c>
      <c r="M11" s="12"/>
    </row>
    <row r="12" spans="1:13" s="9" customFormat="1" ht="12.75" x14ac:dyDescent="0.25">
      <c r="A12" s="12">
        <v>8</v>
      </c>
      <c r="B12" s="12">
        <v>88888</v>
      </c>
      <c r="C12" s="13">
        <v>41974</v>
      </c>
      <c r="D12" s="20" t="s">
        <v>124</v>
      </c>
      <c r="E12" s="12" t="s">
        <v>117</v>
      </c>
      <c r="F12" s="20" t="s">
        <v>142</v>
      </c>
      <c r="G12" s="12"/>
      <c r="H12" s="14" t="s">
        <v>139</v>
      </c>
      <c r="I12" s="12">
        <v>2</v>
      </c>
      <c r="J12" s="21">
        <v>10007</v>
      </c>
      <c r="K12" s="21">
        <f t="shared" si="0"/>
        <v>20014</v>
      </c>
      <c r="L12" s="19">
        <v>42005</v>
      </c>
      <c r="M12" s="12"/>
    </row>
    <row r="13" spans="1:13" s="9" customFormat="1" ht="12.75" x14ac:dyDescent="0.25"/>
  </sheetData>
  <autoFilter ref="A4:M4"/>
  <pageMargins left="0.7" right="0.7" top="0.75" bottom="0.75" header="0.3" footer="0.3"/>
  <pageSetup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J6"/>
  <sheetViews>
    <sheetView workbookViewId="0">
      <selection activeCell="B1" sqref="B1"/>
    </sheetView>
  </sheetViews>
  <sheetFormatPr baseColWidth="10" defaultRowHeight="15" x14ac:dyDescent="0.25"/>
  <cols>
    <col min="1" max="1" width="21.140625" customWidth="1"/>
    <col min="2" max="3" width="14.7109375" customWidth="1"/>
    <col min="10" max="10" width="28.28515625" customWidth="1"/>
  </cols>
  <sheetData>
    <row r="1" spans="1:10" ht="25.5" x14ac:dyDescent="0.25">
      <c r="A1" s="16" t="s">
        <v>0</v>
      </c>
      <c r="B1" s="16" t="s">
        <v>108</v>
      </c>
      <c r="C1" s="16" t="s">
        <v>141</v>
      </c>
      <c r="D1" s="17" t="s">
        <v>110</v>
      </c>
      <c r="E1" s="16" t="s">
        <v>115</v>
      </c>
      <c r="F1" s="16" t="s">
        <v>111</v>
      </c>
      <c r="G1" s="17" t="s">
        <v>112</v>
      </c>
      <c r="H1" s="16" t="s">
        <v>146</v>
      </c>
      <c r="I1" s="16" t="s">
        <v>113</v>
      </c>
      <c r="J1" s="17" t="s">
        <v>114</v>
      </c>
    </row>
    <row r="2" spans="1:10" x14ac:dyDescent="0.25">
      <c r="A2" s="15" t="s">
        <v>21</v>
      </c>
      <c r="B2" s="22" t="s">
        <v>144</v>
      </c>
      <c r="C2" s="23">
        <v>20009</v>
      </c>
      <c r="D2" s="15"/>
      <c r="E2" s="15"/>
      <c r="F2" s="15"/>
      <c r="G2" s="15"/>
      <c r="H2" s="15"/>
      <c r="I2" s="15"/>
      <c r="J2" s="15"/>
    </row>
    <row r="3" spans="1:10" x14ac:dyDescent="0.25">
      <c r="A3" s="15" t="s">
        <v>21</v>
      </c>
      <c r="B3" s="24" t="s">
        <v>145</v>
      </c>
      <c r="C3" s="23">
        <v>30020</v>
      </c>
      <c r="D3" s="15"/>
      <c r="E3" s="15"/>
      <c r="F3" s="15"/>
      <c r="G3" s="15"/>
      <c r="H3" s="15"/>
      <c r="I3" s="15"/>
      <c r="J3" s="15"/>
    </row>
    <row r="4" spans="1:10" x14ac:dyDescent="0.25">
      <c r="A4" s="15" t="s">
        <v>37</v>
      </c>
      <c r="B4" s="24" t="s">
        <v>143</v>
      </c>
      <c r="C4" s="23">
        <v>70008</v>
      </c>
      <c r="D4" s="15">
        <v>101134</v>
      </c>
      <c r="E4" s="15">
        <v>70008</v>
      </c>
      <c r="F4" s="15" t="s">
        <v>149</v>
      </c>
      <c r="G4" s="15"/>
      <c r="H4" s="15"/>
      <c r="I4" s="15"/>
      <c r="J4" s="15"/>
    </row>
    <row r="5" spans="1:10" x14ac:dyDescent="0.25">
      <c r="A5" s="15" t="s">
        <v>21</v>
      </c>
      <c r="B5" s="15" t="s">
        <v>143</v>
      </c>
      <c r="C5" s="23">
        <v>70008</v>
      </c>
      <c r="D5" s="15"/>
      <c r="E5" s="15"/>
      <c r="F5" s="15"/>
      <c r="G5" s="15"/>
      <c r="H5" s="15"/>
      <c r="I5" s="15"/>
      <c r="J5" s="15"/>
    </row>
    <row r="6" spans="1:10" x14ac:dyDescent="0.25">
      <c r="A6" s="15" t="s">
        <v>37</v>
      </c>
      <c r="B6" s="15" t="s">
        <v>144</v>
      </c>
      <c r="C6" s="23">
        <v>50029</v>
      </c>
      <c r="D6" s="15">
        <v>10135</v>
      </c>
      <c r="E6" s="15">
        <v>50029</v>
      </c>
      <c r="F6" s="15" t="s">
        <v>148</v>
      </c>
      <c r="G6" s="15"/>
      <c r="H6" s="15"/>
      <c r="I6" s="15"/>
      <c r="J6" s="15"/>
    </row>
  </sheetData>
  <autoFilter ref="A1:J1">
    <sortState ref="A2:H2">
      <sortCondition ref="D1"/>
    </sortState>
  </autoFilter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K8"/>
  <sheetViews>
    <sheetView tabSelected="1" workbookViewId="0">
      <selection activeCell="C4" sqref="C4"/>
    </sheetView>
  </sheetViews>
  <sheetFormatPr baseColWidth="10" defaultRowHeight="15" x14ac:dyDescent="0.25"/>
  <cols>
    <col min="1" max="1" width="5.5703125" customWidth="1"/>
    <col min="4" max="4" width="20.140625" customWidth="1"/>
    <col min="6" max="6" width="23.85546875" customWidth="1"/>
  </cols>
  <sheetData>
    <row r="1" spans="1:11" ht="26.25" x14ac:dyDescent="0.4">
      <c r="A1" s="32" t="s">
        <v>198</v>
      </c>
      <c r="B1" s="32"/>
      <c r="C1" s="32"/>
      <c r="D1" s="32"/>
      <c r="E1" s="32"/>
      <c r="F1" s="32"/>
      <c r="G1" s="32"/>
      <c r="H1" s="32"/>
      <c r="I1" s="32"/>
      <c r="J1" s="32"/>
      <c r="K1" s="32"/>
    </row>
    <row r="2" spans="1:11" ht="27" x14ac:dyDescent="0.5">
      <c r="A2" s="33" t="str">
        <f ca="1">MID(CELL("nombrearchivo"),FIND("]",CELL("nombrearchivo"))+1,32)</f>
        <v>PLANILLA</v>
      </c>
      <c r="B2" s="33"/>
      <c r="C2" s="33"/>
      <c r="D2" s="33"/>
      <c r="E2" s="33"/>
      <c r="F2" s="33"/>
      <c r="G2" s="33"/>
      <c r="H2" s="33"/>
      <c r="I2" s="33"/>
      <c r="J2" s="33"/>
      <c r="K2" s="33"/>
    </row>
    <row r="3" spans="1:11" x14ac:dyDescent="0.25">
      <c r="A3" s="35" t="s">
        <v>199</v>
      </c>
      <c r="B3" s="35"/>
      <c r="C3" t="str">
        <f ca="1">VLOOKUP(A2,DATOS_FACTURACION!A2:N15,2,FALSE)</f>
        <v>RAZON SOCIAL PLANILLA</v>
      </c>
    </row>
    <row r="4" spans="1:11" x14ac:dyDescent="0.25">
      <c r="A4" s="34" t="s">
        <v>200</v>
      </c>
      <c r="B4" s="34"/>
    </row>
    <row r="5" spans="1:11" x14ac:dyDescent="0.25">
      <c r="A5" s="34"/>
      <c r="B5" s="34"/>
    </row>
    <row r="6" spans="1:11" x14ac:dyDescent="0.25">
      <c r="A6" s="34"/>
      <c r="B6" s="34"/>
    </row>
    <row r="8" spans="1:11" ht="25.5" x14ac:dyDescent="0.25">
      <c r="A8" s="10" t="s">
        <v>97</v>
      </c>
      <c r="B8" s="10" t="s">
        <v>98</v>
      </c>
      <c r="C8" s="11" t="s">
        <v>102</v>
      </c>
      <c r="D8" s="10" t="s">
        <v>99</v>
      </c>
      <c r="E8" s="10" t="s">
        <v>100</v>
      </c>
      <c r="F8" s="10" t="s">
        <v>101</v>
      </c>
      <c r="G8" s="10" t="s">
        <v>104</v>
      </c>
      <c r="H8" s="10" t="s">
        <v>103</v>
      </c>
      <c r="I8" s="10" t="s">
        <v>109</v>
      </c>
      <c r="J8" s="11" t="s">
        <v>105</v>
      </c>
      <c r="K8" s="11" t="s">
        <v>106</v>
      </c>
    </row>
  </sheetData>
  <mergeCells count="6">
    <mergeCell ref="A1:K1"/>
    <mergeCell ref="A2:K2"/>
    <mergeCell ref="A3:B3"/>
    <mergeCell ref="A4:B4"/>
    <mergeCell ref="A5:B5"/>
    <mergeCell ref="A6:B6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ESTACION CENTRAL</vt:lpstr>
      <vt:lpstr>MONEDA</vt:lpstr>
      <vt:lpstr>DATOS_FACTURACION</vt:lpstr>
      <vt:lpstr>PLANILLA_SUCURSAL</vt:lpstr>
      <vt:lpstr>FACTURACION</vt:lpstr>
      <vt:lpstr>PLANILLA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Abel</dc:creator>
  <cp:lastModifiedBy>Abel</cp:lastModifiedBy>
  <dcterms:created xsi:type="dcterms:W3CDTF">2014-12-18T14:07:09Z</dcterms:created>
  <dcterms:modified xsi:type="dcterms:W3CDTF">2015-01-05T09:57:45Z</dcterms:modified>
</cp:coreProperties>
</file>