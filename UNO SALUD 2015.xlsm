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20400" windowHeight="7905" firstSheet="1" activeTab="1"/>
  </bookViews>
  <sheets>
    <sheet name="ESTACION CENTRAL" sheetId="6" r:id="rId1"/>
    <sheet name="MONEDA" sheetId="5" r:id="rId2"/>
    <sheet name="DATOS_FACTURACION" sheetId="1" r:id="rId3"/>
    <sheet name="PLANILLA_SUCURSAL" sheetId="2" r:id="rId4"/>
    <sheet name="FACTURACION" sheetId="3" r:id="rId5"/>
    <sheet name="SUCURSAL" sheetId="4" r:id="rId6"/>
  </sheets>
  <functionGroups builtInGroupCount="18"/>
  <definedNames>
    <definedName name="_xlnm._FilterDatabase" localSheetId="2" hidden="1">DATOS_FACTURACION!$B$2:$N$2</definedName>
    <definedName name="_xlnm._FilterDatabase" localSheetId="0" hidden="1">'ESTACION CENTRAL'!$A$4:$M$4</definedName>
    <definedName name="_xlnm._FilterDatabase" localSheetId="4" hidden="1">FACTURACION!$A$1:$I$1</definedName>
    <definedName name="_xlnm._FilterDatabase" localSheetId="1" hidden="1">MONEDA!$A$4:$M$4</definedName>
    <definedName name="_xlnm._FilterDatabase" localSheetId="3" hidden="1">PLANILLA_SUCURSAL!$A$4:$M$4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6" l="1"/>
  <c r="K11" i="6"/>
  <c r="K10" i="6"/>
  <c r="K9" i="6"/>
  <c r="K8" i="6"/>
  <c r="K7" i="6"/>
  <c r="K6" i="6"/>
  <c r="K5" i="6"/>
  <c r="K12" i="5" l="1"/>
  <c r="K11" i="5"/>
  <c r="K10" i="5"/>
  <c r="K9" i="5"/>
  <c r="K8" i="5"/>
  <c r="K7" i="5"/>
  <c r="K6" i="5"/>
  <c r="K5" i="5"/>
  <c r="K6" i="2" l="1"/>
  <c r="K7" i="2"/>
  <c r="K8" i="2"/>
  <c r="K9" i="2"/>
  <c r="K10" i="2"/>
  <c r="K11" i="2"/>
  <c r="K12" i="2"/>
  <c r="K5" i="2"/>
</calcChain>
</file>

<file path=xl/sharedStrings.xml><?xml version="1.0" encoding="utf-8"?>
<sst xmlns="http://schemas.openxmlformats.org/spreadsheetml/2006/main" count="351" uniqueCount="199">
  <si>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</si>
  <si>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</si>
  <si>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</si>
  <si>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</si>
  <si>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</si>
  <si>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</si>
  <si>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</si>
  <si>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</si>
  <si>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</si>
  <si>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</si>
  <si>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</si>
  <si>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</si>
  <si>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</si>
  <si>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</si>
  <si>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</si>
  <si>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</si>
  <si>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</si>
  <si>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</si>
  <si>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</si>
  <si>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</si>
  <si>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</si>
  <si>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Patricia Cifuentes
Graciela Pavez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</si>
  <si>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</si>
  <si>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</si>
  <si>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</si>
  <si>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</si>
  <si>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</si>
  <si>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Javier Jarpa
Diana Guzman</t>
  </si>
  <si>
    <t>jjarpa@unosalud.cl</t>
  </si>
  <si>
    <t>EMAIL
BODEGA</t>
  </si>
  <si>
    <t>bodegaestacioncentral@unosalud.cl</t>
  </si>
  <si>
    <t>bodegacoyancura@unosalud.cl</t>
  </si>
  <si>
    <t>Soc. Odontológica Uno salud La concepción Ltda</t>
  </si>
  <si>
    <t>76.324.871-2</t>
  </si>
  <si>
    <t>La Concepción 201 local 102   Providencia</t>
  </si>
  <si>
    <t>Centros médicos de atención ambulatoria</t>
  </si>
  <si>
    <t>Uno Salud La Concepción.</t>
  </si>
  <si>
    <t>Cecilia Cantillana
Lorena Castro</t>
  </si>
  <si>
    <t>ccantillana@unosalud.cl</t>
  </si>
  <si>
    <t>bodegaprovidencia2@unosalud.cl</t>
  </si>
  <si>
    <t>LA CONCEPCION</t>
  </si>
  <si>
    <t>FLORIDA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</si>
  <si>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</si>
  <si>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</si>
  <si>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</si>
  <si>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</si>
  <si>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</si>
  <si>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</si>
  <si>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</si>
  <si>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</si>
  <si>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</si>
  <si>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 xml:space="preserve">Soc. Odontológica Uno Salud La Florida Ltda. </t>
  </si>
  <si>
    <t>76.368.014-2</t>
  </si>
  <si>
    <t xml:space="preserve">Froilan Roa 894, La Florida. </t>
  </si>
  <si>
    <t>Uno Salud La Florida Ltda.</t>
  </si>
  <si>
    <t>SOCIEDAD ODONTOLÓGICA FELIPE BAYUK LTDA.</t>
  </si>
  <si>
    <t>76.178.117-0</t>
  </si>
  <si>
    <t>MANQUEHUE SUR 430 LOCAL 1-A LAS CONDES</t>
  </si>
  <si>
    <t>Uno Salud Manquehue Ltda</t>
  </si>
  <si>
    <t>Felipe Bayuk</t>
  </si>
  <si>
    <t>fbayuk@unosalud.cl</t>
  </si>
  <si>
    <t>Alejandra Cavagnola</t>
  </si>
  <si>
    <t>bodegamanquehue@unosalud.cl</t>
  </si>
  <si>
    <t>Feisa Salud Ltda</t>
  </si>
  <si>
    <t>76.339.245-7</t>
  </si>
  <si>
    <t>Avenida 5 de Abril 33 local 35, Maipu</t>
  </si>
  <si>
    <t>CENTROS DE ATENCION ODONTOLOGICA</t>
  </si>
  <si>
    <t>Uno Salud Maipu</t>
  </si>
  <si>
    <t>Federico Castillo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</si>
  <si>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</si>
  <si>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</si>
  <si>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</si>
  <si>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</si>
  <si>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</si>
  <si>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</si>
  <si>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</si>
  <si>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Daniel Silva
Marjorie Naranjo</t>
  </si>
  <si>
    <t>dsilva@unosalud.cl</t>
  </si>
  <si>
    <t>22 7638928
22 7638928</t>
  </si>
  <si>
    <t>bodegamodena@unosalud.cl</t>
  </si>
  <si>
    <t>Sociedad Prestadora de Servicios Odontológicos los Alerces Ltda.</t>
  </si>
  <si>
    <t>76.330.243-1</t>
  </si>
  <si>
    <t>Illape 10 local 1, Puerto Montt</t>
  </si>
  <si>
    <t>Centro Médico de Atención Ambulatoria</t>
  </si>
  <si>
    <t>Uno Salud Puerto Montt</t>
  </si>
  <si>
    <t>Cristian eggers</t>
  </si>
  <si>
    <t>dr.cristian.eggers@gmail.com
ceggers@unosalud.cl</t>
  </si>
  <si>
    <t>Claudia Gatica</t>
  </si>
  <si>
    <t>22 7638923
22 7638924</t>
  </si>
  <si>
    <t>22 7638941
22 7638942</t>
  </si>
  <si>
    <t>22 7638978
22 7638979</t>
  </si>
  <si>
    <t>22 7638931
22 7638932</t>
  </si>
  <si>
    <t>22 7638990
22 7638994</t>
  </si>
  <si>
    <t>Sociedad odontologica B y B Ltda</t>
  </si>
  <si>
    <t>76.339.573-1</t>
  </si>
  <si>
    <t xml:space="preserve">Eyzaguirre 650, San Bernardo </t>
  </si>
  <si>
    <t>Uno Salud San Bernardo</t>
  </si>
  <si>
    <t>Scarlette Fernandez</t>
  </si>
  <si>
    <t>cblanlot@unosalud.cl</t>
  </si>
  <si>
    <t>22 7638958</t>
  </si>
  <si>
    <t>bodegasanbernardo@unosalud.cl</t>
  </si>
  <si>
    <t>Soc. Odontológica Uno salud santa lucia Ltda</t>
  </si>
  <si>
    <t xml:space="preserve">76.324.872-0 </t>
  </si>
  <si>
    <t>Santa Rosa 12 local 14, Santiago.</t>
  </si>
  <si>
    <t>Uno Salud Santa Lucia Ltda.</t>
  </si>
  <si>
    <t>Constanza Cerda
Teresa Guzman</t>
  </si>
  <si>
    <t>ccerda@unosalud.cl</t>
  </si>
  <si>
    <t>22 7638984
22 7638985</t>
  </si>
  <si>
    <t>bodegasantarosa@unosalud.cl</t>
  </si>
  <si>
    <t>CENTRO DE ATENCION ODONTOLOGICA</t>
  </si>
  <si>
    <t>76.301.027-9</t>
  </si>
  <si>
    <t>Blanco 1297, Valparaiso</t>
  </si>
  <si>
    <t>Uno Salud Valparaiso Ltda.</t>
  </si>
  <si>
    <t>MARIA JOSE CELEDON</t>
  </si>
  <si>
    <t>jbascunan@unosalud.cl</t>
  </si>
  <si>
    <t>Maria Jesus Bascuñan</t>
  </si>
  <si>
    <t>22 7638974
22 7638975</t>
  </si>
  <si>
    <t>bodegavalpariso@unosalud.cl</t>
  </si>
  <si>
    <t>SERVICIOS MÉDICOS Y ODONTOLÓGICOS BASCUÑAN Y COMPAÑÍA LTDA.</t>
  </si>
  <si>
    <t>76.191.735-8</t>
  </si>
  <si>
    <t>Trece Norte 798, Viña Del Mar</t>
  </si>
  <si>
    <t>UNO SALUD VIÑA LTDA.</t>
  </si>
  <si>
    <t>MARIA JESUS BASCUÑAN</t>
  </si>
  <si>
    <t>Bodegavina@unosalud.cl</t>
  </si>
  <si>
    <t>Camila Trujillo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</si>
  <si>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</si>
  <si>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</si>
  <si>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</si>
  <si>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</si>
  <si>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</si>
  <si>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</si>
  <si>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</si>
  <si>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Vanessa Flores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</si>
  <si>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</si>
  <si>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</si>
  <si>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</si>
  <si>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</si>
  <si>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</si>
  <si>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</si>
  <si>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</si>
  <si>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</si>
  <si>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</si>
  <si>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</si>
  <si>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</si>
  <si>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</si>
  <si>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</si>
  <si>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</si>
  <si>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</si>
  <si>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</si>
  <si>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</si>
  <si>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</si>
  <si>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</si>
  <si>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</si>
  <si>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</si>
  <si>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ID</t>
  </si>
  <si>
    <t>USCOY</t>
  </si>
  <si>
    <t>USECE</t>
  </si>
  <si>
    <t>USLCO</t>
  </si>
  <si>
    <t>USMAN</t>
  </si>
  <si>
    <t>USLFL</t>
  </si>
  <si>
    <t>USMAI</t>
  </si>
  <si>
    <t>USMON</t>
  </si>
  <si>
    <t>LA FLORIDA</t>
  </si>
  <si>
    <t>USPMO</t>
  </si>
  <si>
    <t>USSBE</t>
  </si>
  <si>
    <t>USSLU</t>
  </si>
  <si>
    <t>USVAL</t>
  </si>
  <si>
    <t>USVMA</t>
  </si>
  <si>
    <t>USVIT</t>
  </si>
  <si>
    <t>VIRU ESTEFANY</t>
  </si>
  <si>
    <t>OBANDO</t>
  </si>
  <si>
    <t>LEIVA MARIA JOSE</t>
  </si>
  <si>
    <t>SANCHEZ PABLO</t>
  </si>
  <si>
    <t>ANGULO LUIS</t>
  </si>
  <si>
    <t>RAMOS DAVID</t>
  </si>
  <si>
    <t>NO RECUERDO DAMARY</t>
  </si>
  <si>
    <t>CANALES JANNETE</t>
  </si>
  <si>
    <t>CERON VICENTE</t>
  </si>
  <si>
    <t>INCRUSTACION SIGNUM</t>
  </si>
  <si>
    <t>CORONA PERIFERICA</t>
  </si>
  <si>
    <t>PROTESIS ACRILICA PARCIAL</t>
  </si>
  <si>
    <t>PERNO SIMPLE</t>
  </si>
  <si>
    <t>CORONA CEMENTADA</t>
  </si>
  <si>
    <t>CORONA ATORNILLADA</t>
  </si>
  <si>
    <t>PROVISORIO</t>
  </si>
  <si>
    <t>12-13</t>
  </si>
  <si>
    <t>3-5-5</t>
  </si>
  <si>
    <t>SUP</t>
  </si>
  <si>
    <t>7</t>
  </si>
  <si>
    <t>31</t>
  </si>
  <si>
    <t>30</t>
  </si>
  <si>
    <t>27</t>
  </si>
  <si>
    <t>SUP/INF</t>
  </si>
  <si>
    <t>FECHA
FACTURACION</t>
  </si>
  <si>
    <t>MONTO REALIZADO</t>
  </si>
  <si>
    <t>PROTESIS VALPLAST PARCIAL</t>
  </si>
  <si>
    <t>DICIEMBRE-2014</t>
  </si>
  <si>
    <t>ENERO-2015</t>
  </si>
  <si>
    <t>FEBRERO-2015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</si>
</sst>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[$-C0A]mmmm/yy;@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9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99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27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9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/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2" fontId="7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</cellXfs>
  <cellStyles count="4">
    <cellStyle name="Hipervínculo" xfId="2" builtinId="8"/>
    <cellStyle name="Moneda 2" xfId="3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4:M20"/>
  <sheetViews>
    <sheetView workbookViewId="0">
      <selection activeCell="L13" sqref="L13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11" customFormat="1" ht="25.5" x14ac:dyDescent="0.25">
      <c r="A4" s="12" t="s">
        <v>135</v>
      </c>
      <c r="B4" s="12" t="s">
        <v>136</v>
      </c>
      <c r="C4" s="13" t="s">
        <v>140</v>
      </c>
      <c r="D4" s="12" t="s">
        <v>137</v>
      </c>
      <c r="E4" s="12" t="s">
        <v>138</v>
      </c>
      <c r="F4" s="12" t="s">
        <v>139</v>
      </c>
      <c r="G4" s="12" t="s">
        <v>142</v>
      </c>
      <c r="H4" s="12" t="s">
        <v>141</v>
      </c>
      <c r="I4" s="12" t="s">
        <v>147</v>
      </c>
      <c r="J4" s="13" t="s">
        <v>143</v>
      </c>
      <c r="K4" s="13" t="s">
        <v>144</v>
      </c>
      <c r="L4" s="13" t="s">
        <v>193</v>
      </c>
      <c r="M4" s="13" t="s">
        <v>145</v>
      </c>
    </row>
    <row r="5" spans="1:13" s="11" customFormat="1" ht="12.75" x14ac:dyDescent="0.25">
      <c r="A5" s="14">
        <v>1</v>
      </c>
      <c r="B5" s="14">
        <v>11111</v>
      </c>
      <c r="C5" s="15">
        <v>41974</v>
      </c>
      <c r="D5" s="24" t="s">
        <v>169</v>
      </c>
      <c r="E5" s="14" t="s">
        <v>170</v>
      </c>
      <c r="F5" s="24" t="s">
        <v>178</v>
      </c>
      <c r="G5" s="14"/>
      <c r="H5" s="16" t="s">
        <v>185</v>
      </c>
      <c r="I5" s="14">
        <v>2</v>
      </c>
      <c r="J5" s="25">
        <v>10000</v>
      </c>
      <c r="K5" s="25">
        <f>I5*J5</f>
        <v>20000</v>
      </c>
      <c r="L5" s="16" t="s">
        <v>196</v>
      </c>
      <c r="M5" s="14"/>
    </row>
    <row r="6" spans="1:13" s="11" customFormat="1" ht="12.75" x14ac:dyDescent="0.25">
      <c r="A6" s="14">
        <v>2</v>
      </c>
      <c r="B6" s="14">
        <v>22222</v>
      </c>
      <c r="C6" s="15">
        <v>41974</v>
      </c>
      <c r="D6" s="24" t="s">
        <v>171</v>
      </c>
      <c r="E6" s="14" t="s">
        <v>170</v>
      </c>
      <c r="F6" s="24" t="s">
        <v>179</v>
      </c>
      <c r="G6" s="14"/>
      <c r="H6" s="16" t="s">
        <v>186</v>
      </c>
      <c r="I6" s="14">
        <v>3</v>
      </c>
      <c r="J6" s="25">
        <v>10001</v>
      </c>
      <c r="K6" s="25">
        <f t="shared" ref="K6:K12" si="0">I6*J6</f>
        <v>30003</v>
      </c>
      <c r="L6" s="16" t="s">
        <v>196</v>
      </c>
      <c r="M6" s="14"/>
    </row>
    <row r="7" spans="1:13" s="11" customFormat="1" ht="12.75" x14ac:dyDescent="0.25">
      <c r="A7" s="14">
        <v>3</v>
      </c>
      <c r="B7" s="14">
        <v>33333</v>
      </c>
      <c r="C7" s="15">
        <v>41974</v>
      </c>
      <c r="D7" s="24" t="s">
        <v>172</v>
      </c>
      <c r="E7" s="14" t="s">
        <v>170</v>
      </c>
      <c r="F7" s="24" t="s">
        <v>180</v>
      </c>
      <c r="G7" s="14"/>
      <c r="H7" s="16" t="s">
        <v>187</v>
      </c>
      <c r="I7" s="14">
        <v>1</v>
      </c>
      <c r="J7" s="25">
        <v>10002</v>
      </c>
      <c r="K7" s="25">
        <f t="shared" si="0"/>
        <v>10002</v>
      </c>
      <c r="L7" s="16" t="s">
        <v>196</v>
      </c>
      <c r="M7" s="14"/>
    </row>
    <row r="8" spans="1:13" s="11" customFormat="1" ht="12.75" x14ac:dyDescent="0.25">
      <c r="A8" s="14">
        <v>4</v>
      </c>
      <c r="B8" s="14">
        <v>44444</v>
      </c>
      <c r="C8" s="15">
        <v>41974</v>
      </c>
      <c r="D8" s="24" t="s">
        <v>173</v>
      </c>
      <c r="E8" s="14" t="s">
        <v>170</v>
      </c>
      <c r="F8" s="24" t="s">
        <v>181</v>
      </c>
      <c r="G8" s="14"/>
      <c r="H8" s="16" t="s">
        <v>188</v>
      </c>
      <c r="I8" s="14">
        <v>1</v>
      </c>
      <c r="J8" s="25">
        <v>10003</v>
      </c>
      <c r="K8" s="25">
        <f t="shared" si="0"/>
        <v>10003</v>
      </c>
      <c r="L8" s="16" t="s">
        <v>196</v>
      </c>
      <c r="M8" s="14"/>
    </row>
    <row r="9" spans="1:13" s="11" customFormat="1" ht="12.75" x14ac:dyDescent="0.25">
      <c r="A9" s="14">
        <v>5</v>
      </c>
      <c r="B9" s="14">
        <v>55555</v>
      </c>
      <c r="C9" s="15">
        <v>41974</v>
      </c>
      <c r="D9" s="24" t="s">
        <v>174</v>
      </c>
      <c r="E9" s="14" t="s">
        <v>170</v>
      </c>
      <c r="F9" s="24" t="s">
        <v>182</v>
      </c>
      <c r="G9" s="14"/>
      <c r="H9" s="16" t="s">
        <v>189</v>
      </c>
      <c r="I9" s="14">
        <v>1</v>
      </c>
      <c r="J9" s="25">
        <v>10004</v>
      </c>
      <c r="K9" s="25">
        <f t="shared" si="0"/>
        <v>10004</v>
      </c>
      <c r="L9" s="16" t="s">
        <v>197</v>
      </c>
      <c r="M9" s="14"/>
    </row>
    <row r="10" spans="1:13" s="11" customFormat="1" ht="12.75" x14ac:dyDescent="0.25">
      <c r="A10" s="14">
        <v>6</v>
      </c>
      <c r="B10" s="14">
        <v>66666</v>
      </c>
      <c r="C10" s="15">
        <v>41974</v>
      </c>
      <c r="D10" s="24" t="s">
        <v>175</v>
      </c>
      <c r="E10" s="14" t="s">
        <v>170</v>
      </c>
      <c r="F10" s="24" t="s">
        <v>183</v>
      </c>
      <c r="G10" s="14"/>
      <c r="H10" s="16" t="s">
        <v>190</v>
      </c>
      <c r="I10" s="14">
        <v>1</v>
      </c>
      <c r="J10" s="25">
        <v>10005</v>
      </c>
      <c r="K10" s="25">
        <f t="shared" si="0"/>
        <v>10005</v>
      </c>
      <c r="L10" s="16" t="s">
        <v>197</v>
      </c>
      <c r="M10" s="14"/>
    </row>
    <row r="11" spans="1:13" s="11" customFormat="1" ht="12.75" x14ac:dyDescent="0.25">
      <c r="A11" s="14">
        <v>7</v>
      </c>
      <c r="B11" s="14">
        <v>77777</v>
      </c>
      <c r="C11" s="15">
        <v>41974</v>
      </c>
      <c r="D11" s="24" t="s">
        <v>176</v>
      </c>
      <c r="E11" s="14" t="s">
        <v>170</v>
      </c>
      <c r="F11" s="24" t="s">
        <v>184</v>
      </c>
      <c r="G11" s="14"/>
      <c r="H11" s="16" t="s">
        <v>191</v>
      </c>
      <c r="I11" s="14">
        <v>1</v>
      </c>
      <c r="J11" s="25">
        <v>10006</v>
      </c>
      <c r="K11" s="25">
        <f t="shared" si="0"/>
        <v>10006</v>
      </c>
      <c r="L11" s="16" t="s">
        <v>198</v>
      </c>
      <c r="M11" s="14"/>
    </row>
    <row r="12" spans="1:13" s="11" customFormat="1" ht="12.75" x14ac:dyDescent="0.25">
      <c r="A12" s="14">
        <v>8</v>
      </c>
      <c r="B12" s="14">
        <v>88888</v>
      </c>
      <c r="C12" s="15">
        <v>41974</v>
      </c>
      <c r="D12" s="24" t="s">
        <v>177</v>
      </c>
      <c r="E12" s="14" t="s">
        <v>170</v>
      </c>
      <c r="F12" s="24" t="s">
        <v>195</v>
      </c>
      <c r="G12" s="14"/>
      <c r="H12" s="16" t="s">
        <v>192</v>
      </c>
      <c r="I12" s="14">
        <v>2</v>
      </c>
      <c r="J12" s="25">
        <v>10007</v>
      </c>
      <c r="K12" s="25">
        <f t="shared" si="0"/>
        <v>20014</v>
      </c>
      <c r="L12" s="16" t="s">
        <v>198</v>
      </c>
      <c r="M12" s="14"/>
    </row>
    <row r="13" spans="1:13" s="11" customFormat="1" ht="12.75" x14ac:dyDescent="0.25"/>
    <row r="14" spans="1:13" x14ac:dyDescent="0.25">
      <c r="L14" s="22"/>
    </row>
    <row r="20" spans="4:4" x14ac:dyDescent="0.25">
      <c r="D20" s="22"/>
    </row>
  </sheetData>
  <autoFilter ref="A4:M4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4:M20"/>
  <sheetViews>
    <sheetView tabSelected="1" workbookViewId="0">
      <selection activeCell="K7" sqref="K7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11" customFormat="1" ht="25.5" x14ac:dyDescent="0.25">
      <c r="A4" s="12" t="s">
        <v>135</v>
      </c>
      <c r="B4" s="12" t="s">
        <v>136</v>
      </c>
      <c r="C4" s="13" t="s">
        <v>140</v>
      </c>
      <c r="D4" s="12" t="s">
        <v>137</v>
      </c>
      <c r="E4" s="12" t="s">
        <v>138</v>
      </c>
      <c r="F4" s="12" t="s">
        <v>139</v>
      </c>
      <c r="G4" s="12" t="s">
        <v>142</v>
      </c>
      <c r="H4" s="12" t="s">
        <v>141</v>
      </c>
      <c r="I4" s="12" t="s">
        <v>147</v>
      </c>
      <c r="J4" s="13" t="s">
        <v>143</v>
      </c>
      <c r="K4" s="13" t="s">
        <v>144</v>
      </c>
      <c r="L4" s="13" t="s">
        <v>193</v>
      </c>
      <c r="M4" s="13" t="s">
        <v>145</v>
      </c>
    </row>
    <row r="5" spans="1:13" s="11" customFormat="1" ht="12.75" x14ac:dyDescent="0.25">
      <c r="A5" s="14">
        <v>1</v>
      </c>
      <c r="B5" s="14">
        <v>11111</v>
      </c>
      <c r="C5" s="15">
        <v>41974</v>
      </c>
      <c r="D5" s="24" t="s">
        <v>169</v>
      </c>
      <c r="E5" s="14" t="s">
        <v>170</v>
      </c>
      <c r="F5" s="24" t="s">
        <v>178</v>
      </c>
      <c r="G5" s="14"/>
      <c r="H5" s="16" t="s">
        <v>185</v>
      </c>
      <c r="I5" s="14">
        <v>2</v>
      </c>
      <c r="J5" s="25">
        <v>10000</v>
      </c>
      <c r="K5" s="25">
        <f>I5*J5</f>
        <v>20000</v>
      </c>
      <c r="L5" s="16" t="s">
        <v>196</v>
      </c>
      <c r="M5" s="14"/>
    </row>
    <row r="6" spans="1:13" s="11" customFormat="1" ht="12.75" x14ac:dyDescent="0.25">
      <c r="A6" s="14">
        <v>2</v>
      </c>
      <c r="B6" s="14">
        <v>22222</v>
      </c>
      <c r="C6" s="15">
        <v>41974</v>
      </c>
      <c r="D6" s="24" t="s">
        <v>171</v>
      </c>
      <c r="E6" s="14" t="s">
        <v>170</v>
      </c>
      <c r="F6" s="24" t="s">
        <v>179</v>
      </c>
      <c r="G6" s="14"/>
      <c r="H6" s="16" t="s">
        <v>186</v>
      </c>
      <c r="I6" s="14">
        <v>3</v>
      </c>
      <c r="J6" s="25">
        <v>10001</v>
      </c>
      <c r="K6" s="25">
        <f t="shared" ref="K6:K12" si="0">I6*J6</f>
        <v>30003</v>
      </c>
      <c r="L6" s="16" t="s">
        <v>196</v>
      </c>
      <c r="M6" s="14"/>
    </row>
    <row r="7" spans="1:13" s="11" customFormat="1" ht="12.75" x14ac:dyDescent="0.25">
      <c r="A7" s="14">
        <v>3</v>
      </c>
      <c r="B7" s="14">
        <v>33333</v>
      </c>
      <c r="C7" s="15">
        <v>41974</v>
      </c>
      <c r="D7" s="24" t="s">
        <v>172</v>
      </c>
      <c r="E7" s="14" t="s">
        <v>170</v>
      </c>
      <c r="F7" s="24" t="s">
        <v>180</v>
      </c>
      <c r="G7" s="14"/>
      <c r="H7" s="16" t="s">
        <v>187</v>
      </c>
      <c r="I7" s="14">
        <v>1</v>
      </c>
      <c r="J7" s="25">
        <v>10002</v>
      </c>
      <c r="K7" s="25">
        <f t="shared" si="0"/>
        <v>10002</v>
      </c>
      <c r="L7" s="16" t="s">
        <v>196</v>
      </c>
      <c r="M7" s="14"/>
    </row>
    <row r="8" spans="1:13" s="11" customFormat="1" ht="12.75" x14ac:dyDescent="0.25">
      <c r="A8" s="14">
        <v>4</v>
      </c>
      <c r="B8" s="14">
        <v>44444</v>
      </c>
      <c r="C8" s="15">
        <v>41974</v>
      </c>
      <c r="D8" s="24" t="s">
        <v>173</v>
      </c>
      <c r="E8" s="14" t="s">
        <v>170</v>
      </c>
      <c r="F8" s="24" t="s">
        <v>181</v>
      </c>
      <c r="G8" s="14"/>
      <c r="H8" s="16" t="s">
        <v>188</v>
      </c>
      <c r="I8" s="14">
        <v>1</v>
      </c>
      <c r="J8" s="25">
        <v>10003</v>
      </c>
      <c r="K8" s="25">
        <f t="shared" si="0"/>
        <v>10003</v>
      </c>
      <c r="L8" s="16" t="s">
        <v>196</v>
      </c>
      <c r="M8" s="14"/>
    </row>
    <row r="9" spans="1:13" s="11" customFormat="1" ht="12.75" x14ac:dyDescent="0.25">
      <c r="A9" s="14">
        <v>5</v>
      </c>
      <c r="B9" s="14">
        <v>55555</v>
      </c>
      <c r="C9" s="15">
        <v>41974</v>
      </c>
      <c r="D9" s="24" t="s">
        <v>174</v>
      </c>
      <c r="E9" s="14" t="s">
        <v>170</v>
      </c>
      <c r="F9" s="24" t="s">
        <v>182</v>
      </c>
      <c r="G9" s="14"/>
      <c r="H9" s="16" t="s">
        <v>189</v>
      </c>
      <c r="I9" s="14">
        <v>1</v>
      </c>
      <c r="J9" s="25">
        <v>10004</v>
      </c>
      <c r="K9" s="25">
        <f t="shared" si="0"/>
        <v>10004</v>
      </c>
      <c r="L9" s="16" t="s">
        <v>197</v>
      </c>
      <c r="M9" s="14"/>
    </row>
    <row r="10" spans="1:13" s="11" customFormat="1" ht="12.75" x14ac:dyDescent="0.25">
      <c r="A10" s="14">
        <v>6</v>
      </c>
      <c r="B10" s="14">
        <v>66666</v>
      </c>
      <c r="C10" s="15">
        <v>41974</v>
      </c>
      <c r="D10" s="24" t="s">
        <v>175</v>
      </c>
      <c r="E10" s="14" t="s">
        <v>170</v>
      </c>
      <c r="F10" s="24" t="s">
        <v>183</v>
      </c>
      <c r="G10" s="14"/>
      <c r="H10" s="16" t="s">
        <v>190</v>
      </c>
      <c r="I10" s="14">
        <v>1</v>
      </c>
      <c r="J10" s="25">
        <v>10005</v>
      </c>
      <c r="K10" s="25">
        <f t="shared" si="0"/>
        <v>10005</v>
      </c>
      <c r="L10" s="16" t="s">
        <v>197</v>
      </c>
      <c r="M10" s="14"/>
    </row>
    <row r="11" spans="1:13" s="11" customFormat="1" ht="12.75" x14ac:dyDescent="0.25">
      <c r="A11" s="14">
        <v>7</v>
      </c>
      <c r="B11" s="14">
        <v>77777</v>
      </c>
      <c r="C11" s="15">
        <v>41974</v>
      </c>
      <c r="D11" s="24" t="s">
        <v>176</v>
      </c>
      <c r="E11" s="14" t="s">
        <v>170</v>
      </c>
      <c r="F11" s="24" t="s">
        <v>184</v>
      </c>
      <c r="G11" s="14"/>
      <c r="H11" s="16" t="s">
        <v>191</v>
      </c>
      <c r="I11" s="14">
        <v>1</v>
      </c>
      <c r="J11" s="25">
        <v>10006</v>
      </c>
      <c r="K11" s="25">
        <f t="shared" si="0"/>
        <v>10006</v>
      </c>
      <c r="L11" s="16" t="s">
        <v>197</v>
      </c>
      <c r="M11" s="14"/>
    </row>
    <row r="12" spans="1:13" s="11" customFormat="1" ht="12.75" x14ac:dyDescent="0.25">
      <c r="A12" s="14">
        <v>8</v>
      </c>
      <c r="B12" s="14">
        <v>88888</v>
      </c>
      <c r="C12" s="15">
        <v>41974</v>
      </c>
      <c r="D12" s="24" t="s">
        <v>177</v>
      </c>
      <c r="E12" s="14" t="s">
        <v>170</v>
      </c>
      <c r="F12" s="24" t="s">
        <v>195</v>
      </c>
      <c r="G12" s="14"/>
      <c r="H12" s="16" t="s">
        <v>192</v>
      </c>
      <c r="I12" s="14">
        <v>2</v>
      </c>
      <c r="J12" s="25">
        <v>10007</v>
      </c>
      <c r="K12" s="25">
        <f t="shared" si="0"/>
        <v>20014</v>
      </c>
      <c r="L12" s="16" t="s">
        <v>197</v>
      </c>
      <c r="M12" s="14"/>
    </row>
    <row r="13" spans="1:13" s="11" customFormat="1" ht="12.75" x14ac:dyDescent="0.25"/>
    <row r="14" spans="1:13" x14ac:dyDescent="0.25">
      <c r="L14" s="22"/>
    </row>
    <row r="20" spans="4:4" x14ac:dyDescent="0.25">
      <c r="D20" s="22"/>
    </row>
  </sheetData>
  <autoFilter ref="A4:M4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O15"/>
  <sheetViews>
    <sheetView zoomScale="90" zoomScaleNormal="90" workbookViewId="0">
      <selection activeCell="E6" sqref="E6"/>
    </sheetView>
  </sheetViews>
  <sheetFormatPr baseColWidth="10" defaultRowHeight="15" x14ac:dyDescent="0.25"/>
  <cols>
    <col min="2" max="2" width="13.5703125" customWidth="1"/>
    <col min="3" max="3" width="29.7109375" customWidth="1"/>
    <col min="4" max="4" width="11.28515625" customWidth="1"/>
    <col min="5" max="5" width="28.140625" customWidth="1"/>
    <col min="6" max="6" width="32.140625" customWidth="1"/>
    <col min="7" max="8" width="20.140625" customWidth="1"/>
    <col min="9" max="9" width="12.85546875" customWidth="1"/>
    <col min="10" max="10" width="22.28515625" customWidth="1"/>
    <col min="11" max="11" width="10.5703125" customWidth="1"/>
    <col min="12" max="12" width="13.85546875" customWidth="1"/>
    <col min="13" max="13" width="18" customWidth="1"/>
    <col min="14" max="14" width="10.42578125" customWidth="1"/>
    <col min="15" max="15" width="26.42578125" customWidth="1"/>
  </cols>
  <sheetData>
    <row r="2" spans="1:15" ht="30" customHeight="1" x14ac:dyDescent="0.25"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8" t="s">
        <v>17</v>
      </c>
      <c r="H2" s="8" t="s">
        <v>18</v>
      </c>
      <c r="I2" s="8" t="s">
        <v>19</v>
      </c>
      <c r="J2" s="7" t="s">
        <v>5</v>
      </c>
      <c r="K2" s="7" t="s">
        <v>6</v>
      </c>
      <c r="L2" s="8" t="s">
        <v>20</v>
      </c>
      <c r="M2" s="7" t="s">
        <v>5</v>
      </c>
      <c r="N2" s="7" t="s">
        <v>6</v>
      </c>
      <c r="O2" s="8" t="s">
        <v>29</v>
      </c>
    </row>
    <row r="3" spans="1:15" ht="33" customHeight="1" x14ac:dyDescent="0.25">
      <c r="A3" s="1"/>
      <c r="B3" s="9" t="s">
        <v>7</v>
      </c>
      <c r="C3" s="3" t="s">
        <v>8</v>
      </c>
      <c r="D3" s="4" t="s">
        <v>9</v>
      </c>
      <c r="E3" s="3" t="s">
        <v>10</v>
      </c>
      <c r="F3" s="3" t="s">
        <v>11</v>
      </c>
      <c r="G3" s="3" t="s">
        <v>12</v>
      </c>
      <c r="H3" s="3" t="s">
        <v>14</v>
      </c>
      <c r="I3" s="2" t="s">
        <v>13</v>
      </c>
      <c r="J3" s="5" t="s">
        <v>15</v>
      </c>
      <c r="K3" s="6">
        <v>227638906</v>
      </c>
      <c r="L3" s="3" t="s">
        <v>21</v>
      </c>
      <c r="M3" s="5" t="s">
        <v>16</v>
      </c>
      <c r="N3" s="6" t="s">
        <v>88</v>
      </c>
      <c r="O3" s="5" t="s">
        <v>31</v>
      </c>
    </row>
    <row r="4" spans="1:15" ht="33" customHeight="1" x14ac:dyDescent="0.25">
      <c r="A4" s="1"/>
      <c r="B4" s="9" t="s">
        <v>22</v>
      </c>
      <c r="C4" s="3" t="s">
        <v>23</v>
      </c>
      <c r="D4" s="4" t="s">
        <v>24</v>
      </c>
      <c r="E4" s="3" t="s">
        <v>25</v>
      </c>
      <c r="F4" s="3" t="s">
        <v>11</v>
      </c>
      <c r="G4" s="3" t="s">
        <v>26</v>
      </c>
      <c r="H4" s="3" t="s">
        <v>14</v>
      </c>
      <c r="I4" s="2" t="s">
        <v>13</v>
      </c>
      <c r="J4" s="5" t="s">
        <v>15</v>
      </c>
      <c r="K4" s="6">
        <v>227638906</v>
      </c>
      <c r="L4" s="3" t="s">
        <v>27</v>
      </c>
      <c r="M4" s="5" t="s">
        <v>28</v>
      </c>
      <c r="N4" s="6" t="s">
        <v>89</v>
      </c>
      <c r="O4" s="5" t="s">
        <v>30</v>
      </c>
    </row>
    <row r="5" spans="1:15" ht="33" customHeight="1" x14ac:dyDescent="0.25">
      <c r="A5" s="1"/>
      <c r="B5" s="9" t="s">
        <v>40</v>
      </c>
      <c r="C5" s="3" t="s">
        <v>32</v>
      </c>
      <c r="D5" s="4" t="s">
        <v>33</v>
      </c>
      <c r="E5" s="3" t="s">
        <v>34</v>
      </c>
      <c r="F5" s="3" t="s">
        <v>35</v>
      </c>
      <c r="G5" s="3" t="s">
        <v>36</v>
      </c>
      <c r="H5" s="3" t="s">
        <v>14</v>
      </c>
      <c r="I5" s="2" t="s">
        <v>13</v>
      </c>
      <c r="J5" s="5" t="s">
        <v>15</v>
      </c>
      <c r="K5" s="6">
        <v>227638906</v>
      </c>
      <c r="L5" s="3" t="s">
        <v>37</v>
      </c>
      <c r="M5" s="5" t="s">
        <v>38</v>
      </c>
      <c r="N5" s="6" t="s">
        <v>90</v>
      </c>
      <c r="O5" s="5" t="s">
        <v>39</v>
      </c>
    </row>
    <row r="6" spans="1:15" ht="33" customHeight="1" x14ac:dyDescent="0.25">
      <c r="A6" s="1"/>
      <c r="B6" s="9" t="s">
        <v>41</v>
      </c>
      <c r="C6" s="3" t="s">
        <v>51</v>
      </c>
      <c r="D6" s="4" t="s">
        <v>52</v>
      </c>
      <c r="E6" s="3" t="s">
        <v>53</v>
      </c>
      <c r="F6" s="3" t="s">
        <v>35</v>
      </c>
      <c r="G6" s="3" t="s">
        <v>54</v>
      </c>
      <c r="H6" s="3" t="s">
        <v>14</v>
      </c>
      <c r="I6" s="2" t="s">
        <v>13</v>
      </c>
      <c r="J6" s="5" t="s">
        <v>15</v>
      </c>
      <c r="K6" s="6">
        <v>227638906</v>
      </c>
      <c r="L6" s="2"/>
      <c r="M6" s="5"/>
      <c r="N6" s="4"/>
      <c r="O6" s="5"/>
    </row>
    <row r="7" spans="1:15" ht="33" customHeight="1" x14ac:dyDescent="0.25">
      <c r="A7" s="1"/>
      <c r="B7" s="9" t="s">
        <v>42</v>
      </c>
      <c r="C7" s="3" t="s">
        <v>55</v>
      </c>
      <c r="D7" s="4" t="s">
        <v>56</v>
      </c>
      <c r="E7" s="3" t="s">
        <v>57</v>
      </c>
      <c r="F7" s="3" t="s">
        <v>11</v>
      </c>
      <c r="G7" s="3" t="s">
        <v>58</v>
      </c>
      <c r="H7" s="3"/>
      <c r="I7" s="2" t="s">
        <v>59</v>
      </c>
      <c r="J7" s="5" t="s">
        <v>60</v>
      </c>
      <c r="K7" s="4"/>
      <c r="L7" s="2" t="s">
        <v>61</v>
      </c>
      <c r="M7" s="5"/>
      <c r="N7" s="6" t="s">
        <v>91</v>
      </c>
      <c r="O7" s="5" t="s">
        <v>62</v>
      </c>
    </row>
    <row r="8" spans="1:15" ht="33" customHeight="1" x14ac:dyDescent="0.25">
      <c r="A8" s="1"/>
      <c r="B8" s="9" t="s">
        <v>43</v>
      </c>
      <c r="C8" s="3" t="s">
        <v>63</v>
      </c>
      <c r="D8" s="4" t="s">
        <v>64</v>
      </c>
      <c r="E8" s="3" t="s">
        <v>65</v>
      </c>
      <c r="F8" s="3" t="s">
        <v>66</v>
      </c>
      <c r="G8" s="3" t="s">
        <v>67</v>
      </c>
      <c r="H8" s="3"/>
      <c r="I8" s="2" t="s">
        <v>68</v>
      </c>
      <c r="J8" s="5" t="s">
        <v>69</v>
      </c>
      <c r="K8" s="4" t="s">
        <v>70</v>
      </c>
      <c r="L8" s="2" t="s">
        <v>71</v>
      </c>
      <c r="M8" s="5"/>
      <c r="N8" s="4"/>
      <c r="O8" s="5"/>
    </row>
    <row r="9" spans="1:15" ht="33" customHeight="1" x14ac:dyDescent="0.25">
      <c r="A9" s="1"/>
      <c r="B9" s="9" t="s">
        <v>44</v>
      </c>
      <c r="C9" s="3" t="s">
        <v>72</v>
      </c>
      <c r="D9" s="4" t="s">
        <v>73</v>
      </c>
      <c r="E9" s="3" t="s">
        <v>74</v>
      </c>
      <c r="F9" s="3" t="s">
        <v>11</v>
      </c>
      <c r="G9" s="3" t="s">
        <v>75</v>
      </c>
      <c r="H9" s="3" t="s">
        <v>14</v>
      </c>
      <c r="I9" s="2" t="s">
        <v>13</v>
      </c>
      <c r="J9" s="5" t="s">
        <v>15</v>
      </c>
      <c r="K9" s="6">
        <v>227638906</v>
      </c>
      <c r="L9" s="2" t="s">
        <v>76</v>
      </c>
      <c r="M9" s="5" t="s">
        <v>77</v>
      </c>
      <c r="N9" s="6" t="s">
        <v>78</v>
      </c>
      <c r="O9" s="5" t="s">
        <v>79</v>
      </c>
    </row>
    <row r="10" spans="1:15" ht="33" customHeight="1" x14ac:dyDescent="0.25">
      <c r="A10" s="1"/>
      <c r="B10" s="9" t="s">
        <v>45</v>
      </c>
      <c r="C10" s="3" t="s">
        <v>80</v>
      </c>
      <c r="D10" s="4" t="s">
        <v>81</v>
      </c>
      <c r="E10" s="3" t="s">
        <v>82</v>
      </c>
      <c r="F10" s="3" t="s">
        <v>83</v>
      </c>
      <c r="G10" s="3" t="s">
        <v>84</v>
      </c>
      <c r="H10" s="3"/>
      <c r="I10" s="2" t="s">
        <v>85</v>
      </c>
      <c r="J10" s="5" t="s">
        <v>86</v>
      </c>
      <c r="K10" s="4"/>
      <c r="L10" s="2" t="s">
        <v>87</v>
      </c>
      <c r="M10" s="5"/>
      <c r="N10" s="6" t="s">
        <v>92</v>
      </c>
      <c r="O10" s="5"/>
    </row>
    <row r="11" spans="1:15" ht="33" customHeight="1" x14ac:dyDescent="0.25">
      <c r="B11" s="9" t="s">
        <v>46</v>
      </c>
      <c r="C11" s="3" t="s">
        <v>93</v>
      </c>
      <c r="D11" s="4" t="s">
        <v>94</v>
      </c>
      <c r="E11" s="3" t="s">
        <v>95</v>
      </c>
      <c r="F11" s="3" t="s">
        <v>35</v>
      </c>
      <c r="G11" s="3" t="s">
        <v>96</v>
      </c>
      <c r="H11" s="3"/>
      <c r="I11" s="2"/>
      <c r="J11" s="5" t="s">
        <v>98</v>
      </c>
      <c r="K11" s="4"/>
      <c r="L11" s="2" t="s">
        <v>97</v>
      </c>
      <c r="M11" s="5"/>
      <c r="N11" s="4" t="s">
        <v>99</v>
      </c>
      <c r="O11" s="5" t="s">
        <v>100</v>
      </c>
    </row>
    <row r="12" spans="1:15" ht="33" customHeight="1" x14ac:dyDescent="0.25">
      <c r="A12" s="1"/>
      <c r="B12" s="9" t="s">
        <v>47</v>
      </c>
      <c r="C12" s="3" t="s">
        <v>101</v>
      </c>
      <c r="D12" s="4" t="s">
        <v>102</v>
      </c>
      <c r="E12" s="3" t="s">
        <v>103</v>
      </c>
      <c r="F12" s="3" t="s">
        <v>35</v>
      </c>
      <c r="G12" s="3" t="s">
        <v>104</v>
      </c>
      <c r="H12" s="3" t="s">
        <v>14</v>
      </c>
      <c r="I12" s="2" t="s">
        <v>13</v>
      </c>
      <c r="J12" s="5" t="s">
        <v>15</v>
      </c>
      <c r="K12" s="6">
        <v>227638906</v>
      </c>
      <c r="L12" s="2" t="s">
        <v>105</v>
      </c>
      <c r="M12" s="5" t="s">
        <v>106</v>
      </c>
      <c r="N12" s="6" t="s">
        <v>107</v>
      </c>
      <c r="O12" s="5" t="s">
        <v>108</v>
      </c>
    </row>
    <row r="13" spans="1:15" ht="33" customHeight="1" x14ac:dyDescent="0.25">
      <c r="A13" s="1"/>
      <c r="B13" s="9" t="s">
        <v>48</v>
      </c>
      <c r="C13" s="3" t="s">
        <v>109</v>
      </c>
      <c r="D13" s="4" t="s">
        <v>110</v>
      </c>
      <c r="E13" s="3" t="s">
        <v>111</v>
      </c>
      <c r="F13" s="3" t="s">
        <v>35</v>
      </c>
      <c r="G13" s="3" t="s">
        <v>112</v>
      </c>
      <c r="H13" s="3"/>
      <c r="I13" s="2" t="s">
        <v>113</v>
      </c>
      <c r="J13" s="5"/>
      <c r="K13" s="4"/>
      <c r="L13" s="2" t="s">
        <v>115</v>
      </c>
      <c r="M13" s="5" t="s">
        <v>114</v>
      </c>
      <c r="N13" s="6" t="s">
        <v>116</v>
      </c>
      <c r="O13" s="5" t="s">
        <v>117</v>
      </c>
    </row>
    <row r="14" spans="1:15" ht="33" customHeight="1" x14ac:dyDescent="0.25">
      <c r="B14" s="9" t="s">
        <v>49</v>
      </c>
      <c r="C14" s="3" t="s">
        <v>118</v>
      </c>
      <c r="D14" s="4" t="s">
        <v>119</v>
      </c>
      <c r="E14" s="3" t="s">
        <v>120</v>
      </c>
      <c r="F14" s="3" t="s">
        <v>11</v>
      </c>
      <c r="G14" s="3" t="s">
        <v>121</v>
      </c>
      <c r="H14" s="3"/>
      <c r="I14" s="2" t="s">
        <v>122</v>
      </c>
      <c r="J14" s="5" t="s">
        <v>114</v>
      </c>
      <c r="K14" s="4"/>
      <c r="L14" s="2" t="s">
        <v>124</v>
      </c>
      <c r="M14" s="5"/>
      <c r="N14" s="6" t="s">
        <v>125</v>
      </c>
      <c r="O14" s="5" t="s">
        <v>123</v>
      </c>
    </row>
    <row r="15" spans="1:15" ht="33" customHeight="1" x14ac:dyDescent="0.25">
      <c r="B15" s="9" t="s">
        <v>50</v>
      </c>
      <c r="C15" s="3" t="s">
        <v>126</v>
      </c>
      <c r="D15" s="4" t="s">
        <v>127</v>
      </c>
      <c r="E15" s="3" t="s">
        <v>128</v>
      </c>
      <c r="F15" s="3" t="s">
        <v>11</v>
      </c>
      <c r="G15" s="3" t="s">
        <v>129</v>
      </c>
      <c r="H15" s="3"/>
      <c r="I15" s="2" t="s">
        <v>130</v>
      </c>
      <c r="J15" s="5" t="s">
        <v>131</v>
      </c>
      <c r="K15" s="4"/>
      <c r="L15" s="2" t="s">
        <v>132</v>
      </c>
      <c r="M15" s="5"/>
      <c r="N15" s="6" t="s">
        <v>133</v>
      </c>
      <c r="O15" s="5" t="s">
        <v>134</v>
      </c>
    </row>
  </sheetData>
  <autoFilter ref="B2:N2"/>
  <hyperlinks>
    <hyperlink ref="J3" r:id="rId1"/>
    <hyperlink ref="M3" r:id="rId2"/>
    <hyperlink ref="J4" r:id="rId3"/>
    <hyperlink ref="O3" r:id="rId4" display="bodegaestacioncentral@unosalud.cl"/>
    <hyperlink ref="J5" r:id="rId5"/>
    <hyperlink ref="J6" r:id="rId6"/>
    <hyperlink ref="J9" r:id="rId7"/>
    <hyperlink ref="J10" r:id="rId8" display="dr.cristian.eggers@gmail.com_x000a_"/>
    <hyperlink ref="J12" r:id="rId9"/>
    <hyperlink ref="O13" r:id="rId10"/>
  </hyperlinks>
  <pageMargins left="0.7" right="0.7" top="0.75" bottom="0.75" header="0.3" footer="0.3"/>
  <pageSetup orientation="portrait" horizontalDpi="0" verticalDpi="0"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4:M13"/>
  <sheetViews>
    <sheetView workbookViewId="0">
      <selection activeCell="L7" sqref="L7"/>
    </sheetView>
  </sheetViews>
  <sheetFormatPr baseColWidth="10" defaultRowHeight="15" x14ac:dyDescent="0.25"/>
  <cols>
    <col min="1" max="1" width="5.28515625" customWidth="1"/>
    <col min="2" max="2" width="8.28515625" customWidth="1"/>
    <col min="4" max="4" width="24.5703125" customWidth="1"/>
    <col min="5" max="5" width="13" customWidth="1"/>
    <col min="6" max="6" width="29.5703125" customWidth="1"/>
    <col min="7" max="7" width="10.7109375" customWidth="1"/>
    <col min="9" max="9" width="5.42578125" customWidth="1"/>
    <col min="11" max="11" width="12" customWidth="1"/>
    <col min="12" max="12" width="15.140625" customWidth="1"/>
    <col min="13" max="13" width="24" customWidth="1"/>
  </cols>
  <sheetData>
    <row r="4" spans="1:13" s="11" customFormat="1" ht="25.5" x14ac:dyDescent="0.25">
      <c r="A4" s="12" t="s">
        <v>135</v>
      </c>
      <c r="B4" s="12" t="s">
        <v>136</v>
      </c>
      <c r="C4" s="13" t="s">
        <v>140</v>
      </c>
      <c r="D4" s="12" t="s">
        <v>137</v>
      </c>
      <c r="E4" s="12" t="s">
        <v>138</v>
      </c>
      <c r="F4" s="12" t="s">
        <v>139</v>
      </c>
      <c r="G4" s="12" t="s">
        <v>142</v>
      </c>
      <c r="H4" s="12" t="s">
        <v>141</v>
      </c>
      <c r="I4" s="12" t="s">
        <v>147</v>
      </c>
      <c r="J4" s="13" t="s">
        <v>143</v>
      </c>
      <c r="K4" s="13" t="s">
        <v>144</v>
      </c>
      <c r="L4" s="13" t="s">
        <v>193</v>
      </c>
      <c r="M4" s="13" t="s">
        <v>145</v>
      </c>
    </row>
    <row r="5" spans="1:13" s="11" customFormat="1" ht="12.75" x14ac:dyDescent="0.25">
      <c r="A5" s="14">
        <v>1</v>
      </c>
      <c r="B5" s="14">
        <v>11111</v>
      </c>
      <c r="C5" s="15">
        <v>41974</v>
      </c>
      <c r="D5" s="24" t="s">
        <v>169</v>
      </c>
      <c r="E5" s="14" t="s">
        <v>170</v>
      </c>
      <c r="F5" s="24" t="s">
        <v>178</v>
      </c>
      <c r="G5" s="14"/>
      <c r="H5" s="16" t="s">
        <v>185</v>
      </c>
      <c r="I5" s="14">
        <v>2</v>
      </c>
      <c r="J5" s="25">
        <v>10000</v>
      </c>
      <c r="K5" s="25">
        <f>I5*J5</f>
        <v>20000</v>
      </c>
      <c r="L5" s="23">
        <v>41974</v>
      </c>
      <c r="M5" s="14"/>
    </row>
    <row r="6" spans="1:13" s="11" customFormat="1" ht="12.75" x14ac:dyDescent="0.25">
      <c r="A6" s="14">
        <v>2</v>
      </c>
      <c r="B6" s="14">
        <v>22222</v>
      </c>
      <c r="C6" s="15">
        <v>41974</v>
      </c>
      <c r="D6" s="24" t="s">
        <v>171</v>
      </c>
      <c r="E6" s="14" t="s">
        <v>170</v>
      </c>
      <c r="F6" s="24" t="s">
        <v>179</v>
      </c>
      <c r="G6" s="14"/>
      <c r="H6" s="16" t="s">
        <v>186</v>
      </c>
      <c r="I6" s="14">
        <v>3</v>
      </c>
      <c r="J6" s="25">
        <v>10001</v>
      </c>
      <c r="K6" s="25">
        <f t="shared" ref="K6:K12" si="0">I6*J6</f>
        <v>30003</v>
      </c>
      <c r="L6" s="23">
        <v>41974</v>
      </c>
      <c r="M6" s="14"/>
    </row>
    <row r="7" spans="1:13" s="11" customFormat="1" ht="12.75" x14ac:dyDescent="0.25">
      <c r="A7" s="14">
        <v>3</v>
      </c>
      <c r="B7" s="14">
        <v>33333</v>
      </c>
      <c r="C7" s="15">
        <v>41974</v>
      </c>
      <c r="D7" s="24" t="s">
        <v>172</v>
      </c>
      <c r="E7" s="14" t="s">
        <v>170</v>
      </c>
      <c r="F7" s="24" t="s">
        <v>180</v>
      </c>
      <c r="G7" s="14"/>
      <c r="H7" s="16" t="s">
        <v>187</v>
      </c>
      <c r="I7" s="14">
        <v>1</v>
      </c>
      <c r="J7" s="25">
        <v>10002</v>
      </c>
      <c r="K7" s="25">
        <f t="shared" si="0"/>
        <v>10002</v>
      </c>
      <c r="L7" s="23">
        <v>41974</v>
      </c>
      <c r="M7" s="14"/>
    </row>
    <row r="8" spans="1:13" s="11" customFormat="1" ht="12.75" x14ac:dyDescent="0.25">
      <c r="A8" s="14">
        <v>4</v>
      </c>
      <c r="B8" s="14">
        <v>44444</v>
      </c>
      <c r="C8" s="15">
        <v>41974</v>
      </c>
      <c r="D8" s="24" t="s">
        <v>173</v>
      </c>
      <c r="E8" s="14" t="s">
        <v>170</v>
      </c>
      <c r="F8" s="24" t="s">
        <v>181</v>
      </c>
      <c r="G8" s="14"/>
      <c r="H8" s="16" t="s">
        <v>188</v>
      </c>
      <c r="I8" s="14">
        <v>1</v>
      </c>
      <c r="J8" s="25">
        <v>10003</v>
      </c>
      <c r="K8" s="25">
        <f t="shared" si="0"/>
        <v>10003</v>
      </c>
      <c r="L8" s="23">
        <v>41974</v>
      </c>
      <c r="M8" s="14"/>
    </row>
    <row r="9" spans="1:13" s="11" customFormat="1" ht="12.75" x14ac:dyDescent="0.25">
      <c r="A9" s="14">
        <v>5</v>
      </c>
      <c r="B9" s="14">
        <v>55555</v>
      </c>
      <c r="C9" s="15">
        <v>41974</v>
      </c>
      <c r="D9" s="24" t="s">
        <v>174</v>
      </c>
      <c r="E9" s="14" t="s">
        <v>170</v>
      </c>
      <c r="F9" s="24" t="s">
        <v>182</v>
      </c>
      <c r="G9" s="14"/>
      <c r="H9" s="16" t="s">
        <v>189</v>
      </c>
      <c r="I9" s="14">
        <v>1</v>
      </c>
      <c r="J9" s="25">
        <v>10004</v>
      </c>
      <c r="K9" s="25">
        <f t="shared" si="0"/>
        <v>10004</v>
      </c>
      <c r="L9" s="23">
        <v>41974</v>
      </c>
      <c r="M9" s="14"/>
    </row>
    <row r="10" spans="1:13" s="11" customFormat="1" ht="12.75" x14ac:dyDescent="0.25">
      <c r="A10" s="14">
        <v>6</v>
      </c>
      <c r="B10" s="14">
        <v>66666</v>
      </c>
      <c r="C10" s="15">
        <v>41974</v>
      </c>
      <c r="D10" s="24" t="s">
        <v>175</v>
      </c>
      <c r="E10" s="14" t="s">
        <v>170</v>
      </c>
      <c r="F10" s="24" t="s">
        <v>183</v>
      </c>
      <c r="G10" s="14"/>
      <c r="H10" s="16" t="s">
        <v>190</v>
      </c>
      <c r="I10" s="14">
        <v>1</v>
      </c>
      <c r="J10" s="25">
        <v>10005</v>
      </c>
      <c r="K10" s="25">
        <f t="shared" si="0"/>
        <v>10005</v>
      </c>
      <c r="L10" s="23">
        <v>42005</v>
      </c>
      <c r="M10" s="14"/>
    </row>
    <row r="11" spans="1:13" s="11" customFormat="1" ht="12.75" x14ac:dyDescent="0.25">
      <c r="A11" s="14">
        <v>7</v>
      </c>
      <c r="B11" s="14">
        <v>77777</v>
      </c>
      <c r="C11" s="15">
        <v>41974</v>
      </c>
      <c r="D11" s="24" t="s">
        <v>176</v>
      </c>
      <c r="E11" s="14" t="s">
        <v>170</v>
      </c>
      <c r="F11" s="24" t="s">
        <v>184</v>
      </c>
      <c r="G11" s="14"/>
      <c r="H11" s="16" t="s">
        <v>191</v>
      </c>
      <c r="I11" s="14">
        <v>1</v>
      </c>
      <c r="J11" s="25">
        <v>10006</v>
      </c>
      <c r="K11" s="25">
        <f t="shared" si="0"/>
        <v>10006</v>
      </c>
      <c r="L11" s="23">
        <v>42005</v>
      </c>
      <c r="M11" s="14"/>
    </row>
    <row r="12" spans="1:13" s="11" customFormat="1" ht="12.75" x14ac:dyDescent="0.25">
      <c r="A12" s="14">
        <v>8</v>
      </c>
      <c r="B12" s="14">
        <v>88888</v>
      </c>
      <c r="C12" s="15">
        <v>41974</v>
      </c>
      <c r="D12" s="24" t="s">
        <v>177</v>
      </c>
      <c r="E12" s="14" t="s">
        <v>170</v>
      </c>
      <c r="F12" s="24" t="s">
        <v>195</v>
      </c>
      <c r="G12" s="14"/>
      <c r="H12" s="16" t="s">
        <v>192</v>
      </c>
      <c r="I12" s="14">
        <v>2</v>
      </c>
      <c r="J12" s="25">
        <v>10007</v>
      </c>
      <c r="K12" s="25">
        <f t="shared" si="0"/>
        <v>20014</v>
      </c>
      <c r="L12" s="23">
        <v>42005</v>
      </c>
      <c r="M12" s="14"/>
    </row>
    <row r="13" spans="1:13" s="11" customFormat="1" ht="12.75" x14ac:dyDescent="0.25"/>
  </sheetData>
  <autoFilter ref="A4:M4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1"/>
  <sheetViews>
    <sheetView workbookViewId="0">
      <selection activeCell="C2" sqref="C2"/>
    </sheetView>
  </sheetViews>
  <sheetFormatPr baseColWidth="10" defaultRowHeight="15" x14ac:dyDescent="0.25"/>
  <cols>
    <col min="1" max="1" width="21.140625" customWidth="1"/>
    <col min="2" max="3" width="14.7109375" customWidth="1"/>
    <col min="9" max="9" width="28.28515625" customWidth="1"/>
  </cols>
  <sheetData>
    <row r="1" spans="1:9" ht="25.5" x14ac:dyDescent="0.25">
      <c r="A1" s="18" t="s">
        <v>0</v>
      </c>
      <c r="B1" s="18" t="s">
        <v>146</v>
      </c>
      <c r="C1" s="18" t="s">
        <v>194</v>
      </c>
      <c r="D1" s="19" t="s">
        <v>148</v>
      </c>
      <c r="E1" s="18" t="s">
        <v>153</v>
      </c>
      <c r="F1" s="18" t="s">
        <v>149</v>
      </c>
      <c r="G1" s="19" t="s">
        <v>150</v>
      </c>
      <c r="H1" s="18" t="s">
        <v>151</v>
      </c>
      <c r="I1" s="19" t="s">
        <v>152</v>
      </c>
    </row>
    <row r="2" spans="1:9" x14ac:dyDescent="0.25">
      <c r="A2" s="17"/>
      <c r="B2" s="26"/>
      <c r="C2" s="17"/>
      <c r="D2" s="17"/>
      <c r="E2" s="17"/>
      <c r="F2" s="17"/>
      <c r="G2" s="17"/>
      <c r="H2" s="17"/>
      <c r="I2" s="17"/>
    </row>
    <row r="3" spans="1:9" x14ac:dyDescent="0.25">
      <c r="A3" s="17"/>
      <c r="B3" s="26"/>
      <c r="C3" s="17"/>
      <c r="D3" s="17"/>
      <c r="E3" s="17"/>
      <c r="F3" s="17"/>
      <c r="G3" s="17"/>
      <c r="H3" s="17"/>
      <c r="I3" s="17"/>
    </row>
    <row r="4" spans="1:9" x14ac:dyDescent="0.25">
      <c r="A4" s="17"/>
      <c r="B4" s="26"/>
      <c r="C4" s="17"/>
      <c r="D4" s="17"/>
      <c r="E4" s="17"/>
      <c r="F4" s="17"/>
      <c r="G4" s="17"/>
      <c r="H4" s="17"/>
      <c r="I4" s="17"/>
    </row>
    <row r="5" spans="1:9" x14ac:dyDescent="0.25">
      <c r="A5" s="17"/>
      <c r="B5" s="26"/>
      <c r="C5" s="17"/>
      <c r="D5" s="17"/>
      <c r="E5" s="17"/>
      <c r="F5" s="17"/>
      <c r="G5" s="17"/>
      <c r="H5" s="17"/>
      <c r="I5" s="17"/>
    </row>
    <row r="6" spans="1:9" x14ac:dyDescent="0.25">
      <c r="A6" s="17"/>
      <c r="B6" s="26"/>
      <c r="C6" s="17"/>
      <c r="D6" s="17"/>
      <c r="E6" s="17"/>
      <c r="F6" s="17"/>
      <c r="G6" s="17"/>
      <c r="H6" s="17"/>
      <c r="I6" s="17"/>
    </row>
    <row r="7" spans="1:9" x14ac:dyDescent="0.25">
      <c r="A7" s="17"/>
      <c r="B7" s="26"/>
      <c r="C7" s="17"/>
      <c r="D7" s="17"/>
      <c r="E7" s="17"/>
      <c r="F7" s="17"/>
      <c r="G7" s="17"/>
      <c r="H7" s="17"/>
      <c r="I7" s="17"/>
    </row>
    <row r="8" spans="1:9" x14ac:dyDescent="0.25">
      <c r="A8" s="17"/>
      <c r="B8" s="26"/>
      <c r="C8" s="17"/>
      <c r="D8" s="17"/>
      <c r="E8" s="17"/>
      <c r="F8" s="17"/>
      <c r="G8" s="17"/>
      <c r="H8" s="17"/>
      <c r="I8" s="17"/>
    </row>
    <row r="11" spans="1:9" x14ac:dyDescent="0.25">
      <c r="B11" s="22"/>
    </row>
  </sheetData>
  <autoFilter ref="A1:I1">
    <sortState ref="A2:H2">
      <sortCondition ref="D1"/>
    </sortState>
  </autoFilter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9"/>
  <sheetViews>
    <sheetView workbookViewId="0">
      <selection activeCell="C3" sqref="C3"/>
    </sheetView>
  </sheetViews>
  <sheetFormatPr baseColWidth="10" defaultRowHeight="15" x14ac:dyDescent="0.25"/>
  <cols>
    <col min="1" max="1" width="8.28515625" style="10" customWidth="1"/>
    <col min="2" max="2" width="18.7109375" customWidth="1"/>
    <col min="3" max="3" width="26.5703125" customWidth="1"/>
  </cols>
  <sheetData>
    <row r="1" spans="1:3" x14ac:dyDescent="0.25">
      <c r="A1" s="20" t="s">
        <v>154</v>
      </c>
      <c r="B1" s="20" t="s">
        <v>0</v>
      </c>
      <c r="C1" s="20" t="s">
        <v>3</v>
      </c>
    </row>
    <row r="2" spans="1:3" x14ac:dyDescent="0.25">
      <c r="A2" s="21" t="s">
        <v>155</v>
      </c>
      <c r="B2" s="17" t="s">
        <v>7</v>
      </c>
      <c r="C2" s="17"/>
    </row>
    <row r="3" spans="1:3" x14ac:dyDescent="0.25">
      <c r="A3" s="21" t="s">
        <v>156</v>
      </c>
      <c r="B3" s="17" t="s">
        <v>22</v>
      </c>
      <c r="C3" s="17"/>
    </row>
    <row r="4" spans="1:3" x14ac:dyDescent="0.25">
      <c r="A4" s="21" t="s">
        <v>157</v>
      </c>
      <c r="B4" s="17" t="s">
        <v>40</v>
      </c>
      <c r="C4" s="17"/>
    </row>
    <row r="5" spans="1:3" x14ac:dyDescent="0.25">
      <c r="A5" s="21" t="s">
        <v>159</v>
      </c>
      <c r="B5" s="17" t="s">
        <v>162</v>
      </c>
      <c r="C5" s="17"/>
    </row>
    <row r="6" spans="1:3" x14ac:dyDescent="0.25">
      <c r="A6" s="21" t="s">
        <v>158</v>
      </c>
      <c r="B6" s="17" t="s">
        <v>42</v>
      </c>
      <c r="C6" s="17"/>
    </row>
    <row r="7" spans="1:3" x14ac:dyDescent="0.25">
      <c r="A7" s="21" t="s">
        <v>160</v>
      </c>
      <c r="B7" s="17" t="s">
        <v>43</v>
      </c>
      <c r="C7" s="17"/>
    </row>
    <row r="8" spans="1:3" x14ac:dyDescent="0.25">
      <c r="A8" s="21" t="s">
        <v>161</v>
      </c>
      <c r="B8" s="17" t="s">
        <v>44</v>
      </c>
      <c r="C8" s="17"/>
    </row>
    <row r="9" spans="1:3" x14ac:dyDescent="0.25">
      <c r="A9" s="21" t="s">
        <v>163</v>
      </c>
      <c r="B9" s="17" t="s">
        <v>45</v>
      </c>
      <c r="C9" s="17"/>
    </row>
    <row r="10" spans="1:3" x14ac:dyDescent="0.25">
      <c r="A10" s="21" t="s">
        <v>164</v>
      </c>
      <c r="B10" s="17" t="s">
        <v>46</v>
      </c>
      <c r="C10" s="17"/>
    </row>
    <row r="11" spans="1:3" x14ac:dyDescent="0.25">
      <c r="A11" s="21" t="s">
        <v>165</v>
      </c>
      <c r="B11" s="17" t="s">
        <v>47</v>
      </c>
      <c r="C11" s="17"/>
    </row>
    <row r="12" spans="1:3" x14ac:dyDescent="0.25">
      <c r="A12" s="21" t="s">
        <v>166</v>
      </c>
      <c r="B12" s="17" t="s">
        <v>48</v>
      </c>
      <c r="C12" s="17"/>
    </row>
    <row r="13" spans="1:3" x14ac:dyDescent="0.25">
      <c r="A13" s="21" t="s">
        <v>167</v>
      </c>
      <c r="B13" s="17" t="s">
        <v>49</v>
      </c>
      <c r="C13" s="17"/>
    </row>
    <row r="14" spans="1:3" x14ac:dyDescent="0.25">
      <c r="A14" s="21" t="s">
        <v>168</v>
      </c>
      <c r="B14" s="17" t="s">
        <v>50</v>
      </c>
      <c r="C14" s="17"/>
    </row>
    <row r="19" spans="5:5" x14ac:dyDescent="0.25">
      <c r="E19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ESTACION CENTRAL</vt:lpstr>
      <vt:lpstr>MONEDA</vt:lpstr>
      <vt:lpstr>DATOS_FACTURACION</vt:lpstr>
      <vt:lpstr>PLANILLA_SUCURSAL</vt:lpstr>
      <vt:lpstr>FACTURACION</vt:lpstr>
      <vt:lpstr>SUCURSAL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dcterms:created xsi:type="dcterms:W3CDTF">2014-12-18T14:07:09Z</dcterms:created>
  <dcterms:modified xsi:type="dcterms:W3CDTF">2015-01-02T10:43:42Z</dcterms:modified>
</cp:coreProperties>
</file>