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e9873eca45e41f1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aed3e53acf704e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iego\c\ESTADOS DE CUENTA\8. ESTADOS DE CUENTA 2015\1. CENTROS ESPECIALES 2015\"/>
    </mc:Choice>
  </mc:AlternateContent>
  <bookViews>
    <workbookView xWindow="0" yWindow="0" windowWidth="19320" windowHeight="7905" tabRatio="739" firstSheet="4" activeTab="11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PAGOSLIBRO" sheetId="27" r:id="rId11"/>
    <sheet name="FACTURACION" sheetId="3" r:id="rId12"/>
    <sheet name="ARANCEL" sheetId="9" r:id="rId13"/>
    <sheet name="DATOS" sheetId="1" r:id="rId14"/>
    <sheet name="2014" sheetId="22" r:id="rId15"/>
    <sheet name="2013" sheetId="23" r:id="rId16"/>
  </sheets>
  <functionGroups builtInGroupCount="18"/>
  <definedNames>
    <definedName name="_xlnm._FilterDatabase" localSheetId="12" hidden="1">ARANCEL!$A$1:$F$1</definedName>
    <definedName name="_xlnm._FilterDatabase" localSheetId="0" hidden="1">COYANCURA!$A$12:$M$12</definedName>
    <definedName name="_xlnm._FilterDatabase" localSheetId="13" hidden="1">DATOS!$A$1:$N$1</definedName>
    <definedName name="_xlnm._FilterDatabase" localSheetId="1" hidden="1">'ESTACION CENTRAL'!$A$40:$M$40</definedName>
    <definedName name="_xlnm._FilterDatabase" localSheetId="11" hidden="1">FACTURACION!$A$1:$J$1</definedName>
    <definedName name="_xlnm._FilterDatabase" localSheetId="2" hidden="1">'LA CONCEPCION'!$A$12:$M$12</definedName>
    <definedName name="_xlnm._FilterDatabase" localSheetId="3" hidden="1">'LA FLORIDA'!$A$28:$M$28</definedName>
    <definedName name="_xlnm._FilterDatabase" localSheetId="4" hidden="1">MAIPU!$A$52:$M$52</definedName>
    <definedName name="_xlnm._FilterDatabase" localSheetId="5" hidden="1">MONEDA!$A$26:$M$26</definedName>
    <definedName name="_xlnm._FilterDatabase" localSheetId="9" hidden="1">PLANILLA!$A$10:$M$10</definedName>
    <definedName name="_xlnm._FilterDatabase" localSheetId="6" hidden="1">'PUERTO MONTT'!$A$64:$M$64</definedName>
    <definedName name="_xlnm._FilterDatabase" localSheetId="7" hidden="1">'SAN BERNARDO'!$A$15:$M$15</definedName>
    <definedName name="_xlnm._FilterDatabase" localSheetId="8" hidden="1">'SANTA LUCIA'!$A$39:$M$39</definedName>
    <definedName name="Z_2FF84F20_24FA_470A_90D6_CC6F37C0C571_.wvu.Cols" localSheetId="14" hidden="1">'2014'!$H:$H</definedName>
    <definedName name="Z_2FF84F20_24FA_470A_90D6_CC6F37C0C571_.wvu.Cols" localSheetId="10" hidden="1">PAGOSLIBRO!#REF!,PAGOSLIBRO!#REF!</definedName>
    <definedName name="Z_2FF84F20_24FA_470A_90D6_CC6F37C0C571_.wvu.Rows" localSheetId="14" hidden="1">'2014'!$1:$28</definedName>
    <definedName name="Z_7EB163C9_2CE5_4CD2_B65D_C0E61B2AC316_.wvu.Cols" localSheetId="14" hidden="1">'2014'!$H:$H</definedName>
    <definedName name="Z_7EB163C9_2CE5_4CD2_B65D_C0E61B2AC316_.wvu.Cols" localSheetId="10" hidden="1">PAGOSLIBRO!#REF!,PAGOSLIBRO!#REF!</definedName>
    <definedName name="Z_7EB163C9_2CE5_4CD2_B65D_C0E61B2AC316_.wvu.Rows" localSheetId="14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7" i="18" l="1"/>
  <c r="J27" i="18"/>
  <c r="J31" i="19" l="1"/>
  <c r="K31" i="19" s="1"/>
  <c r="J32" i="19"/>
  <c r="K32" i="19" s="1"/>
  <c r="J33" i="19"/>
  <c r="K33" i="19" s="1"/>
  <c r="J34" i="19"/>
  <c r="K34" i="19" s="1"/>
  <c r="J35" i="19"/>
  <c r="K35" i="19" s="1"/>
  <c r="J36" i="19"/>
  <c r="K36" i="19" s="1"/>
  <c r="J37" i="19"/>
  <c r="K37" i="19" s="1"/>
  <c r="J38" i="19"/>
  <c r="K38" i="19" s="1"/>
  <c r="K40" i="19"/>
  <c r="J40" i="19"/>
  <c r="J60" i="21"/>
  <c r="K60" i="21" s="1"/>
  <c r="J61" i="21"/>
  <c r="K61" i="21" s="1"/>
  <c r="J62" i="21"/>
  <c r="K62" i="21" s="1"/>
  <c r="J63" i="21"/>
  <c r="K63" i="21" s="1"/>
  <c r="K65" i="21"/>
  <c r="J65" i="21"/>
  <c r="K66" i="21"/>
  <c r="J66" i="21"/>
  <c r="J54" i="21"/>
  <c r="K54" i="21" s="1"/>
  <c r="J55" i="21"/>
  <c r="K55" i="21" s="1"/>
  <c r="J56" i="21"/>
  <c r="K56" i="21" s="1"/>
  <c r="J57" i="21"/>
  <c r="K57" i="21" s="1"/>
  <c r="J58" i="21"/>
  <c r="K58" i="21" s="1"/>
  <c r="J23" i="18"/>
  <c r="K23" i="18" s="1"/>
  <c r="J24" i="18"/>
  <c r="K24" i="18" s="1"/>
  <c r="J25" i="18"/>
  <c r="K25" i="18" s="1"/>
  <c r="K28" i="18"/>
  <c r="J28" i="18"/>
  <c r="K29" i="18"/>
  <c r="J29" i="18"/>
  <c r="K30" i="18"/>
  <c r="J30" i="18"/>
  <c r="J46" i="17"/>
  <c r="K46" i="17" s="1"/>
  <c r="J47" i="17"/>
  <c r="K47" i="17" s="1"/>
  <c r="J48" i="17"/>
  <c r="K48" i="17" s="1"/>
  <c r="J49" i="17"/>
  <c r="K49" i="17" s="1"/>
  <c r="J50" i="17"/>
  <c r="K50" i="17" s="1"/>
  <c r="J51" i="17"/>
  <c r="K51" i="17" s="1"/>
  <c r="K53" i="17"/>
  <c r="J53" i="17"/>
  <c r="K54" i="17"/>
  <c r="J54" i="17"/>
  <c r="K55" i="17"/>
  <c r="J55" i="17"/>
  <c r="K56" i="17"/>
  <c r="J56" i="17"/>
  <c r="K29" i="16"/>
  <c r="J29" i="16"/>
  <c r="K30" i="16"/>
  <c r="J30" i="16"/>
  <c r="K31" i="16"/>
  <c r="J31" i="16"/>
  <c r="K32" i="16"/>
  <c r="J32" i="16"/>
  <c r="K13" i="25"/>
  <c r="J13" i="25"/>
  <c r="K14" i="25"/>
  <c r="J14" i="25"/>
  <c r="K15" i="25"/>
  <c r="J15" i="25"/>
  <c r="J37" i="15"/>
  <c r="K37" i="15" s="1"/>
  <c r="J38" i="15"/>
  <c r="K38" i="15" s="1"/>
  <c r="J39" i="15"/>
  <c r="K39" i="15" s="1"/>
  <c r="K41" i="15"/>
  <c r="J41" i="15"/>
  <c r="K42" i="15"/>
  <c r="J42" i="15"/>
  <c r="K43" i="15"/>
  <c r="J43" i="15"/>
  <c r="K44" i="15"/>
  <c r="J44" i="15"/>
  <c r="K16" i="20" l="1"/>
  <c r="J16" i="20"/>
  <c r="K46" i="15" l="1"/>
  <c r="J46" i="15"/>
  <c r="K45" i="15"/>
  <c r="J45" i="15"/>
  <c r="J36" i="15"/>
  <c r="K36" i="15" s="1"/>
  <c r="K35" i="15"/>
  <c r="J34" i="15"/>
  <c r="K34" i="15" s="1"/>
  <c r="K42" i="19"/>
  <c r="J42" i="19"/>
  <c r="K41" i="19"/>
  <c r="J41" i="19"/>
  <c r="K68" i="21"/>
  <c r="J68" i="21"/>
  <c r="K67" i="21"/>
  <c r="J67" i="21"/>
  <c r="J59" i="21"/>
  <c r="K59" i="21" s="1"/>
  <c r="J53" i="21"/>
  <c r="K53" i="21" s="1"/>
  <c r="J52" i="21"/>
  <c r="K52" i="21" s="1"/>
  <c r="J51" i="21"/>
  <c r="K51" i="21" s="1"/>
  <c r="J50" i="21"/>
  <c r="K50" i="21" s="1"/>
  <c r="J49" i="21"/>
  <c r="K49" i="21" s="1"/>
  <c r="J48" i="21"/>
  <c r="K48" i="21" s="1"/>
  <c r="J47" i="21"/>
  <c r="K47" i="21" s="1"/>
  <c r="J46" i="21"/>
  <c r="K46" i="21" s="1"/>
  <c r="K32" i="18"/>
  <c r="J32" i="18"/>
  <c r="K31" i="18"/>
  <c r="J31" i="18"/>
  <c r="J45" i="17"/>
  <c r="K45" i="17" s="1"/>
  <c r="J44" i="17"/>
  <c r="K44" i="17" s="1"/>
  <c r="J43" i="17"/>
  <c r="K43" i="17" s="1"/>
  <c r="K33" i="16"/>
  <c r="J33" i="16"/>
  <c r="J27" i="16"/>
  <c r="K27" i="16" s="1"/>
  <c r="J26" i="16"/>
  <c r="K26" i="16" s="1"/>
  <c r="E43" i="27" l="1"/>
  <c r="E44" i="27" s="1"/>
  <c r="J43" i="27"/>
  <c r="J44" i="27" s="1"/>
  <c r="I43" i="27"/>
  <c r="I44" i="27" s="1"/>
  <c r="N43" i="27"/>
  <c r="N44" i="27" s="1"/>
  <c r="P21" i="27"/>
  <c r="P18" i="27"/>
  <c r="P33" i="27"/>
  <c r="O43" i="27"/>
  <c r="O44" i="27" s="1"/>
  <c r="P15" i="27"/>
  <c r="K43" i="27"/>
  <c r="K44" i="27" s="1"/>
  <c r="P39" i="27"/>
  <c r="P30" i="27"/>
  <c r="H43" i="27"/>
  <c r="H44" i="27" s="1"/>
  <c r="P9" i="27"/>
  <c r="G43" i="27"/>
  <c r="G44" i="27" s="1"/>
  <c r="P27" i="27"/>
  <c r="P36" i="27"/>
  <c r="L43" i="27"/>
  <c r="L44" i="27" s="1"/>
  <c r="P12" i="27"/>
  <c r="P6" i="27"/>
  <c r="P3" i="27"/>
  <c r="D43" i="27"/>
  <c r="D44" i="27" s="1"/>
  <c r="M43" i="27"/>
  <c r="M44" i="27" s="1"/>
  <c r="P24" i="27"/>
  <c r="F43" i="27"/>
  <c r="F44" i="27" s="1"/>
  <c r="K58" i="17"/>
  <c r="J58" i="17"/>
  <c r="K57" i="17"/>
  <c r="J57" i="17"/>
  <c r="P44" i="27" l="1"/>
  <c r="P43" i="27"/>
  <c r="J22" i="18"/>
  <c r="K22" i="18" s="1"/>
  <c r="J21" i="18"/>
  <c r="K21" i="18" s="1"/>
  <c r="J33" i="15"/>
  <c r="K33" i="15" s="1"/>
  <c r="J32" i="15"/>
  <c r="K32" i="15" s="1"/>
  <c r="J31" i="15"/>
  <c r="K31" i="15" s="1"/>
  <c r="J24" i="19" l="1"/>
  <c r="K24" i="19" s="1"/>
  <c r="J25" i="19"/>
  <c r="K25" i="19" s="1"/>
  <c r="J26" i="19"/>
  <c r="K26" i="19" s="1"/>
  <c r="J27" i="19"/>
  <c r="K27" i="19" s="1"/>
  <c r="J28" i="19"/>
  <c r="K28" i="19" s="1"/>
  <c r="J20" i="19"/>
  <c r="K20" i="19" s="1"/>
  <c r="J21" i="19"/>
  <c r="K21" i="19" s="1"/>
  <c r="J22" i="19"/>
  <c r="K22" i="19" s="1"/>
  <c r="J23" i="19"/>
  <c r="K23" i="19" s="1"/>
  <c r="J29" i="19"/>
  <c r="K29" i="19" s="1"/>
  <c r="J35" i="21"/>
  <c r="K35" i="21" s="1"/>
  <c r="J36" i="21"/>
  <c r="K36" i="21" s="1"/>
  <c r="J37" i="21"/>
  <c r="K37" i="21" s="1"/>
  <c r="J38" i="21"/>
  <c r="K38" i="21" s="1"/>
  <c r="J39" i="21"/>
  <c r="K39" i="21" s="1"/>
  <c r="J40" i="21"/>
  <c r="K40" i="21" s="1"/>
  <c r="J34" i="21"/>
  <c r="K34" i="21" s="1"/>
  <c r="K41" i="21"/>
  <c r="K42" i="21"/>
  <c r="J43" i="21"/>
  <c r="K43" i="21" s="1"/>
  <c r="J29" i="21"/>
  <c r="K29" i="21" s="1"/>
  <c r="J30" i="21"/>
  <c r="K30" i="21" s="1"/>
  <c r="J31" i="21"/>
  <c r="K31" i="21" s="1"/>
  <c r="J32" i="21"/>
  <c r="K32" i="21" s="1"/>
  <c r="J24" i="21"/>
  <c r="K24" i="21" s="1"/>
  <c r="J25" i="21"/>
  <c r="K25" i="21" s="1"/>
  <c r="J26" i="21"/>
  <c r="K26" i="21" s="1"/>
  <c r="J27" i="21"/>
  <c r="K27" i="21" s="1"/>
  <c r="J18" i="21"/>
  <c r="K18" i="21" s="1"/>
  <c r="J19" i="21"/>
  <c r="K19" i="21" s="1"/>
  <c r="J20" i="21"/>
  <c r="K20" i="21" s="1"/>
  <c r="J21" i="21"/>
  <c r="K21" i="21" s="1"/>
  <c r="J22" i="21"/>
  <c r="K22" i="21" s="1"/>
  <c r="J23" i="21"/>
  <c r="K23" i="21" s="1"/>
  <c r="J37" i="17"/>
  <c r="K37" i="17" s="1"/>
  <c r="J38" i="17"/>
  <c r="K38" i="17" s="1"/>
  <c r="J39" i="17"/>
  <c r="K39" i="17" s="1"/>
  <c r="J40" i="17"/>
  <c r="K40" i="17" s="1"/>
  <c r="J33" i="17"/>
  <c r="K33" i="17" s="1"/>
  <c r="J34" i="17"/>
  <c r="K34" i="17" s="1"/>
  <c r="J35" i="17"/>
  <c r="K35" i="17" s="1"/>
  <c r="J28" i="17"/>
  <c r="K28" i="17" s="1"/>
  <c r="J29" i="17"/>
  <c r="K29" i="17" s="1"/>
  <c r="J30" i="17"/>
  <c r="K30" i="17" s="1"/>
  <c r="J31" i="17"/>
  <c r="K31" i="17" s="1"/>
  <c r="J32" i="17"/>
  <c r="K32" i="17" s="1"/>
  <c r="J20" i="17"/>
  <c r="K20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36" i="17"/>
  <c r="K36" i="17" s="1"/>
  <c r="J41" i="17"/>
  <c r="K41" i="17" s="1"/>
  <c r="J42" i="17"/>
  <c r="K42" i="17" s="1"/>
  <c r="J19" i="16"/>
  <c r="K19" i="16" s="1"/>
  <c r="J20" i="16"/>
  <c r="K20" i="16" s="1"/>
  <c r="J21" i="16"/>
  <c r="K21" i="16" s="1"/>
  <c r="J22" i="16"/>
  <c r="K22" i="16" s="1"/>
  <c r="J23" i="16"/>
  <c r="K23" i="16" s="1"/>
  <c r="J24" i="16"/>
  <c r="K24" i="16" s="1"/>
  <c r="K20" i="25"/>
  <c r="J20" i="25"/>
  <c r="K19" i="25"/>
  <c r="J19" i="25"/>
  <c r="K18" i="25"/>
  <c r="J18" i="25"/>
  <c r="K17" i="25"/>
  <c r="J17" i="25"/>
  <c r="K16" i="25"/>
  <c r="J16" i="25"/>
  <c r="J11" i="25"/>
  <c r="K11" i="25" s="1"/>
  <c r="J10" i="25"/>
  <c r="K10" i="25" s="1"/>
  <c r="I8" i="25"/>
  <c r="C8" i="25"/>
  <c r="I7" i="25"/>
  <c r="C7" i="25"/>
  <c r="I6" i="25"/>
  <c r="C6" i="25"/>
  <c r="I5" i="25"/>
  <c r="C5" i="25"/>
  <c r="I4" i="25"/>
  <c r="C4" i="25"/>
  <c r="I3" i="25"/>
  <c r="C3" i="25"/>
  <c r="J25" i="15"/>
  <c r="K25" i="15" s="1"/>
  <c r="J26" i="15"/>
  <c r="K26" i="15" s="1"/>
  <c r="J27" i="15"/>
  <c r="K27" i="15" s="1"/>
  <c r="J28" i="15"/>
  <c r="K28" i="15" s="1"/>
  <c r="J20" i="15"/>
  <c r="K20" i="15" s="1"/>
  <c r="J21" i="15"/>
  <c r="K21" i="15" s="1"/>
  <c r="J22" i="15"/>
  <c r="K22" i="15" s="1"/>
  <c r="J23" i="15"/>
  <c r="K23" i="15" s="1"/>
  <c r="J16" i="15"/>
  <c r="K16" i="15" s="1"/>
  <c r="J17" i="15"/>
  <c r="K17" i="15" s="1"/>
  <c r="J18" i="15"/>
  <c r="K18" i="15" s="1"/>
  <c r="J19" i="15"/>
  <c r="K19" i="15" s="1"/>
  <c r="J24" i="15"/>
  <c r="K24" i="15" s="1"/>
  <c r="C3" i="24"/>
  <c r="K17" i="24"/>
  <c r="J17" i="24"/>
  <c r="K16" i="24"/>
  <c r="J16" i="24"/>
  <c r="K15" i="24"/>
  <c r="J15" i="24"/>
  <c r="K14" i="24"/>
  <c r="J14" i="24"/>
  <c r="K13" i="24"/>
  <c r="J13" i="24"/>
  <c r="K11" i="24"/>
  <c r="J10" i="24"/>
  <c r="K10" i="24" s="1"/>
  <c r="I8" i="24"/>
  <c r="C8" i="24"/>
  <c r="I7" i="24"/>
  <c r="C7" i="24"/>
  <c r="I6" i="24"/>
  <c r="C6" i="24"/>
  <c r="I5" i="24"/>
  <c r="C5" i="24"/>
  <c r="I4" i="24"/>
  <c r="C4" i="24"/>
  <c r="I3" i="24"/>
  <c r="K12" i="18" l="1"/>
  <c r="K11" i="18"/>
  <c r="K10" i="18"/>
  <c r="K13" i="19" l="1"/>
  <c r="K12" i="19"/>
  <c r="K11" i="19"/>
  <c r="K10" i="19"/>
  <c r="K12" i="16" l="1"/>
  <c r="K11" i="16"/>
  <c r="K10" i="16"/>
  <c r="J45" i="21" l="1"/>
  <c r="K45" i="21" s="1"/>
  <c r="J44" i="21"/>
  <c r="K44" i="21" s="1"/>
  <c r="J33" i="21"/>
  <c r="K33" i="21" s="1"/>
  <c r="J11" i="21"/>
  <c r="K11" i="21" s="1"/>
  <c r="J28" i="21"/>
  <c r="K28" i="21" s="1"/>
  <c r="J17" i="21"/>
  <c r="K17" i="21" s="1"/>
  <c r="J16" i="21"/>
  <c r="K16" i="21" s="1"/>
  <c r="J15" i="21"/>
  <c r="K15" i="21" s="1"/>
  <c r="J14" i="21"/>
  <c r="K14" i="21" s="1"/>
  <c r="J13" i="21"/>
  <c r="K13" i="21" s="1"/>
  <c r="J12" i="21"/>
  <c r="K12" i="21" s="1"/>
  <c r="J10" i="21"/>
  <c r="K10" i="21" s="1"/>
  <c r="I8" i="21"/>
  <c r="C8" i="21"/>
  <c r="I7" i="21"/>
  <c r="C7" i="21"/>
  <c r="I6" i="21"/>
  <c r="C6" i="21"/>
  <c r="I5" i="21"/>
  <c r="C5" i="21"/>
  <c r="I4" i="21"/>
  <c r="C4" i="21"/>
  <c r="I3" i="21"/>
  <c r="C3" i="21"/>
  <c r="K17" i="20"/>
  <c r="J17" i="20"/>
  <c r="J14" i="20"/>
  <c r="K14" i="20" s="1"/>
  <c r="J13" i="20"/>
  <c r="K13" i="20" s="1"/>
  <c r="J12" i="20"/>
  <c r="K12" i="20" s="1"/>
  <c r="J11" i="20"/>
  <c r="K11" i="20" s="1"/>
  <c r="J10" i="20"/>
  <c r="K10" i="20" s="1"/>
  <c r="I8" i="20"/>
  <c r="C8" i="20"/>
  <c r="I7" i="20"/>
  <c r="C7" i="20"/>
  <c r="I6" i="20"/>
  <c r="C6" i="20"/>
  <c r="I5" i="20"/>
  <c r="C5" i="20"/>
  <c r="I4" i="20"/>
  <c r="C4" i="20"/>
  <c r="I3" i="20"/>
  <c r="C3" i="20"/>
  <c r="J30" i="19" l="1"/>
  <c r="K30" i="19" s="1"/>
  <c r="J19" i="19"/>
  <c r="K19" i="19" s="1"/>
  <c r="J18" i="19"/>
  <c r="K18" i="19" s="1"/>
  <c r="J17" i="19"/>
  <c r="K17" i="19" s="1"/>
  <c r="J16" i="19"/>
  <c r="K16" i="19" s="1"/>
  <c r="J15" i="19"/>
  <c r="K15" i="19" s="1"/>
  <c r="J14" i="19"/>
  <c r="K14" i="19" s="1"/>
  <c r="I8" i="19"/>
  <c r="C8" i="19"/>
  <c r="I7" i="19"/>
  <c r="C7" i="19"/>
  <c r="I6" i="19"/>
  <c r="C6" i="19"/>
  <c r="I5" i="19"/>
  <c r="C5" i="19"/>
  <c r="I4" i="19"/>
  <c r="C4" i="19"/>
  <c r="I3" i="19"/>
  <c r="C3" i="19"/>
  <c r="K20" i="18"/>
  <c r="K19" i="18"/>
  <c r="J18" i="18"/>
  <c r="K18" i="18" s="1"/>
  <c r="J17" i="18"/>
  <c r="K17" i="18" s="1"/>
  <c r="J16" i="18"/>
  <c r="K16" i="18" s="1"/>
  <c r="J15" i="18"/>
  <c r="K15" i="18" s="1"/>
  <c r="J14" i="18"/>
  <c r="K14" i="18" s="1"/>
  <c r="J13" i="18"/>
  <c r="K13" i="18" s="1"/>
  <c r="I8" i="18"/>
  <c r="C8" i="18"/>
  <c r="I7" i="18"/>
  <c r="C7" i="18"/>
  <c r="I6" i="18"/>
  <c r="C6" i="18"/>
  <c r="I5" i="18"/>
  <c r="C5" i="18"/>
  <c r="I4" i="18"/>
  <c r="C4" i="18"/>
  <c r="I3" i="18"/>
  <c r="C3" i="18"/>
  <c r="J17" i="17"/>
  <c r="K17" i="17" s="1"/>
  <c r="K16" i="17"/>
  <c r="J15" i="17"/>
  <c r="K15" i="17" s="1"/>
  <c r="K13" i="11"/>
  <c r="J19" i="17" l="1"/>
  <c r="K19" i="17" s="1"/>
  <c r="J18" i="17"/>
  <c r="K18" i="17" s="1"/>
  <c r="J14" i="17"/>
  <c r="K14" i="17" s="1"/>
  <c r="J13" i="17"/>
  <c r="K13" i="17" s="1"/>
  <c r="J12" i="17"/>
  <c r="K12" i="17" s="1"/>
  <c r="J11" i="17"/>
  <c r="K11" i="17" s="1"/>
  <c r="J10" i="17"/>
  <c r="K10" i="17" s="1"/>
  <c r="I8" i="17"/>
  <c r="C8" i="17"/>
  <c r="I7" i="17"/>
  <c r="C7" i="17"/>
  <c r="I6" i="17"/>
  <c r="C6" i="17"/>
  <c r="I5" i="17"/>
  <c r="C5" i="17"/>
  <c r="I4" i="17"/>
  <c r="C4" i="17"/>
  <c r="I3" i="17"/>
  <c r="C3" i="17"/>
  <c r="J25" i="16" l="1"/>
  <c r="K25" i="16" s="1"/>
  <c r="J18" i="16"/>
  <c r="K18" i="16" s="1"/>
  <c r="J17" i="16"/>
  <c r="K17" i="16" s="1"/>
  <c r="J16" i="16"/>
  <c r="K16" i="16" s="1"/>
  <c r="J15" i="16"/>
  <c r="K15" i="16" s="1"/>
  <c r="J14" i="16"/>
  <c r="K14" i="16" s="1"/>
  <c r="J13" i="16"/>
  <c r="K13" i="16" s="1"/>
  <c r="I8" i="16"/>
  <c r="C8" i="16"/>
  <c r="I7" i="16"/>
  <c r="C7" i="16"/>
  <c r="I6" i="16"/>
  <c r="C6" i="16"/>
  <c r="I5" i="16"/>
  <c r="C5" i="16"/>
  <c r="I4" i="16"/>
  <c r="C4" i="16"/>
  <c r="I3" i="16"/>
  <c r="C3" i="16"/>
  <c r="J30" i="15"/>
  <c r="K30" i="15" s="1"/>
  <c r="J29" i="15"/>
  <c r="K29" i="15" s="1"/>
  <c r="J15" i="15"/>
  <c r="K15" i="15" s="1"/>
  <c r="J14" i="15"/>
  <c r="K14" i="15" s="1"/>
  <c r="J13" i="15"/>
  <c r="K13" i="15" s="1"/>
  <c r="J12" i="15"/>
  <c r="K12" i="15" s="1"/>
  <c r="J11" i="15"/>
  <c r="K11" i="15" s="1"/>
  <c r="J10" i="15"/>
  <c r="K10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12" i="11" l="1"/>
  <c r="K12" i="11" s="1"/>
  <c r="J13" i="11"/>
  <c r="J11" i="11"/>
  <c r="K11" i="11" s="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<sst xmlns="http://schemas.openxmlformats.org/spreadsheetml/2006/main" count="18842" uniqueCount="3253">
  <si>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</si>
  <si>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</si>
  <si>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</si>
  <si>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</si>
  <si>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</si>
  <si>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</si>
  <si>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</si>
  <si>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</si>
  <si>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</si>
  <si>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</si>
  <si>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</si>
  <si>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</si>
  <si>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</si>
  <si>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</si>
  <si>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</si>
  <si>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</si>
  <si>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</si>
  <si>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</si>
  <si>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</si>
  <si>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</si>
  <si>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</si>
  <si>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</si>
  <si>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</si>
  <si>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</si>
  <si>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</si>
  <si>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</si>
  <si>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</si>
  <si>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</si>
  <si>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</si>
  <si>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</si>
  <si>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</si>
  <si>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</si>
  <si>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</si>
  <si>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</si>
  <si>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</si>
  <si>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</si>
  <si>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</si>
  <si>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</si>
  <si>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</si>
  <si>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</si>
  <si>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</si>
  <si>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</si>
  <si>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</si>
  <si>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</si>
  <si>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</si>
  <si>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</si>
  <si>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</si>
  <si>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</si>
  <si>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</si>
  <si>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</si>
  <si>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</si>
  <si>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</si>
  <si>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</si>
  <si>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</si>
  <si>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</si>
  <si>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</si>
  <si>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</si>
  <si>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</si>
  <si>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</si>
  <si>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</si>
  <si>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</si>
  <si>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</si>
  <si>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</si>
  <si>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</si>
  <si>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</si>
  <si>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</si>
  <si>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</si>
  <si>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</si>
  <si>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</si>
  <si>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</si>
  <si>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</si>
  <si>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</si>
  <si>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</si>
  <si>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</si>
  <si>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</si>
  <si>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</si>
  <si>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</si>
  <si>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</si>
  <si>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</si>
  <si>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</si>
  <si>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</si>
  <si>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</si>
  <si>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</si>
  <si>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</si>
  <si>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</si>
  <si>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</si>
  <si>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</si>
  <si>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</si>
  <si>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</si>
  <si>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</si>
  <si>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</si>
  <si>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</si>
  <si>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</si>
  <si>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</si>
  <si>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</si>
  <si>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</si>
  <si>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</si>
  <si>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</si>
  <si>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</si>
  <si>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</si>
  <si>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</si>
  <si>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</si>
  <si>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</si>
  <si>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</si>
  <si>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</si>
  <si>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</si>
  <si>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</si>
  <si>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</si>
  <si>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</si>
  <si>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</si>
  <si>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</si>
  <si>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</si>
  <si>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</si>
  <si>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</si>
  <si>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</si>
  <si>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</si>
  <si>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</si>
  <si>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</si>
  <si>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</si>
  <si>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</si>
  <si>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</si>
  <si>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</si>
  <si>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</si>
  <si>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</si>
  <si>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</si>
  <si>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</si>
  <si>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</si>
  <si>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</si>
  <si>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</si>
  <si>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</si>
  <si>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</si>
  <si>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</si>
  <si>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</si>
  <si>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</si>
  <si>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</si>
  <si>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</si>
  <si>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</si>
  <si>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</si>
  <si>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</si>
  <si>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</si>
  <si>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</si>
  <si>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</si>
  <si>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</si>
  <si>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</si>
  <si>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</si>
  <si>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</si>
  <si>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</si>
  <si>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</si>
  <si>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</si>
  <si>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</si>
  <si>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</si>
  <si>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</si>
  <si>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</si>
  <si>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</si>
  <si>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</si>
  <si>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</si>
  <si>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</si>
  <si>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</si>
  <si>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</si>
  <si>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</si>
  <si>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</si>
  <si>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</si>
  <si>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</si>
  <si>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</si>
  <si>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</si>
  <si>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</si>
  <si>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</si>
  <si>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</si>
  <si>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</si>
  <si>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</si>
  <si>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</si>
  <si>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</si>
  <si>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</si>
  <si>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</si>
  <si>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</si>
  <si>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</si>
  <si>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</si>
  <si>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</si>
  <si>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</si>
  <si>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</si>
  <si>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</si>
  <si>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</si>
  <si>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</si>
  <si>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</si>
  <si>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</si>
  <si>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</si>
  <si>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</si>
  <si>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</si>
  <si>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</si>
  <si>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</si>
  <si>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</si>
  <si>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</si>
  <si>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</si>
  <si>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</si>
  <si>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</si>
  <si>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</si>
  <si>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</si>
  <si>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</si>
  <si>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</si>
  <si>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</si>
  <si>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</si>
  <si>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</si>
  <si>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</si>
  <si>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</si>
  <si>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</si>
  <si>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</si>
  <si>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</si>
  <si>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</si>
  <si>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</si>
  <si>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</si>
  <si>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</si>
  <si>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</si>
  <si>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</si>
  <si>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</si>
  <si>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</si>
  <si>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</si>
  <si>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</si>
  <si>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</si>
  <si>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</si>
  <si>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</si>
  <si>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</si>
  <si>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</si>
  <si>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</si>
  <si>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</si>
  <si>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</si>
  <si>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</si>
  <si>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</si>
  <si>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</si>
  <si>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</si>
  <si>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</si>
  <si>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</si>
  <si>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</si>
  <si>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</si>
  <si>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</si>
  <si>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</si>
  <si>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</si>
  <si>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</si>
  <si>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</si>
  <si>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</si>
  <si>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</si>
  <si>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</si>
  <si>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</si>
  <si>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</si>
  <si>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</si>
  <si>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</si>
  <si>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</si>
  <si>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</si>
  <si>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</si>
  <si>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</si>
  <si>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</si>
  <si>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</si>
  <si>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</si>
  <si>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</si>
  <si>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</si>
  <si>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</si>
  <si>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</si>
  <si>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</si>
  <si>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</si>
  <si>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</si>
  <si>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</si>
  <si>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</si>
  <si>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</si>
  <si>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</si>
  <si>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</si>
  <si>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</si>
  <si>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</si>
  <si>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</si>
  <si>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</si>
  <si>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</si>
  <si>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</si>
  <si>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</si>
  <si>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</si>
  <si>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</si>
  <si>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</si>
  <si>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</si>
  <si>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</si>
  <si>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</si>
  <si>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</si>
  <si>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</si>
  <si>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</si>
  <si>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</si>
  <si>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</si>
  <si>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</si>
  <si>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</si>
  <si>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</si>
  <si>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</si>
  <si>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</si>
  <si>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</si>
  <si>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</si>
  <si>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</si>
  <si>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</si>
  <si>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</si>
  <si>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</si>
  <si>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</si>
  <si>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</si>
  <si>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</si>
  <si>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</si>
  <si>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</si>
  <si>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</si>
  <si>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</si>
  <si>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</si>
  <si>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</si>
  <si>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</si>
  <si>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</si>
  <si>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</si>
  <si>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</si>
  <si>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</si>
  <si>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</si>
  <si>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</si>
  <si>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</si>
  <si>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</si>
  <si>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</si>
  <si>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</si>
  <si>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</si>
  <si>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</si>
  <si>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</si>
  <si>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</si>
  <si>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</si>
  <si>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</si>
  <si>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</si>
  <si>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</si>
  <si>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</si>
  <si>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</si>
  <si>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</si>
  <si>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</si>
  <si>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</si>
  <si>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</si>
  <si>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</si>
  <si>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</si>
  <si>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</si>
  <si>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</si>
  <si>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</si>
  <si>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</si>
  <si>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</si>
  <si>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</si>
  <si>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</si>
  <si>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</si>
  <si>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</si>
  <si>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</si>
  <si>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</si>
  <si>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</si>
  <si>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</si>
  <si>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</si>
  <si>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</si>
  <si>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</si>
  <si>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</si>
  <si>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</si>
  <si>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</si>
  <si>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</si>
  <si>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</si>
  <si>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</si>
  <si>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</si>
  <si>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</si>
  <si>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</si>
  <si>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</si>
  <si>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</si>
  <si>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</si>
  <si>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</si>
  <si>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</si>
  <si>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</si>
  <si>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</si>
  <si>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</si>
  <si>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</si>
  <si>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</si>
  <si>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</si>
  <si>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</si>
  <si>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</si>
  <si>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</si>
  <si>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</si>
  <si>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</si>
  <si>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</si>
  <si>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</si>
  <si>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</si>
  <si>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</si>
  <si>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</si>
  <si>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</si>
  <si>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</si>
  <si>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</si>
  <si>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</si>
  <si>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</si>
  <si>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</si>
  <si>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</si>
  <si>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</si>
  <si>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</si>
  <si>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</si>
  <si>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</si>
  <si>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</si>
  <si>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</si>
  <si>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</si>
  <si>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</si>
  <si>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</si>
  <si>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</si>
  <si>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</si>
  <si>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</si>
  <si>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</si>
  <si>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</si>
  <si>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</si>
  <si>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</si>
  <si>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</si>
  <si>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</si>
  <si>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</si>
  <si>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</si>
  <si>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</si>
  <si>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</si>
  <si>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</si>
  <si>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</si>
  <si>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</si>
  <si>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</si>
  <si>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</si>
  <si>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</si>
  <si>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</si>
  <si>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</si>
  <si>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</si>
  <si>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</si>
  <si>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</si>
  <si>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</si>
  <si>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</si>
  <si>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</si>
  <si>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</si>
  <si>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</si>
  <si>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</si>
  <si>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</si>
  <si>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</si>
  <si>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</si>
  <si>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</si>
  <si>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</si>
  <si>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</si>
  <si>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</si>
  <si>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</si>
  <si>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</si>
  <si>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</si>
  <si>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</si>
  <si>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</si>
  <si>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</si>
  <si>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</si>
  <si>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</si>
  <si>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</si>
  <si>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</si>
  <si>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</si>
  <si>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</si>
  <si>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</si>
  <si>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</si>
  <si>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</si>
  <si>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</si>
  <si>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</si>
  <si>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</si>
  <si>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</si>
  <si>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</si>
  <si>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</si>
  <si>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</si>
  <si>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</si>
  <si>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</si>
  <si>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</si>
  <si>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</si>
  <si>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</si>
  <si>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</si>
  <si>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</si>
  <si>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</si>
  <si>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</si>
  <si>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</si>
  <si>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</si>
  <si>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</si>
  <si>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</si>
  <si>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</si>
  <si>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</si>
  <si>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</si>
  <si>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</si>
  <si>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</si>
  <si>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</si>
  <si>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</si>
  <si>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</si>
  <si>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</si>
  <si>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</si>
  <si>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</si>
  <si>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</si>
  <si>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</si>
  <si>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</si>
  <si>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</si>
  <si>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</si>
  <si>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</si>
  <si>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</si>
  <si>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</si>
  <si>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</si>
  <si>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</si>
  <si>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</si>
  <si>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</si>
  <si>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</si>
  <si>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</si>
  <si>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</si>
  <si>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</si>
  <si>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</si>
  <si>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</si>
  <si>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</si>
  <si>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</si>
  <si>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</si>
  <si>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</si>
  <si>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</si>
  <si>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</si>
  <si>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</si>
  <si>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</si>
  <si>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</si>
  <si>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</si>
  <si>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</si>
  <si>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</si>
  <si>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</si>
  <si>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</si>
  <si>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</si>
  <si>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</si>
  <si>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</si>
  <si>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</si>
  <si>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</si>
  <si>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</si>
  <si>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</si>
  <si>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</si>
  <si>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</si>
  <si>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</si>
  <si>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</si>
  <si>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</si>
  <si>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</si>
  <si>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</si>
  <si>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</si>
  <si>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</si>
  <si>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</si>
  <si>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</si>
  <si>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</si>
  <si>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</si>
  <si>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</si>
  <si>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</si>
  <si>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</si>
  <si>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</si>
  <si>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</si>
  <si>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</si>
  <si>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</si>
  <si>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</si>
  <si>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</si>
  <si>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</si>
  <si>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</si>
  <si>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</si>
  <si>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</si>
  <si>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</si>
  <si>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</si>
  <si>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</si>
  <si>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</si>
  <si>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</si>
  <si>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</si>
  <si>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</si>
  <si>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</si>
  <si>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</si>
  <si>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</si>
  <si>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</si>
  <si>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</si>
  <si>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</si>
  <si>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</si>
  <si>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</si>
  <si>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</si>
  <si>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</si>
  <si>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</si>
  <si>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</si>
  <si>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</si>
  <si>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</si>
  <si>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</si>
  <si>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</si>
  <si>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</si>
  <si>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</si>
  <si>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</si>
  <si>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</si>
  <si>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</si>
  <si>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</si>
  <si>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</si>
  <si>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</si>
  <si>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</si>
  <si>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</si>
  <si>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</si>
  <si>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</si>
  <si>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</si>
  <si>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</si>
  <si>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</si>
  <si>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</si>
  <si>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</si>
  <si>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</si>
  <si>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</si>
  <si>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</si>
  <si>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</si>
  <si>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</si>
  <si>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</si>
  <si>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</si>
  <si>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</si>
  <si>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</si>
  <si>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</si>
  <si>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</si>
  <si>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</si>
  <si>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</si>
  <si>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</si>
  <si>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</si>
  <si>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</si>
  <si>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</si>
  <si>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</si>
  <si>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</si>
  <si>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</si>
  <si>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</si>
  <si>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</si>
  <si>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</si>
  <si>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</si>
  <si>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</si>
  <si>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</si>
  <si>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</si>
  <si>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</si>
  <si>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</si>
  <si>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</si>
  <si>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</si>
  <si>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</si>
  <si>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</si>
  <si>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</si>
  <si>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</si>
  <si>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</si>
  <si>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</si>
  <si>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</si>
  <si>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</si>
  <si>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</si>
  <si>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</si>
  <si>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</si>
  <si>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</si>
  <si>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</si>
  <si>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</si>
  <si>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</si>
  <si>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</si>
  <si>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</si>
  <si>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</si>
  <si>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</si>
  <si>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</si>
  <si>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</si>
  <si>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</si>
  <si>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</si>
  <si>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</si>
  <si>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</si>
  <si>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</si>
  <si>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</si>
  <si>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</si>
  <si>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</si>
  <si>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</si>
  <si>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</si>
  <si>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</si>
  <si>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</si>
  <si>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</si>
  <si>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</si>
  <si>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</si>
  <si>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</si>
  <si>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</si>
  <si>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</si>
  <si>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</si>
  <si>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</si>
  <si>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</si>
  <si>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</si>
  <si>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</si>
  <si>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</si>
  <si>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</si>
  <si>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</si>
  <si>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</si>
  <si>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</si>
  <si>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</si>
  <si>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</si>
  <si>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</si>
  <si>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</si>
  <si>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</si>
  <si>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</si>
  <si>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</si>
  <si>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</si>
  <si>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</si>
  <si>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</si>
  <si>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</si>
  <si>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</si>
  <si>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</si>
  <si>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</si>
  <si>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</si>
  <si>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</si>
  <si>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</si>
  <si>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</si>
  <si>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</si>
  <si>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</si>
  <si>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</si>
  <si>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</si>
  <si>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</si>
  <si>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</si>
  <si>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</si>
  <si>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</si>
  <si>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</si>
  <si>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</si>
  <si>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</si>
  <si>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</si>
  <si>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</si>
  <si>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</si>
  <si>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</si>
  <si>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</si>
  <si>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</si>
  <si>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</si>
  <si>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</si>
  <si>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</si>
  <si>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</si>
  <si>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</si>
  <si>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</si>
  <si>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</si>
  <si>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</si>
  <si>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</si>
  <si>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</si>
  <si>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</si>
  <si>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</si>
  <si>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</si>
  <si>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</si>
  <si>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</si>
  <si>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</si>
  <si>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</si>
  <si>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</si>
  <si>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</si>
  <si>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</si>
  <si>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</si>
  <si>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</si>
  <si>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</si>
  <si>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</si>
  <si>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</si>
  <si>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</si>
  <si>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</si>
  <si>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</si>
  <si>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</si>
  <si>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</si>
  <si>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</si>
  <si>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</si>
  <si>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</si>
  <si>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</si>
  <si>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</si>
  <si>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</si>
  <si>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</si>
  <si>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</si>
  <si>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</si>
  <si>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</si>
  <si>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</si>
  <si>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</si>
  <si>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</si>
  <si>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</si>
  <si>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</si>
  <si>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</si>
  <si>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</si>
  <si>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</si>
  <si>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</si>
  <si>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</si>
  <si>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</si>
  <si>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</si>
  <si>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</si>
  <si>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</si>
  <si>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</si>
  <si>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</si>
  <si>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</si>
  <si>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</si>
  <si>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</si>
  <si>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</si>
  <si>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</si>
  <si>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</si>
  <si>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</si>
  <si>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</si>
  <si>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</si>
  <si>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</si>
  <si>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</si>
  <si>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</si>
  <si>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</si>
  <si>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</si>
  <si>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</si>
  <si>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</si>
  <si>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</si>
  <si>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</si>
  <si>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</si>
  <si>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</si>
  <si>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</si>
  <si>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</si>
  <si>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</si>
  <si>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</si>
  <si>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</si>
  <si>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</si>
  <si>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</si>
  <si>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</si>
  <si>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</si>
  <si>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</si>
  <si>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</si>
  <si>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</si>
  <si>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</si>
  <si>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</si>
  <si>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</si>
  <si>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</si>
  <si>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</si>
  <si>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</si>
  <si>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</si>
  <si>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</si>
  <si>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</si>
  <si>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</si>
  <si>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</si>
  <si>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</si>
  <si>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</si>
  <si>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</si>
  <si>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</si>
  <si>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</si>
  <si>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</si>
  <si>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</si>
  <si>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</si>
  <si>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</si>
  <si>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</si>
  <si>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</si>
  <si>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</si>
  <si>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</si>
  <si>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</si>
  <si>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</si>
  <si>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</si>
  <si>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</si>
  <si>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</si>
  <si>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</si>
  <si>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</si>
  <si>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</si>
  <si>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</si>
  <si>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</si>
  <si>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</si>
  <si>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</si>
  <si>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</si>
  <si>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</si>
  <si>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</si>
  <si>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</si>
  <si>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</si>
  <si>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</si>
  <si>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</si>
  <si>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</si>
  <si>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</si>
  <si>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</si>
  <si>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</si>
  <si>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</si>
  <si>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</si>
  <si>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</si>
  <si>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</si>
  <si>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</si>
  <si>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</si>
  <si>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</si>
  <si>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</si>
  <si>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</si>
  <si>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</si>
  <si>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</si>
  <si>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</si>
  <si>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</si>
  <si>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</si>
  <si>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</si>
  <si>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</si>
  <si>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</si>
  <si>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</si>
  <si>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</si>
  <si>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</si>
  <si>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</si>
  <si>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</si>
  <si>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</si>
  <si>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</si>
  <si>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</si>
  <si>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</si>
  <si>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</si>
  <si>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</si>
  <si>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</si>
  <si>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</si>
  <si>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</si>
  <si>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</si>
  <si>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</si>
  <si>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</si>
  <si>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</si>
  <si>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</si>
  <si>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</si>
  <si>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</si>
  <si>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</si>
  <si>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</si>
  <si>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</si>
  <si>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</si>
  <si>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</si>
  <si>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</si>
  <si>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</si>
  <si>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</si>
  <si>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</si>
  <si>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</si>
  <si>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</si>
  <si>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</si>
  <si>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</si>
  <si>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</si>
  <si>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</si>
  <si>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</si>
  <si>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</si>
  <si>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</si>
  <si>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</si>
  <si>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</si>
  <si>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</si>
  <si>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</si>
  <si>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</si>
  <si>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</si>
  <si>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</si>
  <si>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</si>
  <si>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</si>
  <si>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</si>
  <si>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</si>
  <si>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</si>
  <si>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</si>
  <si>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</si>
  <si>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</si>
  <si>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</si>
  <si>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</si>
  <si>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</si>
  <si>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</si>
  <si>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</si>
  <si>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</si>
  <si>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</si>
  <si>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</si>
  <si>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</si>
  <si>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</si>
  <si>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</si>
  <si>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</si>
  <si>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</si>
  <si>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</si>
  <si>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</si>
  <si>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</si>
  <si>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</si>
  <si>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</si>
  <si>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</si>
  <si>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</si>
  <si>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</si>
  <si>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</si>
  <si>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</si>
  <si>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</si>
  <si>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</si>
  <si>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</si>
  <si>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</si>
  <si>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</si>
  <si>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</si>
  <si>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</si>
  <si>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</si>
  <si>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</si>
  <si>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</si>
  <si>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</si>
  <si>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</si>
  <si>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</si>
  <si>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</si>
  <si>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</si>
  <si>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</si>
  <si>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</si>
  <si>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</si>
  <si>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</si>
  <si>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</si>
  <si>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</si>
  <si>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</si>
  <si>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</si>
  <si>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</si>
  <si>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</si>
  <si>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</si>
  <si>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</si>
  <si>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</si>
  <si>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</si>
  <si>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</si>
  <si>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</si>
  <si>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</si>
  <si>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</si>
  <si>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</si>
  <si>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</si>
  <si>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</si>
  <si>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</si>
  <si>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</si>
  <si>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</si>
  <si>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</si>
  <si>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</si>
  <si>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</si>
  <si>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</si>
  <si>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</si>
  <si>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</si>
  <si>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</si>
  <si>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</si>
  <si>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</si>
  <si>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</si>
  <si>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</si>
  <si>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</si>
  <si>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</si>
  <si>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</si>
  <si>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</si>
  <si>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</si>
  <si>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</si>
  <si>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</si>
  <si>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</si>
  <si>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</si>
  <si>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</si>
  <si>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</si>
  <si>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</si>
  <si>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</si>
  <si>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</si>
  <si>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</si>
  <si>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</si>
  <si>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</si>
  <si>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</si>
  <si>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</si>
  <si>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</si>
  <si>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</si>
  <si>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</si>
  <si>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</si>
  <si>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</si>
  <si>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</si>
  <si>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</si>
  <si>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</si>
  <si>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</si>
  <si>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</si>
  <si>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</si>
  <si>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</si>
  <si>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</si>
  <si>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</si>
  <si>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</si>
  <si>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</si>
  <si>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</si>
  <si>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</si>
  <si>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</si>
  <si>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</si>
  <si>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</si>
  <si>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</si>
  <si>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</si>
  <si>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</si>
  <si>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</si>
  <si>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</si>
  <si>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</si>
  <si>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</si>
  <si>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</si>
  <si>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</si>
  <si>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</si>
  <si>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</si>
  <si>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</si>
  <si>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</si>
  <si>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</si>
  <si>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</si>
  <si>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</si>
  <si>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</si>
  <si>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</si>
  <si>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</si>
  <si>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</si>
  <si>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</si>
  <si>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</si>
  <si>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</si>
  <si>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</si>
  <si>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</si>
  <si>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</si>
  <si>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</si>
  <si>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</si>
  <si>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</si>
  <si>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</si>
  <si>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</si>
  <si>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</si>
  <si>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</si>
  <si>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</si>
  <si>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</si>
  <si>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</si>
  <si>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</si>
  <si>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</si>
  <si>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</si>
  <si>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</si>
  <si>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</si>
  <si>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</si>
  <si>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</si>
  <si>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</si>
  <si>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</si>
  <si>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</si>
  <si>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</si>
  <si>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</si>
  <si>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</si>
  <si>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</si>
  <si>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</si>
  <si>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</si>
  <si>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</si>
  <si>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</si>
  <si>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</si>
  <si>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</si>
  <si>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</si>
  <si>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</si>
  <si>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</si>
  <si>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</si>
  <si>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</si>
  <si>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</si>
  <si>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</si>
  <si>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</si>
  <si>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</si>
  <si>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</si>
  <si>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</si>
  <si>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</si>
  <si>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</si>
  <si>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</si>
  <si>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</si>
  <si>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</si>
  <si>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</si>
  <si>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</si>
  <si>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</si>
  <si>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</si>
  <si>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</si>
  <si>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</si>
  <si>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</si>
  <si>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</si>
  <si>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</si>
  <si>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</si>
  <si>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</si>
  <si>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</si>
  <si>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</si>
  <si>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</si>
  <si>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</si>
  <si>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</si>
  <si>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</si>
  <si>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</si>
  <si>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</si>
  <si>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</si>
  <si>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</si>
  <si>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</si>
  <si>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</si>
  <si>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</si>
  <si>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</si>
  <si>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</si>
  <si>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</si>
  <si>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</si>
  <si>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</si>
  <si>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</si>
  <si>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</si>
  <si>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</si>
  <si>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</si>
  <si>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</si>
  <si>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</si>
  <si>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</si>
  <si>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</si>
  <si>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</si>
  <si>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</si>
  <si>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</si>
  <si>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</si>
  <si>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</si>
  <si>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</si>
  <si>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</si>
  <si>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</si>
  <si>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</si>
  <si>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</si>
  <si>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</si>
  <si>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</si>
  <si>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</si>
  <si>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</si>
  <si>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</si>
  <si>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</si>
  <si>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</si>
  <si>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</si>
  <si>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</si>
  <si>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</si>
  <si>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</si>
  <si>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</si>
  <si>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</si>
  <si>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</si>
  <si>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</si>
  <si>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</si>
  <si>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</si>
  <si>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</si>
  <si>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</si>
  <si>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</si>
  <si>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</si>
  <si>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</si>
  <si>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</si>
  <si>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</si>
  <si>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</si>
  <si>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</si>
  <si>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</si>
  <si>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</si>
  <si>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</si>
  <si>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</si>
  <si>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</si>
  <si>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</si>
  <si>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</si>
  <si>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</si>
  <si>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</si>
  <si>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</si>
  <si>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</si>
  <si>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</si>
  <si>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</si>
  <si>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</si>
  <si>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</si>
  <si>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</si>
  <si>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</si>
  <si>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</si>
  <si>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</si>
  <si>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</si>
  <si>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</si>
  <si>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</si>
  <si>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</si>
  <si>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</si>
  <si>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</si>
  <si>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</si>
  <si>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</si>
  <si>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</si>
  <si>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</si>
  <si>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</si>
  <si>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</si>
  <si>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</si>
  <si>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</si>
  <si>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</si>
  <si>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</si>
  <si>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</si>
  <si>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</si>
  <si>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</si>
  <si>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</si>
  <si>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</si>
  <si>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</si>
  <si>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</si>
  <si>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</si>
  <si>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</si>
  <si>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</si>
  <si>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</si>
  <si>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</si>
  <si>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</si>
  <si>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</si>
  <si>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</si>
  <si>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</si>
  <si>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</si>
  <si>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</si>
  <si>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</si>
  <si>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</si>
  <si>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</si>
  <si>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</si>
  <si>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</si>
  <si>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</si>
  <si>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</si>
  <si>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</si>
  <si>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</si>
  <si>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</si>
  <si>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</si>
  <si>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</si>
  <si>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</si>
  <si>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</si>
  <si>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</si>
  <si>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</si>
  <si>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</si>
  <si>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</si>
  <si>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</si>
  <si>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</si>
  <si>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</si>
  <si>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</si>
  <si>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</si>
  <si>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</si>
  <si>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</si>
  <si>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</si>
  <si>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</si>
  <si>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</si>
  <si>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</si>
  <si>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</si>
  <si>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</si>
  <si>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</si>
  <si>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</si>
  <si>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</si>
  <si>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</si>
  <si>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</si>
  <si>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</si>
  <si>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</si>
  <si>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</si>
  <si>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</si>
  <si>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</si>
  <si>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</si>
  <si>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</si>
  <si>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</si>
  <si>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</si>
  <si>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</si>
  <si>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</si>
  <si>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</si>
  <si>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</si>
  <si>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</si>
  <si>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</si>
  <si>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</si>
  <si>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</si>
  <si>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</si>
  <si>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</si>
  <si>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</si>
  <si>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</si>
  <si>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</si>
  <si>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</si>
  <si>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</si>
  <si>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</si>
  <si>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</si>
  <si>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</si>
  <si>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</si>
  <si>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</si>
  <si>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</si>
  <si>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</si>
  <si>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</si>
  <si>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</si>
  <si>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</si>
  <si>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</si>
  <si>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</si>
  <si>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</si>
  <si>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</si>
  <si>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</si>
  <si>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</si>
  <si>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</si>
  <si>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</si>
  <si>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</si>
  <si>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</si>
  <si>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</si>
  <si>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</si>
  <si>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</si>
  <si>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</si>
  <si>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</si>
  <si>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</si>
  <si>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</si>
  <si>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</si>
  <si>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</si>
  <si>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</si>
  <si>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</si>
  <si>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</si>
  <si>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</si>
  <si>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</si>
  <si>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</si>
  <si>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</si>
  <si>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</si>
  <si>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</si>
  <si>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</si>
  <si>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</si>
  <si>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</si>
  <si>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</si>
  <si>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</si>
  <si>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</si>
  <si>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</si>
  <si>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</si>
  <si>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</si>
  <si>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</si>
  <si>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</si>
  <si>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</si>
  <si>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</si>
  <si>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</si>
  <si>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</si>
  <si>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</si>
  <si>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</si>
  <si>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</si>
  <si>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</si>
  <si>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</si>
  <si>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</si>
  <si>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</si>
  <si>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</si>
  <si>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</si>
  <si>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</si>
  <si>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</si>
  <si>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</si>
  <si>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</si>
  <si>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</si>
  <si>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</si>
  <si>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</si>
  <si>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</si>
  <si>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</si>
  <si>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</si>
  <si>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</si>
  <si>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</si>
  <si>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</si>
  <si>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</si>
  <si>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</si>
  <si>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</si>
  <si>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</si>
  <si>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</si>
  <si>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</si>
  <si>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</si>
  <si>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</si>
  <si>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</si>
  <si>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</si>
  <si>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</si>
  <si>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</si>
  <si>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</si>
  <si>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</si>
  <si>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</si>
  <si>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</si>
  <si>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</si>
  <si>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</si>
  <si>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</si>
  <si>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</si>
  <si>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</si>
  <si>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</si>
  <si>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</si>
  <si>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</si>
  <si>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</si>
  <si>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</si>
  <si>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</si>
  <si>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</si>
  <si>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</si>
  <si>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</si>
  <si>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</si>
  <si>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</si>
  <si>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</si>
  <si>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</si>
  <si>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</si>
  <si>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</si>
  <si>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</si>
  <si>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</si>
  <si>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</si>
  <si>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</si>
  <si>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</si>
  <si>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</si>
  <si>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</si>
  <si>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</si>
  <si>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</si>
  <si>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</si>
  <si>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</si>
  <si>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</si>
  <si>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</si>
  <si>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</si>
  <si>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</si>
  <si>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</si>
  <si>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</si>
  <si>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</si>
  <si>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</si>
  <si>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</si>
  <si>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</si>
  <si>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</si>
  <si>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</si>
  <si>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</si>
  <si>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</si>
  <si>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</si>
  <si>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</si>
  <si>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</si>
  <si>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</si>
  <si>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</si>
  <si>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</si>
  <si>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</si>
  <si>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</si>
  <si>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</si>
  <si>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</si>
  <si>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</si>
  <si>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</si>
  <si>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</si>
  <si>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</si>
  <si>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</si>
  <si>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</si>
  <si>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</si>
  <si>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</si>
  <si>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</si>
  <si>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</si>
  <si>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</si>
  <si>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</si>
  <si>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</si>
  <si>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</si>
  <si>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</si>
  <si>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</si>
  <si>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</si>
  <si>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</si>
  <si>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</si>
  <si>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</si>
  <si>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</si>
  <si>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</si>
  <si>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</si>
  <si>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</si>
  <si>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</si>
  <si>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</si>
  <si>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</si>
  <si>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</si>
  <si>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</si>
  <si>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</si>
  <si>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</si>
  <si>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</si>
  <si>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</si>
  <si>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</si>
  <si>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</si>
  <si>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</si>
  <si>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</si>
  <si>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</si>
  <si>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</si>
  <si>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</si>
  <si>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</si>
  <si>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</si>
  <si>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</si>
  <si>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</si>
  <si>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</si>
  <si>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</si>
  <si>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</si>
  <si>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</si>
  <si>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</si>
  <si>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</si>
  <si>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</si>
  <si>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</si>
  <si>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</si>
  <si>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</si>
  <si>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</si>
  <si>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</si>
  <si>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</si>
  <si>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</si>
  <si>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</si>
  <si>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</si>
  <si>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</si>
  <si>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</si>
  <si>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</si>
  <si>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</si>
  <si>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</si>
  <si>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</si>
  <si>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</si>
  <si>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</si>
  <si>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</si>
  <si>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</si>
  <si>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</si>
  <si>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</si>
  <si>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</si>
  <si>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</si>
  <si>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</si>
  <si>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</si>
  <si>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</si>
  <si>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</si>
  <si>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</si>
  <si>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</si>
  <si>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</si>
  <si>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</si>
  <si>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</si>
  <si>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</si>
  <si>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</si>
  <si>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</si>
  <si>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</si>
  <si>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</si>
  <si>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</si>
  <si>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</si>
  <si>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</si>
  <si>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</si>
  <si>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</si>
  <si>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</si>
  <si>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</si>
  <si>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</si>
  <si>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</si>
  <si>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</si>
  <si>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</si>
  <si>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</si>
  <si>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</si>
  <si>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</si>
  <si>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</si>
  <si>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</si>
  <si>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</si>
  <si>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</si>
  <si>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</si>
  <si>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</si>
  <si>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</si>
  <si>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</si>
  <si>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</si>
  <si>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</si>
  <si>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</si>
  <si>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</si>
  <si>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</si>
  <si>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</si>
  <si>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</si>
  <si>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</si>
  <si>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</si>
  <si>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</si>
  <si>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</si>
  <si>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</si>
  <si>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</si>
  <si>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</si>
  <si>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</si>
  <si>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</si>
  <si>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</si>
  <si>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</si>
  <si>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</si>
  <si>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</si>
  <si>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</si>
  <si>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</si>
  <si>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</si>
  <si>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</si>
  <si>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</si>
  <si>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</si>
  <si>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</si>
  <si>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</si>
  <si>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</si>
  <si>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</si>
  <si>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</si>
  <si>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</si>
  <si>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</si>
  <si>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</si>
  <si>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</si>
  <si>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</si>
  <si>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</si>
  <si>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</si>
  <si>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</si>
  <si>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</si>
  <si>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</si>
  <si>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</si>
  <si>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</si>
  <si>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</si>
  <si>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</si>
  <si>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</si>
  <si>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</si>
  <si>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</si>
  <si>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</si>
  <si>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</si>
  <si>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</si>
  <si>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</si>
  <si>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</si>
  <si>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</si>
  <si>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</si>
  <si>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</si>
  <si>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</si>
  <si>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</si>
  <si>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</si>
  <si>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</si>
  <si>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</si>
  <si>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</si>
  <si>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</si>
  <si>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</si>
  <si>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</si>
  <si>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</si>
  <si>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</si>
  <si>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</si>
  <si>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</si>
  <si>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</si>
  <si>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</si>
  <si>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</si>
  <si>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</si>
  <si>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</si>
  <si>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</si>
  <si>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</si>
  <si>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</si>
  <si>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</si>
  <si>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</si>
  <si>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</si>
  <si>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</si>
  <si>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</si>
  <si>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</si>
  <si>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</si>
  <si>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</si>
  <si>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</si>
  <si>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</si>
  <si>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</si>
  <si>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</si>
  <si>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</si>
  <si>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</si>
  <si>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</si>
  <si>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</si>
  <si>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</si>
  <si>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</si>
  <si>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</si>
  <si>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</si>
  <si>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</si>
  <si>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</si>
  <si>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</si>
  <si>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</si>
  <si>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</si>
  <si>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</si>
  <si>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</si>
  <si>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</si>
  <si>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</si>
  <si>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</si>
  <si>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</si>
  <si>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</si>
  <si>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</si>
  <si>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</si>
  <si>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</si>
  <si>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</si>
  <si>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</si>
  <si>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</si>
  <si>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</si>
  <si>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</si>
  <si>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</si>
  <si>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</si>
  <si>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</si>
  <si>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</si>
  <si>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</si>
  <si>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</si>
  <si>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</si>
  <si>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</si>
  <si>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</si>
  <si>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</si>
  <si>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</si>
  <si>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</si>
  <si>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</si>
  <si>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</si>
  <si>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</si>
  <si>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</si>
  <si>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</si>
  <si>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</si>
  <si>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</si>
  <si>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</si>
  <si>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</si>
  <si>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</si>
  <si>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</si>
  <si>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</si>
  <si>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</si>
  <si>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</si>
  <si>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</si>
  <si>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</si>
  <si>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</si>
  <si>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</si>
  <si>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</si>
  <si>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</si>
  <si>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</si>
  <si>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</si>
  <si>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</si>
  <si>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</si>
  <si>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</si>
  <si>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</si>
  <si>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</si>
  <si>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</si>
  <si>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</si>
  <si>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</si>
  <si>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</si>
  <si>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</si>
  <si>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</si>
  <si>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</si>
  <si>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</si>
  <si>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</si>
  <si>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</si>
  <si>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</si>
  <si>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</si>
  <si>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</si>
  <si>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</si>
  <si>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</si>
  <si>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</si>
  <si>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</si>
  <si>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</si>
  <si>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</si>
  <si>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</si>
  <si>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</si>
  <si>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</si>
  <si>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</si>
  <si>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</si>
  <si>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</si>
  <si>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</si>
  <si>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</si>
  <si>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</si>
  <si>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</si>
  <si>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</si>
  <si>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</si>
  <si>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</si>
  <si>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</si>
  <si>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</si>
  <si>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</si>
  <si>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</si>
  <si>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</si>
  <si>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</si>
  <si>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</si>
  <si>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</si>
  <si>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</si>
  <si>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</si>
  <si>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</si>
  <si>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</si>
  <si>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</si>
  <si>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</si>
  <si>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</si>
  <si>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</si>
  <si>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</si>
  <si>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</si>
  <si>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</si>
  <si>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</si>
  <si>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</si>
  <si>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</si>
  <si>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</si>
  <si>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</si>
  <si>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</si>
  <si>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</si>
  <si>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</si>
  <si>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</si>
  <si>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</si>
  <si>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</si>
  <si>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</si>
  <si>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</si>
  <si>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</si>
  <si>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</si>
  <si>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</si>
  <si>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</si>
  <si>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</si>
  <si>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</si>
  <si>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</si>
  <si>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</si>
  <si>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</si>
  <si>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</si>
  <si>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</si>
  <si>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</si>
  <si>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</si>
  <si>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</si>
  <si>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</si>
  <si>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</si>
  <si>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</si>
  <si>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</si>
  <si>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</si>
  <si>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</si>
  <si>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</si>
  <si>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</si>
  <si>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</si>
  <si>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</si>
  <si>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</si>
  <si>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</si>
  <si>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</si>
  <si>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</si>
  <si>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</si>
  <si>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</si>
  <si>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</si>
  <si>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</si>
  <si>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</si>
  <si>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</si>
  <si>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</si>
  <si>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</si>
  <si>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</si>
  <si>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</si>
  <si>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</si>
  <si>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</si>
  <si>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</si>
  <si>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</si>
  <si>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</si>
  <si>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</si>
  <si>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</si>
  <si>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</si>
  <si>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</si>
  <si>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</si>
  <si>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</si>
  <si>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</si>
  <si>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</si>
  <si>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</si>
  <si>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</si>
  <si>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</si>
  <si>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</si>
  <si>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</si>
  <si>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</si>
  <si>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</si>
  <si>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</si>
  <si>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</si>
  <si>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</si>
  <si>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</si>
  <si>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</si>
  <si>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</si>
  <si>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</si>
  <si>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</si>
  <si>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</si>
  <si>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</si>
  <si>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</si>
  <si>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</si>
  <si>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</si>
  <si>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</si>
  <si>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</si>
  <si>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</si>
  <si>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</si>
  <si>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</si>
  <si>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</si>
  <si>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</si>
  <si>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</si>
  <si>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</si>
  <si>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</si>
  <si>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</si>
  <si>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</si>
  <si>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</si>
  <si>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</si>
  <si>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</si>
  <si>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</si>
  <si>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</si>
  <si>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</si>
  <si>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</si>
  <si>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</si>
  <si>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</si>
  <si>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</si>
  <si>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</si>
  <si>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</si>
  <si>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</si>
  <si>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</si>
  <si>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</si>
  <si>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</si>
  <si>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</si>
  <si>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</si>
  <si>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</si>
  <si>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</si>
  <si>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</si>
  <si>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</si>
  <si>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</si>
  <si>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</si>
  <si>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</si>
  <si>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</si>
  <si>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</si>
  <si>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</si>
  <si>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</si>
  <si>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</si>
  <si>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</si>
  <si>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</si>
  <si>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</si>
  <si>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</si>
  <si>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</si>
  <si>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</si>
  <si>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</si>
  <si>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</si>
  <si>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</si>
  <si>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</si>
  <si>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</si>
  <si>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</si>
  <si>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</si>
  <si>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</si>
  <si>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</si>
  <si>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</si>
  <si>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</si>
  <si>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</si>
  <si>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</si>
  <si>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</si>
  <si>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</si>
  <si>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</si>
  <si>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</si>
  <si>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</si>
  <si>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</si>
  <si>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</si>
  <si>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</si>
  <si>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</si>
  <si>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</si>
  <si>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</si>
  <si>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</si>
  <si>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</si>
  <si>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</si>
  <si>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</si>
  <si>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</si>
  <si>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</si>
  <si>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</si>
  <si>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</si>
  <si>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</si>
  <si>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</si>
  <si>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</si>
  <si>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</si>
  <si>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</si>
  <si>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</si>
  <si>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</si>
  <si>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</si>
  <si>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</si>
  <si>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</si>
  <si>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</si>
  <si>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</si>
  <si>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</si>
  <si>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</si>
  <si>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</si>
  <si>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</si>
  <si>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</si>
  <si>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</si>
  <si>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</si>
  <si>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</si>
  <si>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</si>
  <si>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</si>
  <si>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</si>
  <si>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</si>
  <si>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</si>
  <si>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</si>
  <si>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</si>
  <si>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</si>
  <si>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</si>
  <si>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</si>
  <si>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</si>
  <si>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</si>
  <si>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</si>
  <si>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</si>
  <si>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</si>
  <si>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</si>
  <si>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</si>
  <si>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</si>
  <si>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</si>
  <si>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</si>
  <si>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</si>
  <si>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</si>
  <si>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</si>
  <si>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</si>
  <si>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</si>
  <si>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</si>
  <si>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</si>
  <si>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</si>
  <si>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</si>
  <si>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</si>
  <si>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</si>
  <si>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</si>
  <si>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</si>
  <si>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</si>
  <si>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</si>
  <si>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</si>
  <si>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</si>
  <si>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</si>
  <si>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</si>
  <si>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</si>
  <si>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</si>
  <si>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</si>
  <si>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</si>
  <si>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</si>
  <si>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</si>
  <si>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</si>
  <si>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</si>
  <si>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</si>
  <si>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</si>
  <si>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</si>
  <si>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</si>
  <si>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</si>
  <si>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</si>
  <si>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</si>
  <si>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</si>
  <si>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</si>
  <si>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</si>
  <si>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</si>
  <si>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</si>
  <si>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</si>
  <si>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</si>
  <si>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</si>
  <si>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</si>
  <si>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</si>
  <si>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</si>
  <si>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</si>
  <si>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</si>
  <si>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</si>
  <si>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</si>
  <si>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</si>
  <si>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</si>
  <si>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</si>
  <si>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</si>
  <si>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</si>
  <si>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</si>
  <si>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</si>
  <si>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</si>
  <si>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</si>
  <si>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</si>
  <si>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</si>
  <si>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</si>
  <si>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</si>
  <si>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</si>
  <si>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</si>
  <si>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</si>
  <si>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</si>
  <si>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</si>
  <si>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</si>
  <si>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</si>
  <si>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</si>
  <si>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</si>
  <si>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</si>
  <si>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</si>
  <si>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</si>
  <si>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</si>
  <si>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</si>
  <si>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</si>
  <si>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</si>
  <si>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</si>
  <si>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</si>
  <si>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</si>
  <si>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</si>
  <si>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</si>
  <si>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</si>
  <si>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</si>
  <si>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</si>
  <si>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</si>
  <si>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</si>
  <si>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</si>
  <si>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</si>
  <si>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</si>
  <si>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</si>
  <si>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</si>
  <si>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</si>
  <si>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</si>
  <si>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</si>
  <si>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</si>
  <si>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</si>
  <si>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</si>
  <si>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</si>
  <si>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</si>
  <si>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</si>
  <si>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</si>
  <si>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</si>
  <si>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</si>
  <si>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</si>
  <si>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</si>
  <si>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</si>
  <si>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</si>
  <si>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</si>
  <si>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</si>
  <si>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</si>
  <si>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</si>
  <si>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</si>
  <si>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</si>
  <si>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</si>
  <si>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</si>
  <si>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</si>
  <si>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</si>
  <si>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</si>
  <si>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</si>
  <si>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</si>
  <si>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</si>
  <si>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</si>
  <si>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</si>
  <si>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</si>
  <si>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</si>
  <si>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</si>
  <si>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</si>
  <si>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</si>
  <si>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</si>
  <si>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</si>
  <si>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</si>
  <si>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</si>
  <si>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</si>
  <si>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</si>
  <si>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</si>
  <si>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</si>
  <si>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</si>
  <si>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</si>
  <si>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</si>
  <si>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</si>
  <si>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</si>
  <si>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</si>
  <si>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</si>
  <si>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</si>
  <si>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</si>
  <si>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</si>
  <si>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</si>
  <si>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</si>
  <si>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</si>
  <si>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</si>
  <si>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</si>
  <si>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</si>
  <si>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</si>
  <si>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</si>
  <si>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</si>
  <si>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</si>
  <si>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</si>
  <si>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</si>
  <si>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</si>
  <si>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</si>
  <si>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</si>
  <si>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</si>
  <si>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</si>
  <si>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</si>
  <si>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</si>
  <si>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</si>
  <si>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</si>
  <si>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</si>
  <si>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</si>
  <si>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</si>
  <si>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</si>
  <si>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</si>
  <si>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</si>
  <si>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</si>
  <si>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</si>
  <si>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</si>
  <si>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</si>
  <si>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</si>
  <si>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</si>
  <si>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</si>
  <si>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</si>
  <si>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</si>
  <si>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</si>
  <si>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</si>
  <si>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</si>
  <si>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</si>
  <si>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</si>
  <si>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</si>
  <si>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</si>
  <si>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</si>
  <si>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</si>
  <si>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</si>
  <si>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</si>
  <si>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</si>
  <si>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</si>
  <si>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</si>
  <si>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</si>
  <si>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</si>
  <si>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</si>
  <si>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</si>
  <si>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</si>
  <si>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</si>
  <si>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</si>
  <si>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</si>
  <si>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</si>
  <si>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</si>
  <si>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</si>
  <si>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</si>
  <si>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</si>
  <si>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</si>
  <si>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</si>
  <si>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</si>
  <si>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</si>
  <si>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</si>
  <si>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</si>
  <si>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</si>
  <si>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</si>
  <si>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</si>
  <si>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</si>
  <si>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</si>
  <si>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</si>
  <si>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</si>
  <si>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</si>
  <si>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</si>
  <si>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</si>
  <si>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</si>
  <si>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</si>
  <si>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</si>
  <si>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</si>
  <si>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</si>
  <si>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</si>
  <si>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</si>
  <si>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</si>
  <si>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</si>
  <si>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</si>
  <si>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</si>
  <si>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</si>
  <si>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</si>
  <si>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</si>
  <si>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</si>
  <si>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</si>
  <si>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</si>
  <si>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</si>
  <si>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</si>
  <si>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</si>
  <si>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</si>
  <si>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</si>
  <si>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</si>
  <si>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</si>
  <si>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</si>
  <si>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</si>
  <si>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</si>
  <si>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</si>
  <si>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</si>
  <si>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</si>
  <si>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</si>
  <si>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</si>
  <si>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</si>
  <si>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</si>
  <si>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</si>
  <si>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</si>
  <si>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</si>
  <si>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</si>
  <si>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</si>
  <si>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</si>
  <si>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</si>
  <si>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</si>
  <si>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</si>
  <si>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</si>
  <si>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</si>
  <si>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</si>
  <si>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</si>
  <si>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</si>
  <si>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</si>
  <si>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</si>
  <si>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</si>
  <si>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</si>
  <si>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</si>
  <si>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</si>
  <si>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</si>
  <si>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</si>
  <si>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</si>
  <si>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</si>
  <si>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</si>
  <si>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</si>
  <si>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</si>
  <si>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</si>
  <si>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</si>
  <si>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</si>
  <si>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</si>
  <si>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</si>
  <si>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</si>
  <si>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</si>
  <si>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</si>
  <si>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</si>
  <si>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</si>
  <si>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</si>
  <si>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</si>
  <si>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</si>
  <si>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</si>
  <si>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</si>
  <si>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</si>
  <si>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</si>
  <si>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</si>
  <si>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</si>
  <si>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</si>
  <si>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</si>
  <si>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</si>
  <si>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</si>
  <si>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</si>
  <si>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</si>
  <si>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</si>
  <si>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</si>
  <si>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</si>
  <si>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</si>
  <si>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</si>
  <si>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</si>
  <si>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</si>
  <si>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</si>
  <si>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</si>
  <si>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</si>
  <si>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</si>
  <si>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</si>
  <si>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</si>
  <si>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</si>
  <si>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</si>
  <si>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</si>
  <si>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</si>
  <si>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</si>
  <si>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</si>
  <si>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</si>
  <si>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</si>
  <si>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</si>
  <si>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</si>
  <si>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</si>
  <si>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</si>
  <si>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</si>
  <si>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</si>
  <si>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</si>
  <si>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</si>
  <si>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</si>
  <si>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</si>
  <si>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</si>
  <si>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</si>
  <si>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</si>
  <si>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</si>
  <si>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</si>
  <si>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</si>
  <si>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</si>
  <si>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</si>
  <si>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</si>
  <si>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</si>
  <si>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</si>
  <si>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</si>
  <si>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</si>
  <si>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</si>
  <si>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</si>
  <si>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</si>
  <si>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</si>
  <si>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</si>
  <si>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</si>
  <si>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</si>
  <si>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</si>
  <si>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</si>
  <si>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</si>
  <si>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</si>
  <si>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</si>
  <si>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</si>
  <si>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</si>
  <si>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</si>
  <si>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</si>
  <si>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</si>
  <si>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</si>
  <si>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</si>
  <si>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</si>
  <si>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</si>
  <si>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</si>
  <si>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</si>
  <si>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</si>
  <si>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</si>
  <si>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</si>
  <si>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</si>
  <si>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</si>
  <si>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</si>
  <si>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</si>
  <si>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</si>
  <si>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</si>
  <si>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</si>
  <si>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</si>
  <si>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</si>
  <si>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</si>
  <si>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</si>
  <si>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</si>
  <si>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</si>
  <si>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</si>
  <si>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</si>
  <si>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</si>
  <si>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</si>
  <si>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</si>
  <si>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</si>
  <si>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</si>
  <si>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</si>
  <si>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</si>
  <si>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</si>
  <si>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</si>
  <si>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</si>
  <si>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</si>
  <si>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</si>
  <si>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</si>
  <si>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</si>
  <si>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</si>
  <si>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</si>
  <si>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</si>
  <si>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</si>
  <si>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</si>
  <si>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</si>
  <si>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</si>
  <si>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</si>
  <si>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</si>
  <si>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</si>
  <si>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</si>
  <si>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</si>
  <si>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</si>
  <si>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</si>
  <si>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</si>
  <si>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</si>
  <si>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</si>
  <si>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</si>
  <si>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</si>
  <si>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</si>
  <si>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</si>
  <si>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</si>
  <si>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</si>
  <si>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</si>
  <si>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</si>
  <si>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</si>
  <si>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</si>
  <si>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</si>
  <si>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</si>
  <si>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</si>
  <si>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</si>
  <si>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</si>
  <si>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</si>
  <si>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</si>
  <si>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</si>
  <si>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</si>
  <si>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</si>
  <si>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</si>
  <si>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</si>
  <si>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</si>
  <si>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</si>
  <si>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</si>
  <si>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</si>
  <si>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</si>
  <si>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</si>
  <si>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</si>
  <si>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</si>
  <si>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</si>
  <si>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</si>
  <si>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</si>
  <si>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</si>
  <si>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</si>
  <si>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</si>
  <si>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</si>
  <si>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</si>
  <si>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</si>
  <si>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</si>
  <si>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</si>
  <si>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</si>
  <si>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</si>
  <si>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</si>
  <si>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</si>
  <si>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</si>
  <si>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</si>
  <si>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</si>
  <si>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</si>
  <si>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</si>
  <si>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</si>
  <si>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</si>
  <si>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</si>
  <si>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</si>
  <si>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</si>
  <si>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</si>
  <si>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</si>
  <si>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</si>
  <si>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</si>
  <si>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</si>
  <si>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</si>
  <si>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</si>
  <si>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</si>
  <si>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</si>
  <si>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</si>
  <si>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</si>
  <si>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</si>
  <si>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</si>
  <si>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</si>
  <si>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</si>
  <si>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</si>
  <si>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</si>
  <si>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</si>
  <si>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</si>
  <si>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</si>
  <si>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</si>
  <si>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</si>
  <si>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</si>
  <si>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</si>
  <si>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</si>
  <si>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</si>
  <si>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</si>
  <si>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</si>
  <si>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</si>
  <si>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</si>
  <si>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</si>
  <si>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</si>
  <si>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</si>
  <si>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</si>
  <si>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</si>
  <si>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</si>
  <si>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</si>
  <si>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</si>
  <si>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</si>
  <si>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</si>
  <si>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</si>
  <si>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</si>
  <si>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</si>
  <si>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</si>
  <si>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</si>
  <si>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</si>
  <si>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</si>
  <si>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</si>
  <si>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</si>
  <si>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</si>
  <si>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</si>
  <si>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</si>
  <si>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</si>
  <si>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</si>
  <si>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</si>
  <si>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</si>
  <si>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</si>
  <si>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</si>
  <si>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</si>
  <si>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</si>
  <si>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</si>
  <si>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</si>
  <si>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</si>
  <si>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</si>
  <si>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</si>
  <si>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</si>
  <si>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</si>
  <si>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</si>
  <si>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</si>
  <si>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</si>
  <si>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</si>
  <si>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</si>
  <si>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</si>
  <si>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</si>
  <si>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</si>
  <si>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</si>
  <si>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</si>
  <si>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</si>
  <si>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</si>
  <si>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</si>
  <si>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</si>
  <si>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</si>
  <si>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</si>
  <si>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</si>
  <si>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</si>
  <si>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</si>
  <si>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</si>
  <si>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</si>
  <si>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</si>
  <si>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</si>
  <si>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</si>
  <si>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</si>
  <si>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</si>
  <si>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</si>
  <si>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</si>
  <si>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</si>
  <si>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</si>
  <si>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</si>
  <si>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</si>
  <si>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</si>
  <si>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</si>
  <si>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</si>
  <si>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</si>
  <si>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</si>
  <si>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</si>
  <si>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</si>
  <si>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</si>
  <si>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</si>
  <si>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</si>
  <si>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</si>
  <si>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</si>
  <si>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</si>
  <si>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</si>
  <si>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</si>
  <si>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</si>
  <si>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</si>
  <si>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</si>
  <si>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</si>
  <si>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</si>
  <si>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</si>
  <si>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</si>
  <si>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</si>
  <si>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</si>
  <si>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</si>
  <si>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</si>
  <si>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</si>
  <si>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</si>
  <si>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</si>
  <si>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</si>
  <si>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</si>
  <si>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</si>
  <si>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</si>
  <si>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</si>
  <si>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</si>
  <si>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</si>
  <si>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</si>
  <si>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</si>
  <si>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</si>
  <si>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</si>
  <si>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</si>
  <si>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</si>
  <si>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</si>
  <si>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</si>
  <si>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</si>
  <si>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</si>
  <si>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</si>
  <si>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</si>
  <si>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</si>
  <si>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</si>
  <si>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</si>
  <si>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</si>
  <si>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</si>
  <si>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</si>
  <si>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</si>
  <si>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</si>
  <si>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</si>
  <si>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</si>
  <si>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</si>
  <si>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</si>
  <si>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</si>
  <si>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</si>
  <si>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</si>
  <si>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</si>
  <si>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</si>
  <si>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</si>
  <si>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</si>
  <si>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</si>
  <si>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</si>
  <si>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</si>
  <si>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</si>
  <si>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</si>
  <si>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</si>
  <si>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</si>
  <si>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</si>
  <si>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</si>
  <si>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</si>
  <si>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</si>
  <si>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</si>
  <si>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</si>
  <si>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</si>
  <si>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</si>
  <si>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</si>
  <si>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</si>
  <si>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</si>
  <si>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</si>
  <si>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</si>
  <si>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</si>
  <si>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</si>
  <si>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</si>
  <si>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</si>
  <si>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</si>
  <si>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</si>
  <si>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</si>
  <si>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</si>
  <si>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</si>
  <si>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</si>
  <si>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</si>
  <si>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</si>
  <si>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</si>
  <si>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</si>
  <si>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</si>
  <si>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</si>
  <si>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</si>
  <si>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</si>
  <si>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</si>
  <si>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</si>
  <si>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</si>
  <si>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</si>
  <si>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</si>
  <si>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</si>
  <si>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</si>
  <si>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</si>
  <si>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</si>
  <si>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</si>
  <si>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</si>
  <si>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</si>
  <si>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</si>
  <si>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</si>
  <si>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</si>
  <si>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</si>
  <si>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</si>
  <si>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</si>
  <si>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</si>
  <si>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</si>
  <si>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</si>
  <si>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</si>
  <si>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</si>
  <si>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</si>
  <si>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</si>
  <si>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</si>
  <si>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</si>
  <si>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</si>
  <si>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</si>
  <si>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</si>
  <si>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</si>
  <si>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</si>
  <si>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</si>
  <si>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</si>
  <si>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</si>
  <si>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</si>
  <si>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</si>
  <si>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</si>
  <si>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</si>
  <si>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</si>
  <si>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</si>
  <si>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</si>
  <si>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</si>
  <si>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</si>
  <si>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</si>
  <si>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</si>
  <si>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</si>
  <si>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</si>
  <si>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</si>
  <si>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</si>
  <si>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</si>
  <si>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</si>
  <si>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</si>
  <si>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</si>
  <si>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</si>
  <si>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</si>
  <si>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</si>
  <si>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</si>
  <si>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</si>
  <si>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</si>
  <si>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</si>
  <si>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</si>
  <si>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</si>
  <si>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</si>
  <si>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</si>
  <si>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</si>
  <si>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</si>
  <si>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</si>
  <si>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</si>
  <si>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</si>
  <si>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</si>
  <si>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</si>
  <si>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</si>
  <si>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</si>
  <si>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</si>
  <si>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</si>
  <si>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</si>
  <si>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</si>
  <si>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</si>
  <si>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</si>
  <si>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</si>
  <si>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</si>
  <si>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</si>
  <si>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</si>
  <si>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</si>
  <si>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</si>
  <si>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</si>
  <si>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</si>
  <si>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</si>
  <si>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</si>
  <si>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</si>
  <si>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</si>
  <si>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</si>
  <si>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</si>
  <si>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</si>
  <si>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</si>
  <si>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</si>
  <si>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</si>
  <si>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</si>
  <si>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</si>
  <si>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</si>
  <si>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</si>
  <si>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</si>
  <si>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</si>
  <si>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</si>
  <si>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</si>
  <si>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</si>
  <si>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</si>
  <si>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</si>
  <si>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</si>
  <si>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</si>
  <si>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</si>
  <si>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</si>
  <si>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</si>
  <si>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</si>
  <si>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</si>
  <si>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</si>
  <si>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</si>
  <si>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</si>
  <si>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</si>
  <si>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</si>
  <si>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</si>
  <si>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</si>
  <si>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</si>
  <si>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</si>
  <si>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</si>
  <si>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</si>
  <si>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</si>
  <si>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</si>
  <si>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</si>
  <si>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</si>
  <si>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</si>
  <si>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</si>
  <si>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</si>
  <si>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</si>
  <si>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</si>
  <si>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</si>
  <si>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</si>
  <si>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</si>
  <si>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</si>
  <si>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</si>
  <si>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</si>
  <si>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</si>
  <si>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</si>
  <si>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</si>
  <si>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</si>
  <si>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</si>
  <si>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</si>
  <si>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</si>
  <si>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</si>
  <si>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</si>
  <si>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</si>
  <si>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</si>
  <si>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</si>
  <si>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</si>
  <si>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</si>
  <si>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</si>
  <si>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</si>
  <si>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</si>
  <si>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</si>
  <si>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</si>
  <si>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</si>
  <si>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</si>
  <si>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</si>
  <si>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</si>
  <si>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</si>
  <si>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</si>
  <si>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</si>
  <si>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</si>
  <si>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</si>
  <si>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</si>
  <si>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</si>
  <si>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</si>
  <si>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</si>
  <si>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</si>
  <si>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</si>
  <si>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</si>
  <si>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</si>
  <si>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</si>
  <si>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</si>
  <si>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</si>
  <si>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</si>
  <si>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</si>
  <si>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</si>
  <si>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</si>
  <si>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</si>
  <si>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</si>
  <si>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</si>
  <si>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</si>
  <si>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</si>
  <si>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</si>
  <si>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</si>
  <si>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</si>
  <si>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</si>
  <si>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</si>
  <si>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</si>
  <si>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</si>
  <si>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</si>
  <si>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</si>
  <si>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</si>
  <si>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</si>
  <si>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</si>
  <si>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</si>
  <si>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</si>
  <si>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</si>
  <si>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</si>
  <si>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</si>
  <si>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</si>
  <si>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</si>
  <si>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</si>
  <si>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</si>
  <si>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</si>
  <si>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</si>
  <si>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</si>
  <si>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</si>
  <si>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</si>
  <si>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</si>
  <si>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</si>
  <si>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</si>
  <si>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</si>
  <si>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</si>
  <si>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</si>
  <si>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</si>
  <si>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</si>
  <si>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</si>
  <si>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</si>
  <si>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</si>
  <si>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</si>
  <si>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</si>
  <si>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</si>
  <si>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</si>
  <si>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</si>
  <si>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</si>
  <si>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</si>
  <si>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</si>
  <si>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</si>
  <si>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</si>
  <si>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</si>
  <si>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</si>
  <si>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</si>
  <si>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</si>
  <si>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</si>
  <si>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</si>
  <si>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</si>
  <si>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</si>
  <si>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</si>
  <si>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</si>
  <si>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</si>
  <si>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</si>
  <si>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</si>
  <si>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</si>
  <si>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</si>
  <si>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</si>
  <si>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</si>
  <si>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</si>
  <si>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</si>
  <si>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</si>
  <si>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</si>
  <si>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</si>
  <si>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</si>
  <si>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</si>
  <si>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</si>
  <si>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</si>
  <si>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</si>
  <si>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</si>
  <si>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</si>
  <si>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</si>
  <si>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</si>
  <si>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</si>
  <si>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</si>
  <si>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</si>
  <si>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</si>
  <si>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</si>
  <si>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</si>
  <si>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</si>
  <si>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</si>
  <si>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</si>
  <si>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</si>
  <si>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</si>
  <si>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</si>
  <si>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</si>
  <si>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</si>
  <si>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</si>
  <si>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</si>
  <si>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</si>
  <si>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</si>
  <si>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</si>
  <si>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</si>
  <si>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</si>
  <si>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</si>
  <si>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</si>
  <si>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</si>
  <si>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</si>
  <si>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</si>
  <si>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</si>
  <si>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</si>
  <si>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</si>
  <si>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</si>
  <si>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</si>
  <si>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</si>
  <si>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</si>
  <si>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</si>
  <si>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</si>
  <si>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</si>
  <si>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</si>
  <si>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</si>
  <si>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</si>
  <si>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</si>
  <si>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</si>
  <si>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</si>
  <si>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</si>
  <si>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</si>
  <si>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</si>
  <si>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</si>
  <si>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</si>
  <si>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</si>
  <si>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</si>
  <si>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</si>
  <si>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</si>
  <si>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</si>
  <si>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</si>
  <si>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</si>
  <si>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</si>
  <si>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</si>
  <si>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</si>
  <si>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</si>
  <si>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</si>
  <si>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</si>
  <si>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</si>
  <si>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</si>
  <si>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</si>
  <si>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</si>
  <si>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</si>
  <si>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</si>
  <si>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</si>
  <si>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</si>
  <si>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</si>
  <si>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</si>
  <si>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</si>
  <si>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</si>
  <si>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</si>
  <si>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</si>
  <si>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</si>
  <si>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</si>
  <si>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</si>
  <si>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</si>
  <si>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</si>
  <si>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</si>
  <si>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</si>
  <si>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</si>
  <si>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</si>
  <si>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</si>
  <si>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</si>
  <si>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</si>
  <si>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</si>
  <si>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</si>
  <si>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</si>
  <si>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</si>
  <si>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</si>
  <si>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</si>
  <si>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</si>
  <si>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</si>
  <si>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</si>
  <si>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</si>
  <si>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</si>
  <si>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</si>
  <si>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</si>
  <si>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</si>
  <si>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</si>
  <si>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</si>
  <si>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</si>
  <si>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</si>
  <si>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</si>
  <si>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</si>
  <si>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</si>
  <si>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</si>
  <si>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</si>
  <si>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</si>
  <si>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</si>
  <si>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</si>
  <si>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</si>
  <si>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</si>
  <si>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</si>
  <si>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</si>
  <si>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</si>
  <si>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</si>
  <si>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</si>
  <si>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</si>
  <si>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</si>
  <si>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</si>
  <si>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</si>
  <si>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</si>
  <si>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</si>
  <si>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</si>
  <si>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</si>
  <si>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</si>
  <si>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</si>
  <si>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</si>
  <si>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</si>
  <si>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</si>
  <si>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</si>
  <si>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</si>
  <si>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</si>
  <si>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</si>
  <si>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</si>
  <si>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</si>
  <si>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</si>
  <si>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</si>
  <si>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</si>
  <si>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</si>
  <si>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</si>
  <si>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</si>
  <si>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</si>
  <si>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</si>
  <si>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</si>
  <si>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</si>
  <si>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</si>
  <si>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</si>
  <si>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</si>
  <si>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</si>
  <si>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</si>
  <si>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</si>
  <si>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</si>
  <si>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</si>
  <si>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</si>
  <si>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</si>
  <si>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</si>
  <si>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</si>
  <si>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</si>
  <si>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</si>
  <si>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</si>
  <si>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</si>
  <si>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</si>
  <si>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</si>
  <si>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</si>
  <si>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</si>
  <si>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</si>
  <si>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</si>
  <si>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</si>
  <si>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</si>
  <si>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</si>
  <si>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</si>
  <si>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</si>
  <si>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</si>
  <si>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</si>
  <si>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</si>
  <si>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</si>
  <si>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</si>
  <si>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</si>
  <si>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</si>
  <si>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</si>
  <si>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VALDIVIA MICHELLE</t>
  </si>
  <si>
    <t>SAAVEDRA JUANA</t>
  </si>
  <si>
    <t>MENESES ISIDORA</t>
  </si>
  <si>
    <t>GONZALEZ PABLO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</si>
  <si>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</si>
  <si>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</si>
  <si>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</si>
  <si>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</si>
  <si>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</si>
  <si>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</si>
  <si>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</si>
  <si>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</si>
  <si>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</si>
  <si>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</si>
  <si>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</si>
  <si>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</si>
  <si>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</si>
  <si>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</si>
  <si>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</si>
  <si>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</si>
  <si>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</si>
  <si>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</si>
  <si>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</si>
  <si>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</si>
  <si>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</si>
  <si>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</si>
  <si>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</si>
  <si>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</si>
  <si>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</si>
  <si>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</si>
  <si>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</si>
  <si>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</si>
  <si>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</si>
  <si>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</si>
  <si>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</si>
  <si>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</si>
  <si>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</si>
  <si>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</si>
  <si>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</si>
  <si>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</si>
  <si>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</si>
  <si>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</si>
  <si>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</si>
  <si>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</si>
  <si>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</si>
  <si>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</si>
  <si>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</si>
  <si>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</si>
  <si>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</si>
  <si>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</si>
  <si>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</si>
  <si>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</si>
  <si>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</si>
  <si>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</si>
  <si>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</si>
  <si>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</si>
  <si>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</si>
  <si>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</si>
  <si>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</si>
  <si>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</si>
  <si>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</si>
  <si>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</si>
  <si>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</si>
  <si>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</si>
  <si>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</si>
  <si>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</si>
  <si>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</si>
  <si>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</si>
  <si>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</si>
  <si>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</si>
  <si>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</si>
  <si>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</si>
  <si>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</si>
  <si>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</si>
  <si>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</si>
  <si>
    <t>ALLENDES JOSE</t>
  </si>
  <si>
    <t>VASQUEZ ALISON</t>
  </si>
  <si>
    <t>ALDASME DAYANA</t>
  </si>
  <si>
    <t>GONZALEZ KARINA</t>
  </si>
  <si>
    <t>ROJAS DANIEL</t>
  </si>
  <si>
    <t>MARTINEZ CESAR</t>
  </si>
  <si>
    <t>SALAS PATRICIA</t>
  </si>
  <si>
    <t>LOPEZ JULIA</t>
  </si>
  <si>
    <t>80059 / 83910/89395</t>
  </si>
  <si>
    <t>QUIROZ PATRICIA</t>
  </si>
  <si>
    <t>FERNANDEZ MARTA</t>
  </si>
  <si>
    <t>ESPINOZA ELIZABETH</t>
  </si>
  <si>
    <t>CIFUENTES JALIL</t>
  </si>
  <si>
    <t>MORAGA GABRIEL</t>
  </si>
  <si>
    <t>ULLOA YOCELYN</t>
  </si>
  <si>
    <t>MARQUEZ FELIX</t>
  </si>
  <si>
    <t>ASENCIO MARIA</t>
  </si>
  <si>
    <t>URIBE NORMA</t>
  </si>
  <si>
    <t>ROMERO FRANCISCO</t>
  </si>
  <si>
    <t>CASQUETE CEMENTADO</t>
  </si>
  <si>
    <t>CELISTO MENDEZ</t>
  </si>
  <si>
    <t>PEÑA MARIA</t>
  </si>
  <si>
    <t>GUTIERREZ RAMON</t>
  </si>
  <si>
    <t xml:space="preserve">RIVERA JORGE </t>
  </si>
  <si>
    <t>NIETO LILIANA</t>
  </si>
  <si>
    <t>FUENTES SEBASTIAN</t>
  </si>
  <si>
    <t>SALAS ISMAEL</t>
  </si>
  <si>
    <t>TRINCADO NORMA</t>
  </si>
  <si>
    <t>ARANCIBIA JUAN</t>
  </si>
  <si>
    <t>DOLDER (TERM)</t>
  </si>
  <si>
    <t xml:space="preserve">PLANILLA DE TRABAJOS TERMINADOS </t>
  </si>
  <si>
    <t>RESUMEN DE FACTURAS Y RECIBOS EMITIDOS</t>
  </si>
  <si>
    <t>TOTAL
FACTURADO</t>
  </si>
  <si>
    <t>K46</t>
  </si>
  <si>
    <t>MONTO</t>
  </si>
  <si>
    <t>D6</t>
  </si>
  <si>
    <t>D66</t>
  </si>
  <si>
    <t>D126</t>
  </si>
  <si>
    <t>K6</t>
  </si>
  <si>
    <t>D106</t>
  </si>
  <si>
    <t>D26</t>
  </si>
  <si>
    <t>K66</t>
  </si>
  <si>
    <t>K106</t>
  </si>
  <si>
    <t>K86</t>
  </si>
  <si>
    <t>D86</t>
  </si>
  <si>
    <t>K26</t>
  </si>
  <si>
    <t>D46</t>
  </si>
  <si>
    <t>TOTALES POR MES</t>
  </si>
  <si>
    <t>ABONOS POR MES (13.05 %)</t>
  </si>
  <si>
    <t>NUMERO</t>
  </si>
  <si>
    <t>2015-FEBRERO</t>
  </si>
  <si>
    <t>2015-MARZO</t>
  </si>
  <si>
    <t>2015-ABRIL</t>
  </si>
  <si>
    <t>2015-MAYO</t>
  </si>
  <si>
    <t>2015-JUNIO</t>
  </si>
  <si>
    <t>2015-JULIO</t>
  </si>
  <si>
    <t>2015-AGOSTO</t>
  </si>
  <si>
    <t>2015-SEPTIEMBRE</t>
  </si>
  <si>
    <t>2015-OCTUBRE</t>
  </si>
  <si>
    <t>2015-NOVIEMBRE</t>
  </si>
  <si>
    <t>2015-DICIEMBRE</t>
  </si>
  <si>
    <t>PERIODO</t>
  </si>
  <si>
    <t>REALIZADO</t>
  </si>
  <si>
    <t>GUERRA SERGIO</t>
  </si>
  <si>
    <t>LLEIRUL PEDRO</t>
  </si>
  <si>
    <t>PZAS 8 Y 9</t>
  </si>
  <si>
    <t>DIAZ MANUEL</t>
  </si>
  <si>
    <t>DURAN LORETO</t>
  </si>
  <si>
    <t>BRAVO ROBERTO</t>
  </si>
  <si>
    <t>SOBARZO JAQUELINE</t>
  </si>
  <si>
    <t>CARDENAS CAROLINA</t>
  </si>
  <si>
    <t>AGUILA</t>
  </si>
  <si>
    <t>MIGUEZ FRANCISCO</t>
  </si>
  <si>
    <t>89968/92566</t>
  </si>
  <si>
    <t>CASQUETE, PORCELANA PERIFERICA</t>
  </si>
  <si>
    <t>aun  no se hace el glaseado</t>
  </si>
  <si>
    <t>GUAJARDO CAMILA</t>
  </si>
  <si>
    <t>MANSILLA CLAUDIA</t>
  </si>
  <si>
    <t>2****</t>
  </si>
  <si>
    <t>MEZA VICTOR</t>
  </si>
  <si>
    <t>PLANO RELAJACION BLANDO DURO</t>
  </si>
  <si>
    <t>VALENZUELA MARCELO</t>
  </si>
  <si>
    <t>CARIMAN ALDO</t>
  </si>
  <si>
    <t>MARTINEZ CARLOS</t>
  </si>
  <si>
    <t>DRAZIC OBREN</t>
  </si>
  <si>
    <t>ANTES HIZO LA PZA 19</t>
  </si>
  <si>
    <t>ANTES HIZO LA PZA 13</t>
  </si>
  <si>
    <t>MIRANDA ERICA</t>
  </si>
  <si>
    <t>POZZO MARCIA</t>
  </si>
  <si>
    <t>MURILLO ZULY</t>
  </si>
  <si>
    <t>MIRAGLIA MAURICIO</t>
  </si>
  <si>
    <t>88436/91857</t>
  </si>
  <si>
    <t>ACUÑA HAYDEE</t>
  </si>
  <si>
    <t>RIFFO FRANCISCA</t>
  </si>
  <si>
    <t>2015-ENERO</t>
  </si>
  <si>
    <t>FE-120</t>
  </si>
  <si>
    <t>R-8978</t>
  </si>
  <si>
    <t>CH/15245454 BANCO CHILE 25/12/2015</t>
  </si>
  <si>
    <t>28/01/2015</t>
  </si>
  <si>
    <t>30/01/2015</t>
  </si>
  <si>
    <t>SSADSDA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</si>
</sst>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8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C80F0A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Arial Black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b/>
      <sz val="12"/>
      <color rgb="FFFFFF00"/>
      <name val="Arial"/>
      <family val="2"/>
    </font>
    <font>
      <b/>
      <sz val="10"/>
      <name val="Calibri"/>
      <family val="2"/>
      <scheme val="minor"/>
    </font>
    <font>
      <b/>
      <sz val="8"/>
      <color rgb="FF002060"/>
      <name val="Calibri Light"/>
      <family val="1"/>
      <scheme val="major"/>
    </font>
    <font>
      <sz val="7"/>
      <name val="Arial"/>
      <family val="2"/>
    </font>
    <font>
      <sz val="14"/>
      <name val="Eras Bold ITC"/>
      <family val="2"/>
    </font>
    <font>
      <b/>
      <sz val="9"/>
      <color theme="0"/>
      <name val="Arial"/>
      <family val="2"/>
    </font>
    <font>
      <b/>
      <sz val="22"/>
      <name val="Arial"/>
      <family val="2"/>
    </font>
    <font>
      <u/>
      <sz val="11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</cellStyleXfs>
  <cellXfs count="690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Font="1" applyBorder="1"/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7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7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7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7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17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5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6" fillId="5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7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left" vertical="center" wrapText="1"/>
    </xf>
    <xf numFmtId="42" fontId="6" fillId="16" borderId="1" xfId="0" applyNumberFormat="1" applyFont="1" applyFill="1" applyBorder="1" applyAlignment="1">
      <alignment vertical="center"/>
    </xf>
    <xf numFmtId="0" fontId="13" fillId="17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12" fillId="19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0" fillId="20" borderId="1" xfId="0" applyNumberFormat="1" applyFont="1" applyFill="1" applyBorder="1" applyAlignment="1">
      <alignment horizontal="center"/>
    </xf>
    <xf numFmtId="42" fontId="21" fillId="11" borderId="1" xfId="0" applyNumberFormat="1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5" fillId="20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23" fillId="23" borderId="1" xfId="0" applyNumberFormat="1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left" vertical="center"/>
    </xf>
    <xf numFmtId="42" fontId="21" fillId="20" borderId="1" xfId="0" applyNumberFormat="1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 vertical="center"/>
    </xf>
    <xf numFmtId="165" fontId="23" fillId="23" borderId="1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left" vertical="center"/>
    </xf>
    <xf numFmtId="0" fontId="23" fillId="23" borderId="1" xfId="0" applyFont="1" applyFill="1" applyBorder="1"/>
    <xf numFmtId="1" fontId="23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2" fillId="19" borderId="0" xfId="1" applyFont="1" applyFill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 vertical="center"/>
    </xf>
    <xf numFmtId="166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Border="1" applyAlignment="1">
      <alignment horizontal="center" vertical="center"/>
    </xf>
    <xf numFmtId="1" fontId="27" fillId="24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/>
    <xf numFmtId="0" fontId="28" fillId="24" borderId="1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 applyAlignment="1" applyProtection="1">
      <alignment horizontal="left" vertical="center"/>
      <protection locked="0"/>
    </xf>
    <xf numFmtId="42" fontId="28" fillId="20" borderId="1" xfId="0" applyNumberFormat="1" applyFont="1" applyFill="1" applyBorder="1" applyAlignment="1">
      <alignment horizontal="center"/>
    </xf>
    <xf numFmtId="42" fontId="29" fillId="11" borderId="1" xfId="0" applyNumberFormat="1" applyFont="1" applyFill="1" applyBorder="1" applyAlignment="1">
      <alignment horizontal="center"/>
    </xf>
    <xf numFmtId="49" fontId="25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2" fillId="24" borderId="1" xfId="1" applyFont="1" applyFill="1" applyBorder="1" applyAlignment="1" applyProtection="1">
      <alignment horizontal="center" vertical="center"/>
      <protection locked="0"/>
    </xf>
    <xf numFmtId="166" fontId="32" fillId="24" borderId="1" xfId="1" applyNumberFormat="1" applyFont="1" applyFill="1" applyBorder="1" applyAlignment="1" applyProtection="1">
      <alignment horizontal="center" vertical="center"/>
      <protection locked="0"/>
    </xf>
    <xf numFmtId="0" fontId="32" fillId="24" borderId="1" xfId="1" applyFont="1" applyFill="1" applyBorder="1" applyAlignment="1" applyProtection="1">
      <alignment horizontal="left" vertical="center"/>
      <protection locked="0"/>
    </xf>
    <xf numFmtId="0" fontId="32" fillId="25" borderId="1" xfId="1" applyFont="1" applyFill="1" applyBorder="1" applyAlignment="1" applyProtection="1">
      <alignment horizontal="left" vertical="center"/>
      <protection locked="0"/>
    </xf>
    <xf numFmtId="49" fontId="32" fillId="24" borderId="1" xfId="1" applyNumberFormat="1" applyFont="1" applyFill="1" applyBorder="1" applyAlignment="1" applyProtection="1">
      <alignment horizontal="center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1" fontId="32" fillId="24" borderId="1" xfId="1" applyNumberFormat="1" applyFont="1" applyFill="1" applyBorder="1" applyAlignment="1" applyProtection="1">
      <alignment horizontal="center" vertical="center"/>
      <protection locked="0"/>
    </xf>
    <xf numFmtId="167" fontId="34" fillId="26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1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2" fillId="0" borderId="0" xfId="1" applyFont="1" applyAlignment="1" applyProtection="1">
      <alignment vertical="center"/>
      <protection locked="0"/>
    </xf>
    <xf numFmtId="0" fontId="36" fillId="24" borderId="1" xfId="1" applyFont="1" applyFill="1" applyBorder="1" applyAlignment="1" applyProtection="1">
      <alignment horizontal="center" vertical="center"/>
      <protection locked="0"/>
    </xf>
    <xf numFmtId="166" fontId="36" fillId="24" borderId="1" xfId="1" applyNumberFormat="1" applyFont="1" applyFill="1" applyBorder="1" applyAlignment="1" applyProtection="1">
      <alignment horizontal="center" vertical="center"/>
      <protection locked="0"/>
    </xf>
    <xf numFmtId="0" fontId="36" fillId="24" borderId="1" xfId="1" applyFont="1" applyFill="1" applyBorder="1" applyAlignment="1" applyProtection="1">
      <alignment horizontal="left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1" fontId="36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26" borderId="2" xfId="3" applyNumberFormat="1" applyFont="1" applyFill="1" applyBorder="1" applyAlignment="1" applyProtection="1">
      <alignment horizontal="center" vertical="center"/>
      <protection locked="0"/>
    </xf>
    <xf numFmtId="0" fontId="37" fillId="0" borderId="0" xfId="1" applyFont="1" applyBorder="1" applyProtection="1">
      <protection locked="0"/>
    </xf>
    <xf numFmtId="0" fontId="37" fillId="0" borderId="0" xfId="1" applyFont="1" applyProtection="1">
      <protection locked="0"/>
    </xf>
    <xf numFmtId="0" fontId="36" fillId="0" borderId="0" xfId="1" applyFont="1" applyAlignment="1" applyProtection="1">
      <alignment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8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9" fillId="24" borderId="1" xfId="1" applyFont="1" applyFill="1" applyBorder="1" applyAlignment="1" applyProtection="1">
      <alignment horizontal="center" vertical="center"/>
      <protection locked="0"/>
    </xf>
    <xf numFmtId="166" fontId="39" fillId="24" borderId="1" xfId="1" applyNumberFormat="1" applyFont="1" applyFill="1" applyBorder="1" applyAlignment="1" applyProtection="1">
      <alignment horizontal="center" vertical="center"/>
      <protection locked="0"/>
    </xf>
    <xf numFmtId="0" fontId="39" fillId="24" borderId="1" xfId="1" applyFont="1" applyFill="1" applyBorder="1" applyAlignment="1" applyProtection="1">
      <alignment horizontal="left" vertical="center"/>
      <protection locked="0"/>
    </xf>
    <xf numFmtId="0" fontId="39" fillId="25" borderId="1" xfId="1" applyFont="1" applyFill="1" applyBorder="1" applyAlignment="1" applyProtection="1">
      <alignment horizontal="left" vertical="center"/>
      <protection locked="0"/>
    </xf>
    <xf numFmtId="49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34" fillId="25" borderId="1" xfId="1" applyNumberFormat="1" applyFont="1" applyFill="1" applyBorder="1" applyAlignment="1" applyProtection="1">
      <alignment horizontal="center" vertical="center"/>
      <protection locked="0"/>
    </xf>
    <xf numFmtId="1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40" fillId="24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2" fillId="24" borderId="0" xfId="1" applyFont="1" applyFill="1" applyBorder="1" applyAlignment="1" applyProtection="1">
      <alignment horizontal="center" vertical="center"/>
      <protection locked="0"/>
    </xf>
    <xf numFmtId="49" fontId="32" fillId="24" borderId="0" xfId="1" applyNumberFormat="1" applyFont="1" applyFill="1" applyBorder="1" applyAlignment="1" applyProtection="1">
      <alignment horizontal="center" vertical="center"/>
      <protection locked="0"/>
    </xf>
    <xf numFmtId="0" fontId="32" fillId="24" borderId="0" xfId="1" applyFont="1" applyFill="1" applyBorder="1" applyAlignment="1" applyProtection="1">
      <alignment horizontal="left" vertical="center"/>
      <protection locked="0"/>
    </xf>
    <xf numFmtId="166" fontId="32" fillId="24" borderId="0" xfId="1" applyNumberFormat="1" applyFont="1" applyFill="1" applyBorder="1" applyAlignment="1" applyProtection="1">
      <alignment horizontal="center" vertical="center"/>
      <protection locked="0"/>
    </xf>
    <xf numFmtId="168" fontId="32" fillId="24" borderId="0" xfId="1" applyNumberFormat="1" applyFont="1" applyFill="1" applyBorder="1" applyAlignment="1" applyProtection="1">
      <alignment vertical="center"/>
      <protection locked="0"/>
    </xf>
    <xf numFmtId="49" fontId="36" fillId="24" borderId="1" xfId="3" applyNumberFormat="1" applyFont="1" applyFill="1" applyBorder="1" applyAlignment="1" applyProtection="1">
      <alignment horizontal="center" vertical="center"/>
      <protection locked="0"/>
    </xf>
    <xf numFmtId="49" fontId="41" fillId="24" borderId="3" xfId="3" applyNumberFormat="1" applyFont="1" applyFill="1" applyBorder="1" applyAlignment="1" applyProtection="1">
      <alignment vertical="center" wrapText="1"/>
      <protection locked="0"/>
    </xf>
    <xf numFmtId="167" fontId="42" fillId="0" borderId="3" xfId="3" applyNumberFormat="1" applyFont="1" applyBorder="1" applyAlignment="1" applyProtection="1">
      <alignment vertical="center"/>
      <protection locked="0"/>
    </xf>
    <xf numFmtId="0" fontId="32" fillId="5" borderId="1" xfId="1" applyFont="1" applyFill="1" applyBorder="1" applyAlignment="1" applyProtection="1">
      <alignment horizontal="left" vertical="center"/>
      <protection locked="0"/>
    </xf>
    <xf numFmtId="0" fontId="43" fillId="24" borderId="1" xfId="1" applyFont="1" applyFill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vertical="center"/>
      <protection locked="0"/>
    </xf>
    <xf numFmtId="167" fontId="35" fillId="7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vertical="center" wrapText="1"/>
      <protection locked="0"/>
    </xf>
    <xf numFmtId="167" fontId="36" fillId="26" borderId="2" xfId="3" applyNumberFormat="1" applyFont="1" applyFill="1" applyBorder="1" applyAlignment="1" applyProtection="1">
      <alignment horizontal="center" vertical="center"/>
      <protection locked="0"/>
    </xf>
    <xf numFmtId="0" fontId="35" fillId="24" borderId="1" xfId="1" applyFont="1" applyFill="1" applyBorder="1" applyAlignment="1" applyProtection="1">
      <alignment horizontal="left" vertical="center"/>
      <protection locked="0"/>
    </xf>
    <xf numFmtId="49" fontId="36" fillId="0" borderId="3" xfId="3" applyNumberFormat="1" applyFont="1" applyFill="1" applyBorder="1" applyAlignment="1" applyProtection="1">
      <alignment vertical="center" wrapText="1"/>
      <protection locked="0"/>
    </xf>
    <xf numFmtId="0" fontId="35" fillId="24" borderId="1" xfId="1" applyFont="1" applyFill="1" applyBorder="1" applyAlignment="1" applyProtection="1">
      <alignment horizontal="center" vertical="center"/>
      <protection locked="0"/>
    </xf>
    <xf numFmtId="166" fontId="35" fillId="24" borderId="1" xfId="1" applyNumberFormat="1" applyFont="1" applyFill="1" applyBorder="1" applyAlignment="1" applyProtection="1">
      <alignment horizontal="center" vertical="center"/>
      <protection locked="0"/>
    </xf>
    <xf numFmtId="0" fontId="35" fillId="25" borderId="1" xfId="1" applyFont="1" applyFill="1" applyBorder="1" applyAlignment="1" applyProtection="1">
      <alignment horizontal="left" vertical="center"/>
      <protection locked="0"/>
    </xf>
    <xf numFmtId="49" fontId="35" fillId="24" borderId="1" xfId="1" applyNumberFormat="1" applyFont="1" applyFill="1" applyBorder="1" applyAlignment="1" applyProtection="1">
      <alignment horizontal="center" vertical="center"/>
      <protection locked="0"/>
    </xf>
    <xf numFmtId="49" fontId="35" fillId="25" borderId="1" xfId="1" applyNumberFormat="1" applyFont="1" applyFill="1" applyBorder="1" applyAlignment="1" applyProtection="1">
      <alignment horizontal="center" vertical="center"/>
      <protection locked="0"/>
    </xf>
    <xf numFmtId="1" fontId="35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4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2" fillId="5" borderId="0" xfId="1" applyFont="1" applyFill="1" applyAlignment="1" applyProtection="1">
      <alignment vertical="center"/>
      <protection locked="0"/>
    </xf>
    <xf numFmtId="49" fontId="45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1" xfId="3" applyNumberFormat="1" applyFont="1" applyBorder="1" applyAlignment="1" applyProtection="1">
      <alignment vertical="center"/>
      <protection locked="0"/>
    </xf>
    <xf numFmtId="49" fontId="4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0" fontId="47" fillId="0" borderId="0" xfId="1" applyFont="1" applyBorder="1" applyProtection="1">
      <protection locked="0"/>
    </xf>
    <xf numFmtId="0" fontId="47" fillId="0" borderId="0" xfId="1" applyFont="1" applyProtection="1">
      <protection locked="0"/>
    </xf>
    <xf numFmtId="0" fontId="39" fillId="0" borderId="0" xfId="1" applyFont="1" applyAlignment="1" applyProtection="1">
      <alignment vertical="center"/>
      <protection locked="0"/>
    </xf>
    <xf numFmtId="49" fontId="48" fillId="24" borderId="3" xfId="3" applyNumberFormat="1" applyFont="1" applyFill="1" applyBorder="1" applyAlignment="1" applyProtection="1">
      <alignment vertical="center" wrapText="1"/>
      <protection locked="0"/>
    </xf>
    <xf numFmtId="167" fontId="44" fillId="0" borderId="3" xfId="3" applyNumberFormat="1" applyFont="1" applyBorder="1" applyAlignment="1" applyProtection="1">
      <alignment vertical="center"/>
      <protection locked="0"/>
    </xf>
    <xf numFmtId="49" fontId="42" fillId="24" borderId="3" xfId="3" applyNumberFormat="1" applyFont="1" applyFill="1" applyBorder="1" applyAlignment="1" applyProtection="1">
      <alignment vertical="center" wrapText="1"/>
      <protection locked="0"/>
    </xf>
    <xf numFmtId="0" fontId="45" fillId="24" borderId="3" xfId="3" applyNumberFormat="1" applyFont="1" applyFill="1" applyBorder="1" applyAlignment="1" applyProtection="1">
      <alignment horizontal="left" vertical="center" wrapText="1"/>
      <protection locked="0"/>
    </xf>
    <xf numFmtId="0" fontId="44" fillId="0" borderId="3" xfId="3" applyNumberFormat="1" applyFont="1" applyBorder="1" applyAlignment="1" applyProtection="1">
      <alignment vertical="center"/>
      <protection locked="0"/>
    </xf>
    <xf numFmtId="0" fontId="36" fillId="5" borderId="1" xfId="1" applyFont="1" applyFill="1" applyBorder="1" applyAlignment="1" applyProtection="1">
      <alignment horizontal="left" vertical="center"/>
      <protection locked="0"/>
    </xf>
    <xf numFmtId="0" fontId="49" fillId="25" borderId="1" xfId="1" applyFont="1" applyFill="1" applyBorder="1" applyAlignment="1" applyProtection="1">
      <alignment horizontal="left" vertical="center"/>
      <protection locked="0"/>
    </xf>
    <xf numFmtId="49" fontId="36" fillId="5" borderId="3" xfId="3" applyNumberFormat="1" applyFont="1" applyFill="1" applyBorder="1" applyAlignment="1" applyProtection="1">
      <alignment vertical="center" wrapText="1"/>
      <protection locked="0"/>
    </xf>
    <xf numFmtId="0" fontId="36" fillId="5" borderId="1" xfId="1" applyFont="1" applyFill="1" applyBorder="1" applyAlignment="1" applyProtection="1">
      <alignment horizontal="center" vertical="center"/>
      <protection locked="0"/>
    </xf>
    <xf numFmtId="166" fontId="36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1" applyNumberFormat="1" applyFont="1" applyFill="1" applyBorder="1" applyAlignment="1" applyProtection="1">
      <alignment horizontal="center" vertical="center"/>
      <protection locked="0"/>
    </xf>
    <xf numFmtId="1" fontId="36" fillId="5" borderId="1" xfId="1" applyNumberFormat="1" applyFont="1" applyFill="1" applyBorder="1" applyAlignment="1" applyProtection="1">
      <alignment horizontal="center" vertical="center"/>
      <protection locked="0"/>
    </xf>
    <xf numFmtId="0" fontId="50" fillId="0" borderId="0" xfId="1" applyFont="1" applyBorder="1" applyProtection="1">
      <protection locked="0"/>
    </xf>
    <xf numFmtId="167" fontId="34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/>
      <protection locked="0"/>
    </xf>
    <xf numFmtId="167" fontId="34" fillId="28" borderId="2" xfId="3" applyNumberFormat="1" applyFont="1" applyFill="1" applyBorder="1" applyAlignment="1" applyProtection="1">
      <alignment horizontal="center" vertical="center"/>
      <protection locked="0"/>
    </xf>
    <xf numFmtId="167" fontId="34" fillId="5" borderId="2" xfId="3" applyNumberFormat="1" applyFont="1" applyFill="1" applyBorder="1" applyAlignment="1" applyProtection="1">
      <alignment horizontal="center" vertical="center"/>
      <protection locked="0"/>
    </xf>
    <xf numFmtId="49" fontId="42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6" xfId="3" applyNumberFormat="1" applyFont="1" applyFill="1" applyBorder="1" applyAlignment="1" applyProtection="1">
      <alignment vertical="center" wrapText="1"/>
      <protection locked="0"/>
    </xf>
    <xf numFmtId="0" fontId="35" fillId="0" borderId="1" xfId="1" applyFont="1" applyFill="1" applyBorder="1" applyAlignment="1" applyProtection="1">
      <alignment horizontal="left" vertical="center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49" fontId="42" fillId="24" borderId="9" xfId="3" applyNumberFormat="1" applyFont="1" applyFill="1" applyBorder="1" applyAlignment="1" applyProtection="1">
      <alignment vertical="center" wrapText="1"/>
      <protection locked="0"/>
    </xf>
    <xf numFmtId="167" fontId="34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5" fillId="0" borderId="0" xfId="1" applyFont="1" applyAlignment="1" applyProtection="1">
      <alignment vertical="center"/>
      <protection locked="0"/>
    </xf>
    <xf numFmtId="0" fontId="1" fillId="0" borderId="0" xfId="1"/>
    <xf numFmtId="0" fontId="55" fillId="0" borderId="0" xfId="1" applyFont="1" applyAlignment="1" applyProtection="1">
      <alignment horizontal="center" vertical="center"/>
      <protection locked="0"/>
    </xf>
    <xf numFmtId="0" fontId="57" fillId="30" borderId="1" xfId="1" applyFont="1" applyFill="1" applyBorder="1" applyAlignment="1" applyProtection="1">
      <alignment horizontal="center" vertical="center"/>
      <protection locked="0"/>
    </xf>
    <xf numFmtId="0" fontId="57" fillId="30" borderId="2" xfId="1" applyFont="1" applyFill="1" applyBorder="1" applyAlignment="1" applyProtection="1">
      <alignment horizontal="center" vertical="center"/>
      <protection locked="0"/>
    </xf>
    <xf numFmtId="170" fontId="35" fillId="24" borderId="1" xfId="3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0" xfId="1" applyFont="1" applyFill="1" applyAlignment="1" applyProtection="1">
      <alignment vertical="center"/>
      <protection locked="0"/>
    </xf>
    <xf numFmtId="0" fontId="35" fillId="24" borderId="11" xfId="1" applyFont="1" applyFill="1" applyBorder="1" applyAlignment="1" applyProtection="1">
      <alignment horizontal="center" vertical="center"/>
      <protection locked="0"/>
    </xf>
    <xf numFmtId="0" fontId="35" fillId="24" borderId="11" xfId="1" applyFont="1" applyFill="1" applyBorder="1" applyAlignment="1" applyProtection="1">
      <alignment horizontal="left" vertical="center"/>
      <protection locked="0"/>
    </xf>
    <xf numFmtId="49" fontId="35" fillId="24" borderId="11" xfId="1" applyNumberFormat="1" applyFont="1" applyFill="1" applyBorder="1" applyAlignment="1" applyProtection="1">
      <alignment horizontal="center" vertical="center"/>
      <protection locked="0"/>
    </xf>
    <xf numFmtId="166" fontId="35" fillId="24" borderId="11" xfId="1" applyNumberFormat="1" applyFont="1" applyFill="1" applyBorder="1" applyAlignment="1" applyProtection="1">
      <alignment horizontal="center" vertical="center"/>
      <protection locked="0"/>
    </xf>
    <xf numFmtId="170" fontId="35" fillId="24" borderId="11" xfId="3" applyNumberFormat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left" vertical="center"/>
      <protection locked="0"/>
    </xf>
    <xf numFmtId="0" fontId="35" fillId="24" borderId="5" xfId="1" applyFont="1" applyFill="1" applyBorder="1" applyAlignment="1" applyProtection="1">
      <alignment horizontal="left" vertical="center"/>
      <protection locked="0"/>
    </xf>
    <xf numFmtId="49" fontId="36" fillId="24" borderId="5" xfId="1" applyNumberFormat="1" applyFont="1" applyFill="1" applyBorder="1" applyAlignment="1" applyProtection="1">
      <alignment horizontal="center" vertical="center"/>
      <protection locked="0"/>
    </xf>
    <xf numFmtId="49" fontId="35" fillId="24" borderId="5" xfId="1" applyNumberFormat="1" applyFont="1" applyFill="1" applyBorder="1" applyAlignment="1" applyProtection="1">
      <alignment horizontal="center" vertical="center"/>
      <protection locked="0"/>
    </xf>
    <xf numFmtId="166" fontId="36" fillId="24" borderId="5" xfId="1" applyNumberFormat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0" xfId="1" applyFont="1" applyFill="1" applyAlignment="1" applyProtection="1">
      <alignment vertical="center"/>
      <protection locked="0"/>
    </xf>
    <xf numFmtId="0" fontId="36" fillId="24" borderId="11" xfId="1" applyFont="1" applyFill="1" applyBorder="1" applyAlignment="1" applyProtection="1">
      <alignment horizontal="center" vertical="center"/>
      <protection locked="0"/>
    </xf>
    <xf numFmtId="0" fontId="36" fillId="24" borderId="11" xfId="1" applyFont="1" applyFill="1" applyBorder="1" applyAlignment="1" applyProtection="1">
      <alignment horizontal="left" vertical="center"/>
      <protection locked="0"/>
    </xf>
    <xf numFmtId="49" fontId="36" fillId="24" borderId="11" xfId="1" applyNumberFormat="1" applyFont="1" applyFill="1" applyBorder="1" applyAlignment="1" applyProtection="1">
      <alignment horizontal="center" vertical="center"/>
      <protection locked="0"/>
    </xf>
    <xf numFmtId="166" fontId="36" fillId="24" borderId="11" xfId="1" applyNumberFormat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left" vertical="center"/>
      <protection locked="0"/>
    </xf>
    <xf numFmtId="0" fontId="35" fillId="24" borderId="12" xfId="1" applyFont="1" applyFill="1" applyBorder="1" applyAlignment="1" applyProtection="1">
      <alignment horizontal="left" vertical="center"/>
      <protection locked="0"/>
    </xf>
    <xf numFmtId="49" fontId="36" fillId="24" borderId="12" xfId="1" applyNumberFormat="1" applyFont="1" applyFill="1" applyBorder="1" applyAlignment="1" applyProtection="1">
      <alignment horizontal="center" vertical="center"/>
      <protection locked="0"/>
    </xf>
    <xf numFmtId="49" fontId="35" fillId="24" borderId="12" xfId="1" applyNumberFormat="1" applyFont="1" applyFill="1" applyBorder="1" applyAlignment="1" applyProtection="1">
      <alignment horizontal="center" vertical="center"/>
      <protection locked="0"/>
    </xf>
    <xf numFmtId="166" fontId="36" fillId="24" borderId="12" xfId="1" applyNumberFormat="1" applyFont="1" applyFill="1" applyBorder="1" applyAlignment="1" applyProtection="1">
      <alignment horizontal="center" vertical="center"/>
      <protection locked="0"/>
    </xf>
    <xf numFmtId="170" fontId="35" fillId="24" borderId="12" xfId="3" applyNumberFormat="1" applyFont="1" applyFill="1" applyBorder="1" applyAlignment="1" applyProtection="1">
      <alignment horizontal="center" vertical="center"/>
      <protection locked="0"/>
    </xf>
    <xf numFmtId="0" fontId="32" fillId="32" borderId="1" xfId="1" applyFont="1" applyFill="1" applyBorder="1" applyAlignment="1" applyProtection="1">
      <alignment horizontal="center" vertical="center"/>
      <protection locked="0"/>
    </xf>
    <xf numFmtId="0" fontId="32" fillId="32" borderId="13" xfId="1" applyFont="1" applyFill="1" applyBorder="1" applyAlignment="1" applyProtection="1">
      <alignment horizontal="center" vertical="center"/>
      <protection locked="0"/>
    </xf>
    <xf numFmtId="0" fontId="36" fillId="24" borderId="13" xfId="1" applyFont="1" applyFill="1" applyBorder="1" applyAlignment="1" applyProtection="1">
      <alignment horizontal="left" vertical="center"/>
      <protection locked="0"/>
    </xf>
    <xf numFmtId="0" fontId="36" fillId="24" borderId="13" xfId="1" applyFont="1" applyFill="1" applyBorder="1" applyAlignment="1" applyProtection="1">
      <alignment horizontal="center" vertical="center"/>
      <protection locked="0"/>
    </xf>
    <xf numFmtId="0" fontId="35" fillId="24" borderId="13" xfId="1" applyFont="1" applyFill="1" applyBorder="1" applyAlignment="1" applyProtection="1">
      <alignment horizontal="left" vertical="center"/>
      <protection locked="0"/>
    </xf>
    <xf numFmtId="49" fontId="36" fillId="24" borderId="13" xfId="1" applyNumberFormat="1" applyFont="1" applyFill="1" applyBorder="1" applyAlignment="1" applyProtection="1">
      <alignment horizontal="center" vertical="center"/>
      <protection locked="0"/>
    </xf>
    <xf numFmtId="49" fontId="35" fillId="24" borderId="13" xfId="1" applyNumberFormat="1" applyFont="1" applyFill="1" applyBorder="1" applyAlignment="1" applyProtection="1">
      <alignment horizontal="center" vertical="center"/>
      <protection locked="0"/>
    </xf>
    <xf numFmtId="166" fontId="36" fillId="24" borderId="13" xfId="1" applyNumberFormat="1" applyFont="1" applyFill="1" applyBorder="1" applyAlignment="1" applyProtection="1">
      <alignment horizontal="center" vertical="center"/>
      <protection locked="0"/>
    </xf>
    <xf numFmtId="170" fontId="35" fillId="24" borderId="13" xfId="3" applyNumberFormat="1" applyFont="1" applyFill="1" applyBorder="1" applyAlignment="1" applyProtection="1">
      <alignment horizontal="center" vertical="center"/>
      <protection locked="0"/>
    </xf>
    <xf numFmtId="0" fontId="35" fillId="31" borderId="13" xfId="1" applyFont="1" applyFill="1" applyBorder="1" applyAlignment="1" applyProtection="1">
      <alignment horizontal="left" vertical="center"/>
      <protection locked="0"/>
    </xf>
    <xf numFmtId="0" fontId="32" fillId="24" borderId="14" xfId="1" applyFont="1" applyFill="1" applyBorder="1" applyAlignment="1" applyProtection="1">
      <alignment horizontal="center" vertical="center"/>
      <protection locked="0"/>
    </xf>
    <xf numFmtId="0" fontId="32" fillId="24" borderId="14" xfId="1" applyFont="1" applyFill="1" applyBorder="1" applyAlignment="1" applyProtection="1">
      <alignment horizontal="left" vertical="center"/>
      <protection locked="0"/>
    </xf>
    <xf numFmtId="0" fontId="39" fillId="24" borderId="14" xfId="1" applyFont="1" applyFill="1" applyBorder="1" applyAlignment="1" applyProtection="1">
      <alignment horizontal="left" vertical="center"/>
      <protection locked="0"/>
    </xf>
    <xf numFmtId="49" fontId="32" fillId="24" borderId="14" xfId="1" applyNumberFormat="1" applyFont="1" applyFill="1" applyBorder="1" applyAlignment="1" applyProtection="1">
      <alignment horizontal="center" vertical="center"/>
      <protection locked="0"/>
    </xf>
    <xf numFmtId="49" fontId="58" fillId="6" borderId="14" xfId="1" applyNumberFormat="1" applyFont="1" applyFill="1" applyBorder="1" applyAlignment="1" applyProtection="1">
      <alignment horizontal="center" vertical="center"/>
      <protection locked="0"/>
    </xf>
    <xf numFmtId="166" fontId="32" fillId="24" borderId="14" xfId="1" applyNumberFormat="1" applyFont="1" applyFill="1" applyBorder="1" applyAlignment="1" applyProtection="1">
      <alignment horizontal="center" vertical="center"/>
      <protection locked="0"/>
    </xf>
    <xf numFmtId="170" fontId="39" fillId="33" borderId="14" xfId="3" applyNumberFormat="1" applyFont="1" applyFill="1" applyBorder="1" applyAlignment="1" applyProtection="1">
      <alignment horizontal="center" vertical="center"/>
      <protection locked="0"/>
    </xf>
    <xf numFmtId="170" fontId="39" fillId="12" borderId="14" xfId="3" applyNumberFormat="1" applyFont="1" applyFill="1" applyBorder="1" applyAlignment="1" applyProtection="1">
      <alignment horizontal="center" vertical="center"/>
      <protection locked="0"/>
    </xf>
    <xf numFmtId="170" fontId="39" fillId="31" borderId="1" xfId="3" applyNumberFormat="1" applyFont="1" applyFill="1" applyBorder="1" applyAlignment="1" applyProtection="1">
      <alignment horizontal="center" vertical="center"/>
      <protection locked="0"/>
    </xf>
    <xf numFmtId="49" fontId="58" fillId="6" borderId="1" xfId="1" applyNumberFormat="1" applyFont="1" applyFill="1" applyBorder="1" applyAlignment="1" applyProtection="1">
      <alignment horizontal="center" vertical="center"/>
      <protection locked="0"/>
    </xf>
    <xf numFmtId="170" fontId="39" fillId="33" borderId="1" xfId="3" applyNumberFormat="1" applyFont="1" applyFill="1" applyBorder="1" applyAlignment="1" applyProtection="1">
      <alignment horizontal="center" vertical="center"/>
      <protection locked="0"/>
    </xf>
    <xf numFmtId="170" fontId="39" fillId="12" borderId="1" xfId="3" applyNumberFormat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left" vertical="center"/>
      <protection locked="0"/>
    </xf>
    <xf numFmtId="0" fontId="39" fillId="24" borderId="5" xfId="1" applyFont="1" applyFill="1" applyBorder="1" applyAlignment="1" applyProtection="1">
      <alignment horizontal="left" vertical="center"/>
      <protection locked="0"/>
    </xf>
    <xf numFmtId="49" fontId="32" fillId="24" borderId="5" xfId="1" applyNumberFormat="1" applyFont="1" applyFill="1" applyBorder="1" applyAlignment="1" applyProtection="1">
      <alignment horizontal="center" vertical="center"/>
      <protection locked="0"/>
    </xf>
    <xf numFmtId="49" fontId="58" fillId="6" borderId="5" xfId="1" applyNumberFormat="1" applyFont="1" applyFill="1" applyBorder="1" applyAlignment="1" applyProtection="1">
      <alignment horizontal="center" vertical="center"/>
      <protection locked="0"/>
    </xf>
    <xf numFmtId="166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3" borderId="5" xfId="3" applyNumberFormat="1" applyFont="1" applyFill="1" applyBorder="1" applyAlignment="1" applyProtection="1">
      <alignment horizontal="center" vertical="center"/>
      <protection locked="0"/>
    </xf>
    <xf numFmtId="170" fontId="39" fillId="12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left" vertical="center"/>
      <protection locked="0"/>
    </xf>
    <xf numFmtId="0" fontId="39" fillId="24" borderId="6" xfId="1" applyFont="1" applyFill="1" applyBorder="1" applyAlignment="1" applyProtection="1">
      <alignment horizontal="left" vertical="center"/>
      <protection locked="0"/>
    </xf>
    <xf numFmtId="49" fontId="32" fillId="24" borderId="6" xfId="1" applyNumberFormat="1" applyFont="1" applyFill="1" applyBorder="1" applyAlignment="1" applyProtection="1">
      <alignment horizontal="center" vertical="center"/>
      <protection locked="0"/>
    </xf>
    <xf numFmtId="49" fontId="58" fillId="6" borderId="6" xfId="1" applyNumberFormat="1" applyFont="1" applyFill="1" applyBorder="1" applyAlignment="1" applyProtection="1">
      <alignment horizontal="center" vertical="center"/>
      <protection locked="0"/>
    </xf>
    <xf numFmtId="166" fontId="32" fillId="24" borderId="6" xfId="1" applyNumberFormat="1" applyFont="1" applyFill="1" applyBorder="1" applyAlignment="1" applyProtection="1">
      <alignment horizontal="center" vertical="center"/>
      <protection locked="0"/>
    </xf>
    <xf numFmtId="170" fontId="39" fillId="33" borderId="6" xfId="3" applyNumberFormat="1" applyFont="1" applyFill="1" applyBorder="1" applyAlignment="1" applyProtection="1">
      <alignment horizontal="center" vertical="center"/>
      <protection locked="0"/>
    </xf>
    <xf numFmtId="170" fontId="39" fillId="12" borderId="6" xfId="3" applyNumberFormat="1" applyFont="1" applyFill="1" applyBorder="1" applyAlignment="1" applyProtection="1">
      <alignment horizontal="center" vertical="center"/>
      <protection locked="0"/>
    </xf>
    <xf numFmtId="0" fontId="32" fillId="24" borderId="15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left" vertical="center"/>
      <protection locked="0"/>
    </xf>
    <xf numFmtId="0" fontId="39" fillId="24" borderId="16" xfId="1" applyFont="1" applyFill="1" applyBorder="1" applyAlignment="1" applyProtection="1">
      <alignment horizontal="left" vertical="center"/>
      <protection locked="0"/>
    </xf>
    <xf numFmtId="49" fontId="32" fillId="24" borderId="16" xfId="1" applyNumberFormat="1" applyFont="1" applyFill="1" applyBorder="1" applyAlignment="1" applyProtection="1">
      <alignment horizontal="center" vertical="center"/>
      <protection locked="0"/>
    </xf>
    <xf numFmtId="49" fontId="58" fillId="6" borderId="16" xfId="1" applyNumberFormat="1" applyFont="1" applyFill="1" applyBorder="1" applyAlignment="1" applyProtection="1">
      <alignment horizontal="center" vertical="center"/>
      <protection locked="0"/>
    </xf>
    <xf numFmtId="166" fontId="32" fillId="24" borderId="16" xfId="1" applyNumberFormat="1" applyFont="1" applyFill="1" applyBorder="1" applyAlignment="1" applyProtection="1">
      <alignment horizontal="center" vertical="center"/>
      <protection locked="0"/>
    </xf>
    <xf numFmtId="170" fontId="39" fillId="33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center" vertical="center"/>
      <protection locked="0"/>
    </xf>
    <xf numFmtId="170" fontId="39" fillId="31" borderId="15" xfId="3" applyNumberFormat="1" applyFont="1" applyFill="1" applyBorder="1" applyAlignment="1" applyProtection="1">
      <alignment horizontal="center" vertical="center"/>
      <protection locked="0"/>
    </xf>
    <xf numFmtId="1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1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59" fillId="0" borderId="0" xfId="1" applyFont="1" applyBorder="1" applyAlignment="1" applyProtection="1">
      <alignment horizontal="center" vertical="center"/>
      <protection locked="0"/>
    </xf>
    <xf numFmtId="0" fontId="59" fillId="0" borderId="0" xfId="1" applyFont="1" applyBorder="1" applyAlignment="1" applyProtection="1">
      <alignment vertical="center"/>
      <protection locked="0"/>
    </xf>
    <xf numFmtId="0" fontId="59" fillId="0" borderId="0" xfId="1" applyFont="1" applyFill="1" applyBorder="1" applyAlignment="1" applyProtection="1">
      <alignment vertical="center"/>
      <protection locked="0"/>
    </xf>
    <xf numFmtId="0" fontId="60" fillId="34" borderId="1" xfId="1" applyFont="1" applyFill="1" applyBorder="1" applyAlignment="1" applyProtection="1">
      <alignment horizontal="right" vertical="center"/>
    </xf>
    <xf numFmtId="167" fontId="61" fillId="3" borderId="1" xfId="1" applyNumberFormat="1" applyFont="1" applyFill="1" applyBorder="1" applyAlignment="1" applyProtection="1">
      <alignment vertical="center"/>
      <protection locked="0"/>
    </xf>
    <xf numFmtId="49" fontId="59" fillId="0" borderId="0" xfId="1" applyNumberFormat="1" applyFont="1" applyBorder="1" applyAlignment="1" applyProtection="1">
      <alignment vertical="center"/>
      <protection locked="0"/>
    </xf>
    <xf numFmtId="170" fontId="39" fillId="0" borderId="1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center" vertical="center"/>
      <protection locked="0"/>
    </xf>
    <xf numFmtId="167" fontId="62" fillId="34" borderId="1" xfId="1" applyNumberFormat="1" applyFont="1" applyFill="1" applyBorder="1" applyAlignment="1" applyProtection="1">
      <alignment vertical="center"/>
    </xf>
    <xf numFmtId="170" fontId="39" fillId="5" borderId="1" xfId="1" applyNumberFormat="1" applyFont="1" applyFill="1" applyBorder="1" applyAlignment="1" applyProtection="1">
      <alignment vertical="center"/>
      <protection locked="0"/>
    </xf>
    <xf numFmtId="170" fontId="39" fillId="5" borderId="0" xfId="1" applyNumberFormat="1" applyFont="1" applyFill="1" applyBorder="1" applyAlignment="1" applyProtection="1">
      <alignment vertical="center"/>
      <protection locked="0"/>
    </xf>
    <xf numFmtId="170" fontId="59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7" fillId="35" borderId="1" xfId="1" applyFont="1" applyFill="1" applyBorder="1" applyAlignment="1" applyProtection="1">
      <alignment horizontal="center" vertical="center"/>
      <protection locked="0"/>
    </xf>
    <xf numFmtId="0" fontId="57" fillId="35" borderId="2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left" vertical="center"/>
      <protection locked="0"/>
    </xf>
    <xf numFmtId="49" fontId="63" fillId="36" borderId="5" xfId="1" applyNumberFormat="1" applyFont="1" applyFill="1" applyBorder="1" applyAlignment="1" applyProtection="1">
      <alignment horizontal="center" vertical="center"/>
      <protection locked="0"/>
    </xf>
    <xf numFmtId="166" fontId="63" fillId="36" borderId="5" xfId="1" applyNumberFormat="1" applyFont="1" applyFill="1" applyBorder="1" applyAlignment="1" applyProtection="1">
      <alignment horizontal="center" vertical="center"/>
      <protection locked="0"/>
    </xf>
    <xf numFmtId="170" fontId="63" fillId="36" borderId="5" xfId="3" applyNumberFormat="1" applyFont="1" applyFill="1" applyBorder="1" applyAlignment="1" applyProtection="1">
      <alignment horizontal="left" vertical="center"/>
      <protection locked="0"/>
    </xf>
    <xf numFmtId="170" fontId="63" fillId="31" borderId="1" xfId="3" applyNumberFormat="1" applyFont="1" applyFill="1" applyBorder="1" applyAlignment="1" applyProtection="1">
      <alignment horizontal="left" vertical="center"/>
      <protection locked="0"/>
    </xf>
    <xf numFmtId="49" fontId="63" fillId="36" borderId="1" xfId="3" applyNumberFormat="1" applyFont="1" applyFill="1" applyBorder="1" applyAlignment="1" applyProtection="1">
      <alignment horizontal="center" vertical="center" wrapText="1"/>
      <protection locked="0"/>
    </xf>
    <xf numFmtId="49" fontId="35" fillId="6" borderId="1" xfId="1" applyNumberFormat="1" applyFont="1" applyFill="1" applyBorder="1" applyAlignment="1" applyProtection="1">
      <alignment horizontal="center" vertical="center"/>
      <protection locked="0"/>
    </xf>
    <xf numFmtId="170" fontId="35" fillId="37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12" xfId="1" applyFont="1" applyFill="1" applyBorder="1" applyAlignment="1" applyProtection="1">
      <alignment horizontal="center" vertical="center"/>
      <protection locked="0"/>
    </xf>
    <xf numFmtId="0" fontId="36" fillId="37" borderId="12" xfId="1" applyFont="1" applyFill="1" applyBorder="1" applyAlignment="1" applyProtection="1">
      <alignment horizontal="left" vertical="center"/>
      <protection locked="0"/>
    </xf>
    <xf numFmtId="49" fontId="35" fillId="6" borderId="12" xfId="1" applyNumberFormat="1" applyFont="1" applyFill="1" applyBorder="1" applyAlignment="1" applyProtection="1">
      <alignment horizontal="center" vertical="center"/>
      <protection locked="0"/>
    </xf>
    <xf numFmtId="170" fontId="35" fillId="37" borderId="12" xfId="3" applyNumberFormat="1" applyFont="1" applyFill="1" applyBorder="1" applyAlignment="1" applyProtection="1">
      <alignment horizontal="left" vertical="center"/>
      <protection locked="0"/>
    </xf>
    <xf numFmtId="0" fontId="36" fillId="37" borderId="1" xfId="1" applyFont="1" applyFill="1" applyBorder="1" applyAlignment="1" applyProtection="1">
      <alignment horizontal="center" vertical="center"/>
      <protection locked="0"/>
    </xf>
    <xf numFmtId="0" fontId="36" fillId="37" borderId="5" xfId="1" applyFont="1" applyFill="1" applyBorder="1" applyAlignment="1" applyProtection="1">
      <alignment horizontal="center" vertical="center"/>
      <protection locked="0"/>
    </xf>
    <xf numFmtId="0" fontId="36" fillId="37" borderId="1" xfId="1" applyFont="1" applyFill="1" applyBorder="1" applyAlignment="1" applyProtection="1">
      <alignment horizontal="left" vertical="center"/>
      <protection locked="0"/>
    </xf>
    <xf numFmtId="0" fontId="35" fillId="37" borderId="1" xfId="1" applyFont="1" applyFill="1" applyBorder="1" applyAlignment="1" applyProtection="1">
      <alignment horizontal="left" vertical="center"/>
      <protection locked="0"/>
    </xf>
    <xf numFmtId="49" fontId="36" fillId="37" borderId="1" xfId="1" applyNumberFormat="1" applyFont="1" applyFill="1" applyBorder="1" applyAlignment="1" applyProtection="1">
      <alignment horizontal="center" vertical="center"/>
      <protection locked="0"/>
    </xf>
    <xf numFmtId="49" fontId="35" fillId="37" borderId="1" xfId="1" applyNumberFormat="1" applyFont="1" applyFill="1" applyBorder="1" applyAlignment="1" applyProtection="1">
      <alignment horizontal="center" vertical="center"/>
      <protection locked="0"/>
    </xf>
    <xf numFmtId="166" fontId="36" fillId="37" borderId="1" xfId="1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5" xfId="1" applyFont="1" applyFill="1" applyBorder="1" applyAlignment="1" applyProtection="1">
      <alignment horizontal="left" vertical="center"/>
      <protection locked="0"/>
    </xf>
    <xf numFmtId="0" fontId="35" fillId="37" borderId="5" xfId="1" applyFont="1" applyFill="1" applyBorder="1" applyAlignment="1" applyProtection="1">
      <alignment horizontal="left" vertical="center"/>
      <protection locked="0"/>
    </xf>
    <xf numFmtId="49" fontId="36" fillId="37" borderId="5" xfId="1" applyNumberFormat="1" applyFont="1" applyFill="1" applyBorder="1" applyAlignment="1" applyProtection="1">
      <alignment horizontal="center" vertical="center"/>
      <protection locked="0"/>
    </xf>
    <xf numFmtId="49" fontId="35" fillId="37" borderId="5" xfId="1" applyNumberFormat="1" applyFont="1" applyFill="1" applyBorder="1" applyAlignment="1" applyProtection="1">
      <alignment horizontal="center" vertical="center"/>
      <protection locked="0"/>
    </xf>
    <xf numFmtId="166" fontId="36" fillId="37" borderId="5" xfId="1" applyNumberFormat="1" applyFont="1" applyFill="1" applyBorder="1" applyAlignment="1" applyProtection="1">
      <alignment horizontal="center" vertical="center"/>
      <protection locked="0"/>
    </xf>
    <xf numFmtId="170" fontId="35" fillId="37" borderId="5" xfId="3" applyNumberFormat="1" applyFont="1" applyFill="1" applyBorder="1" applyAlignment="1" applyProtection="1">
      <alignment horizontal="left" vertical="center"/>
      <protection locked="0"/>
    </xf>
    <xf numFmtId="0" fontId="36" fillId="37" borderId="17" xfId="1" applyFont="1" applyFill="1" applyBorder="1" applyAlignment="1" applyProtection="1">
      <alignment horizontal="center" vertical="center"/>
      <protection locked="0"/>
    </xf>
    <xf numFmtId="0" fontId="36" fillId="37" borderId="17" xfId="1" applyFont="1" applyFill="1" applyBorder="1" applyAlignment="1" applyProtection="1">
      <alignment horizontal="left" vertical="center"/>
      <protection locked="0"/>
    </xf>
    <xf numFmtId="0" fontId="35" fillId="37" borderId="17" xfId="1" applyFont="1" applyFill="1" applyBorder="1" applyAlignment="1" applyProtection="1">
      <alignment horizontal="left" vertical="center"/>
      <protection locked="0"/>
    </xf>
    <xf numFmtId="49" fontId="36" fillId="37" borderId="17" xfId="1" applyNumberFormat="1" applyFont="1" applyFill="1" applyBorder="1" applyAlignment="1" applyProtection="1">
      <alignment horizontal="center" vertical="center"/>
      <protection locked="0"/>
    </xf>
    <xf numFmtId="49" fontId="35" fillId="37" borderId="17" xfId="1" applyNumberFormat="1" applyFont="1" applyFill="1" applyBorder="1" applyAlignment="1" applyProtection="1">
      <alignment horizontal="center" vertical="center"/>
      <protection locked="0"/>
    </xf>
    <xf numFmtId="166" fontId="36" fillId="37" borderId="17" xfId="1" applyNumberFormat="1" applyFont="1" applyFill="1" applyBorder="1" applyAlignment="1" applyProtection="1">
      <alignment horizontal="center" vertical="center"/>
      <protection locked="0"/>
    </xf>
    <xf numFmtId="170" fontId="35" fillId="37" borderId="17" xfId="3" applyNumberFormat="1" applyFont="1" applyFill="1" applyBorder="1" applyAlignment="1" applyProtection="1">
      <alignment horizontal="left" vertical="center"/>
      <protection locked="0"/>
    </xf>
    <xf numFmtId="0" fontId="35" fillId="31" borderId="17" xfId="1" applyFont="1" applyFill="1" applyBorder="1" applyAlignment="1" applyProtection="1">
      <alignment horizontal="left" vertical="center"/>
      <protection locked="0"/>
    </xf>
    <xf numFmtId="170" fontId="39" fillId="38" borderId="5" xfId="3" applyNumberFormat="1" applyFont="1" applyFill="1" applyBorder="1" applyAlignment="1" applyProtection="1">
      <alignment horizontal="left" vertical="center"/>
      <protection locked="0"/>
    </xf>
    <xf numFmtId="170" fontId="35" fillId="12" borderId="5" xfId="3" applyNumberFormat="1" applyFont="1" applyFill="1" applyBorder="1" applyAlignment="1" applyProtection="1">
      <alignment horizontal="left" vertical="center"/>
      <protection locked="0"/>
    </xf>
    <xf numFmtId="49" fontId="35" fillId="6" borderId="5" xfId="1" applyNumberFormat="1" applyFont="1" applyFill="1" applyBorder="1" applyAlignment="1" applyProtection="1">
      <alignment horizontal="center" vertical="center"/>
      <protection locked="0"/>
    </xf>
    <xf numFmtId="170" fontId="35" fillId="38" borderId="5" xfId="3" applyNumberFormat="1" applyFont="1" applyFill="1" applyBorder="1" applyAlignment="1" applyProtection="1">
      <alignment horizontal="left" vertical="center"/>
      <protection locked="0"/>
    </xf>
    <xf numFmtId="170" fontId="39" fillId="12" borderId="5" xfId="3" applyNumberFormat="1" applyFont="1" applyFill="1" applyBorder="1" applyAlignment="1" applyProtection="1">
      <alignment horizontal="left" vertical="center"/>
      <protection locked="0"/>
    </xf>
    <xf numFmtId="170" fontId="39" fillId="31" borderId="1" xfId="3" applyNumberFormat="1" applyFont="1" applyFill="1" applyBorder="1" applyAlignment="1" applyProtection="1">
      <alignment horizontal="left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170" fontId="59" fillId="0" borderId="0" xfId="1" applyNumberFormat="1" applyFont="1" applyBorder="1" applyAlignment="1" applyProtection="1">
      <alignment horizontal="left" vertical="center"/>
      <protection locked="0"/>
    </xf>
    <xf numFmtId="170" fontId="35" fillId="24" borderId="1" xfId="3" applyNumberFormat="1" applyFont="1" applyFill="1" applyBorder="1" applyAlignment="1" applyProtection="1">
      <alignment horizontal="left" vertical="center"/>
      <protection locked="0"/>
    </xf>
    <xf numFmtId="170" fontId="35" fillId="24" borderId="11" xfId="3" applyNumberFormat="1" applyFont="1" applyFill="1" applyBorder="1" applyAlignment="1" applyProtection="1">
      <alignment horizontal="left" vertical="center"/>
      <protection locked="0"/>
    </xf>
    <xf numFmtId="0" fontId="36" fillId="7" borderId="5" xfId="1" applyFont="1" applyFill="1" applyBorder="1" applyAlignment="1" applyProtection="1">
      <alignment horizontal="center" vertical="center"/>
      <protection locked="0"/>
    </xf>
    <xf numFmtId="0" fontId="36" fillId="7" borderId="1" xfId="1" applyFont="1" applyFill="1" applyBorder="1" applyAlignment="1" applyProtection="1">
      <alignment horizontal="center" vertical="center"/>
      <protection locked="0"/>
    </xf>
    <xf numFmtId="0" fontId="36" fillId="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left" vertical="center"/>
      <protection locked="0"/>
    </xf>
    <xf numFmtId="0" fontId="35" fillId="37" borderId="11" xfId="1" applyFont="1" applyFill="1" applyBorder="1" applyAlignment="1" applyProtection="1">
      <alignment horizontal="left" vertical="center"/>
      <protection locked="0"/>
    </xf>
    <xf numFmtId="49" fontId="36" fillId="37" borderId="11" xfId="1" applyNumberFormat="1" applyFont="1" applyFill="1" applyBorder="1" applyAlignment="1" applyProtection="1">
      <alignment horizontal="center" vertical="center"/>
      <protection locked="0"/>
    </xf>
    <xf numFmtId="49" fontId="35" fillId="37" borderId="11" xfId="1" applyNumberFormat="1" applyFont="1" applyFill="1" applyBorder="1" applyAlignment="1" applyProtection="1">
      <alignment horizontal="center" vertical="center"/>
      <protection locked="0"/>
    </xf>
    <xf numFmtId="166" fontId="36" fillId="37" borderId="11" xfId="1" applyNumberFormat="1" applyFont="1" applyFill="1" applyBorder="1" applyAlignment="1" applyProtection="1">
      <alignment horizontal="center" vertical="center"/>
      <protection locked="0"/>
    </xf>
    <xf numFmtId="170" fontId="35" fillId="37" borderId="11" xfId="3" applyNumberFormat="1" applyFont="1" applyFill="1" applyBorder="1" applyAlignment="1" applyProtection="1">
      <alignment horizontal="left" vertical="center"/>
      <protection locked="0"/>
    </xf>
    <xf numFmtId="0" fontId="32" fillId="39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left" vertical="center"/>
      <protection locked="0"/>
    </xf>
    <xf numFmtId="0" fontId="35" fillId="24" borderId="18" xfId="1" applyFont="1" applyFill="1" applyBorder="1" applyAlignment="1" applyProtection="1">
      <alignment horizontal="left" vertical="center"/>
      <protection locked="0"/>
    </xf>
    <xf numFmtId="49" fontId="36" fillId="24" borderId="18" xfId="1" applyNumberFormat="1" applyFont="1" applyFill="1" applyBorder="1" applyAlignment="1" applyProtection="1">
      <alignment horizontal="center" vertical="center"/>
      <protection locked="0"/>
    </xf>
    <xf numFmtId="49" fontId="35" fillId="24" borderId="18" xfId="1" applyNumberFormat="1" applyFont="1" applyFill="1" applyBorder="1" applyAlignment="1" applyProtection="1">
      <alignment horizontal="center" vertical="center"/>
      <protection locked="0"/>
    </xf>
    <xf numFmtId="166" fontId="36" fillId="24" borderId="18" xfId="1" applyNumberFormat="1" applyFont="1" applyFill="1" applyBorder="1" applyAlignment="1" applyProtection="1">
      <alignment horizontal="center" vertical="center"/>
      <protection locked="0"/>
    </xf>
    <xf numFmtId="170" fontId="35" fillId="24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center" vertical="center"/>
      <protection locked="0"/>
    </xf>
    <xf numFmtId="0" fontId="32" fillId="39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left" vertical="center"/>
      <protection locked="0"/>
    </xf>
    <xf numFmtId="0" fontId="35" fillId="24" borderId="3" xfId="1" applyFont="1" applyFill="1" applyBorder="1" applyAlignment="1" applyProtection="1">
      <alignment horizontal="left" vertical="center"/>
      <protection locked="0"/>
    </xf>
    <xf numFmtId="49" fontId="36" fillId="24" borderId="3" xfId="1" applyNumberFormat="1" applyFont="1" applyFill="1" applyBorder="1" applyAlignment="1" applyProtection="1">
      <alignment horizontal="center" vertical="center"/>
      <protection locked="0"/>
    </xf>
    <xf numFmtId="49" fontId="35" fillId="24" borderId="3" xfId="1" applyNumberFormat="1" applyFont="1" applyFill="1" applyBorder="1" applyAlignment="1" applyProtection="1">
      <alignment horizontal="center" vertical="center"/>
      <protection locked="0"/>
    </xf>
    <xf numFmtId="166" fontId="36" fillId="24" borderId="3" xfId="1" applyNumberFormat="1" applyFont="1" applyFill="1" applyBorder="1" applyAlignment="1" applyProtection="1">
      <alignment horizontal="center" vertical="center"/>
      <protection locked="0"/>
    </xf>
    <xf numFmtId="170" fontId="35" fillId="24" borderId="3" xfId="3" applyNumberFormat="1" applyFont="1" applyFill="1" applyBorder="1" applyAlignment="1" applyProtection="1">
      <alignment horizontal="left" vertical="center"/>
      <protection locked="0"/>
    </xf>
    <xf numFmtId="0" fontId="32" fillId="24" borderId="18" xfId="1" applyFont="1" applyFill="1" applyBorder="1" applyAlignment="1" applyProtection="1">
      <alignment horizontal="center" vertical="center"/>
      <protection locked="0"/>
    </xf>
    <xf numFmtId="0" fontId="32" fillId="24" borderId="18" xfId="1" applyFont="1" applyFill="1" applyBorder="1" applyAlignment="1" applyProtection="1">
      <alignment horizontal="left" vertical="center"/>
      <protection locked="0"/>
    </xf>
    <xf numFmtId="0" fontId="39" fillId="24" borderId="18" xfId="1" applyFont="1" applyFill="1" applyBorder="1" applyAlignment="1" applyProtection="1">
      <alignment horizontal="left" vertical="center"/>
      <protection locked="0"/>
    </xf>
    <xf numFmtId="49" fontId="32" fillId="24" borderId="18" xfId="1" applyNumberFormat="1" applyFont="1" applyFill="1" applyBorder="1" applyAlignment="1" applyProtection="1">
      <alignment horizontal="center" vertical="center"/>
      <protection locked="0"/>
    </xf>
    <xf numFmtId="49" fontId="58" fillId="6" borderId="18" xfId="1" applyNumberFormat="1" applyFont="1" applyFill="1" applyBorder="1" applyAlignment="1" applyProtection="1">
      <alignment horizontal="center" vertical="center"/>
      <protection locked="0"/>
    </xf>
    <xf numFmtId="166" fontId="32" fillId="24" borderId="18" xfId="1" applyNumberFormat="1" applyFont="1" applyFill="1" applyBorder="1" applyAlignment="1" applyProtection="1">
      <alignment horizontal="center" vertical="center"/>
      <protection locked="0"/>
    </xf>
    <xf numFmtId="170" fontId="39" fillId="38" borderId="18" xfId="3" applyNumberFormat="1" applyFont="1" applyFill="1" applyBorder="1" applyAlignment="1" applyProtection="1">
      <alignment horizontal="left" vertical="center"/>
      <protection locked="0"/>
    </xf>
    <xf numFmtId="170" fontId="39" fillId="12" borderId="18" xfId="3" applyNumberFormat="1" applyFont="1" applyFill="1" applyBorder="1" applyAlignment="1" applyProtection="1">
      <alignment horizontal="left" vertical="center"/>
      <protection locked="0"/>
    </xf>
    <xf numFmtId="170" fontId="39" fillId="38" borderId="1" xfId="3" applyNumberFormat="1" applyFont="1" applyFill="1" applyBorder="1" applyAlignment="1" applyProtection="1">
      <alignment horizontal="left" vertical="center"/>
      <protection locked="0"/>
    </xf>
    <xf numFmtId="170" fontId="39" fillId="12" borderId="1" xfId="3" applyNumberFormat="1" applyFont="1" applyFill="1" applyBorder="1" applyAlignment="1" applyProtection="1">
      <alignment horizontal="left" vertical="center"/>
      <protection locked="0"/>
    </xf>
    <xf numFmtId="0" fontId="34" fillId="0" borderId="0" xfId="1" applyFont="1" applyAlignment="1" applyProtection="1">
      <alignment vertical="center"/>
      <protection locked="0"/>
    </xf>
    <xf numFmtId="0" fontId="32" fillId="24" borderId="3" xfId="1" applyFont="1" applyFill="1" applyBorder="1" applyAlignment="1" applyProtection="1">
      <alignment horizontal="center" vertical="center"/>
      <protection locked="0"/>
    </xf>
    <xf numFmtId="0" fontId="32" fillId="24" borderId="3" xfId="1" applyFont="1" applyFill="1" applyBorder="1" applyAlignment="1" applyProtection="1">
      <alignment horizontal="left" vertical="center"/>
      <protection locked="0"/>
    </xf>
    <xf numFmtId="0" fontId="39" fillId="24" borderId="3" xfId="1" applyFont="1" applyFill="1" applyBorder="1" applyAlignment="1" applyProtection="1">
      <alignment horizontal="left" vertical="center"/>
      <protection locked="0"/>
    </xf>
    <xf numFmtId="49" fontId="32" fillId="24" borderId="3" xfId="1" applyNumberFormat="1" applyFont="1" applyFill="1" applyBorder="1" applyAlignment="1" applyProtection="1">
      <alignment horizontal="center" vertical="center"/>
      <protection locked="0"/>
    </xf>
    <xf numFmtId="49" fontId="58" fillId="6" borderId="3" xfId="1" applyNumberFormat="1" applyFont="1" applyFill="1" applyBorder="1" applyAlignment="1" applyProtection="1">
      <alignment horizontal="center" vertical="center"/>
      <protection locked="0"/>
    </xf>
    <xf numFmtId="166" fontId="32" fillId="24" borderId="3" xfId="1" applyNumberFormat="1" applyFont="1" applyFill="1" applyBorder="1" applyAlignment="1" applyProtection="1">
      <alignment horizontal="center" vertical="center"/>
      <protection locked="0"/>
    </xf>
    <xf numFmtId="170" fontId="39" fillId="38" borderId="3" xfId="3" applyNumberFormat="1" applyFont="1" applyFill="1" applyBorder="1" applyAlignment="1" applyProtection="1">
      <alignment horizontal="left" vertical="center"/>
      <protection locked="0"/>
    </xf>
    <xf numFmtId="170" fontId="39" fillId="12" borderId="3" xfId="3" applyNumberFormat="1" applyFont="1" applyFill="1" applyBorder="1" applyAlignment="1" applyProtection="1">
      <alignment horizontal="left" vertical="center"/>
      <protection locked="0"/>
    </xf>
    <xf numFmtId="170" fontId="39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left" vertical="center"/>
      <protection locked="0"/>
    </xf>
    <xf numFmtId="0" fontId="39" fillId="24" borderId="19" xfId="1" applyFont="1" applyFill="1" applyBorder="1" applyAlignment="1" applyProtection="1">
      <alignment horizontal="left" vertical="center"/>
      <protection locked="0"/>
    </xf>
    <xf numFmtId="49" fontId="32" fillId="24" borderId="19" xfId="1" applyNumberFormat="1" applyFont="1" applyFill="1" applyBorder="1" applyAlignment="1" applyProtection="1">
      <alignment horizontal="center" vertical="center"/>
      <protection locked="0"/>
    </xf>
    <xf numFmtId="49" fontId="58" fillId="6" borderId="19" xfId="1" applyNumberFormat="1" applyFont="1" applyFill="1" applyBorder="1" applyAlignment="1" applyProtection="1">
      <alignment horizontal="center" vertical="center"/>
      <protection locked="0"/>
    </xf>
    <xf numFmtId="166" fontId="32" fillId="24" borderId="19" xfId="1" applyNumberFormat="1" applyFont="1" applyFill="1" applyBorder="1" applyAlignment="1" applyProtection="1">
      <alignment horizontal="center" vertical="center"/>
      <protection locked="0"/>
    </xf>
    <xf numFmtId="170" fontId="39" fillId="38" borderId="19" xfId="3" applyNumberFormat="1" applyFont="1" applyFill="1" applyBorder="1" applyAlignment="1" applyProtection="1">
      <alignment horizontal="left" vertical="center"/>
      <protection locked="0"/>
    </xf>
    <xf numFmtId="170" fontId="39" fillId="12" borderId="19" xfId="3" applyNumberFormat="1" applyFont="1" applyFill="1" applyBorder="1" applyAlignment="1" applyProtection="1">
      <alignment horizontal="left" vertical="center"/>
      <protection locked="0"/>
    </xf>
    <xf numFmtId="170" fontId="39" fillId="31" borderId="19" xfId="3" applyNumberFormat="1" applyFont="1" applyFill="1" applyBorder="1" applyAlignment="1" applyProtection="1">
      <alignment horizontal="center" vertical="center"/>
      <protection locked="0"/>
    </xf>
    <xf numFmtId="0" fontId="35" fillId="31" borderId="11" xfId="1" applyFont="1" applyFill="1" applyBorder="1" applyAlignment="1" applyProtection="1">
      <alignment horizontal="center"/>
      <protection locked="0"/>
    </xf>
    <xf numFmtId="0" fontId="32" fillId="39" borderId="18" xfId="1" applyFont="1" applyFill="1" applyBorder="1" applyAlignment="1" applyProtection="1">
      <alignment horizontal="left" vertical="center"/>
      <protection locked="0"/>
    </xf>
    <xf numFmtId="0" fontId="39" fillId="39" borderId="18" xfId="1" applyFont="1" applyFill="1" applyBorder="1" applyAlignment="1" applyProtection="1">
      <alignment horizontal="left" vertical="center"/>
      <protection locked="0"/>
    </xf>
    <xf numFmtId="49" fontId="32" fillId="39" borderId="18" xfId="1" applyNumberFormat="1" applyFont="1" applyFill="1" applyBorder="1" applyAlignment="1" applyProtection="1">
      <alignment horizontal="center" vertical="center"/>
      <protection locked="0"/>
    </xf>
    <xf numFmtId="49" fontId="58" fillId="39" borderId="18" xfId="1" applyNumberFormat="1" applyFont="1" applyFill="1" applyBorder="1" applyAlignment="1" applyProtection="1">
      <alignment horizontal="center" vertical="center"/>
      <protection locked="0"/>
    </xf>
    <xf numFmtId="166" fontId="32" fillId="39" borderId="18" xfId="1" applyNumberFormat="1" applyFont="1" applyFill="1" applyBorder="1" applyAlignment="1" applyProtection="1">
      <alignment horizontal="center" vertical="center"/>
      <protection locked="0"/>
    </xf>
    <xf numFmtId="170" fontId="39" fillId="39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left" vertical="center"/>
      <protection locked="0"/>
    </xf>
    <xf numFmtId="0" fontId="39" fillId="39" borderId="5" xfId="1" applyFont="1" applyFill="1" applyBorder="1" applyAlignment="1" applyProtection="1">
      <alignment horizontal="left" vertical="center"/>
      <protection locked="0"/>
    </xf>
    <xf numFmtId="49" fontId="32" fillId="39" borderId="5" xfId="1" applyNumberFormat="1" applyFont="1" applyFill="1" applyBorder="1" applyAlignment="1" applyProtection="1">
      <alignment horizontal="center" vertical="center"/>
      <protection locked="0"/>
    </xf>
    <xf numFmtId="49" fontId="58" fillId="39" borderId="5" xfId="1" applyNumberFormat="1" applyFont="1" applyFill="1" applyBorder="1" applyAlignment="1" applyProtection="1">
      <alignment horizontal="center" vertical="center"/>
      <protection locked="0"/>
    </xf>
    <xf numFmtId="166" fontId="32" fillId="39" borderId="5" xfId="1" applyNumberFormat="1" applyFont="1" applyFill="1" applyBorder="1" applyAlignment="1" applyProtection="1">
      <alignment horizontal="center" vertical="center"/>
      <protection locked="0"/>
    </xf>
    <xf numFmtId="170" fontId="39" fillId="39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left" vertical="center"/>
      <protection locked="0"/>
    </xf>
    <xf numFmtId="0" fontId="39" fillId="39" borderId="1" xfId="1" applyFont="1" applyFill="1" applyBorder="1" applyAlignment="1" applyProtection="1">
      <alignment horizontal="left" vertical="center"/>
      <protection locked="0"/>
    </xf>
    <xf numFmtId="49" fontId="32" fillId="39" borderId="1" xfId="1" applyNumberFormat="1" applyFont="1" applyFill="1" applyBorder="1" applyAlignment="1" applyProtection="1">
      <alignment horizontal="center" vertical="center"/>
      <protection locked="0"/>
    </xf>
    <xf numFmtId="49" fontId="58" fillId="39" borderId="1" xfId="1" applyNumberFormat="1" applyFont="1" applyFill="1" applyBorder="1" applyAlignment="1" applyProtection="1">
      <alignment horizontal="center" vertical="center"/>
      <protection locked="0"/>
    </xf>
    <xf numFmtId="166" fontId="32" fillId="39" borderId="1" xfId="1" applyNumberFormat="1" applyFont="1" applyFill="1" applyBorder="1" applyAlignment="1" applyProtection="1">
      <alignment horizontal="center" vertical="center"/>
      <protection locked="0"/>
    </xf>
    <xf numFmtId="170" fontId="39" fillId="39" borderId="1" xfId="3" applyNumberFormat="1" applyFont="1" applyFill="1" applyBorder="1" applyAlignment="1" applyProtection="1">
      <alignment horizontal="left" vertical="center"/>
      <protection locked="0"/>
    </xf>
    <xf numFmtId="0" fontId="32" fillId="39" borderId="15" xfId="1" applyFont="1" applyFill="1" applyBorder="1" applyAlignment="1" applyProtection="1">
      <alignment horizontal="center" vertical="center"/>
      <protection locked="0"/>
    </xf>
    <xf numFmtId="0" fontId="32" fillId="39" borderId="15" xfId="1" applyFont="1" applyFill="1" applyBorder="1" applyAlignment="1" applyProtection="1">
      <alignment horizontal="left" vertical="center"/>
      <protection locked="0"/>
    </xf>
    <xf numFmtId="0" fontId="39" fillId="39" borderId="15" xfId="1" applyFont="1" applyFill="1" applyBorder="1" applyAlignment="1" applyProtection="1">
      <alignment horizontal="left" vertical="center"/>
      <protection locked="0"/>
    </xf>
    <xf numFmtId="49" fontId="32" fillId="39" borderId="15" xfId="1" applyNumberFormat="1" applyFont="1" applyFill="1" applyBorder="1" applyAlignment="1" applyProtection="1">
      <alignment horizontal="center" vertical="center"/>
      <protection locked="0"/>
    </xf>
    <xf numFmtId="49" fontId="58" fillId="39" borderId="15" xfId="1" applyNumberFormat="1" applyFont="1" applyFill="1" applyBorder="1" applyAlignment="1" applyProtection="1">
      <alignment horizontal="center" vertical="center"/>
      <protection locked="0"/>
    </xf>
    <xf numFmtId="166" fontId="32" fillId="39" borderId="15" xfId="1" applyNumberFormat="1" applyFont="1" applyFill="1" applyBorder="1" applyAlignment="1" applyProtection="1">
      <alignment horizontal="center" vertical="center"/>
      <protection locked="0"/>
    </xf>
    <xf numFmtId="170" fontId="39" fillId="39" borderId="15" xfId="3" applyNumberFormat="1" applyFont="1" applyFill="1" applyBorder="1" applyAlignment="1" applyProtection="1">
      <alignment horizontal="left" vertical="center"/>
      <protection locked="0"/>
    </xf>
    <xf numFmtId="0" fontId="39" fillId="31" borderId="1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left" vertical="center"/>
      <protection locked="0"/>
    </xf>
    <xf numFmtId="0" fontId="39" fillId="40" borderId="5" xfId="1" applyFont="1" applyFill="1" applyBorder="1" applyAlignment="1" applyProtection="1">
      <alignment horizontal="left" vertical="center"/>
      <protection locked="0"/>
    </xf>
    <xf numFmtId="49" fontId="32" fillId="40" borderId="5" xfId="1" applyNumberFormat="1" applyFont="1" applyFill="1" applyBorder="1" applyAlignment="1" applyProtection="1">
      <alignment horizontal="center" vertical="center"/>
      <protection locked="0"/>
    </xf>
    <xf numFmtId="49" fontId="58" fillId="40" borderId="5" xfId="1" applyNumberFormat="1" applyFont="1" applyFill="1" applyBorder="1" applyAlignment="1" applyProtection="1">
      <alignment horizontal="center" vertical="center"/>
      <protection locked="0"/>
    </xf>
    <xf numFmtId="166" fontId="32" fillId="40" borderId="5" xfId="1" applyNumberFormat="1" applyFont="1" applyFill="1" applyBorder="1" applyAlignment="1" applyProtection="1">
      <alignment horizontal="center" vertical="center"/>
      <protection locked="0"/>
    </xf>
    <xf numFmtId="170" fontId="39" fillId="40" borderId="1" xfId="3" applyNumberFormat="1" applyFont="1" applyFill="1" applyBorder="1" applyAlignment="1" applyProtection="1">
      <alignment horizontal="left" vertical="center"/>
      <protection locked="0"/>
    </xf>
    <xf numFmtId="170" fontId="39" fillId="40" borderId="5" xfId="3" applyNumberFormat="1" applyFont="1" applyFill="1" applyBorder="1" applyAlignment="1" applyProtection="1">
      <alignment horizontal="left" vertical="center"/>
      <protection locked="0"/>
    </xf>
    <xf numFmtId="0" fontId="32" fillId="40" borderId="0" xfId="1" applyFont="1" applyFill="1" applyAlignment="1" applyProtection="1">
      <alignment vertical="center"/>
      <protection locked="0"/>
    </xf>
    <xf numFmtId="0" fontId="32" fillId="40" borderId="1" xfId="1" applyFont="1" applyFill="1" applyBorder="1" applyAlignment="1" applyProtection="1">
      <alignment horizontal="center" vertical="center"/>
      <protection locked="0"/>
    </xf>
    <xf numFmtId="0" fontId="32" fillId="40" borderId="1" xfId="1" applyFont="1" applyFill="1" applyBorder="1" applyAlignment="1" applyProtection="1">
      <alignment horizontal="left" vertical="center"/>
      <protection locked="0"/>
    </xf>
    <xf numFmtId="0" fontId="39" fillId="40" borderId="1" xfId="1" applyFont="1" applyFill="1" applyBorder="1" applyAlignment="1" applyProtection="1">
      <alignment horizontal="left" vertical="center"/>
      <protection locked="0"/>
    </xf>
    <xf numFmtId="49" fontId="32" fillId="40" borderId="1" xfId="1" applyNumberFormat="1" applyFont="1" applyFill="1" applyBorder="1" applyAlignment="1" applyProtection="1">
      <alignment horizontal="center" vertical="center"/>
      <protection locked="0"/>
    </xf>
    <xf numFmtId="49" fontId="58" fillId="40" borderId="1" xfId="1" applyNumberFormat="1" applyFont="1" applyFill="1" applyBorder="1" applyAlignment="1" applyProtection="1">
      <alignment horizontal="center" vertical="center"/>
      <protection locked="0"/>
    </xf>
    <xf numFmtId="166" fontId="32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left" vertical="center"/>
      <protection locked="0"/>
    </xf>
    <xf numFmtId="49" fontId="64" fillId="40" borderId="1" xfId="1" applyNumberFormat="1" applyFont="1" applyFill="1" applyBorder="1" applyAlignment="1" applyProtection="1">
      <alignment horizontal="center" vertical="center"/>
      <protection locked="0"/>
    </xf>
    <xf numFmtId="166" fontId="64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0" xfId="1" applyFont="1" applyFill="1" applyAlignment="1" applyProtection="1">
      <alignment vertical="center"/>
      <protection locked="0"/>
    </xf>
    <xf numFmtId="0" fontId="32" fillId="40" borderId="17" xfId="1" applyFont="1" applyFill="1" applyBorder="1" applyAlignment="1" applyProtection="1">
      <alignment horizontal="center" vertical="center"/>
      <protection locked="0"/>
    </xf>
    <xf numFmtId="0" fontId="32" fillId="40" borderId="17" xfId="1" applyFont="1" applyFill="1" applyBorder="1" applyAlignment="1" applyProtection="1">
      <alignment horizontal="left" vertical="center"/>
      <protection locked="0"/>
    </xf>
    <xf numFmtId="0" fontId="39" fillId="40" borderId="17" xfId="1" applyFont="1" applyFill="1" applyBorder="1" applyAlignment="1" applyProtection="1">
      <alignment horizontal="left" vertical="center"/>
      <protection locked="0"/>
    </xf>
    <xf numFmtId="49" fontId="32" fillId="40" borderId="17" xfId="1" applyNumberFormat="1" applyFont="1" applyFill="1" applyBorder="1" applyAlignment="1" applyProtection="1">
      <alignment horizontal="center" vertical="center"/>
      <protection locked="0"/>
    </xf>
    <xf numFmtId="49" fontId="58" fillId="40" borderId="17" xfId="1" applyNumberFormat="1" applyFont="1" applyFill="1" applyBorder="1" applyAlignment="1" applyProtection="1">
      <alignment horizontal="center" vertical="center"/>
      <protection locked="0"/>
    </xf>
    <xf numFmtId="166" fontId="32" fillId="40" borderId="17" xfId="1" applyNumberFormat="1" applyFont="1" applyFill="1" applyBorder="1" applyAlignment="1" applyProtection="1">
      <alignment horizontal="center" vertical="center"/>
      <protection locked="0"/>
    </xf>
    <xf numFmtId="170" fontId="39" fillId="40" borderId="17" xfId="3" applyNumberFormat="1" applyFont="1" applyFill="1" applyBorder="1" applyAlignment="1" applyProtection="1">
      <alignment horizontal="left" vertical="center"/>
      <protection locked="0"/>
    </xf>
    <xf numFmtId="0" fontId="39" fillId="31" borderId="17" xfId="1" applyFont="1" applyFill="1" applyBorder="1" applyAlignment="1" applyProtection="1">
      <alignment horizontal="center" vertical="center"/>
      <protection locked="0"/>
    </xf>
    <xf numFmtId="170" fontId="39" fillId="38" borderId="6" xfId="3" applyNumberFormat="1" applyFont="1" applyFill="1" applyBorder="1" applyAlignment="1" applyProtection="1">
      <alignment horizontal="left" vertical="center"/>
      <protection locked="0"/>
    </xf>
    <xf numFmtId="170" fontId="39" fillId="12" borderId="6" xfId="3" applyNumberFormat="1" applyFont="1" applyFill="1" applyBorder="1" applyAlignment="1" applyProtection="1">
      <alignment horizontal="left" vertical="center"/>
      <protection locked="0"/>
    </xf>
    <xf numFmtId="0" fontId="32" fillId="24" borderId="20" xfId="1" applyFont="1" applyFill="1" applyBorder="1" applyAlignment="1" applyProtection="1">
      <alignment horizontal="center" vertical="center"/>
      <protection locked="0"/>
    </xf>
    <xf numFmtId="0" fontId="32" fillId="24" borderId="20" xfId="1" applyFont="1" applyFill="1" applyBorder="1" applyAlignment="1" applyProtection="1">
      <alignment horizontal="left" vertical="center"/>
      <protection locked="0"/>
    </xf>
    <xf numFmtId="0" fontId="39" fillId="24" borderId="20" xfId="1" applyFont="1" applyFill="1" applyBorder="1" applyAlignment="1" applyProtection="1">
      <alignment horizontal="left" vertical="center"/>
      <protection locked="0"/>
    </xf>
    <xf numFmtId="49" fontId="32" fillId="24" borderId="20" xfId="1" applyNumberFormat="1" applyFont="1" applyFill="1" applyBorder="1" applyAlignment="1" applyProtection="1">
      <alignment horizontal="center" vertical="center"/>
      <protection locked="0"/>
    </xf>
    <xf numFmtId="49" fontId="58" fillId="6" borderId="20" xfId="1" applyNumberFormat="1" applyFont="1" applyFill="1" applyBorder="1" applyAlignment="1" applyProtection="1">
      <alignment horizontal="center" vertical="center"/>
      <protection locked="0"/>
    </xf>
    <xf numFmtId="166" fontId="32" fillId="24" borderId="20" xfId="1" applyNumberFormat="1" applyFont="1" applyFill="1" applyBorder="1" applyAlignment="1" applyProtection="1">
      <alignment horizontal="center" vertical="center"/>
      <protection locked="0"/>
    </xf>
    <xf numFmtId="170" fontId="39" fillId="38" borderId="20" xfId="3" applyNumberFormat="1" applyFont="1" applyFill="1" applyBorder="1" applyAlignment="1" applyProtection="1">
      <alignment horizontal="left" vertical="center"/>
      <protection locked="0"/>
    </xf>
    <xf numFmtId="170" fontId="39" fillId="12" borderId="20" xfId="3" applyNumberFormat="1" applyFont="1" applyFill="1" applyBorder="1" applyAlignment="1" applyProtection="1">
      <alignment horizontal="left" vertical="center"/>
      <protection locked="0"/>
    </xf>
    <xf numFmtId="170" fontId="39" fillId="31" borderId="20" xfId="3" applyNumberFormat="1" applyFont="1" applyFill="1" applyBorder="1" applyAlignment="1" applyProtection="1">
      <alignment horizontal="center" vertical="center"/>
      <protection locked="0"/>
    </xf>
    <xf numFmtId="170" fontId="39" fillId="5" borderId="0" xfId="1" applyNumberFormat="1" applyFont="1" applyFill="1" applyBorder="1" applyAlignment="1" applyProtection="1">
      <alignment horizontal="center" vertical="center"/>
      <protection locked="0"/>
    </xf>
    <xf numFmtId="171" fontId="35" fillId="24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3" xfId="1" applyFont="1" applyFill="1" applyBorder="1" applyAlignment="1" applyProtection="1">
      <alignment horizontal="center" vertical="center"/>
      <protection locked="0"/>
    </xf>
    <xf numFmtId="166" fontId="35" fillId="24" borderId="3" xfId="1" applyNumberFormat="1" applyFont="1" applyFill="1" applyBorder="1" applyAlignment="1" applyProtection="1">
      <alignment horizontal="center" vertical="center"/>
      <protection locked="0"/>
    </xf>
    <xf numFmtId="171" fontId="35" fillId="24" borderId="3" xfId="3" applyNumberFormat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left" vertical="center"/>
      <protection locked="0"/>
    </xf>
    <xf numFmtId="0" fontId="35" fillId="24" borderId="20" xfId="1" applyFont="1" applyFill="1" applyBorder="1" applyAlignment="1" applyProtection="1">
      <alignment horizontal="left" vertical="center"/>
      <protection locked="0"/>
    </xf>
    <xf numFmtId="49" fontId="36" fillId="24" borderId="20" xfId="1" applyNumberFormat="1" applyFont="1" applyFill="1" applyBorder="1" applyAlignment="1" applyProtection="1">
      <alignment horizontal="center" vertical="center"/>
      <protection locked="0"/>
    </xf>
    <xf numFmtId="49" fontId="35" fillId="24" borderId="20" xfId="1" applyNumberFormat="1" applyFont="1" applyFill="1" applyBorder="1" applyAlignment="1" applyProtection="1">
      <alignment horizontal="center" vertical="center"/>
      <protection locked="0"/>
    </xf>
    <xf numFmtId="166" fontId="36" fillId="24" borderId="20" xfId="1" applyNumberFormat="1" applyFont="1" applyFill="1" applyBorder="1" applyAlignment="1" applyProtection="1">
      <alignment horizontal="center" vertical="center"/>
      <protection locked="0"/>
    </xf>
    <xf numFmtId="171" fontId="35" fillId="24" borderId="20" xfId="3" applyNumberFormat="1" applyFont="1" applyFill="1" applyBorder="1" applyAlignment="1" applyProtection="1">
      <alignment horizontal="center" vertical="center"/>
      <protection locked="0"/>
    </xf>
    <xf numFmtId="170" fontId="35" fillId="24" borderId="20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left" vertical="center"/>
      <protection locked="0"/>
    </xf>
    <xf numFmtId="0" fontId="35" fillId="24" borderId="15" xfId="1" applyFont="1" applyFill="1" applyBorder="1" applyAlignment="1" applyProtection="1">
      <alignment horizontal="left" vertical="center"/>
      <protection locked="0"/>
    </xf>
    <xf numFmtId="49" fontId="36" fillId="24" borderId="15" xfId="1" applyNumberFormat="1" applyFont="1" applyFill="1" applyBorder="1" applyAlignment="1" applyProtection="1">
      <alignment horizontal="center" vertical="center"/>
      <protection locked="0"/>
    </xf>
    <xf numFmtId="49" fontId="35" fillId="24" borderId="15" xfId="1" applyNumberFormat="1" applyFont="1" applyFill="1" applyBorder="1" applyAlignment="1" applyProtection="1">
      <alignment horizontal="center" vertical="center"/>
      <protection locked="0"/>
    </xf>
    <xf numFmtId="166" fontId="36" fillId="24" borderId="15" xfId="1" applyNumberFormat="1" applyFont="1" applyFill="1" applyBorder="1" applyAlignment="1" applyProtection="1">
      <alignment horizontal="center" vertical="center"/>
      <protection locked="0"/>
    </xf>
    <xf numFmtId="171" fontId="35" fillId="24" borderId="15" xfId="3" applyNumberFormat="1" applyFont="1" applyFill="1" applyBorder="1" applyAlignment="1" applyProtection="1">
      <alignment horizontal="center" vertical="center"/>
      <protection locked="0"/>
    </xf>
    <xf numFmtId="170" fontId="35" fillId="24" borderId="15" xfId="3" applyNumberFormat="1" applyFont="1" applyFill="1" applyBorder="1" applyAlignment="1" applyProtection="1">
      <alignment horizontal="left" vertical="center"/>
      <protection locked="0"/>
    </xf>
    <xf numFmtId="171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left" vertical="center"/>
      <protection locked="0"/>
    </xf>
    <xf numFmtId="0" fontId="35" fillId="24" borderId="6" xfId="1" applyFont="1" applyFill="1" applyBorder="1" applyAlignment="1" applyProtection="1">
      <alignment horizontal="left" vertical="center"/>
      <protection locked="0"/>
    </xf>
    <xf numFmtId="49" fontId="36" fillId="24" borderId="6" xfId="1" applyNumberFormat="1" applyFont="1" applyFill="1" applyBorder="1" applyAlignment="1" applyProtection="1">
      <alignment horizontal="center" vertical="center"/>
      <protection locked="0"/>
    </xf>
    <xf numFmtId="49" fontId="35" fillId="24" borderId="6" xfId="1" applyNumberFormat="1" applyFont="1" applyFill="1" applyBorder="1" applyAlignment="1" applyProtection="1">
      <alignment horizontal="center" vertical="center"/>
      <protection locked="0"/>
    </xf>
    <xf numFmtId="166" fontId="36" fillId="24" borderId="6" xfId="1" applyNumberFormat="1" applyFont="1" applyFill="1" applyBorder="1" applyAlignment="1" applyProtection="1">
      <alignment horizontal="center" vertical="center"/>
      <protection locked="0"/>
    </xf>
    <xf numFmtId="171" fontId="35" fillId="24" borderId="6" xfId="3" applyNumberFormat="1" applyFont="1" applyFill="1" applyBorder="1" applyAlignment="1" applyProtection="1">
      <alignment horizontal="center" vertical="center"/>
      <protection locked="0"/>
    </xf>
    <xf numFmtId="170" fontId="35" fillId="24" borderId="6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left" vertical="center"/>
      <protection locked="0"/>
    </xf>
    <xf numFmtId="171" fontId="39" fillId="38" borderId="1" xfId="3" applyNumberFormat="1" applyFont="1" applyFill="1" applyBorder="1" applyAlignment="1" applyProtection="1">
      <alignment horizontal="center" vertical="center"/>
      <protection locked="0"/>
    </xf>
    <xf numFmtId="0" fontId="64" fillId="24" borderId="5" xfId="1" applyFont="1" applyFill="1" applyBorder="1" applyAlignment="1" applyProtection="1">
      <alignment horizontal="center" vertical="center"/>
      <protection locked="0"/>
    </xf>
    <xf numFmtId="171" fontId="35" fillId="38" borderId="1" xfId="3" applyNumberFormat="1" applyFont="1" applyFill="1" applyBorder="1" applyAlignment="1" applyProtection="1">
      <alignment horizontal="center" vertical="center"/>
      <protection locked="0"/>
    </xf>
    <xf numFmtId="170" fontId="35" fillId="12" borderId="1" xfId="3" applyNumberFormat="1" applyFont="1" applyFill="1" applyBorder="1" applyAlignment="1" applyProtection="1">
      <alignment horizontal="left" vertical="center"/>
      <protection locked="0"/>
    </xf>
    <xf numFmtId="49" fontId="35" fillId="6" borderId="3" xfId="1" applyNumberFormat="1" applyFont="1" applyFill="1" applyBorder="1" applyAlignment="1" applyProtection="1">
      <alignment horizontal="center" vertical="center"/>
      <protection locked="0"/>
    </xf>
    <xf numFmtId="171" fontId="35" fillId="38" borderId="3" xfId="3" applyNumberFormat="1" applyFont="1" applyFill="1" applyBorder="1" applyAlignment="1" applyProtection="1">
      <alignment horizontal="center" vertical="center"/>
      <protection locked="0"/>
    </xf>
    <xf numFmtId="170" fontId="35" fillId="12" borderId="3" xfId="3" applyNumberFormat="1" applyFont="1" applyFill="1" applyBorder="1" applyAlignment="1" applyProtection="1">
      <alignment horizontal="left" vertical="center"/>
      <protection locked="0"/>
    </xf>
    <xf numFmtId="170" fontId="35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21" xfId="1" applyFont="1" applyFill="1" applyBorder="1" applyAlignment="1" applyProtection="1">
      <alignment horizontal="center" vertical="center"/>
      <protection locked="0"/>
    </xf>
    <xf numFmtId="171" fontId="39" fillId="38" borderId="20" xfId="3" applyNumberFormat="1" applyFont="1" applyFill="1" applyBorder="1" applyAlignment="1" applyProtection="1">
      <alignment horizontal="center" vertical="center"/>
      <protection locked="0"/>
    </xf>
    <xf numFmtId="170" fontId="39" fillId="31" borderId="20" xfId="3" applyNumberFormat="1" applyFont="1" applyFill="1" applyBorder="1" applyAlignment="1" applyProtection="1">
      <alignment horizontal="left" vertical="center"/>
      <protection locked="0"/>
    </xf>
    <xf numFmtId="0" fontId="32" fillId="24" borderId="22" xfId="1" applyFont="1" applyFill="1" applyBorder="1" applyAlignment="1" applyProtection="1">
      <alignment horizontal="center" vertical="center"/>
      <protection locked="0"/>
    </xf>
    <xf numFmtId="171" fontId="39" fillId="38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4" fillId="24" borderId="23" xfId="1" applyFont="1" applyFill="1" applyBorder="1" applyAlignment="1" applyProtection="1">
      <alignment horizontal="center" vertical="center"/>
      <protection locked="0"/>
    </xf>
    <xf numFmtId="0" fontId="32" fillId="24" borderId="24" xfId="1" applyFont="1" applyFill="1" applyBorder="1" applyAlignment="1" applyProtection="1">
      <alignment horizontal="center" vertical="center"/>
      <protection locked="0"/>
    </xf>
    <xf numFmtId="171" fontId="39" fillId="38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left" vertical="center"/>
      <protection locked="0"/>
    </xf>
    <xf numFmtId="170" fontId="39" fillId="31" borderId="15" xfId="3" applyNumberFormat="1" applyFont="1" applyFill="1" applyBorder="1" applyAlignment="1" applyProtection="1">
      <alignment horizontal="left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57" fillId="29" borderId="1" xfId="1" applyFont="1" applyFill="1" applyBorder="1" applyAlignment="1" applyProtection="1">
      <alignment horizontal="center" vertical="center"/>
      <protection locked="0"/>
    </xf>
    <xf numFmtId="0" fontId="57" fillId="29" borderId="2" xfId="1" applyFont="1" applyFill="1" applyBorder="1" applyAlignment="1" applyProtection="1">
      <alignment horizontal="center" vertical="center"/>
      <protection locked="0"/>
    </xf>
    <xf numFmtId="49" fontId="36" fillId="31" borderId="1" xfId="1" applyNumberFormat="1" applyFont="1" applyFill="1" applyBorder="1" applyAlignment="1" applyProtection="1">
      <alignment horizontal="center" vertical="center"/>
      <protection locked="0"/>
    </xf>
    <xf numFmtId="170" fontId="36" fillId="24" borderId="1" xfId="3" applyNumberFormat="1" applyFont="1" applyFill="1" applyBorder="1" applyAlignment="1" applyProtection="1">
      <alignment horizontal="left" vertical="center"/>
      <protection locked="0"/>
    </xf>
    <xf numFmtId="170" fontId="36" fillId="24" borderId="1" xfId="3" applyNumberFormat="1" applyFont="1" applyFill="1" applyBorder="1" applyAlignment="1" applyProtection="1">
      <alignment horizontal="center" vertical="center"/>
      <protection locked="0"/>
    </xf>
    <xf numFmtId="171" fontId="35" fillId="38" borderId="5" xfId="3" applyNumberFormat="1" applyFont="1" applyFill="1" applyBorder="1" applyAlignment="1" applyProtection="1">
      <alignment horizontal="center" vertical="center"/>
      <protection locked="0"/>
    </xf>
    <xf numFmtId="49" fontId="36" fillId="24" borderId="5" xfId="3" applyNumberFormat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left" vertical="center"/>
      <protection locked="0"/>
    </xf>
    <xf numFmtId="166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1" fontId="32" fillId="0" borderId="1" xfId="1" applyNumberFormat="1" applyFont="1" applyFill="1" applyBorder="1" applyAlignment="1" applyProtection="1">
      <alignment horizontal="center" vertical="center"/>
      <protection locked="0"/>
    </xf>
    <xf numFmtId="167" fontId="34" fillId="0" borderId="2" xfId="3" applyNumberFormat="1" applyFont="1" applyFill="1" applyBorder="1" applyAlignment="1" applyProtection="1">
      <alignment horizontal="center" vertical="center"/>
      <protection locked="0"/>
    </xf>
    <xf numFmtId="49" fontId="35" fillId="0" borderId="1" xfId="3" applyNumberFormat="1" applyFont="1" applyFill="1" applyBorder="1" applyAlignment="1" applyProtection="1">
      <alignment vertical="center" wrapText="1"/>
      <protection locked="0"/>
    </xf>
    <xf numFmtId="0" fontId="32" fillId="5" borderId="1" xfId="1" applyFont="1" applyFill="1" applyBorder="1" applyAlignment="1" applyProtection="1">
      <alignment horizontal="center" vertical="center"/>
      <protection locked="0"/>
    </xf>
    <xf numFmtId="166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1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3" applyNumberFormat="1" applyFont="1" applyFill="1" applyBorder="1" applyAlignment="1" applyProtection="1">
      <alignment vertical="center" wrapText="1"/>
      <protection locked="0"/>
    </xf>
    <xf numFmtId="167" fontId="36" fillId="5" borderId="1" xfId="3" applyNumberFormat="1" applyFont="1" applyFill="1" applyBorder="1" applyAlignment="1" applyProtection="1">
      <alignment vertical="center"/>
      <protection locked="0"/>
    </xf>
    <xf numFmtId="0" fontId="34" fillId="5" borderId="1" xfId="1" applyFont="1" applyFill="1" applyBorder="1" applyAlignment="1" applyProtection="1">
      <alignment horizontal="center" vertical="center"/>
      <protection locked="0"/>
    </xf>
    <xf numFmtId="0" fontId="34" fillId="5" borderId="1" xfId="1" applyFont="1" applyFill="1" applyBorder="1" applyAlignment="1" applyProtection="1">
      <alignment horizontal="left" vertical="center"/>
      <protection locked="0"/>
    </xf>
    <xf numFmtId="167" fontId="34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3" applyNumberFormat="1" applyFont="1" applyFill="1" applyBorder="1" applyAlignment="1" applyProtection="1">
      <alignment vertical="center" wrapText="1"/>
      <protection locked="0"/>
    </xf>
    <xf numFmtId="167" fontId="34" fillId="5" borderId="1" xfId="3" applyNumberFormat="1" applyFont="1" applyFill="1" applyBorder="1" applyAlignment="1" applyProtection="1">
      <alignment vertical="center"/>
      <protection locked="0"/>
    </xf>
    <xf numFmtId="0" fontId="66" fillId="0" borderId="0" xfId="1" applyFont="1" applyBorder="1" applyProtection="1">
      <protection locked="0"/>
    </xf>
    <xf numFmtId="0" fontId="66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0" fillId="5" borderId="1" xfId="0" applyNumberFormat="1" applyFont="1" applyFill="1" applyBorder="1" applyAlignment="1">
      <alignment horizontal="center"/>
    </xf>
    <xf numFmtId="42" fontId="21" fillId="5" borderId="1" xfId="0" applyNumberFormat="1" applyFont="1" applyFill="1" applyBorder="1" applyAlignment="1">
      <alignment horizontal="center"/>
    </xf>
    <xf numFmtId="0" fontId="67" fillId="0" borderId="1" xfId="0" applyFont="1" applyBorder="1" applyAlignment="1">
      <alignment horizontal="left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32" fillId="24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166" fontId="32" fillId="0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/>
    </xf>
    <xf numFmtId="0" fontId="70" fillId="0" borderId="1" xfId="0" applyFont="1" applyBorder="1" applyAlignment="1">
      <alignment horizontal="center" vertical="center"/>
    </xf>
    <xf numFmtId="165" fontId="70" fillId="0" borderId="1" xfId="0" applyNumberFormat="1" applyFont="1" applyBorder="1" applyAlignment="1">
      <alignment horizontal="center" vertical="center"/>
    </xf>
    <xf numFmtId="0" fontId="70" fillId="0" borderId="1" xfId="0" applyFont="1" applyBorder="1" applyAlignment="1">
      <alignment horizontal="left" vertical="center"/>
    </xf>
    <xf numFmtId="49" fontId="71" fillId="23" borderId="1" xfId="0" applyNumberFormat="1" applyFont="1" applyFill="1" applyBorder="1" applyAlignment="1">
      <alignment horizontal="center" vertical="center"/>
    </xf>
    <xf numFmtId="0" fontId="73" fillId="0" borderId="0" xfId="0" applyFont="1"/>
    <xf numFmtId="0" fontId="13" fillId="17" borderId="5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 wrapText="1"/>
    </xf>
    <xf numFmtId="0" fontId="1" fillId="0" borderId="0" xfId="1" applyProtection="1"/>
    <xf numFmtId="0" fontId="76" fillId="2" borderId="1" xfId="1" applyFont="1" applyFill="1" applyBorder="1" applyAlignment="1" applyProtection="1">
      <alignment horizontal="center" vertical="center" wrapText="1"/>
    </xf>
    <xf numFmtId="0" fontId="1" fillId="0" borderId="0" xfId="1" applyAlignment="1" applyProtection="1">
      <alignment horizontal="center" vertical="center"/>
    </xf>
    <xf numFmtId="0" fontId="1" fillId="0" borderId="0" xfId="1" applyFont="1" applyAlignment="1" applyProtection="1">
      <alignment horizontal="center" vertical="center"/>
    </xf>
    <xf numFmtId="171" fontId="78" fillId="24" borderId="5" xfId="1" applyNumberFormat="1" applyFont="1" applyFill="1" applyBorder="1" applyAlignment="1" applyProtection="1">
      <alignment horizontal="center" vertical="center"/>
    </xf>
    <xf numFmtId="0" fontId="47" fillId="0" borderId="0" xfId="1" applyFont="1" applyAlignment="1" applyProtection="1">
      <alignment horizontal="center" vertical="center"/>
    </xf>
    <xf numFmtId="0" fontId="79" fillId="43" borderId="1" xfId="1" applyFont="1" applyFill="1" applyBorder="1" applyAlignment="1" applyProtection="1">
      <alignment horizontal="right" vertical="center"/>
    </xf>
    <xf numFmtId="0" fontId="79" fillId="44" borderId="1" xfId="1" applyFont="1" applyFill="1" applyBorder="1" applyAlignment="1" applyProtection="1">
      <alignment horizontal="right" vertical="center"/>
    </xf>
    <xf numFmtId="0" fontId="80" fillId="0" borderId="0" xfId="1" applyFont="1" applyAlignment="1" applyProtection="1">
      <alignment horizontal="left" vertical="center"/>
    </xf>
    <xf numFmtId="0" fontId="1" fillId="0" borderId="0" xfId="1" applyFont="1" applyProtection="1"/>
    <xf numFmtId="171" fontId="47" fillId="39" borderId="1" xfId="1" applyNumberFormat="1" applyFont="1" applyFill="1" applyBorder="1" applyAlignment="1" applyProtection="1">
      <alignment horizontal="center" vertical="center"/>
    </xf>
    <xf numFmtId="171" fontId="76" fillId="42" borderId="1" xfId="1" applyNumberFormat="1" applyFont="1" applyFill="1" applyBorder="1" applyAlignment="1" applyProtection="1">
      <alignment horizontal="center" vertical="center"/>
    </xf>
    <xf numFmtId="171" fontId="47" fillId="9" borderId="1" xfId="1" applyNumberFormat="1" applyFont="1" applyFill="1" applyBorder="1" applyAlignment="1" applyProtection="1">
      <alignment horizontal="center" vertical="center"/>
    </xf>
    <xf numFmtId="171" fontId="76" fillId="45" borderId="1" xfId="1" applyNumberFormat="1" applyFont="1" applyFill="1" applyBorder="1" applyAlignment="1" applyProtection="1">
      <alignment horizontal="center" vertical="center"/>
    </xf>
    <xf numFmtId="0" fontId="47" fillId="0" borderId="1" xfId="1" applyFont="1" applyBorder="1" applyAlignment="1" applyProtection="1">
      <alignment horizontal="center" vertical="center"/>
    </xf>
    <xf numFmtId="0" fontId="82" fillId="2" borderId="1" xfId="1" applyFont="1" applyFill="1" applyBorder="1" applyAlignment="1" applyProtection="1">
      <alignment horizontal="center" vertical="center" wrapText="1"/>
    </xf>
    <xf numFmtId="171" fontId="78" fillId="24" borderId="5" xfId="1" applyNumberFormat="1" applyFont="1" applyFill="1" applyBorder="1" applyAlignment="1" applyProtection="1">
      <alignment horizontal="right" vertical="center"/>
    </xf>
    <xf numFmtId="171" fontId="78" fillId="24" borderId="35" xfId="1" applyNumberFormat="1" applyFont="1" applyFill="1" applyBorder="1" applyAlignment="1" applyProtection="1">
      <alignment horizontal="right" vertical="center"/>
    </xf>
    <xf numFmtId="0" fontId="81" fillId="0" borderId="1" xfId="1" applyNumberFormat="1" applyFont="1" applyBorder="1" applyAlignment="1" applyProtection="1">
      <alignment vertical="center"/>
    </xf>
    <xf numFmtId="0" fontId="0" fillId="0" borderId="1" xfId="0" applyFont="1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72" fillId="41" borderId="0" xfId="0" applyFont="1" applyFill="1" applyAlignment="1">
      <alignment horizont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9" fillId="4" borderId="0" xfId="1" applyFont="1" applyFill="1" applyBorder="1" applyAlignment="1" applyProtection="1">
      <alignment horizontal="left" vertical="center"/>
      <protection locked="0"/>
    </xf>
    <xf numFmtId="0" fontId="11" fillId="22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0" fontId="74" fillId="41" borderId="25" xfId="0" applyFont="1" applyFill="1" applyBorder="1" applyAlignment="1">
      <alignment horizontal="center" vertical="center"/>
    </xf>
    <xf numFmtId="0" fontId="74" fillId="41" borderId="26" xfId="0" applyFont="1" applyFill="1" applyBorder="1" applyAlignment="1">
      <alignment horizontal="center" vertical="center"/>
    </xf>
    <xf numFmtId="0" fontId="74" fillId="41" borderId="27" xfId="0" applyFont="1" applyFill="1" applyBorder="1" applyAlignment="1">
      <alignment horizontal="center" vertical="center"/>
    </xf>
    <xf numFmtId="0" fontId="83" fillId="0" borderId="10" xfId="1" applyFont="1" applyBorder="1" applyAlignment="1" applyProtection="1">
      <alignment horizontal="center" vertical="center"/>
    </xf>
    <xf numFmtId="0" fontId="77" fillId="42" borderId="29" xfId="1" applyFont="1" applyFill="1" applyBorder="1" applyAlignment="1" applyProtection="1">
      <alignment horizontal="center" vertical="center"/>
    </xf>
    <xf numFmtId="0" fontId="77" fillId="42" borderId="32" xfId="1" applyFont="1" applyFill="1" applyBorder="1" applyAlignment="1" applyProtection="1">
      <alignment horizontal="center" vertical="center"/>
    </xf>
    <xf numFmtId="171" fontId="47" fillId="38" borderId="30" xfId="1" applyNumberFormat="1" applyFont="1" applyFill="1" applyBorder="1" applyAlignment="1" applyProtection="1">
      <alignment horizontal="center" vertical="center"/>
    </xf>
    <xf numFmtId="171" fontId="47" fillId="38" borderId="31" xfId="1" applyNumberFormat="1" applyFont="1" applyFill="1" applyBorder="1" applyAlignment="1" applyProtection="1">
      <alignment horizontal="center" vertical="center"/>
    </xf>
    <xf numFmtId="171" fontId="47" fillId="38" borderId="33" xfId="1" applyNumberFormat="1" applyFont="1" applyFill="1" applyBorder="1" applyAlignment="1" applyProtection="1">
      <alignment horizontal="center" vertical="center"/>
    </xf>
    <xf numFmtId="0" fontId="77" fillId="42" borderId="34" xfId="1" applyFont="1" applyFill="1" applyBorder="1" applyAlignment="1" applyProtection="1">
      <alignment horizontal="center" vertical="center" wrapText="1"/>
    </xf>
    <xf numFmtId="171" fontId="47" fillId="38" borderId="36" xfId="1" applyNumberFormat="1" applyFont="1" applyFill="1" applyBorder="1" applyAlignment="1" applyProtection="1">
      <alignment horizontal="center" vertical="center"/>
    </xf>
    <xf numFmtId="0" fontId="76" fillId="2" borderId="2" xfId="1" applyFont="1" applyFill="1" applyBorder="1" applyAlignment="1" applyProtection="1">
      <alignment horizontal="center" vertical="center"/>
    </xf>
    <xf numFmtId="0" fontId="76" fillId="2" borderId="28" xfId="1" applyFont="1" applyFill="1" applyBorder="1" applyAlignment="1" applyProtection="1">
      <alignment horizontal="center" vertical="center"/>
    </xf>
    <xf numFmtId="0" fontId="76" fillId="42" borderId="1" xfId="1" applyFont="1" applyFill="1" applyBorder="1" applyAlignment="1" applyProtection="1">
      <alignment horizontal="right" vertical="center"/>
    </xf>
    <xf numFmtId="0" fontId="76" fillId="45" borderId="2" xfId="1" applyFont="1" applyFill="1" applyBorder="1" applyAlignment="1" applyProtection="1">
      <alignment horizontal="right" vertical="center"/>
    </xf>
    <xf numFmtId="0" fontId="76" fillId="45" borderId="28" xfId="1" applyFont="1" applyFill="1" applyBorder="1" applyAlignment="1" applyProtection="1">
      <alignment horizontal="right" vertical="center"/>
    </xf>
    <xf numFmtId="49" fontId="45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8" xfId="3" applyNumberFormat="1" applyFont="1" applyFill="1" applyBorder="1" applyAlignment="1" applyProtection="1">
      <alignment horizontal="center" vertical="center" wrapText="1"/>
      <protection locked="0"/>
    </xf>
    <xf numFmtId="167" fontId="44" fillId="0" borderId="3" xfId="3" applyNumberFormat="1" applyFont="1" applyBorder="1" applyAlignment="1" applyProtection="1">
      <alignment horizontal="center" vertical="center"/>
      <protection locked="0"/>
    </xf>
    <xf numFmtId="167" fontId="44" fillId="0" borderId="6" xfId="3" applyNumberFormat="1" applyFont="1" applyBorder="1" applyAlignment="1" applyProtection="1">
      <alignment horizontal="center" vertical="center"/>
      <protection locked="0"/>
    </xf>
    <xf numFmtId="167" fontId="44" fillId="0" borderId="5" xfId="3" applyNumberFormat="1" applyFont="1" applyBorder="1" applyAlignment="1" applyProtection="1">
      <alignment horizontal="center" vertical="center"/>
      <protection locked="0"/>
    </xf>
    <xf numFmtId="49" fontId="48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167" fontId="35" fillId="0" borderId="5" xfId="3" applyNumberFormat="1" applyFont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53" fillId="0" borderId="3" xfId="3" applyNumberFormat="1" applyFont="1" applyBorder="1" applyAlignment="1" applyProtection="1">
      <alignment horizontal="center" vertical="center"/>
      <protection locked="0"/>
    </xf>
    <xf numFmtId="167" fontId="53" fillId="0" borderId="6" xfId="3" applyNumberFormat="1" applyFont="1" applyBorder="1" applyAlignment="1" applyProtection="1">
      <alignment horizontal="center" vertical="center"/>
      <protection locked="0"/>
    </xf>
    <xf numFmtId="167" fontId="53" fillId="0" borderId="5" xfId="3" applyNumberFormat="1" applyFont="1" applyBorder="1" applyAlignment="1" applyProtection="1">
      <alignment horizontal="center" vertical="center"/>
      <protection locked="0"/>
    </xf>
    <xf numFmtId="49" fontId="44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49" fontId="42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8" xfId="3" applyNumberFormat="1" applyFont="1" applyFill="1" applyBorder="1" applyAlignment="1" applyProtection="1">
      <alignment horizontal="center" vertical="center" wrapText="1"/>
      <protection locked="0"/>
    </xf>
    <xf numFmtId="167" fontId="34" fillId="26" borderId="3" xfId="3" applyNumberFormat="1" applyFont="1" applyFill="1" applyBorder="1" applyAlignment="1" applyProtection="1">
      <alignment horizontal="center" vertical="center"/>
      <protection locked="0"/>
    </xf>
    <xf numFmtId="167" fontId="34" fillId="26" borderId="5" xfId="3" applyNumberFormat="1" applyFont="1" applyFill="1" applyBorder="1" applyAlignment="1" applyProtection="1">
      <alignment horizontal="center" vertical="center"/>
      <protection locked="0"/>
    </xf>
    <xf numFmtId="167" fontId="48" fillId="0" borderId="3" xfId="3" applyNumberFormat="1" applyFont="1" applyBorder="1" applyAlignment="1" applyProtection="1">
      <alignment horizontal="center" vertical="center"/>
      <protection locked="0"/>
    </xf>
    <xf numFmtId="167" fontId="48" fillId="0" borderId="6" xfId="3" applyNumberFormat="1" applyFont="1" applyBorder="1" applyAlignment="1" applyProtection="1">
      <alignment horizontal="center" vertical="center"/>
      <protection locked="0"/>
    </xf>
    <xf numFmtId="167" fontId="48" fillId="0" borderId="5" xfId="3" applyNumberFormat="1" applyFont="1" applyBorder="1" applyAlignment="1" applyProtection="1">
      <alignment horizontal="center" vertical="center"/>
      <protection locked="0"/>
    </xf>
    <xf numFmtId="167" fontId="35" fillId="0" borderId="6" xfId="3" applyNumberFormat="1" applyFont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0" fontId="56" fillId="29" borderId="10" xfId="1" applyFont="1" applyFill="1" applyBorder="1" applyAlignment="1" applyProtection="1">
      <alignment horizontal="center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0" fontId="84" fillId="0" borderId="1" xfId="0" applyFont="1" applyBorder="1" applyAlignment="1">
      <alignment horizontal="center" vertical="center"/>
    </xf>
  </cellXfs>
  <cellStyles count="6">
    <cellStyle name="Hipervínculo" xfId="2" builtinId="8"/>
    <cellStyle name="Hipervínculo 2" xfId="5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14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M35"/>
  <sheetViews>
    <sheetView zoomScale="90" zoomScaleNormal="90" workbookViewId="0">
      <pane ySplit="9" topLeftCell="A10" activePane="bottomLeft" state="frozen"/>
      <selection activeCell="C16" sqref="C16"/>
      <selection pane="bottomLeft" activeCell="L11" sqref="L11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0" customWidth="1"/>
    <col min="12" max="12" width="12.140625" customWidth="1"/>
    <col min="13" max="13" width="39.28515625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7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customHeight="1" outlineLevel="1" x14ac:dyDescent="0.25">
      <c r="A3" s="612" t="s">
        <v>156</v>
      </c>
      <c r="B3" s="612"/>
      <c r="C3" s="94" t="str">
        <f>IFERROR(VLOOKUP($A$2,DATOS!$A$2:$N$14,2,FALSE),"SUCURSAL NO ENCONTRADA")</f>
        <v>SOC. PRESTADORA DE SERVICIOS ODONTOLÓGICOS UNO SALUD LTDA.</v>
      </c>
      <c r="H3" s="574" t="s">
        <v>164</v>
      </c>
      <c r="I3" s="94" t="str">
        <f>IFERROR(VLOOKUP($A$2,DATOS!$A$2:$N$14,8,FALSE),"SUCURSAL NO ENCONTRADA")</f>
        <v>SEBASTIAN REYES</v>
      </c>
    </row>
    <row r="4" spans="1:13" ht="12.75" customHeight="1" outlineLevel="1" x14ac:dyDescent="0.25">
      <c r="A4" s="612" t="s">
        <v>157</v>
      </c>
      <c r="B4" s="612"/>
      <c r="C4" s="94" t="str">
        <f>IFERROR(VLOOKUP($A$2,DATOS!$A$2:$N$14,3,FALSE),"SUCURSAL NO ENCONTRADA")</f>
        <v>76.110.234-6</v>
      </c>
      <c r="H4" s="574" t="s">
        <v>162</v>
      </c>
      <c r="I4" s="94" t="str">
        <f>IFERROR(VLOOKUP($A$2,DATOS!$A$2:$N$14,9,FALSE),"SUCURSAL NO ENCONTRADA")</f>
        <v>laboratorios@unosalud.cl</v>
      </c>
      <c r="K4" s="84"/>
    </row>
    <row r="5" spans="1:13" ht="12.75" customHeight="1" outlineLevel="1" x14ac:dyDescent="0.25">
      <c r="A5" s="612" t="s">
        <v>158</v>
      </c>
      <c r="B5" s="612"/>
      <c r="C5" s="94" t="str">
        <f>IFERROR(VLOOKUP($A$2,DATOS!$A$2:$N$14,4,FALSE),"SUCURSAL NO ENCONTRADA")</f>
        <v>COYANCURA 2229 - PROVIDENCIA</v>
      </c>
      <c r="H5" s="574" t="s">
        <v>161</v>
      </c>
      <c r="I5" s="94">
        <f>IFERROR(VLOOKUP($A$2,DATOS!$A$2:$N$14,10,FALSE),"SUCURSAL NO ENCONTRADA")</f>
        <v>227638906</v>
      </c>
    </row>
    <row r="6" spans="1:13" ht="12.75" customHeight="1" outlineLevel="1" x14ac:dyDescent="0.25">
      <c r="A6" s="612" t="s">
        <v>159</v>
      </c>
      <c r="B6" s="612"/>
      <c r="C6" s="94" t="str">
        <f>IFERROR(VLOOKUP($A$2,DATOS!$A$2:$N$14,5,FALSE),"SUCURSAL NO ENCONTRADA")</f>
        <v>CENTROS MÉDICOS DE ATENCIÓN AMBULATORIA</v>
      </c>
      <c r="H6" s="574" t="s">
        <v>165</v>
      </c>
      <c r="I6" s="94" t="str">
        <f>IFERROR(VLOOKUP($A$2,DATOS!$A$2:$N$14,11,FALSE),"SUCURSAL NO ENCONTRADA")</f>
        <v>PATRICIA CIFUENTES
GRACIELA PAVEZ</v>
      </c>
    </row>
    <row r="7" spans="1:13" ht="12.75" customHeight="1" outlineLevel="1" x14ac:dyDescent="0.25">
      <c r="A7" s="612" t="s">
        <v>160</v>
      </c>
      <c r="B7" s="612"/>
      <c r="C7" s="94" t="str">
        <f>IFERROR(VLOOKUP($A$2,DATOS!$A$2:$N$14,6,FALSE),"SUCURSAL NO ENCONTRADA")</f>
        <v>UNO SALUD DENTAL LTDA.</v>
      </c>
      <c r="H7" s="574" t="s">
        <v>162</v>
      </c>
      <c r="I7" s="94" t="str">
        <f>IFERROR(VLOOKUP($A$2,DATOS!$A$2:$N$14,12,FALSE),"SUCURSAL NO ENCONTRADA")</f>
        <v>pcifuentes@unosalud.cl</v>
      </c>
    </row>
    <row r="8" spans="1:13" ht="14.25" customHeight="1" outlineLevel="1" x14ac:dyDescent="0.25">
      <c r="A8" s="613" t="s">
        <v>163</v>
      </c>
      <c r="B8" s="613"/>
      <c r="C8" s="85" t="str">
        <f>IFERROR(VLOOKUP($A$2,DATOS!$A$2:$N$14,7,FALSE),"SUCURSAL NO ENCONTRADA")</f>
        <v>Enviar Factura a Moneda Nº 953 - Sr. Sebastian Reyes</v>
      </c>
      <c r="D8" s="85"/>
      <c r="E8" s="85"/>
      <c r="F8" s="15"/>
      <c r="G8" s="14"/>
      <c r="H8" s="574" t="s">
        <v>161</v>
      </c>
      <c r="I8" s="94" t="str">
        <f>IFERROR(VLOOKUP($A$2,DATOS!$A$2:$N$14,13,FALSE),"SUCURSAL NO ENCONTRADA")</f>
        <v>22 7638923
22 7638924</v>
      </c>
    </row>
    <row r="9" spans="1:13" s="586" customFormat="1" ht="24.75" customHeight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x14ac:dyDescent="0.25">
      <c r="A10" s="90">
        <v>1</v>
      </c>
      <c r="B10" s="90">
        <v>898056</v>
      </c>
      <c r="C10" s="93">
        <v>42021</v>
      </c>
      <c r="D10" s="91" t="s">
        <v>3049</v>
      </c>
      <c r="E10" s="90" t="s">
        <v>587</v>
      </c>
      <c r="F10" s="91" t="s">
        <v>843</v>
      </c>
      <c r="G10" s="9"/>
      <c r="H10" s="12" t="s">
        <v>366</v>
      </c>
      <c r="I10" s="119">
        <v>1</v>
      </c>
      <c r="J10" s="86">
        <f>IF(F10="","",VLOOKUP(F10,ARANCEL!$E$2:$F$123,2,FALSE))</f>
        <v>334719</v>
      </c>
      <c r="K10" s="87">
        <f t="shared" ref="K10:K17" si="0">IF(I10=0,"",J10*I10)</f>
        <v>334719</v>
      </c>
      <c r="L10" s="585" t="s">
        <v>3246</v>
      </c>
      <c r="M10" s="92" t="s">
        <v>3050</v>
      </c>
    </row>
    <row r="11" spans="1:13" x14ac:dyDescent="0.25">
      <c r="A11" s="90">
        <v>2</v>
      </c>
      <c r="B11" s="90">
        <v>90062</v>
      </c>
      <c r="C11" s="93">
        <v>42023</v>
      </c>
      <c r="D11" s="91" t="s">
        <v>618</v>
      </c>
      <c r="E11" s="90" t="s">
        <v>587</v>
      </c>
      <c r="F11" s="91" t="s">
        <v>621</v>
      </c>
      <c r="G11" s="9"/>
      <c r="H11" s="12" t="s">
        <v>368</v>
      </c>
      <c r="I11" s="119">
        <v>5</v>
      </c>
      <c r="J11" s="86">
        <v>45147</v>
      </c>
      <c r="K11" s="87">
        <f t="shared" si="0"/>
        <v>225735</v>
      </c>
      <c r="L11" s="585" t="s">
        <v>3246</v>
      </c>
      <c r="M11" s="92"/>
    </row>
    <row r="12" spans="1:13" ht="24.75" customHeight="1" collapsed="1" x14ac:dyDescent="0.25">
      <c r="A12" s="587" t="s">
        <v>96</v>
      </c>
      <c r="B12" s="587" t="s">
        <v>97</v>
      </c>
      <c r="C12" s="588" t="s">
        <v>101</v>
      </c>
      <c r="D12" s="587" t="s">
        <v>98</v>
      </c>
      <c r="E12" s="587" t="s">
        <v>99</v>
      </c>
      <c r="F12" s="587" t="s">
        <v>100</v>
      </c>
      <c r="G12" s="587" t="s">
        <v>103</v>
      </c>
      <c r="H12" s="587" t="s">
        <v>102</v>
      </c>
      <c r="I12" s="587" t="s">
        <v>107</v>
      </c>
      <c r="J12" s="588" t="s">
        <v>104</v>
      </c>
      <c r="K12" s="588" t="s">
        <v>105</v>
      </c>
      <c r="L12" s="82" t="s">
        <v>166</v>
      </c>
      <c r="M12" s="82" t="s">
        <v>106</v>
      </c>
    </row>
    <row r="13" spans="1:13" x14ac:dyDescent="0.25">
      <c r="A13" s="90">
        <v>4</v>
      </c>
      <c r="B13" s="101"/>
      <c r="C13" s="102"/>
      <c r="D13" s="103"/>
      <c r="E13" s="101"/>
      <c r="F13" s="103"/>
      <c r="G13" s="104"/>
      <c r="H13" s="98"/>
      <c r="I13" s="105"/>
      <c r="J13" s="86" t="str">
        <f>IF(F13="","",VLOOKUP(F13,ARANCEL!$E$2:$F$123,2,FALSE))</f>
        <v/>
      </c>
      <c r="K13" s="100" t="str">
        <f t="shared" si="0"/>
        <v/>
      </c>
      <c r="L13" s="98"/>
      <c r="M13" s="99"/>
    </row>
    <row r="14" spans="1:13" x14ac:dyDescent="0.25">
      <c r="A14" s="90">
        <v>5</v>
      </c>
      <c r="B14" s="101"/>
      <c r="C14" s="102"/>
      <c r="D14" s="103"/>
      <c r="E14" s="101"/>
      <c r="F14" s="103"/>
      <c r="G14" s="104"/>
      <c r="H14" s="98"/>
      <c r="I14" s="105"/>
      <c r="J14" s="86" t="str">
        <f>IF(F14="","",VLOOKUP(F14,ARANCEL!$E$2:$F$123,2,FALSE))</f>
        <v/>
      </c>
      <c r="K14" s="100" t="str">
        <f t="shared" si="0"/>
        <v/>
      </c>
      <c r="L14" s="98"/>
      <c r="M14" s="99"/>
    </row>
    <row r="15" spans="1:13" x14ac:dyDescent="0.25">
      <c r="A15" s="90">
        <v>6</v>
      </c>
      <c r="B15" s="101"/>
      <c r="C15" s="102"/>
      <c r="D15" s="103"/>
      <c r="E15" s="101"/>
      <c r="F15" s="103"/>
      <c r="G15" s="104"/>
      <c r="H15" s="98"/>
      <c r="I15" s="105"/>
      <c r="J15" s="86" t="str">
        <f>IF(F15="","",VLOOKUP(F15,ARANCEL!$E$2:$F$123,2,FALSE))</f>
        <v/>
      </c>
      <c r="K15" s="100" t="str">
        <f t="shared" si="0"/>
        <v/>
      </c>
      <c r="L15" s="98"/>
      <c r="M15" s="99"/>
    </row>
    <row r="16" spans="1:13" x14ac:dyDescent="0.25">
      <c r="A16" s="90">
        <v>7</v>
      </c>
      <c r="B16" s="101"/>
      <c r="C16" s="102"/>
      <c r="D16" s="103"/>
      <c r="E16" s="101"/>
      <c r="F16" s="103"/>
      <c r="G16" s="104"/>
      <c r="H16" s="98"/>
      <c r="I16" s="105"/>
      <c r="J16" s="86" t="str">
        <f>IF(F16="","",VLOOKUP(F16,ARANCEL!$E$2:$F$123,2,FALSE))</f>
        <v/>
      </c>
      <c r="K16" s="100" t="str">
        <f t="shared" si="0"/>
        <v/>
      </c>
      <c r="L16" s="98"/>
      <c r="M16" s="99"/>
    </row>
    <row r="17" spans="1:13" x14ac:dyDescent="0.25">
      <c r="A17" s="90">
        <v>8</v>
      </c>
      <c r="B17" s="101"/>
      <c r="C17" s="102"/>
      <c r="D17" s="103"/>
      <c r="E17" s="101"/>
      <c r="F17" s="103"/>
      <c r="G17" s="104"/>
      <c r="H17" s="98"/>
      <c r="I17" s="105"/>
      <c r="J17" s="86" t="str">
        <f>IF(F17="","",VLOOKUP(F17,ARANCEL!$E$2:$F$123,2,FALSE))</f>
        <v/>
      </c>
      <c r="K17" s="100" t="str">
        <f t="shared" si="0"/>
        <v/>
      </c>
      <c r="L17" s="98"/>
      <c r="M17" s="99"/>
    </row>
    <row r="20" spans="1:13" ht="20.25" customHeight="1" x14ac:dyDescent="0.25">
      <c r="A20" s="614" t="s">
        <v>363</v>
      </c>
      <c r="B20" s="614"/>
      <c r="C20" s="614"/>
      <c r="D20" s="614"/>
      <c r="E20" s="614"/>
      <c r="F20" s="614"/>
      <c r="G20" s="614"/>
      <c r="H20" s="614"/>
      <c r="I20" s="614"/>
      <c r="J20" s="614"/>
      <c r="K20" s="614"/>
    </row>
    <row r="21" spans="1:13" ht="24" x14ac:dyDescent="0.25">
      <c r="A21" s="88" t="s">
        <v>96</v>
      </c>
      <c r="B21" s="88" t="s">
        <v>97</v>
      </c>
      <c r="C21" s="89" t="s">
        <v>101</v>
      </c>
      <c r="D21" s="88" t="s">
        <v>98</v>
      </c>
      <c r="E21" s="88" t="s">
        <v>99</v>
      </c>
      <c r="F21" s="88" t="s">
        <v>100</v>
      </c>
      <c r="G21" s="88" t="s">
        <v>103</v>
      </c>
      <c r="H21" s="88" t="s">
        <v>102</v>
      </c>
      <c r="I21" s="88" t="s">
        <v>107</v>
      </c>
      <c r="J21" s="89" t="s">
        <v>104</v>
      </c>
      <c r="K21" s="89" t="s">
        <v>105</v>
      </c>
      <c r="L21" s="89" t="s">
        <v>166</v>
      </c>
      <c r="M21" s="89" t="s">
        <v>106</v>
      </c>
    </row>
    <row r="22" spans="1:13" x14ac:dyDescent="0.25">
      <c r="A22" s="113"/>
      <c r="B22" s="114"/>
      <c r="C22" s="109"/>
      <c r="D22" s="115"/>
      <c r="E22" s="114"/>
      <c r="F22" s="115"/>
      <c r="G22" s="110"/>
      <c r="H22" s="575"/>
      <c r="I22" s="112"/>
      <c r="J22" s="116"/>
      <c r="K22" s="117"/>
      <c r="L22" s="113"/>
      <c r="M22" s="13"/>
    </row>
    <row r="23" spans="1:13" x14ac:dyDescent="0.25">
      <c r="A23" s="113"/>
      <c r="B23" s="114"/>
      <c r="C23" s="109"/>
      <c r="D23" s="115"/>
      <c r="E23" s="114"/>
      <c r="F23" s="115"/>
      <c r="G23" s="110"/>
      <c r="H23" s="575"/>
      <c r="I23" s="112"/>
      <c r="J23" s="116"/>
      <c r="K23" s="117"/>
      <c r="L23" s="113"/>
      <c r="M23" s="13"/>
    </row>
    <row r="24" spans="1:13" x14ac:dyDescent="0.25">
      <c r="A24" s="113"/>
      <c r="B24" s="114"/>
      <c r="C24" s="109"/>
      <c r="D24" s="115"/>
      <c r="E24" s="114"/>
      <c r="F24" s="115"/>
      <c r="G24" s="110"/>
      <c r="H24" s="575"/>
      <c r="I24" s="112"/>
      <c r="J24" s="116"/>
      <c r="K24" s="117"/>
      <c r="L24" s="113"/>
      <c r="M24" s="13"/>
    </row>
    <row r="25" spans="1:13" x14ac:dyDescent="0.25">
      <c r="A25" s="113"/>
      <c r="B25" s="114"/>
      <c r="C25" s="109"/>
      <c r="D25" s="115"/>
      <c r="E25" s="114"/>
      <c r="F25" s="115"/>
      <c r="G25" s="110"/>
      <c r="H25" s="575"/>
      <c r="I25" s="112"/>
      <c r="J25" s="116"/>
      <c r="K25" s="117"/>
      <c r="L25" s="113"/>
      <c r="M25" s="13"/>
    </row>
    <row r="26" spans="1:13" x14ac:dyDescent="0.25">
      <c r="A26" s="113"/>
      <c r="B26" s="114"/>
      <c r="C26" s="109"/>
      <c r="D26" s="115"/>
      <c r="E26" s="114"/>
      <c r="F26" s="115"/>
      <c r="G26" s="110"/>
      <c r="H26" s="575"/>
      <c r="I26" s="112"/>
      <c r="J26" s="116"/>
      <c r="K26" s="117"/>
      <c r="L26" s="113"/>
      <c r="M26" s="13"/>
    </row>
    <row r="27" spans="1:13" x14ac:dyDescent="0.25">
      <c r="A27" s="113"/>
      <c r="B27" s="114"/>
      <c r="C27" s="109"/>
      <c r="D27" s="115"/>
      <c r="E27" s="114"/>
      <c r="F27" s="115"/>
      <c r="G27" s="110"/>
      <c r="H27" s="575"/>
      <c r="I27" s="112"/>
      <c r="J27" s="116"/>
      <c r="K27" s="117"/>
      <c r="L27" s="113"/>
      <c r="M27" s="13"/>
    </row>
    <row r="28" spans="1:13" x14ac:dyDescent="0.25">
      <c r="A28" s="113"/>
      <c r="B28" s="114"/>
      <c r="C28" s="109"/>
      <c r="D28" s="115"/>
      <c r="E28" s="114"/>
      <c r="F28" s="115"/>
      <c r="G28" s="110"/>
      <c r="H28" s="575"/>
      <c r="I28" s="112"/>
      <c r="J28" s="116"/>
      <c r="K28" s="117"/>
      <c r="L28" s="113"/>
      <c r="M28" s="13"/>
    </row>
    <row r="29" spans="1:13" x14ac:dyDescent="0.25">
      <c r="A29" s="113"/>
      <c r="B29" s="114"/>
      <c r="C29" s="109"/>
      <c r="D29" s="115"/>
      <c r="E29" s="114"/>
      <c r="F29" s="115"/>
      <c r="G29" s="110"/>
      <c r="H29" s="575"/>
      <c r="I29" s="112"/>
      <c r="J29" s="116"/>
      <c r="K29" s="117"/>
      <c r="L29" s="113"/>
      <c r="M29" s="13"/>
    </row>
    <row r="30" spans="1:13" x14ac:dyDescent="0.25">
      <c r="A30" s="113"/>
      <c r="B30" s="114"/>
      <c r="C30" s="109"/>
      <c r="D30" s="115"/>
      <c r="E30" s="114"/>
      <c r="F30" s="115"/>
      <c r="G30" s="110"/>
      <c r="H30" s="575"/>
      <c r="I30" s="112"/>
      <c r="J30" s="116"/>
      <c r="K30" s="117"/>
      <c r="L30" s="113"/>
      <c r="M30" s="13"/>
    </row>
    <row r="31" spans="1:13" x14ac:dyDescent="0.25">
      <c r="A31" s="113"/>
      <c r="B31" s="114"/>
      <c r="C31" s="109"/>
      <c r="D31" s="115"/>
      <c r="E31" s="114"/>
      <c r="F31" s="115"/>
      <c r="G31" s="110"/>
      <c r="H31" s="575"/>
      <c r="I31" s="112"/>
      <c r="J31" s="116"/>
      <c r="K31" s="117"/>
      <c r="L31" s="113"/>
      <c r="M31" s="13"/>
    </row>
    <row r="32" spans="1:13" x14ac:dyDescent="0.25">
      <c r="A32" s="113"/>
      <c r="B32" s="114"/>
      <c r="C32" s="109"/>
      <c r="D32" s="115"/>
      <c r="E32" s="114"/>
      <c r="F32" s="115"/>
      <c r="G32" s="110"/>
      <c r="H32" s="575"/>
      <c r="I32" s="112"/>
      <c r="J32" s="116"/>
      <c r="K32" s="117"/>
      <c r="L32" s="113"/>
      <c r="M32" s="13"/>
    </row>
    <row r="33" spans="1:13" x14ac:dyDescent="0.25">
      <c r="A33" s="113"/>
      <c r="B33" s="114"/>
      <c r="C33" s="109"/>
      <c r="D33" s="115"/>
      <c r="E33" s="114"/>
      <c r="F33" s="115"/>
      <c r="G33" s="110"/>
      <c r="H33" s="575"/>
      <c r="I33" s="112"/>
      <c r="J33" s="116"/>
      <c r="K33" s="117"/>
      <c r="L33" s="113"/>
      <c r="M33" s="13"/>
    </row>
    <row r="34" spans="1:13" x14ac:dyDescent="0.25">
      <c r="A34" s="113"/>
      <c r="B34" s="114"/>
      <c r="C34" s="109"/>
      <c r="D34" s="115"/>
      <c r="E34" s="114"/>
      <c r="F34" s="115"/>
      <c r="G34" s="110"/>
      <c r="H34" s="575"/>
      <c r="I34" s="112"/>
      <c r="J34" s="116"/>
      <c r="K34" s="117"/>
      <c r="L34" s="113"/>
      <c r="M34" s="13"/>
    </row>
    <row r="35" spans="1:13" x14ac:dyDescent="0.25">
      <c r="A35" s="113"/>
      <c r="B35" s="114"/>
      <c r="C35" s="109"/>
      <c r="D35" s="115"/>
      <c r="E35" s="114"/>
      <c r="F35" s="115"/>
      <c r="G35" s="110"/>
      <c r="H35" s="575"/>
      <c r="I35" s="112"/>
      <c r="J35" s="116"/>
      <c r="K35" s="117"/>
      <c r="L35" s="113"/>
      <c r="M35" s="13"/>
    </row>
  </sheetData>
  <autoFilter ref="A12:M12">
    <sortState ref="A14:M17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M92"/>
  <sheetViews>
    <sheetView zoomScale="85" zoomScaleNormal="85" workbookViewId="0">
      <pane ySplit="9" topLeftCell="A33" activePane="bottomLeft" state="frozen"/>
      <selection activeCell="C15" sqref="C15"/>
      <selection pane="bottomLeft" activeCell="B41" sqref="B41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0.1406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21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customHeight="1" outlineLevel="1" x14ac:dyDescent="0.25">
      <c r="A3" s="612" t="s">
        <v>156</v>
      </c>
      <c r="B3" s="612"/>
      <c r="C3" s="94" t="str">
        <f>IFERROR(VLOOKUP($A$2,DATOS!$A$2:$N$14,2,FALSE),"SUCURSAL NO ENCONTRADA")</f>
        <v xml:space="preserve">SOC. ODONTOLÓGICA UNO SALUD ESTACIÓN CENTRAL LTDA. </v>
      </c>
      <c r="H3" s="97" t="s">
        <v>164</v>
      </c>
      <c r="I3" s="94" t="str">
        <f>IFERROR(VLOOKUP($A$2,DATOS!$A$2:$N$14,8,FALSE),"SUCURSAL NO ENCONTRADA")</f>
        <v>SEBASTIAN REYES</v>
      </c>
    </row>
    <row r="4" spans="1:13" ht="12.75" customHeight="1" outlineLevel="1" x14ac:dyDescent="0.25">
      <c r="A4" s="612" t="s">
        <v>157</v>
      </c>
      <c r="B4" s="612"/>
      <c r="C4" s="94" t="str">
        <f>IFERROR(VLOOKUP($A$2,DATOS!$A$2:$N$14,3,FALSE),"SUCURSAL NO ENCONTRADA")</f>
        <v>76.244.474-7</v>
      </c>
      <c r="H4" s="97" t="s">
        <v>162</v>
      </c>
      <c r="I4" s="94" t="str">
        <f>IFERROR(VLOOKUP($A$2,DATOS!$A$2:$N$14,9,FALSE),"SUCURSAL NO ENCONTRADA")</f>
        <v>laboratorios@unosalud.cl</v>
      </c>
      <c r="K4" s="84"/>
    </row>
    <row r="5" spans="1:13" ht="12.75" customHeight="1" outlineLevel="1" x14ac:dyDescent="0.25">
      <c r="A5" s="612" t="s">
        <v>158</v>
      </c>
      <c r="B5" s="612"/>
      <c r="C5" s="94" t="str">
        <f>IFERROR(VLOOKUP($A$2,DATOS!$A$2:$N$14,4,FALSE),"SUCURSAL NO ENCONTRADA")</f>
        <v xml:space="preserve">PASEO ARAUCO ESTACIÓN SAN FRANCISCO DE BORJA 122 LOCAL S-122 A </v>
      </c>
      <c r="H5" s="97" t="s">
        <v>161</v>
      </c>
      <c r="I5" s="94">
        <f>IFERROR(VLOOKUP($A$2,DATOS!$A$2:$N$14,10,FALSE),"SUCURSAL NO ENCONTRADA")</f>
        <v>227638906</v>
      </c>
    </row>
    <row r="6" spans="1:13" ht="12.75" customHeight="1" outlineLevel="1" x14ac:dyDescent="0.25">
      <c r="A6" s="612" t="s">
        <v>159</v>
      </c>
      <c r="B6" s="612"/>
      <c r="C6" s="94" t="str">
        <f>IFERROR(VLOOKUP($A$2,DATOS!$A$2:$N$14,5,FALSE),"SUCURSAL NO ENCONTRADA")</f>
        <v>CENTROS MÉDICOS DE ATENCIÓN AMBULATORIA</v>
      </c>
      <c r="H6" s="97" t="s">
        <v>165</v>
      </c>
      <c r="I6" s="94" t="str">
        <f>IFERROR(VLOOKUP($A$2,DATOS!$A$2:$N$14,11,FALSE),"SUCURSAL NO ENCONTRADA")</f>
        <v>JAVIER JARPA
DIANA GUZMAN</v>
      </c>
    </row>
    <row r="7" spans="1:13" ht="12.75" customHeight="1" outlineLevel="1" x14ac:dyDescent="0.25">
      <c r="A7" s="612" t="s">
        <v>160</v>
      </c>
      <c r="B7" s="612"/>
      <c r="C7" s="94" t="str">
        <f>IFERROR(VLOOKUP($A$2,DATOS!$A$2:$N$14,6,FALSE),"SUCURSAL NO ENCONTRADA")</f>
        <v>UNO SALUD ESTACIÓN CENTRAL LTDA.</v>
      </c>
      <c r="H7" s="97" t="s">
        <v>162</v>
      </c>
      <c r="I7" s="94" t="str">
        <f>IFERROR(VLOOKUP($A$2,DATOS!$A$2:$N$14,12,FALSE),"SUCURSAL NO ENCONTRADA")</f>
        <v>jjarpa@unosalud.cl</v>
      </c>
    </row>
    <row r="8" spans="1:13" ht="14.25" customHeight="1" outlineLevel="1" x14ac:dyDescent="0.25">
      <c r="A8" s="613" t="s">
        <v>163</v>
      </c>
      <c r="B8" s="613"/>
      <c r="C8" s="85" t="str">
        <f>IFERROR(VLOOKUP($A$2,DATOS!$A$2:$N$14,7,FALSE),"SUCURSAL NO ENCONTRADA")</f>
        <v>Enviar Factura a Moneda Nº 953 - Sr. Sebastian Reyes</v>
      </c>
      <c r="D8" s="85"/>
      <c r="E8" s="85"/>
      <c r="F8" s="15"/>
      <c r="G8" s="14"/>
      <c r="H8" s="97" t="s">
        <v>161</v>
      </c>
      <c r="I8" s="94" t="str">
        <f>IFERROR(VLOOKUP($A$2,DATOS!$A$2:$N$14,13,FALSE),"SUCURSAL NO ENCONTRADA")</f>
        <v>22 7638941
22 7638942</v>
      </c>
    </row>
    <row r="9" spans="1:13" s="586" customFormat="1" ht="24.75" customHeight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x14ac:dyDescent="0.25">
      <c r="A10" s="90">
        <v>1</v>
      </c>
      <c r="B10" s="90">
        <v>85889</v>
      </c>
      <c r="C10" s="93">
        <v>42010</v>
      </c>
      <c r="D10" s="91" t="s">
        <v>434</v>
      </c>
      <c r="E10" s="90" t="s">
        <v>386</v>
      </c>
      <c r="F10" s="91" t="s">
        <v>355</v>
      </c>
      <c r="G10" s="9"/>
      <c r="H10" s="12" t="s">
        <v>368</v>
      </c>
      <c r="I10" s="119">
        <v>1</v>
      </c>
      <c r="J10" s="86">
        <f>IF(F10="","",VLOOKUP(F10,ARANCEL!$E$2:$F$123,2,FALSE))</f>
        <v>25800.249999999996</v>
      </c>
      <c r="K10" s="87">
        <f t="shared" ref="K10:K30" si="0">IF(I10=0,"",J10*I10)</f>
        <v>25800.249999999996</v>
      </c>
      <c r="L10" s="585" t="s">
        <v>3246</v>
      </c>
      <c r="M10" s="92"/>
    </row>
    <row r="11" spans="1:13" x14ac:dyDescent="0.25">
      <c r="A11" s="90">
        <v>2</v>
      </c>
      <c r="B11" s="90">
        <v>85299</v>
      </c>
      <c r="C11" s="93">
        <v>42004</v>
      </c>
      <c r="D11" s="91" t="s">
        <v>400</v>
      </c>
      <c r="E11" s="90" t="s">
        <v>386</v>
      </c>
      <c r="F11" s="91" t="s">
        <v>114</v>
      </c>
      <c r="G11" s="9"/>
      <c r="H11" s="12" t="s">
        <v>401</v>
      </c>
      <c r="I11" s="119">
        <v>1</v>
      </c>
      <c r="J11" s="86">
        <f>IF(F11="","",VLOOKUP(F11,ARANCEL!$E$2:$F$123,2,FALSE))</f>
        <v>33370.239999999998</v>
      </c>
      <c r="K11" s="87">
        <f t="shared" si="0"/>
        <v>33370.239999999998</v>
      </c>
      <c r="L11" s="585" t="s">
        <v>3246</v>
      </c>
      <c r="M11" s="92"/>
    </row>
    <row r="12" spans="1:13" x14ac:dyDescent="0.25">
      <c r="A12" s="90">
        <v>3</v>
      </c>
      <c r="B12" s="90">
        <v>87187</v>
      </c>
      <c r="C12" s="93">
        <v>42013</v>
      </c>
      <c r="D12" s="91" t="s">
        <v>3051</v>
      </c>
      <c r="E12" s="90" t="s">
        <v>378</v>
      </c>
      <c r="F12" s="91" t="s">
        <v>215</v>
      </c>
      <c r="G12" s="9"/>
      <c r="H12" s="12" t="s">
        <v>368</v>
      </c>
      <c r="I12" s="119">
        <v>1</v>
      </c>
      <c r="J12" s="86">
        <f>IF(F12="","",VLOOKUP(F12,ARANCEL!$E$2:$F$123,2,FALSE))</f>
        <v>44597.287499999999</v>
      </c>
      <c r="K12" s="87">
        <f t="shared" si="0"/>
        <v>44597.287499999999</v>
      </c>
      <c r="L12" s="585" t="s">
        <v>3246</v>
      </c>
      <c r="M12" s="92"/>
    </row>
    <row r="13" spans="1:13" x14ac:dyDescent="0.25">
      <c r="A13" s="90">
        <v>4</v>
      </c>
      <c r="B13" s="101">
        <v>87204</v>
      </c>
      <c r="C13" s="102">
        <v>42013</v>
      </c>
      <c r="D13" s="103" t="s">
        <v>847</v>
      </c>
      <c r="E13" s="101" t="s">
        <v>378</v>
      </c>
      <c r="F13" s="103" t="s">
        <v>235</v>
      </c>
      <c r="G13" s="104"/>
      <c r="H13" s="98" t="s">
        <v>368</v>
      </c>
      <c r="I13" s="105">
        <v>1</v>
      </c>
      <c r="J13" s="86">
        <f>IF(F13="","",VLOOKUP(F13,ARANCEL!$E$2:$F$123,2,FALSE))</f>
        <v>10400.599999999999</v>
      </c>
      <c r="K13" s="100">
        <f t="shared" si="0"/>
        <v>10400.599999999999</v>
      </c>
      <c r="L13" s="585" t="s">
        <v>3246</v>
      </c>
      <c r="M13" s="99" t="s">
        <v>3052</v>
      </c>
    </row>
    <row r="14" spans="1:13" x14ac:dyDescent="0.25">
      <c r="A14" s="90">
        <v>5</v>
      </c>
      <c r="B14" s="101">
        <v>86973</v>
      </c>
      <c r="C14" s="102">
        <v>42013</v>
      </c>
      <c r="D14" s="103" t="s">
        <v>403</v>
      </c>
      <c r="E14" s="101" t="s">
        <v>386</v>
      </c>
      <c r="F14" s="103" t="s">
        <v>115</v>
      </c>
      <c r="G14" s="104"/>
      <c r="H14" s="98" t="s">
        <v>2960</v>
      </c>
      <c r="I14" s="105">
        <v>2</v>
      </c>
      <c r="J14" s="86">
        <f>IF(F14="","",VLOOKUP(F14,ARANCEL!$E$2:$F$123,2,FALSE))</f>
        <v>5274.3600000000006</v>
      </c>
      <c r="K14" s="100">
        <f t="shared" si="0"/>
        <v>10548.720000000001</v>
      </c>
      <c r="L14" s="585" t="s">
        <v>3246</v>
      </c>
      <c r="M14" s="99"/>
    </row>
    <row r="15" spans="1:13" x14ac:dyDescent="0.25">
      <c r="A15" s="90">
        <v>6</v>
      </c>
      <c r="B15" s="101">
        <v>86546</v>
      </c>
      <c r="C15" s="102">
        <v>42013</v>
      </c>
      <c r="D15" s="103" t="s">
        <v>403</v>
      </c>
      <c r="E15" s="101" t="s">
        <v>386</v>
      </c>
      <c r="F15" s="103" t="s">
        <v>114</v>
      </c>
      <c r="G15" s="104"/>
      <c r="H15" s="98" t="s">
        <v>404</v>
      </c>
      <c r="I15" s="105">
        <v>1</v>
      </c>
      <c r="J15" s="86">
        <f>IF(F15="","",VLOOKUP(F15,ARANCEL!$E$2:$F$123,2,FALSE))</f>
        <v>33370.239999999998</v>
      </c>
      <c r="K15" s="100">
        <f t="shared" si="0"/>
        <v>33370.239999999998</v>
      </c>
      <c r="L15" s="585" t="s">
        <v>3246</v>
      </c>
      <c r="M15" s="99"/>
    </row>
    <row r="16" spans="1:13" x14ac:dyDescent="0.25">
      <c r="A16" s="101">
        <v>7</v>
      </c>
      <c r="B16" s="101">
        <v>85854</v>
      </c>
      <c r="C16" s="102">
        <v>42012</v>
      </c>
      <c r="D16" s="103" t="s">
        <v>3053</v>
      </c>
      <c r="E16" s="101" t="s">
        <v>475</v>
      </c>
      <c r="F16" s="103" t="s">
        <v>115</v>
      </c>
      <c r="G16" s="104"/>
      <c r="H16" s="98" t="s">
        <v>439</v>
      </c>
      <c r="I16" s="105">
        <v>1</v>
      </c>
      <c r="J16" s="86">
        <f>IF(F16="","",VLOOKUP(F16,ARANCEL!$E$2:$F$123,2,FALSE))</f>
        <v>5274.3600000000006</v>
      </c>
      <c r="K16" s="100">
        <f t="shared" si="0"/>
        <v>5274.3600000000006</v>
      </c>
      <c r="L16" s="585" t="s">
        <v>3246</v>
      </c>
      <c r="M16" s="99"/>
    </row>
    <row r="17" spans="1:13" x14ac:dyDescent="0.25">
      <c r="A17" s="101">
        <v>8</v>
      </c>
      <c r="B17" s="101">
        <v>87619</v>
      </c>
      <c r="C17" s="102">
        <v>42016</v>
      </c>
      <c r="D17" s="103" t="s">
        <v>3053</v>
      </c>
      <c r="E17" s="101" t="s">
        <v>475</v>
      </c>
      <c r="F17" s="103" t="s">
        <v>115</v>
      </c>
      <c r="G17" s="104"/>
      <c r="H17" s="98" t="s">
        <v>1020</v>
      </c>
      <c r="I17" s="105">
        <v>3</v>
      </c>
      <c r="J17" s="86">
        <f>IF(F17="","",VLOOKUP(F17,ARANCEL!$E$2:$F$123,2,FALSE))</f>
        <v>5274.3600000000006</v>
      </c>
      <c r="K17" s="100">
        <f t="shared" si="0"/>
        <v>15823.080000000002</v>
      </c>
      <c r="L17" s="585" t="s">
        <v>3246</v>
      </c>
      <c r="M17" s="99"/>
    </row>
    <row r="18" spans="1:13" x14ac:dyDescent="0.25">
      <c r="A18" s="101">
        <v>9</v>
      </c>
      <c r="B18" s="101">
        <v>88306</v>
      </c>
      <c r="C18" s="102">
        <v>42018</v>
      </c>
      <c r="D18" s="103" t="s">
        <v>3056</v>
      </c>
      <c r="E18" s="101" t="s">
        <v>475</v>
      </c>
      <c r="F18" s="103" t="s">
        <v>115</v>
      </c>
      <c r="G18" s="104"/>
      <c r="H18" s="98" t="s">
        <v>531</v>
      </c>
      <c r="I18" s="105">
        <v>1</v>
      </c>
      <c r="J18" s="86">
        <f>IF(F18="","",VLOOKUP(F18,ARANCEL!$E$2:$F$123,2,FALSE))</f>
        <v>5274.3600000000006</v>
      </c>
      <c r="K18" s="100">
        <f t="shared" si="0"/>
        <v>5274.3600000000006</v>
      </c>
      <c r="L18" s="585" t="s">
        <v>3246</v>
      </c>
      <c r="M18" s="99"/>
    </row>
    <row r="19" spans="1:13" x14ac:dyDescent="0.25">
      <c r="A19" s="101">
        <v>10</v>
      </c>
      <c r="B19" s="101">
        <v>88306</v>
      </c>
      <c r="C19" s="102">
        <v>42018</v>
      </c>
      <c r="D19" s="103" t="s">
        <v>3056</v>
      </c>
      <c r="E19" s="101" t="s">
        <v>475</v>
      </c>
      <c r="F19" s="103" t="s">
        <v>173</v>
      </c>
      <c r="G19" s="104"/>
      <c r="H19" s="98" t="s">
        <v>3057</v>
      </c>
      <c r="I19" s="105">
        <v>2</v>
      </c>
      <c r="J19" s="86">
        <f>IF(F19="","",VLOOKUP(F19,ARANCEL!$E$2:$F$123,2,FALSE))</f>
        <v>5274.3600000000006</v>
      </c>
      <c r="K19" s="100">
        <f t="shared" si="0"/>
        <v>10548.720000000001</v>
      </c>
      <c r="L19" s="585" t="s">
        <v>3246</v>
      </c>
      <c r="M19" s="576" t="s">
        <v>3058</v>
      </c>
    </row>
    <row r="20" spans="1:13" x14ac:dyDescent="0.25">
      <c r="A20" s="101">
        <v>11</v>
      </c>
      <c r="B20" s="101">
        <v>88482</v>
      </c>
      <c r="C20" s="102">
        <v>42018</v>
      </c>
      <c r="D20" s="103" t="s">
        <v>3059</v>
      </c>
      <c r="E20" s="101" t="s">
        <v>475</v>
      </c>
      <c r="F20" s="103" t="s">
        <v>217</v>
      </c>
      <c r="G20" s="104"/>
      <c r="H20" s="98" t="s">
        <v>368</v>
      </c>
      <c r="I20" s="105">
        <v>1</v>
      </c>
      <c r="J20" s="86">
        <f>IF(F20="","",VLOOKUP(F20,ARANCEL!$E$2:$F$123,2,FALSE))</f>
        <v>22299.074999999997</v>
      </c>
      <c r="K20" s="100">
        <f t="shared" si="0"/>
        <v>22299.074999999997</v>
      </c>
      <c r="L20" s="585" t="s">
        <v>3246</v>
      </c>
      <c r="M20" s="99"/>
    </row>
    <row r="21" spans="1:13" x14ac:dyDescent="0.25">
      <c r="A21" s="101">
        <v>12</v>
      </c>
      <c r="B21" s="101">
        <v>88687</v>
      </c>
      <c r="C21" s="102">
        <v>42019</v>
      </c>
      <c r="D21" s="103" t="s">
        <v>405</v>
      </c>
      <c r="E21" s="101" t="s">
        <v>378</v>
      </c>
      <c r="F21" s="103" t="s">
        <v>190</v>
      </c>
      <c r="G21" s="104"/>
      <c r="H21" s="98" t="s">
        <v>407</v>
      </c>
      <c r="I21" s="105">
        <v>1</v>
      </c>
      <c r="J21" s="86">
        <f>IF(F21="","",VLOOKUP(F21,ARANCEL!$E$2:$F$123,2,FALSE))</f>
        <v>57959.999999999993</v>
      </c>
      <c r="K21" s="100">
        <f t="shared" si="0"/>
        <v>57959.999999999993</v>
      </c>
      <c r="L21" s="585" t="s">
        <v>3246</v>
      </c>
      <c r="M21" s="99"/>
    </row>
    <row r="22" spans="1:13" x14ac:dyDescent="0.25">
      <c r="A22" s="101">
        <v>13</v>
      </c>
      <c r="B22" s="101">
        <v>88859</v>
      </c>
      <c r="C22" s="102">
        <v>42019</v>
      </c>
      <c r="D22" s="103" t="s">
        <v>402</v>
      </c>
      <c r="E22" s="101" t="s">
        <v>378</v>
      </c>
      <c r="F22" s="103" t="s">
        <v>353</v>
      </c>
      <c r="G22" s="104"/>
      <c r="H22" s="98" t="s">
        <v>368</v>
      </c>
      <c r="I22" s="105">
        <v>1</v>
      </c>
      <c r="J22" s="86">
        <f>IF(F22="","",VLOOKUP(F22,ARANCEL!$E$2:$F$123,2,FALSE))</f>
        <v>55057.687499999993</v>
      </c>
      <c r="K22" s="100">
        <f t="shared" si="0"/>
        <v>55057.687499999993</v>
      </c>
      <c r="L22" s="585" t="s">
        <v>3246</v>
      </c>
      <c r="M22" s="99"/>
    </row>
    <row r="23" spans="1:13" x14ac:dyDescent="0.25">
      <c r="A23" s="101">
        <v>14</v>
      </c>
      <c r="B23" s="101">
        <v>88912</v>
      </c>
      <c r="C23" s="102">
        <v>42026</v>
      </c>
      <c r="D23" s="103" t="s">
        <v>403</v>
      </c>
      <c r="E23" s="101" t="s">
        <v>386</v>
      </c>
      <c r="F23" s="103" t="s">
        <v>115</v>
      </c>
      <c r="G23" s="104"/>
      <c r="H23" s="98" t="s">
        <v>442</v>
      </c>
      <c r="I23" s="105">
        <v>1</v>
      </c>
      <c r="J23" s="86">
        <f>IF(F23="","",VLOOKUP(F23,ARANCEL!$E$2:$F$123,2,FALSE))</f>
        <v>5274.3600000000006</v>
      </c>
      <c r="K23" s="100">
        <f t="shared" si="0"/>
        <v>5274.3600000000006</v>
      </c>
      <c r="L23" s="585" t="s">
        <v>3246</v>
      </c>
      <c r="M23" s="99"/>
    </row>
    <row r="24" spans="1:13" x14ac:dyDescent="0.25">
      <c r="A24" s="101">
        <v>15</v>
      </c>
      <c r="B24" s="101">
        <v>89336</v>
      </c>
      <c r="C24" s="102">
        <v>42023</v>
      </c>
      <c r="D24" s="103" t="s">
        <v>3059</v>
      </c>
      <c r="E24" s="101" t="s">
        <v>475</v>
      </c>
      <c r="F24" s="103" t="s">
        <v>115</v>
      </c>
      <c r="G24" s="104"/>
      <c r="H24" s="98" t="s">
        <v>809</v>
      </c>
      <c r="I24" s="105">
        <v>3</v>
      </c>
      <c r="J24" s="86">
        <f>IF(F24="","",VLOOKUP(F24,ARANCEL!$E$2:$F$123,2,FALSE))</f>
        <v>5274.3600000000006</v>
      </c>
      <c r="K24" s="100">
        <f t="shared" si="0"/>
        <v>15823.080000000002</v>
      </c>
      <c r="L24" s="585" t="s">
        <v>3246</v>
      </c>
      <c r="M24" s="99"/>
    </row>
    <row r="25" spans="1:13" x14ac:dyDescent="0.25">
      <c r="A25" s="101">
        <v>16</v>
      </c>
      <c r="B25" s="101">
        <v>89820</v>
      </c>
      <c r="C25" s="102">
        <v>42024</v>
      </c>
      <c r="D25" s="103" t="s">
        <v>3152</v>
      </c>
      <c r="E25" s="101" t="s">
        <v>378</v>
      </c>
      <c r="F25" s="103" t="s">
        <v>115</v>
      </c>
      <c r="G25" s="104"/>
      <c r="H25" s="98" t="s">
        <v>439</v>
      </c>
      <c r="I25" s="105">
        <v>1</v>
      </c>
      <c r="J25" s="86">
        <f>IF(F25="","",VLOOKUP(F25,ARANCEL!$E$2:$F$123,2,FALSE))</f>
        <v>5274.3600000000006</v>
      </c>
      <c r="K25" s="100">
        <f t="shared" si="0"/>
        <v>5274.3600000000006</v>
      </c>
      <c r="L25" s="585" t="s">
        <v>3246</v>
      </c>
      <c r="M25" s="99"/>
    </row>
    <row r="26" spans="1:13" x14ac:dyDescent="0.25">
      <c r="A26" s="101">
        <v>17</v>
      </c>
      <c r="B26" s="101">
        <v>89820</v>
      </c>
      <c r="C26" s="102">
        <v>42024</v>
      </c>
      <c r="D26" s="103" t="s">
        <v>3152</v>
      </c>
      <c r="E26" s="101" t="s">
        <v>378</v>
      </c>
      <c r="F26" s="103" t="s">
        <v>208</v>
      </c>
      <c r="G26" s="104"/>
      <c r="H26" s="98" t="s">
        <v>439</v>
      </c>
      <c r="I26" s="105">
        <v>1</v>
      </c>
      <c r="J26" s="86">
        <f>IF(F26="","",VLOOKUP(F26,ARANCEL!$E$2:$F$123,2,FALSE))</f>
        <v>14098.999999999998</v>
      </c>
      <c r="K26" s="100">
        <f t="shared" si="0"/>
        <v>14098.999999999998</v>
      </c>
      <c r="L26" s="585" t="s">
        <v>3246</v>
      </c>
      <c r="M26" s="99"/>
    </row>
    <row r="27" spans="1:13" x14ac:dyDescent="0.25">
      <c r="A27" s="101">
        <v>18</v>
      </c>
      <c r="B27" s="101">
        <v>90325</v>
      </c>
      <c r="C27" s="102">
        <v>42025</v>
      </c>
      <c r="D27" s="103" t="s">
        <v>3153</v>
      </c>
      <c r="E27" s="101" t="s">
        <v>378</v>
      </c>
      <c r="F27" s="103" t="s">
        <v>534</v>
      </c>
      <c r="G27" s="104"/>
      <c r="H27" s="98" t="s">
        <v>524</v>
      </c>
      <c r="I27" s="105">
        <v>1</v>
      </c>
      <c r="J27" s="86">
        <f>IF(F27="","",VLOOKUP(F27,ARANCEL!$E$2:$F$123,2,FALSE))</f>
        <v>30428.999999999996</v>
      </c>
      <c r="K27" s="100">
        <f t="shared" si="0"/>
        <v>30428.999999999996</v>
      </c>
      <c r="L27" s="585" t="s">
        <v>3246</v>
      </c>
      <c r="M27" s="99"/>
    </row>
    <row r="28" spans="1:13" x14ac:dyDescent="0.25">
      <c r="A28" s="101">
        <v>19</v>
      </c>
      <c r="B28" s="101">
        <v>90138</v>
      </c>
      <c r="C28" s="102">
        <v>42024</v>
      </c>
      <c r="D28" s="103" t="s">
        <v>3154</v>
      </c>
      <c r="E28" s="101" t="s">
        <v>475</v>
      </c>
      <c r="F28" s="103" t="s">
        <v>115</v>
      </c>
      <c r="G28" s="104"/>
      <c r="H28" s="98" t="s">
        <v>1780</v>
      </c>
      <c r="I28" s="105">
        <v>3</v>
      </c>
      <c r="J28" s="86">
        <f>IF(F28="","",VLOOKUP(F28,ARANCEL!$E$2:$F$123,2,FALSE))</f>
        <v>5274.3600000000006</v>
      </c>
      <c r="K28" s="100">
        <f t="shared" si="0"/>
        <v>15823.080000000002</v>
      </c>
      <c r="L28" s="585" t="s">
        <v>3246</v>
      </c>
      <c r="M28" s="99"/>
    </row>
    <row r="29" spans="1:13" x14ac:dyDescent="0.25">
      <c r="A29" s="101">
        <v>20</v>
      </c>
      <c r="B29" s="101">
        <v>90969</v>
      </c>
      <c r="C29" s="102">
        <v>42026</v>
      </c>
      <c r="D29" s="103" t="s">
        <v>3176</v>
      </c>
      <c r="E29" s="101" t="s">
        <v>386</v>
      </c>
      <c r="F29" s="103" t="s">
        <v>534</v>
      </c>
      <c r="G29" s="104"/>
      <c r="H29" s="98" t="s">
        <v>559</v>
      </c>
      <c r="I29" s="105">
        <v>1</v>
      </c>
      <c r="J29" s="86">
        <f>IF(F29="","",VLOOKUP(F29,ARANCEL!$E$2:$F$123,2,FALSE))</f>
        <v>30428.999999999996</v>
      </c>
      <c r="K29" s="100">
        <f t="shared" si="0"/>
        <v>30428.999999999996</v>
      </c>
      <c r="L29" s="585" t="s">
        <v>3246</v>
      </c>
      <c r="M29" s="99"/>
    </row>
    <row r="30" spans="1:13" x14ac:dyDescent="0.25">
      <c r="A30" s="101">
        <v>21</v>
      </c>
      <c r="B30" s="101">
        <v>90931</v>
      </c>
      <c r="C30" s="102">
        <v>42026</v>
      </c>
      <c r="D30" s="103" t="s">
        <v>3176</v>
      </c>
      <c r="E30" s="101" t="s">
        <v>386</v>
      </c>
      <c r="F30" s="103" t="s">
        <v>115</v>
      </c>
      <c r="G30" s="104"/>
      <c r="H30" s="98" t="s">
        <v>1877</v>
      </c>
      <c r="I30" s="105">
        <v>4</v>
      </c>
      <c r="J30" s="86">
        <f>IF(F30="","",VLOOKUP(F30,ARANCEL!$E$2:$F$123,2,FALSE))</f>
        <v>5274.3600000000006</v>
      </c>
      <c r="K30" s="100">
        <f t="shared" si="0"/>
        <v>21097.440000000002</v>
      </c>
      <c r="L30" s="585" t="s">
        <v>3246</v>
      </c>
      <c r="M30" s="99"/>
    </row>
    <row r="31" spans="1:13" x14ac:dyDescent="0.25">
      <c r="A31" s="101">
        <v>22</v>
      </c>
      <c r="B31" s="101">
        <v>90410</v>
      </c>
      <c r="C31" s="102">
        <v>42026</v>
      </c>
      <c r="D31" s="103" t="s">
        <v>3178</v>
      </c>
      <c r="E31" s="101" t="s">
        <v>378</v>
      </c>
      <c r="F31" s="103" t="s">
        <v>115</v>
      </c>
      <c r="G31" s="104"/>
      <c r="H31" s="98" t="s">
        <v>809</v>
      </c>
      <c r="I31" s="105">
        <v>3</v>
      </c>
      <c r="J31" s="86">
        <f>IF(F31="","",VLOOKUP(F31,ARANCEL!$E$2:$F$123,2,FALSE))</f>
        <v>5274.3600000000006</v>
      </c>
      <c r="K31" s="100">
        <f t="shared" ref="K31:K34" si="1">IF(I31=0,"",J31*I31)</f>
        <v>15823.080000000002</v>
      </c>
      <c r="L31" s="585" t="s">
        <v>3246</v>
      </c>
      <c r="M31" s="99"/>
    </row>
    <row r="32" spans="1:13" x14ac:dyDescent="0.25">
      <c r="A32" s="101">
        <v>24</v>
      </c>
      <c r="B32" s="101">
        <v>90698</v>
      </c>
      <c r="C32" s="102">
        <v>42025</v>
      </c>
      <c r="D32" s="103" t="s">
        <v>897</v>
      </c>
      <c r="E32" s="101" t="s">
        <v>378</v>
      </c>
      <c r="F32" s="103" t="s">
        <v>114</v>
      </c>
      <c r="G32" s="104"/>
      <c r="H32" s="98" t="s">
        <v>416</v>
      </c>
      <c r="I32" s="105">
        <v>1</v>
      </c>
      <c r="J32" s="86">
        <f>IF(F32="","",VLOOKUP(F32,ARANCEL!$E$2:$F$123,2,FALSE))</f>
        <v>33370.239999999998</v>
      </c>
      <c r="K32" s="100">
        <f t="shared" si="1"/>
        <v>33370.239999999998</v>
      </c>
      <c r="L32" s="585" t="s">
        <v>3246</v>
      </c>
      <c r="M32" s="99"/>
    </row>
    <row r="33" spans="1:13" x14ac:dyDescent="0.25">
      <c r="A33" s="101">
        <v>25</v>
      </c>
      <c r="B33" s="101">
        <v>90712</v>
      </c>
      <c r="C33" s="102">
        <v>42026</v>
      </c>
      <c r="D33" s="103" t="s">
        <v>3180</v>
      </c>
      <c r="E33" s="101" t="s">
        <v>378</v>
      </c>
      <c r="F33" s="91" t="s">
        <v>215</v>
      </c>
      <c r="G33" s="104"/>
      <c r="H33" s="98" t="s">
        <v>368</v>
      </c>
      <c r="I33" s="105">
        <v>1</v>
      </c>
      <c r="J33" s="86">
        <f>IF(F33="","",VLOOKUP(F33,ARANCEL!$E$2:$F$123,2,FALSE))</f>
        <v>44597.287499999999</v>
      </c>
      <c r="K33" s="100">
        <f t="shared" si="1"/>
        <v>44597.287499999999</v>
      </c>
      <c r="L33" s="585" t="s">
        <v>3246</v>
      </c>
      <c r="M33" s="99"/>
    </row>
    <row r="34" spans="1:13" x14ac:dyDescent="0.25">
      <c r="A34" s="101">
        <v>26</v>
      </c>
      <c r="B34" s="101">
        <v>91145</v>
      </c>
      <c r="C34" s="102">
        <v>42026</v>
      </c>
      <c r="D34" s="103" t="s">
        <v>632</v>
      </c>
      <c r="E34" s="101" t="s">
        <v>378</v>
      </c>
      <c r="F34" s="91" t="s">
        <v>215</v>
      </c>
      <c r="G34" s="104"/>
      <c r="H34" s="98" t="s">
        <v>368</v>
      </c>
      <c r="I34" s="105">
        <v>1</v>
      </c>
      <c r="J34" s="86">
        <f>IF(F34="","",VLOOKUP(F34,ARANCEL!$E$2:$F$123,2,FALSE))</f>
        <v>44597.287499999999</v>
      </c>
      <c r="K34" s="100">
        <f t="shared" si="1"/>
        <v>44597.287499999999</v>
      </c>
      <c r="L34" s="585" t="s">
        <v>3246</v>
      </c>
      <c r="M34" s="99"/>
    </row>
    <row r="35" spans="1:13" x14ac:dyDescent="0.25">
      <c r="A35" s="101">
        <v>25</v>
      </c>
      <c r="B35" s="101">
        <v>91145</v>
      </c>
      <c r="C35" s="102">
        <v>42026</v>
      </c>
      <c r="D35" s="103" t="s">
        <v>632</v>
      </c>
      <c r="E35" s="101" t="s">
        <v>378</v>
      </c>
      <c r="F35" s="103" t="s">
        <v>3181</v>
      </c>
      <c r="G35" s="104"/>
      <c r="H35" s="98" t="s">
        <v>368</v>
      </c>
      <c r="I35" s="105">
        <v>1</v>
      </c>
      <c r="J35" s="86">
        <v>111520</v>
      </c>
      <c r="K35" s="100">
        <f t="shared" ref="K35:K44" si="2">IF(I35=0,"",J35*I35)</f>
        <v>111520</v>
      </c>
      <c r="L35" s="585" t="s">
        <v>3246</v>
      </c>
      <c r="M35" s="99"/>
    </row>
    <row r="36" spans="1:13" x14ac:dyDescent="0.25">
      <c r="A36" s="101">
        <v>26</v>
      </c>
      <c r="B36" s="101">
        <v>91122</v>
      </c>
      <c r="C36" s="102">
        <v>42026</v>
      </c>
      <c r="D36" s="103" t="s">
        <v>3060</v>
      </c>
      <c r="E36" s="101" t="s">
        <v>378</v>
      </c>
      <c r="F36" s="91" t="s">
        <v>215</v>
      </c>
      <c r="G36" s="104"/>
      <c r="H36" s="98" t="s">
        <v>368</v>
      </c>
      <c r="I36" s="105">
        <v>1</v>
      </c>
      <c r="J36" s="86">
        <f>IF(F36="","",VLOOKUP(F36,ARANCEL!$E$2:$F$123,2,FALSE))</f>
        <v>44597.287499999999</v>
      </c>
      <c r="K36" s="100">
        <f t="shared" si="2"/>
        <v>44597.287499999999</v>
      </c>
      <c r="L36" s="585" t="s">
        <v>3246</v>
      </c>
      <c r="M36" s="99"/>
    </row>
    <row r="37" spans="1:13" x14ac:dyDescent="0.25">
      <c r="A37" s="101">
        <v>27</v>
      </c>
      <c r="B37" s="101">
        <v>92473</v>
      </c>
      <c r="C37" s="102">
        <v>42031</v>
      </c>
      <c r="D37" s="103" t="s">
        <v>3216</v>
      </c>
      <c r="E37" s="101" t="s">
        <v>475</v>
      </c>
      <c r="F37" s="103" t="s">
        <v>217</v>
      </c>
      <c r="G37" s="104"/>
      <c r="H37" s="98" t="s">
        <v>368</v>
      </c>
      <c r="I37" s="105">
        <v>1</v>
      </c>
      <c r="J37" s="86">
        <f>IF(F37="","",VLOOKUP(F37,ARANCEL!$E$2:$F$123,2,FALSE))</f>
        <v>22299.074999999997</v>
      </c>
      <c r="K37" s="100">
        <f t="shared" si="2"/>
        <v>22299.074999999997</v>
      </c>
      <c r="L37" s="585" t="s">
        <v>3246</v>
      </c>
      <c r="M37" s="99" t="s">
        <v>3217</v>
      </c>
    </row>
    <row r="38" spans="1:13" x14ac:dyDescent="0.25">
      <c r="A38" s="101">
        <v>28</v>
      </c>
      <c r="B38" s="101">
        <v>92462</v>
      </c>
      <c r="C38" s="102">
        <v>42031</v>
      </c>
      <c r="D38" s="103" t="s">
        <v>3061</v>
      </c>
      <c r="E38" s="101" t="s">
        <v>378</v>
      </c>
      <c r="F38" s="103" t="s">
        <v>190</v>
      </c>
      <c r="G38" s="104"/>
      <c r="H38" s="98" t="s">
        <v>531</v>
      </c>
      <c r="I38" s="105">
        <v>1</v>
      </c>
      <c r="J38" s="86">
        <f>IF(F38="","",VLOOKUP(F38,ARANCEL!$E$2:$F$123,2,FALSE))</f>
        <v>57959.999999999993</v>
      </c>
      <c r="K38" s="100">
        <f t="shared" si="2"/>
        <v>57959.999999999993</v>
      </c>
      <c r="L38" s="585" t="s">
        <v>3246</v>
      </c>
      <c r="M38" s="99"/>
    </row>
    <row r="39" spans="1:13" x14ac:dyDescent="0.25">
      <c r="A39" s="101">
        <v>29</v>
      </c>
      <c r="B39" s="101">
        <v>91744</v>
      </c>
      <c r="C39" s="102">
        <v>42027</v>
      </c>
      <c r="D39" s="103" t="s">
        <v>3218</v>
      </c>
      <c r="E39" s="101" t="s">
        <v>373</v>
      </c>
      <c r="F39" s="103" t="s">
        <v>115</v>
      </c>
      <c r="G39" s="104"/>
      <c r="H39" s="98" t="s">
        <v>1299</v>
      </c>
      <c r="I39" s="105">
        <v>3</v>
      </c>
      <c r="J39" s="86">
        <f>IF(F39="","",VLOOKUP(F39,ARANCEL!$E$2:$F$123,2,FALSE))</f>
        <v>5274.3600000000006</v>
      </c>
      <c r="K39" s="100">
        <f t="shared" si="2"/>
        <v>15823.080000000002</v>
      </c>
      <c r="L39" s="585" t="s">
        <v>3246</v>
      </c>
      <c r="M39" s="99"/>
    </row>
    <row r="40" spans="1:13" ht="24.75" customHeight="1" collapsed="1" x14ac:dyDescent="0.25">
      <c r="A40" s="80" t="s">
        <v>96</v>
      </c>
      <c r="B40" s="80" t="s">
        <v>97</v>
      </c>
      <c r="C40" s="81" t="s">
        <v>101</v>
      </c>
      <c r="D40" s="80" t="s">
        <v>98</v>
      </c>
      <c r="E40" s="80" t="s">
        <v>99</v>
      </c>
      <c r="F40" s="80" t="s">
        <v>100</v>
      </c>
      <c r="G40" s="80" t="s">
        <v>103</v>
      </c>
      <c r="H40" s="80" t="s">
        <v>102</v>
      </c>
      <c r="I40" s="80" t="s">
        <v>107</v>
      </c>
      <c r="J40" s="81" t="s">
        <v>104</v>
      </c>
      <c r="K40" s="81" t="s">
        <v>105</v>
      </c>
      <c r="L40" s="82" t="s">
        <v>166</v>
      </c>
      <c r="M40" s="82" t="s">
        <v>106</v>
      </c>
    </row>
    <row r="41" spans="1:13" x14ac:dyDescent="0.25">
      <c r="A41" s="101">
        <v>30</v>
      </c>
      <c r="B41" s="101"/>
      <c r="C41" s="102"/>
      <c r="D41" s="103"/>
      <c r="E41" s="101"/>
      <c r="F41" s="103"/>
      <c r="G41" s="104"/>
      <c r="H41" s="98"/>
      <c r="I41" s="105"/>
      <c r="J41" s="86" t="str">
        <f>IF(F41="","",VLOOKUP(F41,ARANCEL!$E$2:$F$123,2,FALSE))</f>
        <v/>
      </c>
      <c r="K41" s="100" t="str">
        <f t="shared" si="2"/>
        <v/>
      </c>
      <c r="L41" s="98"/>
      <c r="M41" s="99"/>
    </row>
    <row r="42" spans="1:13" x14ac:dyDescent="0.25">
      <c r="A42" s="101">
        <v>31</v>
      </c>
      <c r="B42" s="101"/>
      <c r="C42" s="102"/>
      <c r="D42" s="103"/>
      <c r="E42" s="101"/>
      <c r="F42" s="103"/>
      <c r="G42" s="104"/>
      <c r="H42" s="98"/>
      <c r="I42" s="105"/>
      <c r="J42" s="86" t="str">
        <f>IF(F42="","",VLOOKUP(F42,ARANCEL!$E$2:$F$123,2,FALSE))</f>
        <v/>
      </c>
      <c r="K42" s="100" t="str">
        <f t="shared" si="2"/>
        <v/>
      </c>
      <c r="L42" s="98"/>
      <c r="M42" s="99"/>
    </row>
    <row r="43" spans="1:13" x14ac:dyDescent="0.25">
      <c r="A43" s="101">
        <v>32</v>
      </c>
      <c r="B43" s="101"/>
      <c r="C43" s="102"/>
      <c r="D43" s="103"/>
      <c r="E43" s="101"/>
      <c r="F43" s="103"/>
      <c r="G43" s="104"/>
      <c r="H43" s="98"/>
      <c r="I43" s="105"/>
      <c r="J43" s="86" t="str">
        <f>IF(F43="","",VLOOKUP(F43,ARANCEL!$E$2:$F$123,2,FALSE))</f>
        <v/>
      </c>
      <c r="K43" s="100" t="str">
        <f t="shared" si="2"/>
        <v/>
      </c>
      <c r="L43" s="98"/>
      <c r="M43" s="99"/>
    </row>
    <row r="44" spans="1:13" x14ac:dyDescent="0.25">
      <c r="A44" s="101">
        <v>33</v>
      </c>
      <c r="B44" s="101"/>
      <c r="C44" s="102"/>
      <c r="D44" s="103"/>
      <c r="E44" s="101"/>
      <c r="F44" s="103"/>
      <c r="G44" s="104"/>
      <c r="H44" s="98"/>
      <c r="I44" s="105"/>
      <c r="J44" s="86" t="str">
        <f>IF(F44="","",VLOOKUP(F44,ARANCEL!$E$2:$F$123,2,FALSE))</f>
        <v/>
      </c>
      <c r="K44" s="100" t="str">
        <f t="shared" si="2"/>
        <v/>
      </c>
      <c r="L44" s="98"/>
      <c r="M44" s="99"/>
    </row>
    <row r="45" spans="1:13" x14ac:dyDescent="0.25">
      <c r="A45" s="101">
        <v>34</v>
      </c>
      <c r="B45" s="101"/>
      <c r="C45" s="102"/>
      <c r="D45" s="103"/>
      <c r="E45" s="101"/>
      <c r="F45" s="103"/>
      <c r="G45" s="104"/>
      <c r="H45" s="98"/>
      <c r="I45" s="105"/>
      <c r="J45" s="86" t="str">
        <f>IF(F45="","",VLOOKUP(F45,ARANCEL!$E$2:$F$123,2,FALSE))</f>
        <v/>
      </c>
      <c r="K45" s="100" t="str">
        <f t="shared" ref="K45" si="3">IF(I45=0,"",J45*I45)</f>
        <v/>
      </c>
      <c r="L45" s="98"/>
      <c r="M45" s="99"/>
    </row>
    <row r="46" spans="1:13" x14ac:dyDescent="0.25">
      <c r="A46" s="101">
        <v>35</v>
      </c>
      <c r="B46" s="101"/>
      <c r="C46" s="102"/>
      <c r="D46" s="103"/>
      <c r="E46" s="101"/>
      <c r="F46" s="103"/>
      <c r="G46" s="104"/>
      <c r="H46" s="98"/>
      <c r="I46" s="105"/>
      <c r="J46" s="86" t="str">
        <f>IF(F46="","",VLOOKUP(F46,ARANCEL!$E$2:$F$123,2,FALSE))</f>
        <v/>
      </c>
      <c r="K46" s="100" t="str">
        <f t="shared" ref="K46" si="4">IF(I46=0,"",J46*I46)</f>
        <v/>
      </c>
      <c r="L46" s="98"/>
      <c r="M46" s="99"/>
    </row>
    <row r="49" spans="1:13" ht="20.25" customHeight="1" x14ac:dyDescent="0.25">
      <c r="A49" s="614" t="s">
        <v>363</v>
      </c>
      <c r="B49" s="614"/>
      <c r="C49" s="614"/>
      <c r="D49" s="614"/>
      <c r="E49" s="614"/>
      <c r="F49" s="614"/>
      <c r="G49" s="614"/>
      <c r="H49" s="614"/>
      <c r="I49" s="614"/>
      <c r="J49" s="614"/>
      <c r="K49" s="614"/>
    </row>
    <row r="50" spans="1:13" ht="24" x14ac:dyDescent="0.25">
      <c r="A50" s="88" t="s">
        <v>96</v>
      </c>
      <c r="B50" s="88" t="s">
        <v>97</v>
      </c>
      <c r="C50" s="89" t="s">
        <v>101</v>
      </c>
      <c r="D50" s="88" t="s">
        <v>98</v>
      </c>
      <c r="E50" s="88" t="s">
        <v>99</v>
      </c>
      <c r="F50" s="88" t="s">
        <v>100</v>
      </c>
      <c r="G50" s="88" t="s">
        <v>103</v>
      </c>
      <c r="H50" s="88" t="s">
        <v>102</v>
      </c>
      <c r="I50" s="88" t="s">
        <v>107</v>
      </c>
      <c r="J50" s="89" t="s">
        <v>104</v>
      </c>
      <c r="K50" s="89" t="s">
        <v>105</v>
      </c>
      <c r="L50" s="89" t="s">
        <v>166</v>
      </c>
      <c r="M50" s="89" t="s">
        <v>106</v>
      </c>
    </row>
    <row r="51" spans="1:13" x14ac:dyDescent="0.25">
      <c r="A51" s="108"/>
      <c r="B51" s="114" t="s">
        <v>371</v>
      </c>
      <c r="C51" s="109">
        <v>41807</v>
      </c>
      <c r="D51" s="115" t="s">
        <v>372</v>
      </c>
      <c r="E51" s="114" t="s">
        <v>373</v>
      </c>
      <c r="F51" s="115" t="s">
        <v>374</v>
      </c>
      <c r="G51" s="110" t="s">
        <v>368</v>
      </c>
      <c r="H51" s="575" t="s">
        <v>368</v>
      </c>
      <c r="I51" s="112">
        <v>1</v>
      </c>
      <c r="J51" s="116"/>
      <c r="K51" s="117"/>
      <c r="L51" s="111"/>
      <c r="M51" s="92"/>
    </row>
    <row r="52" spans="1:13" ht="24" x14ac:dyDescent="0.25">
      <c r="A52" s="113"/>
      <c r="B52" s="114">
        <v>33393</v>
      </c>
      <c r="C52" s="109">
        <v>41828</v>
      </c>
      <c r="D52" s="115" t="s">
        <v>375</v>
      </c>
      <c r="E52" s="114" t="s">
        <v>373</v>
      </c>
      <c r="F52" s="115" t="s">
        <v>374</v>
      </c>
      <c r="G52" s="110" t="s">
        <v>368</v>
      </c>
      <c r="H52" s="575" t="s">
        <v>368</v>
      </c>
      <c r="I52" s="112">
        <v>1</v>
      </c>
      <c r="J52" s="116"/>
      <c r="K52" s="117"/>
      <c r="L52" s="113"/>
      <c r="M52" s="118" t="s">
        <v>433</v>
      </c>
    </row>
    <row r="53" spans="1:13" x14ac:dyDescent="0.25">
      <c r="A53" s="113"/>
      <c r="B53" s="114" t="s">
        <v>376</v>
      </c>
      <c r="C53" s="109">
        <v>41928</v>
      </c>
      <c r="D53" s="115" t="s">
        <v>377</v>
      </c>
      <c r="E53" s="114" t="s">
        <v>378</v>
      </c>
      <c r="F53" s="115" t="s">
        <v>379</v>
      </c>
      <c r="G53" s="110" t="s">
        <v>380</v>
      </c>
      <c r="H53" s="575" t="s">
        <v>380</v>
      </c>
      <c r="I53" s="112">
        <v>1</v>
      </c>
      <c r="J53" s="116"/>
      <c r="K53" s="117"/>
      <c r="L53" s="113"/>
      <c r="M53" s="13"/>
    </row>
    <row r="54" spans="1:13" x14ac:dyDescent="0.25">
      <c r="A54" s="113"/>
      <c r="B54" s="114" t="s">
        <v>381</v>
      </c>
      <c r="C54" s="109">
        <v>41929</v>
      </c>
      <c r="D54" s="115" t="s">
        <v>382</v>
      </c>
      <c r="E54" s="114" t="s">
        <v>378</v>
      </c>
      <c r="F54" s="115" t="s">
        <v>383</v>
      </c>
      <c r="G54" s="110" t="s">
        <v>384</v>
      </c>
      <c r="H54" s="575" t="s">
        <v>384</v>
      </c>
      <c r="I54" s="112">
        <v>2</v>
      </c>
      <c r="J54" s="116"/>
      <c r="K54" s="117"/>
      <c r="L54" s="113"/>
      <c r="M54" s="13"/>
    </row>
    <row r="55" spans="1:13" x14ac:dyDescent="0.25">
      <c r="A55" s="113"/>
      <c r="B55" s="114">
        <v>52789</v>
      </c>
      <c r="C55" s="109">
        <v>41922</v>
      </c>
      <c r="D55" s="115" t="s">
        <v>385</v>
      </c>
      <c r="E55" s="114" t="s">
        <v>386</v>
      </c>
      <c r="F55" s="115" t="s">
        <v>383</v>
      </c>
      <c r="G55" s="110" t="s">
        <v>366</v>
      </c>
      <c r="H55" s="575" t="s">
        <v>366</v>
      </c>
      <c r="I55" s="112">
        <v>1</v>
      </c>
      <c r="J55" s="116"/>
      <c r="K55" s="117"/>
      <c r="L55" s="113"/>
      <c r="M55" s="13"/>
    </row>
    <row r="56" spans="1:13" x14ac:dyDescent="0.25">
      <c r="A56" s="113"/>
      <c r="B56" s="114" t="s">
        <v>387</v>
      </c>
      <c r="C56" s="109">
        <v>41928</v>
      </c>
      <c r="D56" s="115" t="s">
        <v>388</v>
      </c>
      <c r="E56" s="114" t="s">
        <v>378</v>
      </c>
      <c r="F56" s="115" t="s">
        <v>379</v>
      </c>
      <c r="G56" s="110" t="s">
        <v>389</v>
      </c>
      <c r="H56" s="575" t="s">
        <v>389</v>
      </c>
      <c r="I56" s="112">
        <v>1</v>
      </c>
      <c r="J56" s="116"/>
      <c r="K56" s="117"/>
      <c r="L56" s="113"/>
      <c r="M56" s="13"/>
    </row>
    <row r="57" spans="1:13" x14ac:dyDescent="0.25">
      <c r="A57" s="113"/>
      <c r="B57" s="114">
        <v>54888</v>
      </c>
      <c r="C57" s="109">
        <v>41928</v>
      </c>
      <c r="D57" s="115" t="s">
        <v>390</v>
      </c>
      <c r="E57" s="114" t="s">
        <v>378</v>
      </c>
      <c r="F57" s="115" t="s">
        <v>374</v>
      </c>
      <c r="G57" s="110" t="s">
        <v>366</v>
      </c>
      <c r="H57" s="575" t="s">
        <v>366</v>
      </c>
      <c r="I57" s="112">
        <v>1</v>
      </c>
      <c r="J57" s="116"/>
      <c r="K57" s="117"/>
      <c r="L57" s="113"/>
      <c r="M57" s="13"/>
    </row>
    <row r="58" spans="1:13" x14ac:dyDescent="0.25">
      <c r="A58" s="113"/>
      <c r="B58" s="114">
        <v>92230</v>
      </c>
      <c r="C58" s="109">
        <v>42031</v>
      </c>
      <c r="D58" s="115" t="s">
        <v>390</v>
      </c>
      <c r="E58" s="114" t="s">
        <v>378</v>
      </c>
      <c r="F58" s="115" t="s">
        <v>374</v>
      </c>
      <c r="G58" s="110" t="s">
        <v>366</v>
      </c>
      <c r="H58" s="575" t="s">
        <v>368</v>
      </c>
      <c r="I58" s="112">
        <v>1</v>
      </c>
      <c r="J58" s="116"/>
      <c r="K58" s="117"/>
      <c r="L58" s="113"/>
      <c r="M58" s="13"/>
    </row>
    <row r="59" spans="1:13" x14ac:dyDescent="0.25">
      <c r="A59" s="113"/>
      <c r="B59" s="114">
        <v>55496</v>
      </c>
      <c r="C59" s="109">
        <v>41929</v>
      </c>
      <c r="D59" s="115" t="s">
        <v>391</v>
      </c>
      <c r="E59" s="114" t="s">
        <v>373</v>
      </c>
      <c r="F59" s="115" t="s">
        <v>374</v>
      </c>
      <c r="G59" s="110" t="s">
        <v>368</v>
      </c>
      <c r="H59" s="575" t="s">
        <v>368</v>
      </c>
      <c r="I59" s="112">
        <v>1</v>
      </c>
      <c r="J59" s="116"/>
      <c r="K59" s="117"/>
      <c r="L59" s="113"/>
      <c r="M59" s="13"/>
    </row>
    <row r="60" spans="1:13" x14ac:dyDescent="0.25">
      <c r="A60" s="113"/>
      <c r="B60" s="114">
        <v>64810</v>
      </c>
      <c r="C60" s="109">
        <v>41960</v>
      </c>
      <c r="D60" s="115" t="s">
        <v>392</v>
      </c>
      <c r="E60" s="114" t="s">
        <v>393</v>
      </c>
      <c r="F60" s="115" t="s">
        <v>374</v>
      </c>
      <c r="G60" s="110" t="s">
        <v>366</v>
      </c>
      <c r="H60" s="575" t="s">
        <v>366</v>
      </c>
      <c r="I60" s="112">
        <v>1</v>
      </c>
      <c r="J60" s="116"/>
      <c r="K60" s="117"/>
      <c r="L60" s="113"/>
      <c r="M60" s="13"/>
    </row>
    <row r="61" spans="1:13" x14ac:dyDescent="0.25">
      <c r="A61" s="113"/>
      <c r="B61" s="114">
        <v>64810</v>
      </c>
      <c r="C61" s="109">
        <v>41960</v>
      </c>
      <c r="D61" s="115" t="s">
        <v>392</v>
      </c>
      <c r="E61" s="114" t="s">
        <v>393</v>
      </c>
      <c r="F61" s="115" t="s">
        <v>394</v>
      </c>
      <c r="G61" s="110" t="s">
        <v>368</v>
      </c>
      <c r="H61" s="575" t="s">
        <v>368</v>
      </c>
      <c r="I61" s="112">
        <v>1</v>
      </c>
      <c r="J61" s="116"/>
      <c r="K61" s="117"/>
      <c r="L61" s="113"/>
      <c r="M61" s="13"/>
    </row>
    <row r="62" spans="1:13" x14ac:dyDescent="0.25">
      <c r="A62" s="113"/>
      <c r="B62" s="114">
        <v>67060</v>
      </c>
      <c r="C62" s="109">
        <v>41963</v>
      </c>
      <c r="D62" s="115" t="s">
        <v>395</v>
      </c>
      <c r="E62" s="114" t="s">
        <v>378</v>
      </c>
      <c r="F62" s="115" t="s">
        <v>396</v>
      </c>
      <c r="G62" s="110" t="s">
        <v>397</v>
      </c>
      <c r="H62" s="575" t="s">
        <v>397</v>
      </c>
      <c r="I62" s="112">
        <v>2</v>
      </c>
      <c r="J62" s="116"/>
      <c r="K62" s="117"/>
      <c r="L62" s="113"/>
      <c r="M62" s="13"/>
    </row>
    <row r="63" spans="1:13" x14ac:dyDescent="0.25">
      <c r="A63" s="113"/>
      <c r="B63" s="114">
        <v>72696</v>
      </c>
      <c r="C63" s="109">
        <v>41977</v>
      </c>
      <c r="D63" s="115" t="s">
        <v>398</v>
      </c>
      <c r="E63" s="114" t="s">
        <v>378</v>
      </c>
      <c r="F63" s="115" t="s">
        <v>396</v>
      </c>
      <c r="G63" s="110" t="s">
        <v>399</v>
      </c>
      <c r="H63" s="575" t="s">
        <v>399</v>
      </c>
      <c r="I63" s="112">
        <v>2</v>
      </c>
      <c r="J63" s="116"/>
      <c r="K63" s="117"/>
      <c r="L63" s="113"/>
      <c r="M63" s="13"/>
    </row>
    <row r="64" spans="1:13" x14ac:dyDescent="0.25">
      <c r="A64" s="113"/>
      <c r="B64" s="114">
        <v>88096</v>
      </c>
      <c r="C64" s="109">
        <v>42019</v>
      </c>
      <c r="D64" s="115" t="s">
        <v>3054</v>
      </c>
      <c r="E64" s="114" t="s">
        <v>378</v>
      </c>
      <c r="F64" s="115" t="s">
        <v>3055</v>
      </c>
      <c r="G64" s="110"/>
      <c r="H64" s="575" t="s">
        <v>368</v>
      </c>
      <c r="I64" s="112">
        <v>1</v>
      </c>
      <c r="J64" s="116"/>
      <c r="K64" s="117"/>
      <c r="L64" s="113"/>
      <c r="M64" s="13"/>
    </row>
    <row r="65" spans="1:13" x14ac:dyDescent="0.25">
      <c r="A65" s="113"/>
      <c r="B65" s="114">
        <v>90992</v>
      </c>
      <c r="C65" s="109">
        <v>42026</v>
      </c>
      <c r="D65" s="115" t="s">
        <v>3175</v>
      </c>
      <c r="E65" s="114" t="s">
        <v>378</v>
      </c>
      <c r="F65" s="115" t="s">
        <v>396</v>
      </c>
      <c r="G65" s="110"/>
      <c r="H65" s="575" t="s">
        <v>401</v>
      </c>
      <c r="I65" s="112">
        <v>1</v>
      </c>
      <c r="J65" s="116"/>
      <c r="K65" s="117"/>
      <c r="L65" s="113"/>
      <c r="M65" s="13"/>
    </row>
    <row r="66" spans="1:13" x14ac:dyDescent="0.25">
      <c r="A66" s="113"/>
      <c r="B66" s="114">
        <v>90948</v>
      </c>
      <c r="C66" s="109">
        <v>42026</v>
      </c>
      <c r="D66" s="115" t="s">
        <v>3177</v>
      </c>
      <c r="E66" s="114" t="s">
        <v>378</v>
      </c>
      <c r="F66" s="115" t="s">
        <v>396</v>
      </c>
      <c r="G66" s="110"/>
      <c r="H66" s="575" t="s">
        <v>416</v>
      </c>
      <c r="I66" s="112">
        <v>1</v>
      </c>
      <c r="J66" s="116"/>
      <c r="K66" s="117"/>
      <c r="L66" s="113"/>
      <c r="M66" s="13"/>
    </row>
    <row r="67" spans="1:13" x14ac:dyDescent="0.25">
      <c r="A67" s="113"/>
      <c r="B67" s="114">
        <v>90670</v>
      </c>
      <c r="C67" s="109">
        <v>42025</v>
      </c>
      <c r="D67" s="115" t="s">
        <v>3179</v>
      </c>
      <c r="E67" s="114" t="s">
        <v>378</v>
      </c>
      <c r="F67" s="115" t="s">
        <v>383</v>
      </c>
      <c r="G67" s="110"/>
      <c r="H67" s="575" t="s">
        <v>366</v>
      </c>
      <c r="I67" s="112">
        <v>1</v>
      </c>
      <c r="J67" s="116"/>
      <c r="K67" s="117"/>
      <c r="L67" s="113"/>
      <c r="M67" s="13"/>
    </row>
    <row r="68" spans="1:13" x14ac:dyDescent="0.25">
      <c r="A68" s="113"/>
      <c r="B68" s="114">
        <v>91453</v>
      </c>
      <c r="C68" s="109">
        <v>42034</v>
      </c>
      <c r="D68" s="115" t="s">
        <v>3215</v>
      </c>
      <c r="E68" s="114" t="s">
        <v>378</v>
      </c>
      <c r="F68" s="115" t="s">
        <v>396</v>
      </c>
      <c r="G68" s="110"/>
      <c r="H68" s="575" t="s">
        <v>3131</v>
      </c>
      <c r="I68" s="112">
        <v>3</v>
      </c>
      <c r="J68" s="116"/>
      <c r="K68" s="117"/>
      <c r="L68" s="113"/>
      <c r="M68" s="13"/>
    </row>
    <row r="69" spans="1:13" x14ac:dyDescent="0.25">
      <c r="A69" s="113"/>
      <c r="B69" s="114">
        <v>92366</v>
      </c>
      <c r="C69" s="109">
        <v>42031</v>
      </c>
      <c r="D69" s="115" t="s">
        <v>3219</v>
      </c>
      <c r="E69" s="114" t="s">
        <v>378</v>
      </c>
      <c r="F69" s="115" t="s">
        <v>396</v>
      </c>
      <c r="G69" s="110"/>
      <c r="H69" s="575" t="s">
        <v>524</v>
      </c>
      <c r="I69" s="112">
        <v>1</v>
      </c>
      <c r="J69" s="116"/>
      <c r="K69" s="117"/>
      <c r="L69" s="113"/>
      <c r="M69" s="13"/>
    </row>
    <row r="70" spans="1:13" x14ac:dyDescent="0.25">
      <c r="A70" s="113"/>
      <c r="B70" s="114"/>
      <c r="C70" s="109"/>
      <c r="D70" s="115"/>
      <c r="E70" s="114"/>
      <c r="F70" s="115"/>
      <c r="G70" s="110"/>
      <c r="H70" s="575"/>
      <c r="I70" s="112"/>
      <c r="J70" s="116"/>
      <c r="K70" s="117"/>
      <c r="L70" s="113"/>
      <c r="M70" s="13"/>
    </row>
    <row r="71" spans="1:13" x14ac:dyDescent="0.25">
      <c r="A71" s="113"/>
      <c r="B71" s="114"/>
      <c r="C71" s="109"/>
      <c r="D71" s="115"/>
      <c r="E71" s="114"/>
      <c r="F71" s="115"/>
      <c r="G71" s="110"/>
      <c r="H71" s="575"/>
      <c r="I71" s="112"/>
      <c r="J71" s="116"/>
      <c r="K71" s="117"/>
      <c r="L71" s="113"/>
      <c r="M71" s="13"/>
    </row>
    <row r="72" spans="1:13" x14ac:dyDescent="0.25">
      <c r="A72" s="113"/>
      <c r="B72" s="114"/>
      <c r="C72" s="109"/>
      <c r="D72" s="115"/>
      <c r="E72" s="114"/>
      <c r="F72" s="115"/>
      <c r="G72" s="110"/>
      <c r="H72" s="575"/>
      <c r="I72" s="112"/>
      <c r="J72" s="116"/>
      <c r="K72" s="117"/>
      <c r="L72" s="113"/>
      <c r="M72" s="13"/>
    </row>
    <row r="73" spans="1:13" x14ac:dyDescent="0.25">
      <c r="A73" s="113"/>
      <c r="B73" s="114"/>
      <c r="C73" s="109"/>
      <c r="D73" s="115"/>
      <c r="E73" s="114"/>
      <c r="F73" s="115"/>
      <c r="G73" s="110"/>
      <c r="H73" s="575"/>
      <c r="I73" s="112"/>
      <c r="J73" s="116"/>
      <c r="K73" s="117"/>
      <c r="L73" s="113"/>
      <c r="M73" s="13"/>
    </row>
    <row r="74" spans="1:13" x14ac:dyDescent="0.25">
      <c r="A74" s="113"/>
      <c r="B74" s="114"/>
      <c r="C74" s="109"/>
      <c r="D74" s="115"/>
      <c r="E74" s="114"/>
      <c r="F74" s="115"/>
      <c r="G74" s="110"/>
      <c r="H74" s="575"/>
      <c r="I74" s="112"/>
      <c r="J74" s="116"/>
      <c r="K74" s="117"/>
      <c r="L74" s="113"/>
      <c r="M74" s="13"/>
    </row>
    <row r="75" spans="1:13" x14ac:dyDescent="0.25">
      <c r="A75" s="113"/>
      <c r="B75" s="114"/>
      <c r="C75" s="109"/>
      <c r="D75" s="115"/>
      <c r="E75" s="114"/>
      <c r="F75" s="115"/>
      <c r="G75" s="110"/>
      <c r="H75" s="575"/>
      <c r="I75" s="112"/>
      <c r="J75" s="116"/>
      <c r="K75" s="117"/>
      <c r="L75" s="113"/>
      <c r="M75" s="13"/>
    </row>
    <row r="76" spans="1:13" x14ac:dyDescent="0.25">
      <c r="A76" s="113"/>
      <c r="B76" s="114"/>
      <c r="C76" s="109"/>
      <c r="D76" s="115"/>
      <c r="E76" s="114"/>
      <c r="F76" s="115"/>
      <c r="G76" s="110"/>
      <c r="H76" s="575"/>
      <c r="I76" s="112"/>
      <c r="J76" s="116"/>
      <c r="K76" s="117"/>
      <c r="L76" s="113"/>
      <c r="M76" s="13"/>
    </row>
    <row r="77" spans="1:13" x14ac:dyDescent="0.25">
      <c r="A77" s="113"/>
      <c r="B77" s="114"/>
      <c r="C77" s="109"/>
      <c r="D77" s="115"/>
      <c r="E77" s="114"/>
      <c r="F77" s="115"/>
      <c r="G77" s="110"/>
      <c r="H77" s="575"/>
      <c r="I77" s="112"/>
      <c r="J77" s="116"/>
      <c r="K77" s="117"/>
      <c r="L77" s="113"/>
      <c r="M77" s="13"/>
    </row>
    <row r="78" spans="1:13" x14ac:dyDescent="0.25">
      <c r="A78" s="113"/>
      <c r="B78" s="114"/>
      <c r="C78" s="109"/>
      <c r="D78" s="115"/>
      <c r="E78" s="114"/>
      <c r="F78" s="115"/>
      <c r="G78" s="110"/>
      <c r="H78" s="575"/>
      <c r="I78" s="112"/>
      <c r="J78" s="116"/>
      <c r="K78" s="117"/>
      <c r="L78" s="113"/>
      <c r="M78" s="13"/>
    </row>
    <row r="79" spans="1:13" x14ac:dyDescent="0.25">
      <c r="A79" s="113"/>
      <c r="B79" s="114"/>
      <c r="C79" s="109"/>
      <c r="D79" s="115"/>
      <c r="E79" s="114"/>
      <c r="F79" s="115"/>
      <c r="G79" s="110"/>
      <c r="H79" s="575"/>
      <c r="I79" s="112"/>
      <c r="J79" s="116"/>
      <c r="K79" s="117"/>
      <c r="L79" s="113"/>
      <c r="M79" s="13"/>
    </row>
    <row r="80" spans="1:13" x14ac:dyDescent="0.25">
      <c r="A80" s="113"/>
      <c r="B80" s="114"/>
      <c r="C80" s="109"/>
      <c r="D80" s="115"/>
      <c r="E80" s="114"/>
      <c r="F80" s="115"/>
      <c r="G80" s="110"/>
      <c r="H80" s="575"/>
      <c r="I80" s="112"/>
      <c r="J80" s="116"/>
      <c r="K80" s="117"/>
      <c r="L80" s="113"/>
      <c r="M80" s="13"/>
    </row>
    <row r="81" spans="1:13" x14ac:dyDescent="0.25">
      <c r="A81" s="113"/>
      <c r="B81" s="114"/>
      <c r="C81" s="109"/>
      <c r="D81" s="115"/>
      <c r="E81" s="114"/>
      <c r="F81" s="115"/>
      <c r="G81" s="110"/>
      <c r="H81" s="575"/>
      <c r="I81" s="112"/>
      <c r="J81" s="116"/>
      <c r="K81" s="117"/>
      <c r="L81" s="113"/>
      <c r="M81" s="13"/>
    </row>
    <row r="82" spans="1:13" x14ac:dyDescent="0.25">
      <c r="A82" s="113"/>
      <c r="B82" s="114"/>
      <c r="C82" s="109"/>
      <c r="D82" s="115"/>
      <c r="E82" s="114"/>
      <c r="F82" s="115"/>
      <c r="G82" s="110"/>
      <c r="H82" s="575"/>
      <c r="I82" s="112"/>
      <c r="J82" s="116"/>
      <c r="K82" s="117"/>
      <c r="L82" s="113"/>
      <c r="M82" s="13"/>
    </row>
    <row r="83" spans="1:13" x14ac:dyDescent="0.25">
      <c r="A83" s="113"/>
      <c r="B83" s="114"/>
      <c r="C83" s="109"/>
      <c r="D83" s="115"/>
      <c r="E83" s="114"/>
      <c r="F83" s="115"/>
      <c r="G83" s="110"/>
      <c r="H83" s="575"/>
      <c r="I83" s="112"/>
      <c r="J83" s="116"/>
      <c r="K83" s="117"/>
      <c r="L83" s="113"/>
      <c r="M83" s="13"/>
    </row>
    <row r="84" spans="1:13" x14ac:dyDescent="0.25">
      <c r="A84" s="113"/>
      <c r="B84" s="114"/>
      <c r="C84" s="109"/>
      <c r="D84" s="115"/>
      <c r="E84" s="114"/>
      <c r="F84" s="115"/>
      <c r="G84" s="110"/>
      <c r="H84" s="575"/>
      <c r="I84" s="112"/>
      <c r="J84" s="116"/>
      <c r="K84" s="117"/>
      <c r="L84" s="113"/>
      <c r="M84" s="13"/>
    </row>
    <row r="85" spans="1:13" x14ac:dyDescent="0.25">
      <c r="A85" s="113"/>
      <c r="B85" s="114"/>
      <c r="C85" s="109"/>
      <c r="D85" s="115"/>
      <c r="E85" s="114"/>
      <c r="F85" s="115"/>
      <c r="G85" s="110"/>
      <c r="H85" s="575"/>
      <c r="I85" s="112"/>
      <c r="J85" s="116"/>
      <c r="K85" s="117"/>
      <c r="L85" s="113"/>
      <c r="M85" s="13"/>
    </row>
    <row r="86" spans="1:13" x14ac:dyDescent="0.25">
      <c r="A86" s="113"/>
      <c r="B86" s="114"/>
      <c r="C86" s="109"/>
      <c r="D86" s="115"/>
      <c r="E86" s="114"/>
      <c r="F86" s="115"/>
      <c r="G86" s="110"/>
      <c r="H86" s="575"/>
      <c r="I86" s="112"/>
      <c r="J86" s="116"/>
      <c r="K86" s="117"/>
      <c r="L86" s="113"/>
      <c r="M86" s="13"/>
    </row>
    <row r="87" spans="1:13" x14ac:dyDescent="0.25">
      <c r="A87" s="113"/>
      <c r="B87" s="114"/>
      <c r="C87" s="109"/>
      <c r="D87" s="115"/>
      <c r="E87" s="114"/>
      <c r="F87" s="115"/>
      <c r="G87" s="110"/>
      <c r="H87" s="575"/>
      <c r="I87" s="112"/>
      <c r="J87" s="116"/>
      <c r="K87" s="117"/>
      <c r="L87" s="113"/>
      <c r="M87" s="13"/>
    </row>
    <row r="88" spans="1:13" x14ac:dyDescent="0.25">
      <c r="A88" s="113"/>
      <c r="B88" s="114"/>
      <c r="C88" s="109"/>
      <c r="D88" s="115"/>
      <c r="E88" s="114"/>
      <c r="F88" s="115"/>
      <c r="G88" s="110"/>
      <c r="H88" s="575"/>
      <c r="I88" s="112"/>
      <c r="J88" s="116"/>
      <c r="K88" s="117"/>
      <c r="L88" s="113"/>
      <c r="M88" s="13"/>
    </row>
    <row r="89" spans="1:13" x14ac:dyDescent="0.25">
      <c r="A89" s="113"/>
      <c r="B89" s="114"/>
      <c r="C89" s="109"/>
      <c r="D89" s="115"/>
      <c r="E89" s="114"/>
      <c r="F89" s="115"/>
      <c r="G89" s="110"/>
      <c r="H89" s="575"/>
      <c r="I89" s="112"/>
      <c r="J89" s="116"/>
      <c r="K89" s="117"/>
      <c r="L89" s="113"/>
      <c r="M89" s="13"/>
    </row>
    <row r="90" spans="1:13" x14ac:dyDescent="0.25">
      <c r="A90" s="113"/>
      <c r="B90" s="114"/>
      <c r="C90" s="109"/>
      <c r="D90" s="115"/>
      <c r="E90" s="114"/>
      <c r="F90" s="115"/>
      <c r="G90" s="110"/>
      <c r="H90" s="575"/>
      <c r="I90" s="112"/>
      <c r="J90" s="116"/>
      <c r="K90" s="117"/>
      <c r="L90" s="113"/>
      <c r="M90" s="13"/>
    </row>
    <row r="91" spans="1:13" x14ac:dyDescent="0.25">
      <c r="A91" s="113"/>
      <c r="B91" s="114"/>
      <c r="C91" s="109"/>
      <c r="D91" s="115"/>
      <c r="E91" s="114"/>
      <c r="F91" s="115"/>
      <c r="G91" s="110"/>
      <c r="H91" s="575"/>
      <c r="I91" s="112"/>
      <c r="J91" s="116"/>
      <c r="K91" s="117"/>
      <c r="L91" s="113"/>
      <c r="M91" s="13"/>
    </row>
    <row r="92" spans="1:13" x14ac:dyDescent="0.25">
      <c r="A92" s="113"/>
      <c r="B92" s="114"/>
      <c r="C92" s="109"/>
      <c r="D92" s="115"/>
      <c r="E92" s="114"/>
      <c r="F92" s="115"/>
      <c r="G92" s="110"/>
      <c r="H92" s="575"/>
      <c r="I92" s="112"/>
      <c r="J92" s="116"/>
      <c r="K92" s="117"/>
      <c r="L92" s="113"/>
      <c r="M92" s="13"/>
    </row>
  </sheetData>
  <autoFilter ref="A40:M40">
    <sortState ref="A42:M45">
      <sortCondition ref="L10"/>
    </sortState>
  </autoFilter>
  <mergeCells count="11">
    <mergeCell ref="L9:M9"/>
    <mergeCell ref="A7:B7"/>
    <mergeCell ref="A8:B8"/>
    <mergeCell ref="A49:K49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M41"/>
  <sheetViews>
    <sheetView zoomScale="90" zoomScaleNormal="90" workbookViewId="0">
      <pane ySplit="9" topLeftCell="A10" activePane="bottomLeft" state="frozen"/>
      <selection activeCell="C15" sqref="C15"/>
      <selection pane="bottomLeft" activeCell="F16" sqref="F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20" customWidth="1"/>
    <col min="12" max="12" width="12.140625" customWidth="1"/>
    <col min="13" max="13" width="39.28515625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33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customHeight="1" outlineLevel="1" x14ac:dyDescent="0.25">
      <c r="A3" s="612" t="s">
        <v>156</v>
      </c>
      <c r="B3" s="612"/>
      <c r="C3" s="94" t="str">
        <f>IFERROR(VLOOKUP($A$2,DATOS!$A$2:$N$14,2,FALSE),"SUCURSAL NO ENCONTRADA")</f>
        <v>SOC. ODONTOLÓGICA UNO SALUD LA CONCEPCIÓN LTDA</v>
      </c>
      <c r="H3" s="574" t="s">
        <v>164</v>
      </c>
      <c r="I3" s="94" t="str">
        <f>IFERROR(VLOOKUP($A$2,DATOS!$A$2:$N$14,8,FALSE),"SUCURSAL NO ENCONTRADA")</f>
        <v>SEBASTIAN REYES</v>
      </c>
    </row>
    <row r="4" spans="1:13" ht="12.75" customHeight="1" outlineLevel="1" x14ac:dyDescent="0.25">
      <c r="A4" s="612" t="s">
        <v>157</v>
      </c>
      <c r="B4" s="612"/>
      <c r="C4" s="94" t="str">
        <f>IFERROR(VLOOKUP($A$2,DATOS!$A$2:$N$14,3,FALSE),"SUCURSAL NO ENCONTRADA")</f>
        <v>76.324.871-2</v>
      </c>
      <c r="H4" s="574" t="s">
        <v>162</v>
      </c>
      <c r="I4" s="94" t="str">
        <f>IFERROR(VLOOKUP($A$2,DATOS!$A$2:$N$14,9,FALSE),"SUCURSAL NO ENCONTRADA")</f>
        <v>laboratorios@unosalud.cl</v>
      </c>
      <c r="K4" s="84"/>
    </row>
    <row r="5" spans="1:13" ht="12.75" customHeight="1" outlineLevel="1" x14ac:dyDescent="0.25">
      <c r="A5" s="612" t="s">
        <v>158</v>
      </c>
      <c r="B5" s="612"/>
      <c r="C5" s="94" t="str">
        <f>IFERROR(VLOOKUP($A$2,DATOS!$A$2:$N$14,4,FALSE),"SUCURSAL NO ENCONTRADA")</f>
        <v>LA CONCEPCIÓN 201 LOCAL 102   PROVIDENCIA</v>
      </c>
      <c r="H5" s="574" t="s">
        <v>161</v>
      </c>
      <c r="I5" s="577">
        <f>IFERROR(VLOOKUP($A$2,DATOS!$A$2:$N$14,10,FALSE),"SUCURSAL NO ENCONTRADA")</f>
        <v>227638906</v>
      </c>
    </row>
    <row r="6" spans="1:13" ht="12.75" customHeight="1" outlineLevel="1" x14ac:dyDescent="0.25">
      <c r="A6" s="612" t="s">
        <v>159</v>
      </c>
      <c r="B6" s="612"/>
      <c r="C6" s="94" t="str">
        <f>IFERROR(VLOOKUP($A$2,DATOS!$A$2:$N$14,5,FALSE),"SUCURSAL NO ENCONTRADA")</f>
        <v>CENTROS MÉDICOS DE ATENCIÓN AMBULATORIA</v>
      </c>
      <c r="H6" s="574" t="s">
        <v>165</v>
      </c>
      <c r="I6" s="94" t="str">
        <f>IFERROR(VLOOKUP($A$2,DATOS!$A$2:$N$14,11,FALSE),"SUCURSAL NO ENCONTRADA")</f>
        <v>CECILIA CANTILLANA
LORENA CASTRO</v>
      </c>
    </row>
    <row r="7" spans="1:13" ht="12.75" customHeight="1" outlineLevel="1" x14ac:dyDescent="0.25">
      <c r="A7" s="612" t="s">
        <v>160</v>
      </c>
      <c r="B7" s="612"/>
      <c r="C7" s="94" t="str">
        <f>IFERROR(VLOOKUP($A$2,DATOS!$A$2:$N$14,6,FALSE),"SUCURSAL NO ENCONTRADA")</f>
        <v>UNO SALUD LA CONCEPCIÓN.</v>
      </c>
      <c r="H7" s="574" t="s">
        <v>162</v>
      </c>
      <c r="I7" s="94" t="str">
        <f>IFERROR(VLOOKUP($A$2,DATOS!$A$2:$N$14,12,FALSE),"SUCURSAL NO ENCONTRADA")</f>
        <v>ccantillana@unosalud.cl</v>
      </c>
    </row>
    <row r="8" spans="1:13" ht="14.25" customHeight="1" outlineLevel="1" x14ac:dyDescent="0.25">
      <c r="A8" s="613" t="s">
        <v>163</v>
      </c>
      <c r="B8" s="613"/>
      <c r="C8" s="85" t="str">
        <f>IFERROR(VLOOKUP($A$2,DATOS!$A$2:$N$14,7,FALSE),"SUCURSAL NO ENCONTRADA")</f>
        <v>Enviar Factura a Moneda Nº 953 - Sr. Sebastian Reyes</v>
      </c>
      <c r="D8" s="85"/>
      <c r="E8" s="85"/>
      <c r="F8" s="15"/>
      <c r="G8" s="14"/>
      <c r="H8" s="574" t="s">
        <v>161</v>
      </c>
      <c r="I8" s="94" t="str">
        <f>IFERROR(VLOOKUP($A$2,DATOS!$A$2:$N$14,13,FALSE),"SUCURSAL NO ENCONTRADA")</f>
        <v>22 7638978
22 7638979</v>
      </c>
    </row>
    <row r="9" spans="1:13" s="586" customFormat="1" ht="24.75" customHeight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x14ac:dyDescent="0.25">
      <c r="A10" s="90">
        <v>1</v>
      </c>
      <c r="B10" s="90">
        <v>86757</v>
      </c>
      <c r="C10" s="93">
        <v>42012</v>
      </c>
      <c r="D10" s="91" t="s">
        <v>3062</v>
      </c>
      <c r="E10" s="90" t="s">
        <v>956</v>
      </c>
      <c r="F10" s="91" t="s">
        <v>233</v>
      </c>
      <c r="G10" s="9"/>
      <c r="H10" s="12" t="s">
        <v>366</v>
      </c>
      <c r="I10" s="119">
        <v>1</v>
      </c>
      <c r="J10" s="86">
        <f>IF(F10="","",VLOOKUP(F10,ARANCEL!$E$2:$F$123,2,FALSE))</f>
        <v>12499.349999999999</v>
      </c>
      <c r="K10" s="87">
        <f t="shared" ref="K10:K20" si="0">IF(I10=0,"",J10*I10)</f>
        <v>12499.349999999999</v>
      </c>
      <c r="L10" s="585" t="s">
        <v>3246</v>
      </c>
      <c r="M10" s="92"/>
    </row>
    <row r="11" spans="1:13" x14ac:dyDescent="0.25">
      <c r="A11" s="90">
        <v>2</v>
      </c>
      <c r="B11" s="90">
        <v>88681</v>
      </c>
      <c r="C11" s="93">
        <v>42018</v>
      </c>
      <c r="D11" s="91" t="s">
        <v>3062</v>
      </c>
      <c r="E11" s="90" t="s">
        <v>956</v>
      </c>
      <c r="F11" s="91" t="s">
        <v>215</v>
      </c>
      <c r="G11" s="9"/>
      <c r="H11" s="12" t="s">
        <v>366</v>
      </c>
      <c r="I11" s="119">
        <v>1</v>
      </c>
      <c r="J11" s="86">
        <f>IF(F11="","",VLOOKUP(F11,ARANCEL!$E$2:$F$123,2,FALSE))</f>
        <v>44597.287499999999</v>
      </c>
      <c r="K11" s="87">
        <f t="shared" si="0"/>
        <v>44597.287499999999</v>
      </c>
      <c r="L11" s="585" t="s">
        <v>3246</v>
      </c>
      <c r="M11" s="92"/>
    </row>
    <row r="12" spans="1:13" ht="24.75" customHeight="1" collapsed="1" x14ac:dyDescent="0.25">
      <c r="A12" s="80" t="s">
        <v>96</v>
      </c>
      <c r="B12" s="80" t="s">
        <v>97</v>
      </c>
      <c r="C12" s="81" t="s">
        <v>101</v>
      </c>
      <c r="D12" s="80" t="s">
        <v>98</v>
      </c>
      <c r="E12" s="80" t="s">
        <v>99</v>
      </c>
      <c r="F12" s="80" t="s">
        <v>100</v>
      </c>
      <c r="G12" s="80" t="s">
        <v>103</v>
      </c>
      <c r="H12" s="80" t="s">
        <v>102</v>
      </c>
      <c r="I12" s="80" t="s">
        <v>107</v>
      </c>
      <c r="J12" s="81" t="s">
        <v>104</v>
      </c>
      <c r="K12" s="81" t="s">
        <v>105</v>
      </c>
      <c r="L12" s="82" t="s">
        <v>166</v>
      </c>
      <c r="M12" s="82" t="s">
        <v>106</v>
      </c>
    </row>
    <row r="13" spans="1:13" x14ac:dyDescent="0.25">
      <c r="A13" s="101">
        <v>3</v>
      </c>
      <c r="B13" s="101"/>
      <c r="C13" s="102"/>
      <c r="D13" s="103"/>
      <c r="E13" s="101"/>
      <c r="F13" s="103"/>
      <c r="G13" s="104"/>
      <c r="H13" s="98"/>
      <c r="I13" s="105"/>
      <c r="J13" s="86" t="str">
        <f>IF(F13="","",VLOOKUP(F13,ARANCEL!$E$2:$F$123,2,FALSE))</f>
        <v/>
      </c>
      <c r="K13" s="100" t="str">
        <f t="shared" si="0"/>
        <v/>
      </c>
      <c r="L13" s="98"/>
      <c r="M13" s="99"/>
    </row>
    <row r="14" spans="1:13" x14ac:dyDescent="0.25">
      <c r="A14" s="101">
        <v>4</v>
      </c>
      <c r="B14" s="101"/>
      <c r="C14" s="102"/>
      <c r="D14" s="103"/>
      <c r="E14" s="101"/>
      <c r="F14" s="103"/>
      <c r="G14" s="104"/>
      <c r="H14" s="98"/>
      <c r="I14" s="105"/>
      <c r="J14" s="86" t="str">
        <f>IF(F14="","",VLOOKUP(F14,ARANCEL!$E$2:$F$123,2,FALSE))</f>
        <v/>
      </c>
      <c r="K14" s="100" t="str">
        <f t="shared" si="0"/>
        <v/>
      </c>
      <c r="L14" s="98"/>
      <c r="M14" s="99"/>
    </row>
    <row r="15" spans="1:13" x14ac:dyDescent="0.25">
      <c r="A15" s="101">
        <v>5</v>
      </c>
      <c r="B15" s="101"/>
      <c r="C15" s="102"/>
      <c r="D15" s="103"/>
      <c r="E15" s="101"/>
      <c r="F15" s="103"/>
      <c r="G15" s="104"/>
      <c r="H15" s="98"/>
      <c r="I15" s="105"/>
      <c r="J15" s="86" t="str">
        <f>IF(F15="","",VLOOKUP(F15,ARANCEL!$E$2:$F$123,2,FALSE))</f>
        <v/>
      </c>
      <c r="K15" s="100" t="str">
        <f t="shared" si="0"/>
        <v/>
      </c>
      <c r="L15" s="98"/>
      <c r="M15" s="99"/>
    </row>
    <row r="16" spans="1:13" x14ac:dyDescent="0.25">
      <c r="A16" s="90">
        <v>6</v>
      </c>
      <c r="B16" s="101"/>
      <c r="C16" s="102"/>
      <c r="D16" s="103"/>
      <c r="E16" s="101"/>
      <c r="F16" s="103"/>
      <c r="G16" s="104"/>
      <c r="H16" s="98"/>
      <c r="I16" s="105"/>
      <c r="J16" s="86" t="str">
        <f>IF(F16="","",VLOOKUP(F16,ARANCEL!$E$2:$F$123,2,FALSE))</f>
        <v/>
      </c>
      <c r="K16" s="100" t="str">
        <f t="shared" si="0"/>
        <v/>
      </c>
      <c r="L16" s="98"/>
      <c r="M16" s="99"/>
    </row>
    <row r="17" spans="1:13" x14ac:dyDescent="0.25">
      <c r="A17" s="90">
        <v>7</v>
      </c>
      <c r="B17" s="101"/>
      <c r="C17" s="102"/>
      <c r="D17" s="103"/>
      <c r="E17" s="101"/>
      <c r="F17" s="103"/>
      <c r="G17" s="104"/>
      <c r="H17" s="98"/>
      <c r="I17" s="105"/>
      <c r="J17" s="86" t="str">
        <f>IF(F17="","",VLOOKUP(F17,ARANCEL!$E$2:$F$123,2,FALSE))</f>
        <v/>
      </c>
      <c r="K17" s="100" t="str">
        <f t="shared" si="0"/>
        <v/>
      </c>
      <c r="L17" s="98"/>
      <c r="M17" s="99"/>
    </row>
    <row r="18" spans="1:13" x14ac:dyDescent="0.25">
      <c r="A18" s="90">
        <v>8</v>
      </c>
      <c r="B18" s="101"/>
      <c r="C18" s="102"/>
      <c r="D18" s="103"/>
      <c r="E18" s="101"/>
      <c r="F18" s="103"/>
      <c r="G18" s="104"/>
      <c r="H18" s="98"/>
      <c r="I18" s="105"/>
      <c r="J18" s="86" t="str">
        <f>IF(F18="","",VLOOKUP(F18,ARANCEL!$E$2:$F$123,2,FALSE))</f>
        <v/>
      </c>
      <c r="K18" s="100" t="str">
        <f t="shared" si="0"/>
        <v/>
      </c>
      <c r="L18" s="98"/>
      <c r="M18" s="99"/>
    </row>
    <row r="19" spans="1:13" x14ac:dyDescent="0.25">
      <c r="A19" s="90">
        <v>9</v>
      </c>
      <c r="B19" s="101"/>
      <c r="C19" s="102"/>
      <c r="D19" s="103"/>
      <c r="E19" s="101"/>
      <c r="F19" s="103"/>
      <c r="G19" s="104"/>
      <c r="H19" s="98"/>
      <c r="I19" s="105"/>
      <c r="J19" s="86" t="str">
        <f>IF(F19="","",VLOOKUP(F19,ARANCEL!$E$2:$F$123,2,FALSE))</f>
        <v/>
      </c>
      <c r="K19" s="100" t="str">
        <f t="shared" si="0"/>
        <v/>
      </c>
      <c r="L19" s="98"/>
      <c r="M19" s="99"/>
    </row>
    <row r="20" spans="1:13" x14ac:dyDescent="0.25">
      <c r="A20" s="90">
        <v>10</v>
      </c>
      <c r="B20" s="101"/>
      <c r="C20" s="102"/>
      <c r="D20" s="103"/>
      <c r="E20" s="101"/>
      <c r="F20" s="103"/>
      <c r="G20" s="104"/>
      <c r="H20" s="98"/>
      <c r="I20" s="105"/>
      <c r="J20" s="86" t="str">
        <f>IF(F20="","",VLOOKUP(F20,ARANCEL!$E$2:$F$123,2,FALSE))</f>
        <v/>
      </c>
      <c r="K20" s="100" t="str">
        <f t="shared" si="0"/>
        <v/>
      </c>
      <c r="L20" s="98"/>
      <c r="M20" s="99"/>
    </row>
    <row r="23" spans="1:13" ht="20.25" customHeight="1" x14ac:dyDescent="0.25">
      <c r="A23" s="614" t="s">
        <v>363</v>
      </c>
      <c r="B23" s="614"/>
      <c r="C23" s="614"/>
      <c r="D23" s="614"/>
      <c r="E23" s="614"/>
      <c r="F23" s="614"/>
      <c r="G23" s="614"/>
      <c r="H23" s="614"/>
      <c r="I23" s="614"/>
      <c r="J23" s="614"/>
      <c r="K23" s="614"/>
    </row>
    <row r="24" spans="1:13" ht="24" x14ac:dyDescent="0.25">
      <c r="A24" s="88" t="s">
        <v>96</v>
      </c>
      <c r="B24" s="88" t="s">
        <v>97</v>
      </c>
      <c r="C24" s="89" t="s">
        <v>101</v>
      </c>
      <c r="D24" s="88" t="s">
        <v>98</v>
      </c>
      <c r="E24" s="88" t="s">
        <v>99</v>
      </c>
      <c r="F24" s="88" t="s">
        <v>100</v>
      </c>
      <c r="G24" s="88" t="s">
        <v>103</v>
      </c>
      <c r="H24" s="88" t="s">
        <v>102</v>
      </c>
      <c r="I24" s="88" t="s">
        <v>107</v>
      </c>
      <c r="J24" s="89" t="s">
        <v>104</v>
      </c>
      <c r="K24" s="89" t="s">
        <v>105</v>
      </c>
      <c r="L24" s="89" t="s">
        <v>166</v>
      </c>
      <c r="M24" s="89" t="s">
        <v>106</v>
      </c>
    </row>
    <row r="25" spans="1:13" x14ac:dyDescent="0.25">
      <c r="A25" s="113"/>
      <c r="B25" s="578">
        <v>63194</v>
      </c>
      <c r="C25" s="579">
        <v>41953</v>
      </c>
      <c r="D25" s="580" t="s">
        <v>962</v>
      </c>
      <c r="E25" s="578" t="s">
        <v>912</v>
      </c>
      <c r="F25" s="580" t="s">
        <v>374</v>
      </c>
      <c r="G25" s="110"/>
      <c r="H25" s="575" t="s">
        <v>368</v>
      </c>
      <c r="I25" s="112">
        <v>1</v>
      </c>
      <c r="J25" s="116"/>
      <c r="K25" s="117"/>
      <c r="L25" s="113"/>
      <c r="M25" s="13"/>
    </row>
    <row r="26" spans="1:13" x14ac:dyDescent="0.25">
      <c r="A26" s="113"/>
      <c r="B26" s="114"/>
      <c r="C26" s="109"/>
      <c r="D26" s="115"/>
      <c r="E26" s="114"/>
      <c r="F26" s="115"/>
      <c r="G26" s="110"/>
      <c r="H26" s="575"/>
      <c r="I26" s="112"/>
      <c r="J26" s="116"/>
      <c r="K26" s="117"/>
      <c r="L26" s="113"/>
      <c r="M26" s="13"/>
    </row>
    <row r="27" spans="1:13" x14ac:dyDescent="0.25">
      <c r="A27" s="113"/>
      <c r="B27" s="114"/>
      <c r="C27" s="109"/>
      <c r="D27" s="115"/>
      <c r="E27" s="114"/>
      <c r="F27" s="115"/>
      <c r="G27" s="110"/>
      <c r="H27" s="575"/>
      <c r="I27" s="112"/>
      <c r="J27" s="116"/>
      <c r="K27" s="117"/>
      <c r="L27" s="113"/>
      <c r="M27" s="13"/>
    </row>
    <row r="28" spans="1:13" x14ac:dyDescent="0.25">
      <c r="A28" s="113"/>
      <c r="B28" s="114"/>
      <c r="C28" s="109"/>
      <c r="D28" s="115"/>
      <c r="E28" s="114"/>
      <c r="F28" s="115"/>
      <c r="G28" s="110"/>
      <c r="H28" s="575"/>
      <c r="I28" s="112"/>
      <c r="J28" s="116"/>
      <c r="K28" s="117"/>
      <c r="L28" s="113"/>
      <c r="M28" s="13"/>
    </row>
    <row r="29" spans="1:13" x14ac:dyDescent="0.25">
      <c r="A29" s="113"/>
      <c r="B29" s="114"/>
      <c r="C29" s="109"/>
      <c r="D29" s="115"/>
      <c r="E29" s="114"/>
      <c r="F29" s="115"/>
      <c r="G29" s="110"/>
      <c r="H29" s="575"/>
      <c r="I29" s="112"/>
      <c r="J29" s="116"/>
      <c r="K29" s="117"/>
      <c r="L29" s="113"/>
      <c r="M29" s="13"/>
    </row>
    <row r="30" spans="1:13" x14ac:dyDescent="0.25">
      <c r="A30" s="113"/>
      <c r="B30" s="114"/>
      <c r="C30" s="109"/>
      <c r="D30" s="115"/>
      <c r="E30" s="114"/>
      <c r="F30" s="115"/>
      <c r="G30" s="110"/>
      <c r="H30" s="575"/>
      <c r="I30" s="112"/>
      <c r="J30" s="116"/>
      <c r="K30" s="117"/>
      <c r="L30" s="113"/>
      <c r="M30" s="13"/>
    </row>
    <row r="31" spans="1:13" x14ac:dyDescent="0.25">
      <c r="A31" s="113"/>
      <c r="B31" s="114"/>
      <c r="C31" s="109"/>
      <c r="D31" s="115"/>
      <c r="E31" s="114"/>
      <c r="F31" s="115"/>
      <c r="G31" s="110"/>
      <c r="H31" s="575"/>
      <c r="I31" s="112"/>
      <c r="J31" s="116"/>
      <c r="K31" s="117"/>
      <c r="L31" s="113"/>
      <c r="M31" s="13"/>
    </row>
    <row r="32" spans="1:13" x14ac:dyDescent="0.25">
      <c r="A32" s="113"/>
      <c r="B32" s="114"/>
      <c r="C32" s="109"/>
      <c r="D32" s="115"/>
      <c r="E32" s="114"/>
      <c r="F32" s="115"/>
      <c r="G32" s="110"/>
      <c r="H32" s="575"/>
      <c r="I32" s="112"/>
      <c r="J32" s="116"/>
      <c r="K32" s="117"/>
      <c r="L32" s="113"/>
      <c r="M32" s="13"/>
    </row>
    <row r="33" spans="1:13" x14ac:dyDescent="0.25">
      <c r="A33" s="113"/>
      <c r="B33" s="114"/>
      <c r="C33" s="109"/>
      <c r="D33" s="115"/>
      <c r="E33" s="114"/>
      <c r="F33" s="115"/>
      <c r="G33" s="110"/>
      <c r="H33" s="575"/>
      <c r="I33" s="112"/>
      <c r="J33" s="116"/>
      <c r="K33" s="117"/>
      <c r="L33" s="113"/>
      <c r="M33" s="13"/>
    </row>
    <row r="34" spans="1:13" x14ac:dyDescent="0.25">
      <c r="A34" s="113"/>
      <c r="B34" s="114"/>
      <c r="C34" s="109"/>
      <c r="D34" s="115"/>
      <c r="E34" s="114"/>
      <c r="F34" s="115"/>
      <c r="G34" s="110"/>
      <c r="H34" s="575"/>
      <c r="I34" s="112"/>
      <c r="J34" s="116"/>
      <c r="K34" s="117"/>
      <c r="L34" s="113"/>
      <c r="M34" s="13"/>
    </row>
    <row r="35" spans="1:13" x14ac:dyDescent="0.25">
      <c r="A35" s="113"/>
      <c r="B35" s="114"/>
      <c r="C35" s="109"/>
      <c r="D35" s="115"/>
      <c r="E35" s="114"/>
      <c r="F35" s="115"/>
      <c r="G35" s="110"/>
      <c r="H35" s="575"/>
      <c r="I35" s="112"/>
      <c r="J35" s="116"/>
      <c r="K35" s="117"/>
      <c r="L35" s="113"/>
      <c r="M35" s="13"/>
    </row>
    <row r="36" spans="1:13" x14ac:dyDescent="0.25">
      <c r="A36" s="113"/>
      <c r="B36" s="114"/>
      <c r="C36" s="109"/>
      <c r="D36" s="115"/>
      <c r="E36" s="114"/>
      <c r="F36" s="115"/>
      <c r="G36" s="110"/>
      <c r="H36" s="575"/>
      <c r="I36" s="112"/>
      <c r="J36" s="116"/>
      <c r="K36" s="117"/>
      <c r="L36" s="113"/>
      <c r="M36" s="13"/>
    </row>
    <row r="37" spans="1:13" x14ac:dyDescent="0.25">
      <c r="A37" s="113"/>
      <c r="B37" s="114"/>
      <c r="C37" s="109"/>
      <c r="D37" s="115"/>
      <c r="E37" s="114"/>
      <c r="F37" s="115"/>
      <c r="G37" s="110"/>
      <c r="H37" s="575"/>
      <c r="I37" s="112"/>
      <c r="J37" s="116"/>
      <c r="K37" s="117"/>
      <c r="L37" s="113"/>
      <c r="M37" s="13"/>
    </row>
    <row r="38" spans="1:13" x14ac:dyDescent="0.25">
      <c r="A38" s="113"/>
      <c r="B38" s="114"/>
      <c r="C38" s="109"/>
      <c r="D38" s="115"/>
      <c r="E38" s="114"/>
      <c r="F38" s="115"/>
      <c r="G38" s="110"/>
      <c r="H38" s="575"/>
      <c r="I38" s="112"/>
      <c r="J38" s="116"/>
      <c r="K38" s="117"/>
      <c r="L38" s="113"/>
      <c r="M38" s="13"/>
    </row>
    <row r="39" spans="1:13" x14ac:dyDescent="0.25">
      <c r="A39" s="113"/>
      <c r="B39" s="114"/>
      <c r="C39" s="109"/>
      <c r="D39" s="115"/>
      <c r="E39" s="114"/>
      <c r="F39" s="115"/>
      <c r="G39" s="110"/>
      <c r="H39" s="575"/>
      <c r="I39" s="112"/>
      <c r="J39" s="116"/>
      <c r="K39" s="117"/>
      <c r="L39" s="113"/>
      <c r="M39" s="13"/>
    </row>
    <row r="40" spans="1:13" x14ac:dyDescent="0.25">
      <c r="A40" s="113"/>
      <c r="B40" s="114"/>
      <c r="C40" s="109"/>
      <c r="D40" s="115"/>
      <c r="E40" s="114"/>
      <c r="F40" s="115"/>
      <c r="G40" s="110"/>
      <c r="H40" s="575"/>
      <c r="I40" s="112"/>
      <c r="J40" s="116"/>
      <c r="K40" s="117"/>
      <c r="L40" s="113"/>
      <c r="M40" s="13"/>
    </row>
    <row r="41" spans="1:13" x14ac:dyDescent="0.25">
      <c r="A41" s="113"/>
      <c r="B41" s="114"/>
      <c r="C41" s="109"/>
      <c r="D41" s="115"/>
      <c r="E41" s="114"/>
      <c r="F41" s="115"/>
      <c r="G41" s="110"/>
      <c r="H41" s="575"/>
      <c r="I41" s="112"/>
      <c r="J41" s="116"/>
      <c r="K41" s="117"/>
      <c r="L41" s="113"/>
      <c r="M41" s="13"/>
    </row>
  </sheetData>
  <autoFilter ref="A12:M12">
    <sortState ref="A14:M17">
      <sortCondition ref="L10"/>
    </sortState>
  </autoFilter>
  <mergeCells count="11">
    <mergeCell ref="L9:M9"/>
    <mergeCell ref="A7:B7"/>
    <mergeCell ref="A8:B8"/>
    <mergeCell ref="A23:K23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M55"/>
  <sheetViews>
    <sheetView zoomScale="90" zoomScaleNormal="90" workbookViewId="0">
      <pane ySplit="9" topLeftCell="A16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1.8554687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408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hidden="1" customHeight="1" outlineLevel="1" x14ac:dyDescent="0.25">
      <c r="A3" s="612" t="s">
        <v>156</v>
      </c>
      <c r="B3" s="612"/>
      <c r="C3" s="94" t="str">
        <f>IFERROR(VLOOKUP($A$2,DATOS!$A$2:$N$14,2,FALSE),"SUCURSAL NO ENCONTRADA")</f>
        <v xml:space="preserve">SOC. ODONTOLÓGICA UNO SALUD LA FLORIDA LTDA. </v>
      </c>
      <c r="H3" s="106" t="s">
        <v>164</v>
      </c>
      <c r="I3" s="94" t="str">
        <f>IFERROR(VLOOKUP($A$2,DATOS!$A$2:$N$14,8,FALSE),"SUCURSAL NO ENCONTRADA")</f>
        <v>SEBASTIAN REYES</v>
      </c>
    </row>
    <row r="4" spans="1:13" ht="12.75" hidden="1" customHeight="1" outlineLevel="1" x14ac:dyDescent="0.25">
      <c r="A4" s="612" t="s">
        <v>157</v>
      </c>
      <c r="B4" s="612"/>
      <c r="C4" s="94" t="str">
        <f>IFERROR(VLOOKUP($A$2,DATOS!$A$2:$N$14,3,FALSE),"SUCURSAL NO ENCONTRADA")</f>
        <v>76.368.014-2</v>
      </c>
      <c r="H4" s="106" t="s">
        <v>162</v>
      </c>
      <c r="I4" s="94" t="str">
        <f>IFERROR(VLOOKUP($A$2,DATOS!$A$2:$N$14,9,FALSE),"SUCURSAL NO ENCONTRADA")</f>
        <v>laboratorios@unosalud.cl</v>
      </c>
      <c r="K4" s="84"/>
    </row>
    <row r="5" spans="1:13" ht="12.75" hidden="1" customHeight="1" outlineLevel="1" x14ac:dyDescent="0.25">
      <c r="A5" s="612" t="s">
        <v>158</v>
      </c>
      <c r="B5" s="612"/>
      <c r="C5" s="94" t="str">
        <f>IFERROR(VLOOKUP($A$2,DATOS!$A$2:$N$14,4,FALSE),"SUCURSAL NO ENCONTRADA")</f>
        <v xml:space="preserve">FROILAN ROA 894, LA FLORIDA. </v>
      </c>
      <c r="H5" s="106" t="s">
        <v>161</v>
      </c>
      <c r="I5" s="94">
        <f>IFERROR(VLOOKUP($A$2,DATOS!$A$2:$N$14,10,FALSE),"SUCURSAL NO ENCONTRADA")</f>
        <v>227638906</v>
      </c>
    </row>
    <row r="6" spans="1:13" ht="12.75" hidden="1" customHeight="1" outlineLevel="1" x14ac:dyDescent="0.25">
      <c r="A6" s="612" t="s">
        <v>159</v>
      </c>
      <c r="B6" s="612"/>
      <c r="C6" s="94" t="str">
        <f>IFERROR(VLOOKUP($A$2,DATOS!$A$2:$N$14,5,FALSE),"SUCURSAL NO ENCONTRADA")</f>
        <v>CENTROS MÉDICOS DE ATENCIÓN AMBULATORIA</v>
      </c>
      <c r="H6" s="106" t="s">
        <v>165</v>
      </c>
      <c r="I6" s="94" t="str">
        <f>IFERROR(VLOOKUP($A$2,DATOS!$A$2:$N$14,11,FALSE),"SUCURSAL NO ENCONTRADA")</f>
        <v/>
      </c>
    </row>
    <row r="7" spans="1:13" ht="12.75" hidden="1" customHeight="1" outlineLevel="1" x14ac:dyDescent="0.25">
      <c r="A7" s="612" t="s">
        <v>160</v>
      </c>
      <c r="B7" s="612"/>
      <c r="C7" s="94" t="str">
        <f>IFERROR(VLOOKUP($A$2,DATOS!$A$2:$N$14,6,FALSE),"SUCURSAL NO ENCONTRADA")</f>
        <v>UNO SALUD LA FLORIDA LTDA.</v>
      </c>
      <c r="H7" s="106" t="s">
        <v>162</v>
      </c>
      <c r="I7" s="94">
        <f>IFERROR(VLOOKUP($A$2,DATOS!$A$2:$N$14,12,FALSE),"SUCURSAL NO ENCONTRADA")</f>
        <v>0</v>
      </c>
    </row>
    <row r="8" spans="1:13" ht="14.25" hidden="1" customHeight="1" outlineLevel="1" x14ac:dyDescent="0.25">
      <c r="A8" s="613" t="s">
        <v>163</v>
      </c>
      <c r="B8" s="613"/>
      <c r="C8" s="85" t="str">
        <f>IFERROR(VLOOKUP($A$2,DATOS!$A$2:$N$14,7,FALSE),"SUCURSAL NO ENCONTRADA")</f>
        <v>Enviar Factura a Moneda Nº 953 - Sr. Sebastian Reyes</v>
      </c>
      <c r="D8" s="85"/>
      <c r="E8" s="85"/>
      <c r="F8" s="15"/>
      <c r="G8" s="14"/>
      <c r="H8" s="106" t="s">
        <v>161</v>
      </c>
      <c r="I8" s="94">
        <f>IFERROR(VLOOKUP($A$2,DATOS!$A$2:$N$14,13,FALSE),"SUCURSAL NO ENCONTRADA")</f>
        <v>0</v>
      </c>
    </row>
    <row r="9" spans="1:13" s="586" customFormat="1" ht="24.75" customHeight="1" collapsed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x14ac:dyDescent="0.25">
      <c r="A10" s="90">
        <v>1</v>
      </c>
      <c r="B10" s="90">
        <v>64141</v>
      </c>
      <c r="C10" s="93">
        <v>41956</v>
      </c>
      <c r="D10" s="91" t="s">
        <v>980</v>
      </c>
      <c r="E10" s="90" t="s">
        <v>423</v>
      </c>
      <c r="F10" s="91" t="s">
        <v>215</v>
      </c>
      <c r="G10" s="9"/>
      <c r="H10" s="12" t="s">
        <v>368</v>
      </c>
      <c r="I10" s="119">
        <v>1</v>
      </c>
      <c r="J10" s="571">
        <v>44597</v>
      </c>
      <c r="K10" s="572">
        <f>IF(I10="","",J10*I10)</f>
        <v>44597</v>
      </c>
      <c r="L10" s="585" t="s">
        <v>3246</v>
      </c>
      <c r="M10" s="92"/>
    </row>
    <row r="11" spans="1:13" x14ac:dyDescent="0.25">
      <c r="A11" s="90">
        <v>2</v>
      </c>
      <c r="B11" s="90">
        <v>71846</v>
      </c>
      <c r="C11" s="93">
        <v>41975</v>
      </c>
      <c r="D11" s="91" t="s">
        <v>985</v>
      </c>
      <c r="E11" s="90" t="s">
        <v>423</v>
      </c>
      <c r="F11" s="91" t="s">
        <v>534</v>
      </c>
      <c r="G11" s="9"/>
      <c r="H11" s="12" t="s">
        <v>401</v>
      </c>
      <c r="I11" s="119">
        <v>1</v>
      </c>
      <c r="J11" s="571">
        <v>30429</v>
      </c>
      <c r="K11" s="572">
        <f>IF(I11="","",J11*I11)</f>
        <v>30429</v>
      </c>
      <c r="L11" s="585" t="s">
        <v>3246</v>
      </c>
      <c r="M11" s="92"/>
    </row>
    <row r="12" spans="1:13" x14ac:dyDescent="0.25">
      <c r="A12" s="90">
        <v>3</v>
      </c>
      <c r="B12" s="90">
        <v>68644</v>
      </c>
      <c r="C12" s="93">
        <v>41968</v>
      </c>
      <c r="D12" s="91" t="s">
        <v>982</v>
      </c>
      <c r="E12" s="90" t="s">
        <v>983</v>
      </c>
      <c r="F12" s="91" t="s">
        <v>984</v>
      </c>
      <c r="G12" s="9"/>
      <c r="H12" s="12" t="s">
        <v>368</v>
      </c>
      <c r="I12" s="119">
        <v>1</v>
      </c>
      <c r="J12" s="571">
        <v>22315</v>
      </c>
      <c r="K12" s="572">
        <f>IF(I12="","",J12*I12)</f>
        <v>22315</v>
      </c>
      <c r="L12" s="585" t="s">
        <v>3246</v>
      </c>
      <c r="M12" s="92"/>
    </row>
    <row r="13" spans="1:13" x14ac:dyDescent="0.25">
      <c r="A13" s="90">
        <v>4</v>
      </c>
      <c r="B13" s="90">
        <v>85734</v>
      </c>
      <c r="C13" s="93">
        <v>42010</v>
      </c>
      <c r="D13" s="91" t="s">
        <v>435</v>
      </c>
      <c r="E13" s="90" t="s">
        <v>423</v>
      </c>
      <c r="F13" s="91" t="s">
        <v>217</v>
      </c>
      <c r="G13" s="9"/>
      <c r="H13" s="12" t="s">
        <v>368</v>
      </c>
      <c r="I13" s="119">
        <v>1</v>
      </c>
      <c r="J13" s="86">
        <f>IF(F13="","",VLOOKUP(F13,ARANCEL!$E$2:$F$123,2,FALSE))</f>
        <v>22299.074999999997</v>
      </c>
      <c r="K13" s="87">
        <f t="shared" ref="K13:K25" si="0">IF(I13=0,"",J13*I13)</f>
        <v>22299.074999999997</v>
      </c>
      <c r="L13" s="585" t="s">
        <v>3246</v>
      </c>
      <c r="M13" s="92"/>
    </row>
    <row r="14" spans="1:13" x14ac:dyDescent="0.25">
      <c r="A14" s="90">
        <v>5</v>
      </c>
      <c r="B14" s="90">
        <v>86787</v>
      </c>
      <c r="C14" s="93">
        <v>42019</v>
      </c>
      <c r="D14" s="91" t="s">
        <v>3063</v>
      </c>
      <c r="E14" s="90" t="s">
        <v>423</v>
      </c>
      <c r="F14" s="91" t="s">
        <v>115</v>
      </c>
      <c r="G14" s="9"/>
      <c r="H14" s="12" t="s">
        <v>414</v>
      </c>
      <c r="I14" s="119">
        <v>1</v>
      </c>
      <c r="J14" s="86">
        <f>IF(F14="","",VLOOKUP(F14,ARANCEL!$E$2:$F$123,2,FALSE))</f>
        <v>5274.3600000000006</v>
      </c>
      <c r="K14" s="87">
        <f t="shared" si="0"/>
        <v>5274.3600000000006</v>
      </c>
      <c r="L14" s="585" t="s">
        <v>3246</v>
      </c>
      <c r="M14" s="92"/>
    </row>
    <row r="15" spans="1:13" x14ac:dyDescent="0.25">
      <c r="A15" s="90">
        <v>6</v>
      </c>
      <c r="B15" s="90">
        <v>86810</v>
      </c>
      <c r="C15" s="93">
        <v>42019</v>
      </c>
      <c r="D15" s="91" t="s">
        <v>3064</v>
      </c>
      <c r="E15" s="90" t="s">
        <v>423</v>
      </c>
      <c r="F15" s="91" t="s">
        <v>115</v>
      </c>
      <c r="G15" s="9"/>
      <c r="H15" s="12" t="s">
        <v>428</v>
      </c>
      <c r="I15" s="119">
        <v>1</v>
      </c>
      <c r="J15" s="86">
        <f>IF(F15="","",VLOOKUP(F15,ARANCEL!$E$2:$F$123,2,FALSE))</f>
        <v>5274.3600000000006</v>
      </c>
      <c r="K15" s="87">
        <f t="shared" si="0"/>
        <v>5274.3600000000006</v>
      </c>
      <c r="L15" s="585" t="s">
        <v>3246</v>
      </c>
      <c r="M15" s="92"/>
    </row>
    <row r="16" spans="1:13" x14ac:dyDescent="0.25">
      <c r="A16" s="90">
        <v>7</v>
      </c>
      <c r="B16" s="101">
        <v>86634</v>
      </c>
      <c r="C16" s="102">
        <v>42019</v>
      </c>
      <c r="D16" s="103" t="s">
        <v>3065</v>
      </c>
      <c r="E16" s="101" t="s">
        <v>423</v>
      </c>
      <c r="F16" s="103" t="s">
        <v>115</v>
      </c>
      <c r="G16" s="104"/>
      <c r="H16" s="98" t="s">
        <v>469</v>
      </c>
      <c r="I16" s="105">
        <v>1</v>
      </c>
      <c r="J16" s="86">
        <f>IF(F16="","",VLOOKUP(F16,ARANCEL!$E$2:$F$123,2,FALSE))</f>
        <v>5274.3600000000006</v>
      </c>
      <c r="K16" s="100">
        <f t="shared" si="0"/>
        <v>5274.3600000000006</v>
      </c>
      <c r="L16" s="585" t="s">
        <v>3246</v>
      </c>
      <c r="M16" s="99"/>
    </row>
    <row r="17" spans="1:13" x14ac:dyDescent="0.25">
      <c r="A17" s="90">
        <v>8</v>
      </c>
      <c r="B17" s="101">
        <v>87386</v>
      </c>
      <c r="C17" s="102">
        <v>42017</v>
      </c>
      <c r="D17" s="103" t="s">
        <v>3066</v>
      </c>
      <c r="E17" s="101" t="s">
        <v>2863</v>
      </c>
      <c r="F17" s="103" t="s">
        <v>534</v>
      </c>
      <c r="G17" s="104"/>
      <c r="H17" s="98" t="s">
        <v>508</v>
      </c>
      <c r="I17" s="105">
        <v>1</v>
      </c>
      <c r="J17" s="86">
        <f>IF(F17="","",VLOOKUP(F17,ARANCEL!$E$2:$F$123,2,FALSE))</f>
        <v>30428.999999999996</v>
      </c>
      <c r="K17" s="100">
        <f t="shared" si="0"/>
        <v>30428.999999999996</v>
      </c>
      <c r="L17" s="585" t="s">
        <v>3246</v>
      </c>
      <c r="M17" s="99"/>
    </row>
    <row r="18" spans="1:13" x14ac:dyDescent="0.25">
      <c r="A18" s="90">
        <v>9</v>
      </c>
      <c r="B18" s="101">
        <v>88163</v>
      </c>
      <c r="C18" s="102">
        <v>42020</v>
      </c>
      <c r="D18" s="91" t="s">
        <v>3064</v>
      </c>
      <c r="E18" s="90" t="s">
        <v>423</v>
      </c>
      <c r="F18" s="103" t="s">
        <v>208</v>
      </c>
      <c r="G18" s="104"/>
      <c r="H18" s="98" t="s">
        <v>428</v>
      </c>
      <c r="I18" s="105">
        <v>1</v>
      </c>
      <c r="J18" s="86">
        <f>IF(F18="","",VLOOKUP(F18,ARANCEL!$E$2:$F$123,2,FALSE))</f>
        <v>14098.999999999998</v>
      </c>
      <c r="K18" s="100">
        <f t="shared" si="0"/>
        <v>14098.999999999998</v>
      </c>
      <c r="L18" s="585" t="s">
        <v>3246</v>
      </c>
      <c r="M18" s="99"/>
    </row>
    <row r="19" spans="1:13" x14ac:dyDescent="0.25">
      <c r="A19" s="101">
        <v>10</v>
      </c>
      <c r="B19" s="101">
        <v>88575</v>
      </c>
      <c r="C19" s="102">
        <v>42019</v>
      </c>
      <c r="D19" s="103" t="s">
        <v>3068</v>
      </c>
      <c r="E19" s="101" t="s">
        <v>423</v>
      </c>
      <c r="F19" s="103" t="s">
        <v>235</v>
      </c>
      <c r="G19" s="104"/>
      <c r="H19" s="98" t="s">
        <v>366</v>
      </c>
      <c r="I19" s="105">
        <v>1</v>
      </c>
      <c r="J19" s="86">
        <f>IF(F19="","",VLOOKUP(F19,ARANCEL!$E$2:$F$123,2,FALSE))</f>
        <v>10400.599999999999</v>
      </c>
      <c r="K19" s="100">
        <f t="shared" si="0"/>
        <v>10400.599999999999</v>
      </c>
      <c r="L19" s="585" t="s">
        <v>3246</v>
      </c>
      <c r="M19" s="99"/>
    </row>
    <row r="20" spans="1:13" x14ac:dyDescent="0.25">
      <c r="A20" s="101">
        <v>11</v>
      </c>
      <c r="B20" s="101">
        <v>88723</v>
      </c>
      <c r="C20" s="102">
        <v>42020</v>
      </c>
      <c r="D20" s="103" t="s">
        <v>3067</v>
      </c>
      <c r="E20" s="101" t="s">
        <v>423</v>
      </c>
      <c r="F20" s="103" t="s">
        <v>355</v>
      </c>
      <c r="G20" s="104"/>
      <c r="H20" s="98" t="s">
        <v>366</v>
      </c>
      <c r="I20" s="105">
        <v>1</v>
      </c>
      <c r="J20" s="86">
        <f>IF(F20="","",VLOOKUP(F20,ARANCEL!$E$2:$F$123,2,FALSE))</f>
        <v>25800.249999999996</v>
      </c>
      <c r="K20" s="100">
        <f t="shared" si="0"/>
        <v>25800.249999999996</v>
      </c>
      <c r="L20" s="585" t="s">
        <v>3246</v>
      </c>
      <c r="M20" s="99"/>
    </row>
    <row r="21" spans="1:13" x14ac:dyDescent="0.25">
      <c r="A21" s="101">
        <v>12</v>
      </c>
      <c r="B21" s="101">
        <v>88933</v>
      </c>
      <c r="C21" s="102">
        <v>42020</v>
      </c>
      <c r="D21" s="103" t="s">
        <v>990</v>
      </c>
      <c r="E21" s="101" t="s">
        <v>423</v>
      </c>
      <c r="F21" s="103" t="s">
        <v>115</v>
      </c>
      <c r="G21" s="104"/>
      <c r="H21" s="98" t="s">
        <v>524</v>
      </c>
      <c r="I21" s="105">
        <v>1</v>
      </c>
      <c r="J21" s="86">
        <f>IF(F21="","",VLOOKUP(F21,ARANCEL!$E$2:$F$123,2,FALSE))</f>
        <v>5274.3600000000006</v>
      </c>
      <c r="K21" s="100">
        <f t="shared" si="0"/>
        <v>5274.3600000000006</v>
      </c>
      <c r="L21" s="585" t="s">
        <v>3246</v>
      </c>
      <c r="M21" s="99"/>
    </row>
    <row r="22" spans="1:13" x14ac:dyDescent="0.25">
      <c r="A22" s="101">
        <v>13</v>
      </c>
      <c r="B22" s="101">
        <v>88902</v>
      </c>
      <c r="C22" s="102">
        <v>42019</v>
      </c>
      <c r="D22" s="103" t="s">
        <v>3068</v>
      </c>
      <c r="E22" s="101" t="s">
        <v>423</v>
      </c>
      <c r="F22" s="103" t="s">
        <v>215</v>
      </c>
      <c r="G22" s="104"/>
      <c r="H22" s="98" t="s">
        <v>368</v>
      </c>
      <c r="I22" s="105">
        <v>1</v>
      </c>
      <c r="J22" s="86">
        <f>IF(F22="","",VLOOKUP(F22,ARANCEL!$E$2:$F$123,2,FALSE))</f>
        <v>44597.287499999999</v>
      </c>
      <c r="K22" s="100">
        <f t="shared" si="0"/>
        <v>44597.287499999999</v>
      </c>
      <c r="L22" s="585" t="s">
        <v>3246</v>
      </c>
      <c r="M22" s="99"/>
    </row>
    <row r="23" spans="1:13" x14ac:dyDescent="0.25">
      <c r="A23" s="101">
        <v>14</v>
      </c>
      <c r="B23" s="101">
        <v>89870</v>
      </c>
      <c r="C23" s="102">
        <v>42026</v>
      </c>
      <c r="D23" s="103" t="s">
        <v>3158</v>
      </c>
      <c r="E23" s="101" t="s">
        <v>423</v>
      </c>
      <c r="F23" s="103" t="s">
        <v>115</v>
      </c>
      <c r="G23" s="104"/>
      <c r="H23" s="98" t="s">
        <v>442</v>
      </c>
      <c r="I23" s="105">
        <v>1</v>
      </c>
      <c r="J23" s="86">
        <f>IF(F23="","",VLOOKUP(F23,ARANCEL!$E$2:$F$123,2,FALSE))</f>
        <v>5274.3600000000006</v>
      </c>
      <c r="K23" s="100">
        <f t="shared" si="0"/>
        <v>5274.3600000000006</v>
      </c>
      <c r="L23" s="585" t="s">
        <v>3246</v>
      </c>
      <c r="M23" s="99"/>
    </row>
    <row r="24" spans="1:13" x14ac:dyDescent="0.25">
      <c r="A24" s="101">
        <v>15</v>
      </c>
      <c r="B24" s="101">
        <v>90636</v>
      </c>
      <c r="C24" s="102">
        <v>42027</v>
      </c>
      <c r="D24" s="103" t="s">
        <v>3163</v>
      </c>
      <c r="E24" s="101" t="s">
        <v>423</v>
      </c>
      <c r="F24" s="103" t="s">
        <v>115</v>
      </c>
      <c r="G24" s="104"/>
      <c r="H24" s="98" t="s">
        <v>428</v>
      </c>
      <c r="I24" s="105">
        <v>1</v>
      </c>
      <c r="J24" s="86">
        <f>IF(F24="","",VLOOKUP(F24,ARANCEL!$E$2:$F$123,2,FALSE))</f>
        <v>5274.3600000000006</v>
      </c>
      <c r="K24" s="100">
        <f t="shared" si="0"/>
        <v>5274.3600000000006</v>
      </c>
      <c r="L24" s="585" t="s">
        <v>3246</v>
      </c>
      <c r="M24" s="99"/>
    </row>
    <row r="25" spans="1:13" x14ac:dyDescent="0.25">
      <c r="A25" s="90">
        <v>16</v>
      </c>
      <c r="B25" s="101">
        <v>90650</v>
      </c>
      <c r="C25" s="102">
        <v>42025</v>
      </c>
      <c r="D25" s="103" t="s">
        <v>432</v>
      </c>
      <c r="E25" s="101" t="s">
        <v>423</v>
      </c>
      <c r="F25" s="103" t="s">
        <v>114</v>
      </c>
      <c r="G25" s="104"/>
      <c r="H25" s="98" t="s">
        <v>414</v>
      </c>
      <c r="I25" s="105">
        <v>1</v>
      </c>
      <c r="J25" s="86">
        <f>IF(F25="","",VLOOKUP(F25,ARANCEL!$E$2:$F$123,2,FALSE))</f>
        <v>33370.239999999998</v>
      </c>
      <c r="K25" s="100">
        <f t="shared" si="0"/>
        <v>33370.239999999998</v>
      </c>
      <c r="L25" s="585" t="s">
        <v>3246</v>
      </c>
      <c r="M25" s="99"/>
    </row>
    <row r="26" spans="1:13" x14ac:dyDescent="0.25">
      <c r="A26" s="101">
        <v>15</v>
      </c>
      <c r="B26" s="101">
        <v>92542</v>
      </c>
      <c r="C26" s="102">
        <v>42033</v>
      </c>
      <c r="D26" s="103" t="s">
        <v>3220</v>
      </c>
      <c r="E26" s="101" t="s">
        <v>423</v>
      </c>
      <c r="F26" s="103" t="s">
        <v>115</v>
      </c>
      <c r="G26" s="104"/>
      <c r="H26" s="98" t="s">
        <v>559</v>
      </c>
      <c r="I26" s="105">
        <v>1</v>
      </c>
      <c r="J26" s="86">
        <f>IF(F26="","",VLOOKUP(F26,ARANCEL!$E$2:$F$123,2,FALSE))</f>
        <v>5274.3600000000006</v>
      </c>
      <c r="K26" s="100">
        <f t="shared" ref="K26:K33" si="1">IF(I26=0,"",J26*I26)</f>
        <v>5274.3600000000006</v>
      </c>
      <c r="L26" s="585" t="s">
        <v>3246</v>
      </c>
      <c r="M26" s="99"/>
    </row>
    <row r="27" spans="1:13" x14ac:dyDescent="0.25">
      <c r="A27" s="90">
        <v>16</v>
      </c>
      <c r="B27" s="101">
        <v>92542</v>
      </c>
      <c r="C27" s="102">
        <v>42033</v>
      </c>
      <c r="D27" s="103" t="s">
        <v>3220</v>
      </c>
      <c r="E27" s="101" t="s">
        <v>423</v>
      </c>
      <c r="F27" s="103" t="s">
        <v>208</v>
      </c>
      <c r="G27" s="104"/>
      <c r="H27" s="98" t="s">
        <v>559</v>
      </c>
      <c r="I27" s="105">
        <v>1</v>
      </c>
      <c r="J27" s="86">
        <f>IF(F27="","",VLOOKUP(F27,ARANCEL!$E$2:$F$123,2,FALSE))</f>
        <v>14098.999999999998</v>
      </c>
      <c r="K27" s="100">
        <f t="shared" si="1"/>
        <v>14098.999999999998</v>
      </c>
      <c r="L27" s="585" t="s">
        <v>3246</v>
      </c>
      <c r="M27" s="99"/>
    </row>
    <row r="28" spans="1:13" ht="24.75" customHeight="1" collapsed="1" x14ac:dyDescent="0.25">
      <c r="A28" s="80" t="s">
        <v>96</v>
      </c>
      <c r="B28" s="80" t="s">
        <v>97</v>
      </c>
      <c r="C28" s="81" t="s">
        <v>101</v>
      </c>
      <c r="D28" s="80" t="s">
        <v>98</v>
      </c>
      <c r="E28" s="80" t="s">
        <v>99</v>
      </c>
      <c r="F28" s="80" t="s">
        <v>100</v>
      </c>
      <c r="G28" s="80" t="s">
        <v>103</v>
      </c>
      <c r="H28" s="80" t="s">
        <v>102</v>
      </c>
      <c r="I28" s="80" t="s">
        <v>107</v>
      </c>
      <c r="J28" s="81" t="s">
        <v>104</v>
      </c>
      <c r="K28" s="81" t="s">
        <v>105</v>
      </c>
      <c r="L28" s="82" t="s">
        <v>166</v>
      </c>
      <c r="M28" s="82" t="s">
        <v>106</v>
      </c>
    </row>
    <row r="29" spans="1:13" x14ac:dyDescent="0.25">
      <c r="A29" s="101">
        <v>17</v>
      </c>
      <c r="B29" s="101"/>
      <c r="C29" s="102"/>
      <c r="D29" s="103"/>
      <c r="E29" s="101"/>
      <c r="F29" s="103"/>
      <c r="G29" s="104"/>
      <c r="H29" s="98"/>
      <c r="I29" s="105"/>
      <c r="J29" s="86" t="str">
        <f>IF(F29="","",VLOOKUP(F29,ARANCEL!$E$2:$F$123,2,FALSE))</f>
        <v/>
      </c>
      <c r="K29" s="100" t="str">
        <f t="shared" si="1"/>
        <v/>
      </c>
      <c r="L29" s="98"/>
      <c r="M29" s="99"/>
    </row>
    <row r="30" spans="1:13" x14ac:dyDescent="0.25">
      <c r="A30" s="101">
        <v>18</v>
      </c>
      <c r="B30" s="101"/>
      <c r="C30" s="102"/>
      <c r="D30" s="103"/>
      <c r="E30" s="101"/>
      <c r="F30" s="103"/>
      <c r="G30" s="104"/>
      <c r="H30" s="98"/>
      <c r="I30" s="105"/>
      <c r="J30" s="86" t="str">
        <f>IF(F30="","",VLOOKUP(F30,ARANCEL!$E$2:$F$123,2,FALSE))</f>
        <v/>
      </c>
      <c r="K30" s="100" t="str">
        <f t="shared" si="1"/>
        <v/>
      </c>
      <c r="L30" s="98"/>
      <c r="M30" s="99"/>
    </row>
    <row r="31" spans="1:13" x14ac:dyDescent="0.25">
      <c r="A31" s="101">
        <v>19</v>
      </c>
      <c r="B31" s="101"/>
      <c r="C31" s="102"/>
      <c r="D31" s="103"/>
      <c r="E31" s="101"/>
      <c r="F31" s="103"/>
      <c r="G31" s="104"/>
      <c r="H31" s="98"/>
      <c r="I31" s="105"/>
      <c r="J31" s="86" t="str">
        <f>IF(F31="","",VLOOKUP(F31,ARANCEL!$E$2:$F$123,2,FALSE))</f>
        <v/>
      </c>
      <c r="K31" s="100" t="str">
        <f t="shared" si="1"/>
        <v/>
      </c>
      <c r="L31" s="98"/>
      <c r="M31" s="99"/>
    </row>
    <row r="32" spans="1:13" x14ac:dyDescent="0.25">
      <c r="A32" s="101">
        <v>20</v>
      </c>
      <c r="B32" s="101"/>
      <c r="C32" s="102"/>
      <c r="D32" s="103"/>
      <c r="E32" s="101"/>
      <c r="F32" s="103"/>
      <c r="G32" s="104"/>
      <c r="H32" s="98"/>
      <c r="I32" s="105"/>
      <c r="J32" s="86" t="str">
        <f>IF(F32="","",VLOOKUP(F32,ARANCEL!$E$2:$F$123,2,FALSE))</f>
        <v/>
      </c>
      <c r="K32" s="100" t="str">
        <f t="shared" si="1"/>
        <v/>
      </c>
      <c r="L32" s="98"/>
      <c r="M32" s="99"/>
    </row>
    <row r="33" spans="1:13" x14ac:dyDescent="0.25">
      <c r="A33" s="90">
        <v>21</v>
      </c>
      <c r="B33" s="101"/>
      <c r="C33" s="102"/>
      <c r="D33" s="103"/>
      <c r="E33" s="101"/>
      <c r="F33" s="103"/>
      <c r="G33" s="104"/>
      <c r="H33" s="98"/>
      <c r="I33" s="105"/>
      <c r="J33" s="86" t="str">
        <f>IF(F33="","",VLOOKUP(F33,ARANCEL!$E$2:$F$123,2,FALSE))</f>
        <v/>
      </c>
      <c r="K33" s="100" t="str">
        <f t="shared" si="1"/>
        <v/>
      </c>
      <c r="L33" s="98"/>
      <c r="M33" s="99"/>
    </row>
    <row r="36" spans="1:13" ht="20.25" customHeight="1" x14ac:dyDescent="0.25">
      <c r="A36" s="614" t="s">
        <v>363</v>
      </c>
      <c r="B36" s="614"/>
      <c r="C36" s="614"/>
      <c r="D36" s="614"/>
      <c r="E36" s="614"/>
      <c r="F36" s="614"/>
      <c r="G36" s="614"/>
      <c r="H36" s="614"/>
      <c r="I36" s="614"/>
      <c r="J36" s="614"/>
      <c r="K36" s="614"/>
    </row>
    <row r="37" spans="1:13" ht="24" x14ac:dyDescent="0.25">
      <c r="A37" s="88" t="s">
        <v>96</v>
      </c>
      <c r="B37" s="88" t="s">
        <v>97</v>
      </c>
      <c r="C37" s="89" t="s">
        <v>101</v>
      </c>
      <c r="D37" s="88" t="s">
        <v>98</v>
      </c>
      <c r="E37" s="88" t="s">
        <v>99</v>
      </c>
      <c r="F37" s="88" t="s">
        <v>100</v>
      </c>
      <c r="G37" s="88" t="s">
        <v>103</v>
      </c>
      <c r="H37" s="88" t="s">
        <v>102</v>
      </c>
      <c r="I37" s="88" t="s">
        <v>107</v>
      </c>
      <c r="J37" s="89" t="s">
        <v>104</v>
      </c>
      <c r="K37" s="89" t="s">
        <v>105</v>
      </c>
      <c r="L37" s="89" t="s">
        <v>166</v>
      </c>
      <c r="M37" s="89" t="s">
        <v>106</v>
      </c>
    </row>
    <row r="38" spans="1:13" x14ac:dyDescent="0.25">
      <c r="A38" s="113"/>
      <c r="B38" s="114" t="s">
        <v>409</v>
      </c>
      <c r="C38" s="109">
        <v>41925</v>
      </c>
      <c r="D38" s="115" t="s">
        <v>410</v>
      </c>
      <c r="E38" s="114" t="s">
        <v>411</v>
      </c>
      <c r="F38" s="115" t="s">
        <v>379</v>
      </c>
      <c r="G38" s="110" t="s">
        <v>412</v>
      </c>
      <c r="H38" s="575" t="s">
        <v>412</v>
      </c>
      <c r="I38" s="112">
        <v>1</v>
      </c>
      <c r="J38" s="116"/>
      <c r="K38" s="117"/>
      <c r="L38" s="113"/>
      <c r="M38" s="13"/>
    </row>
    <row r="39" spans="1:13" x14ac:dyDescent="0.25">
      <c r="A39" s="113"/>
      <c r="B39" s="114">
        <v>53827</v>
      </c>
      <c r="C39" s="109">
        <v>41925</v>
      </c>
      <c r="D39" s="115" t="s">
        <v>413</v>
      </c>
      <c r="E39" s="114" t="s">
        <v>411</v>
      </c>
      <c r="F39" s="115" t="s">
        <v>396</v>
      </c>
      <c r="G39" s="110" t="s">
        <v>414</v>
      </c>
      <c r="H39" s="575" t="s">
        <v>414</v>
      </c>
      <c r="I39" s="112">
        <v>1</v>
      </c>
      <c r="J39" s="116"/>
      <c r="K39" s="117"/>
      <c r="L39" s="113"/>
      <c r="M39" s="13"/>
    </row>
    <row r="40" spans="1:13" x14ac:dyDescent="0.25">
      <c r="A40" s="113"/>
      <c r="B40" s="114">
        <v>53385</v>
      </c>
      <c r="C40" s="109">
        <v>41925</v>
      </c>
      <c r="D40" s="115" t="s">
        <v>415</v>
      </c>
      <c r="E40" s="114" t="s">
        <v>411</v>
      </c>
      <c r="F40" s="115" t="s">
        <v>396</v>
      </c>
      <c r="G40" s="110" t="s">
        <v>416</v>
      </c>
      <c r="H40" s="575" t="s">
        <v>416</v>
      </c>
      <c r="I40" s="112">
        <v>1</v>
      </c>
      <c r="J40" s="116"/>
      <c r="K40" s="117"/>
      <c r="L40" s="113"/>
      <c r="M40" s="13"/>
    </row>
    <row r="41" spans="1:13" x14ac:dyDescent="0.25">
      <c r="A41" s="113"/>
      <c r="B41" s="114">
        <v>52831</v>
      </c>
      <c r="C41" s="109">
        <v>41922</v>
      </c>
      <c r="D41" s="115" t="s">
        <v>417</v>
      </c>
      <c r="E41" s="114" t="s">
        <v>418</v>
      </c>
      <c r="F41" s="115" t="s">
        <v>419</v>
      </c>
      <c r="G41" s="110" t="s">
        <v>368</v>
      </c>
      <c r="H41" s="575" t="s">
        <v>368</v>
      </c>
      <c r="I41" s="112">
        <v>1</v>
      </c>
      <c r="J41" s="116"/>
      <c r="K41" s="117"/>
      <c r="L41" s="113"/>
      <c r="M41" s="13"/>
    </row>
    <row r="42" spans="1:13" x14ac:dyDescent="0.25">
      <c r="A42" s="113"/>
      <c r="B42" s="114">
        <v>60202</v>
      </c>
      <c r="C42" s="109">
        <v>41942</v>
      </c>
      <c r="D42" s="115" t="s">
        <v>420</v>
      </c>
      <c r="E42" s="114" t="s">
        <v>421</v>
      </c>
      <c r="F42" s="115" t="s">
        <v>383</v>
      </c>
      <c r="G42" s="110" t="s">
        <v>368</v>
      </c>
      <c r="H42" s="575" t="s">
        <v>368</v>
      </c>
      <c r="I42" s="112">
        <v>1</v>
      </c>
      <c r="J42" s="116"/>
      <c r="K42" s="117"/>
      <c r="L42" s="113"/>
      <c r="M42" s="13"/>
    </row>
    <row r="43" spans="1:13" x14ac:dyDescent="0.25">
      <c r="A43" s="113"/>
      <c r="B43" s="114">
        <v>69301</v>
      </c>
      <c r="C43" s="109">
        <v>41969</v>
      </c>
      <c r="D43" s="115" t="s">
        <v>422</v>
      </c>
      <c r="E43" s="114" t="s">
        <v>423</v>
      </c>
      <c r="F43" s="115" t="s">
        <v>374</v>
      </c>
      <c r="G43" s="110" t="s">
        <v>384</v>
      </c>
      <c r="H43" s="575" t="s">
        <v>384</v>
      </c>
      <c r="I43" s="112">
        <v>2</v>
      </c>
      <c r="J43" s="116"/>
      <c r="K43" s="117"/>
      <c r="L43" s="113"/>
      <c r="M43" s="13"/>
    </row>
    <row r="44" spans="1:13" x14ac:dyDescent="0.25">
      <c r="A44" s="113"/>
      <c r="B44" s="114">
        <v>70149</v>
      </c>
      <c r="C44" s="109">
        <v>41970</v>
      </c>
      <c r="D44" s="115" t="s">
        <v>424</v>
      </c>
      <c r="E44" s="114" t="s">
        <v>423</v>
      </c>
      <c r="F44" s="115" t="s">
        <v>396</v>
      </c>
      <c r="G44" s="110" t="s">
        <v>380</v>
      </c>
      <c r="H44" s="575" t="s">
        <v>380</v>
      </c>
      <c r="I44" s="112">
        <v>1</v>
      </c>
      <c r="J44" s="116"/>
      <c r="K44" s="117"/>
      <c r="L44" s="113"/>
      <c r="M44" s="13"/>
    </row>
    <row r="45" spans="1:13" x14ac:dyDescent="0.25">
      <c r="A45" s="113"/>
      <c r="B45" s="114" t="s">
        <v>425</v>
      </c>
      <c r="C45" s="109">
        <v>41991</v>
      </c>
      <c r="D45" s="115" t="s">
        <v>426</v>
      </c>
      <c r="E45" s="114" t="s">
        <v>423</v>
      </c>
      <c r="F45" s="115" t="s">
        <v>427</v>
      </c>
      <c r="G45" s="110" t="s">
        <v>428</v>
      </c>
      <c r="H45" s="575" t="s">
        <v>428</v>
      </c>
      <c r="I45" s="112">
        <v>1</v>
      </c>
      <c r="J45" s="116"/>
      <c r="K45" s="117"/>
      <c r="L45" s="113"/>
      <c r="M45" s="13"/>
    </row>
    <row r="46" spans="1:13" x14ac:dyDescent="0.25">
      <c r="A46" s="113"/>
      <c r="B46" s="114" t="s">
        <v>429</v>
      </c>
      <c r="C46" s="109">
        <v>41989</v>
      </c>
      <c r="D46" s="115" t="s">
        <v>430</v>
      </c>
      <c r="E46" s="114" t="s">
        <v>423</v>
      </c>
      <c r="F46" s="115" t="s">
        <v>427</v>
      </c>
      <c r="G46" s="110" t="s">
        <v>431</v>
      </c>
      <c r="H46" s="575" t="s">
        <v>431</v>
      </c>
      <c r="I46" s="112">
        <v>1</v>
      </c>
      <c r="J46" s="116"/>
      <c r="K46" s="117"/>
      <c r="L46" s="113"/>
      <c r="M46" s="13"/>
    </row>
    <row r="47" spans="1:13" x14ac:dyDescent="0.25">
      <c r="A47" s="113"/>
      <c r="B47" s="114">
        <v>89330</v>
      </c>
      <c r="C47" s="109">
        <v>42020</v>
      </c>
      <c r="D47" s="115" t="s">
        <v>3069</v>
      </c>
      <c r="E47" s="114" t="s">
        <v>423</v>
      </c>
      <c r="F47" s="115" t="s">
        <v>383</v>
      </c>
      <c r="G47" s="110"/>
      <c r="H47" s="581" t="s">
        <v>368</v>
      </c>
      <c r="I47" s="112">
        <v>1</v>
      </c>
      <c r="J47" s="116"/>
      <c r="K47" s="117"/>
      <c r="L47" s="113"/>
      <c r="M47" s="13"/>
    </row>
    <row r="48" spans="1:13" x14ac:dyDescent="0.25">
      <c r="A48" s="113"/>
      <c r="B48" s="114">
        <v>90638</v>
      </c>
      <c r="C48" s="109">
        <v>42026</v>
      </c>
      <c r="D48" s="115" t="s">
        <v>989</v>
      </c>
      <c r="E48" s="114" t="s">
        <v>423</v>
      </c>
      <c r="F48" s="115" t="s">
        <v>396</v>
      </c>
      <c r="G48" s="110"/>
      <c r="H48" s="581">
        <v>2</v>
      </c>
      <c r="I48" s="112">
        <v>1</v>
      </c>
      <c r="J48" s="116"/>
      <c r="K48" s="117"/>
      <c r="L48" s="113"/>
      <c r="M48" s="13"/>
    </row>
    <row r="49" spans="1:13" x14ac:dyDescent="0.25">
      <c r="A49" s="113"/>
      <c r="B49" s="114">
        <v>91760</v>
      </c>
      <c r="C49" s="109">
        <v>42027</v>
      </c>
      <c r="D49" s="115" t="s">
        <v>3221</v>
      </c>
      <c r="E49" s="114" t="s">
        <v>423</v>
      </c>
      <c r="F49" s="115" t="s">
        <v>374</v>
      </c>
      <c r="G49" s="110"/>
      <c r="H49" s="581" t="s">
        <v>384</v>
      </c>
      <c r="I49" s="112">
        <v>2</v>
      </c>
      <c r="J49" s="116"/>
      <c r="K49" s="117"/>
      <c r="L49" s="113"/>
      <c r="M49" s="13"/>
    </row>
    <row r="50" spans="1:13" x14ac:dyDescent="0.25">
      <c r="A50" s="113"/>
      <c r="B50" s="114">
        <v>92231</v>
      </c>
      <c r="C50" s="109">
        <v>42033</v>
      </c>
      <c r="D50" s="115" t="s">
        <v>3222</v>
      </c>
      <c r="E50" s="114" t="s">
        <v>3223</v>
      </c>
      <c r="F50" s="115" t="s">
        <v>419</v>
      </c>
      <c r="G50" s="110"/>
      <c r="H50" s="581" t="s">
        <v>368</v>
      </c>
      <c r="I50" s="112">
        <v>1</v>
      </c>
      <c r="J50" s="116"/>
      <c r="K50" s="117"/>
      <c r="L50" s="113"/>
      <c r="M50" s="13"/>
    </row>
    <row r="51" spans="1:13" x14ac:dyDescent="0.25">
      <c r="A51" s="113"/>
      <c r="B51" s="114"/>
      <c r="C51" s="109"/>
      <c r="D51" s="115"/>
      <c r="E51" s="114"/>
      <c r="F51" s="115"/>
      <c r="G51" s="110"/>
      <c r="H51" s="581"/>
      <c r="I51" s="112"/>
      <c r="J51" s="116"/>
      <c r="K51" s="117"/>
      <c r="L51" s="113"/>
      <c r="M51" s="13"/>
    </row>
    <row r="52" spans="1:13" x14ac:dyDescent="0.25">
      <c r="A52" s="113"/>
      <c r="B52" s="114"/>
      <c r="C52" s="109"/>
      <c r="D52" s="115"/>
      <c r="E52" s="114"/>
      <c r="F52" s="115"/>
      <c r="G52" s="110"/>
      <c r="H52" s="581"/>
      <c r="I52" s="112"/>
      <c r="J52" s="116"/>
      <c r="K52" s="117"/>
      <c r="L52" s="113"/>
      <c r="M52" s="13"/>
    </row>
    <row r="53" spans="1:13" x14ac:dyDescent="0.25">
      <c r="A53" s="113"/>
      <c r="B53" s="114"/>
      <c r="C53" s="109"/>
      <c r="D53" s="115"/>
      <c r="E53" s="114"/>
      <c r="F53" s="115"/>
      <c r="G53" s="110"/>
      <c r="H53" s="581"/>
      <c r="I53" s="112"/>
      <c r="J53" s="116"/>
      <c r="K53" s="117"/>
      <c r="L53" s="113"/>
      <c r="M53" s="13"/>
    </row>
    <row r="54" spans="1:13" x14ac:dyDescent="0.25">
      <c r="A54" s="113"/>
      <c r="B54" s="114"/>
      <c r="C54" s="109"/>
      <c r="D54" s="115"/>
      <c r="E54" s="114"/>
      <c r="F54" s="115"/>
      <c r="G54" s="110"/>
      <c r="H54" s="581"/>
      <c r="I54" s="112"/>
      <c r="J54" s="116"/>
      <c r="K54" s="117"/>
      <c r="L54" s="113"/>
      <c r="M54" s="13"/>
    </row>
    <row r="55" spans="1:13" x14ac:dyDescent="0.25">
      <c r="A55" s="113"/>
      <c r="B55" s="114"/>
      <c r="C55" s="109"/>
      <c r="D55" s="115"/>
      <c r="E55" s="114"/>
      <c r="F55" s="115"/>
      <c r="G55" s="110"/>
      <c r="H55" s="581"/>
      <c r="I55" s="112"/>
      <c r="J55" s="116"/>
      <c r="K55" s="117"/>
      <c r="L55" s="113"/>
      <c r="M55" s="13"/>
    </row>
  </sheetData>
  <autoFilter ref="A28:M28">
    <sortState ref="A30:M33">
      <sortCondition ref="L10"/>
    </sortState>
  </autoFilter>
  <mergeCells count="11">
    <mergeCell ref="L9:M9"/>
    <mergeCell ref="A7:B7"/>
    <mergeCell ref="A8:B8"/>
    <mergeCell ref="A36:K36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M89"/>
  <sheetViews>
    <sheetView zoomScale="90" zoomScaleNormal="90" workbookViewId="0">
      <pane ySplit="9" topLeftCell="A46" activePane="bottomLeft" state="frozen"/>
      <selection activeCell="C15" sqref="C15"/>
      <selection pane="bottomLeft" activeCell="F56" sqref="F5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35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hidden="1" customHeight="1" outlineLevel="1" x14ac:dyDescent="0.25">
      <c r="A3" s="612" t="s">
        <v>156</v>
      </c>
      <c r="B3" s="612"/>
      <c r="C3" s="94" t="str">
        <f>IFERROR(VLOOKUP($A$2,DATOS!$A$2:$N$14,2,FALSE),"SUCURSAL NO ENCONTRADA")</f>
        <v>FEISA SALUD LTDA</v>
      </c>
      <c r="H3" s="107" t="s">
        <v>164</v>
      </c>
      <c r="I3" s="94" t="str">
        <f>IFERROR(VLOOKUP($A$2,DATOS!$A$2:$N$14,8,FALSE),"SUCURSAL NO ENCONTRADA")</f>
        <v>FEDERICO CASTILLO</v>
      </c>
    </row>
    <row r="4" spans="1:13" ht="12.75" hidden="1" customHeight="1" outlineLevel="1" x14ac:dyDescent="0.25">
      <c r="A4" s="612" t="s">
        <v>157</v>
      </c>
      <c r="B4" s="612"/>
      <c r="C4" s="94" t="str">
        <f>IFERROR(VLOOKUP($A$2,DATOS!$A$2:$N$14,3,FALSE),"SUCURSAL NO ENCONTRADA")</f>
        <v>76.339.245-7</v>
      </c>
      <c r="H4" s="107" t="s">
        <v>162</v>
      </c>
      <c r="I4" s="94" t="str">
        <f>IFERROR(VLOOKUP($A$2,DATOS!$A$2:$N$14,9,FALSE),"SUCURSAL NO ENCONTRADA")</f>
        <v>fcastillo@unosalud.cl</v>
      </c>
      <c r="K4" s="84"/>
    </row>
    <row r="5" spans="1:13" ht="12.75" hidden="1" customHeight="1" outlineLevel="1" x14ac:dyDescent="0.25">
      <c r="A5" s="612" t="s">
        <v>158</v>
      </c>
      <c r="B5" s="612"/>
      <c r="C5" s="94" t="str">
        <f>IFERROR(VLOOKUP($A$2,DATOS!$A$2:$N$14,4,FALSE),"SUCURSAL NO ENCONTRADA")</f>
        <v>AVENIDA 5 DE ABRIL 33 LOCAL 35, MAIPU</v>
      </c>
      <c r="H5" s="107" t="s">
        <v>161</v>
      </c>
      <c r="I5" s="94" t="str">
        <f>IFERROR(VLOOKUP($A$2,DATOS!$A$2:$N$14,10,FALSE),"SUCURSAL NO ENCONTRADA")</f>
        <v>7856 7410</v>
      </c>
    </row>
    <row r="6" spans="1:13" ht="12.75" hidden="1" customHeight="1" outlineLevel="1" x14ac:dyDescent="0.25">
      <c r="A6" s="612" t="s">
        <v>159</v>
      </c>
      <c r="B6" s="612"/>
      <c r="C6" s="94" t="str">
        <f>IFERROR(VLOOKUP($A$2,DATOS!$A$2:$N$14,5,FALSE),"SUCURSAL NO ENCONTRADA")</f>
        <v>CENTROS DE ATENCION ODONTOLOGICA</v>
      </c>
      <c r="H6" s="107" t="s">
        <v>165</v>
      </c>
      <c r="I6" s="94" t="str">
        <f>IFERROR(VLOOKUP($A$2,DATOS!$A$2:$N$14,11,FALSE),"SUCURSAL NO ENCONTRADA")</f>
        <v>CLAUDIA</v>
      </c>
    </row>
    <row r="7" spans="1:13" ht="12.75" hidden="1" customHeight="1" outlineLevel="1" x14ac:dyDescent="0.25">
      <c r="A7" s="612" t="s">
        <v>160</v>
      </c>
      <c r="B7" s="612"/>
      <c r="C7" s="94" t="str">
        <f>IFERROR(VLOOKUP($A$2,DATOS!$A$2:$N$14,6,FALSE),"SUCURSAL NO ENCONTRADA")</f>
        <v>UNO SALUD MAIPU</v>
      </c>
      <c r="H7" s="107" t="s">
        <v>162</v>
      </c>
      <c r="I7" s="94">
        <f>IFERROR(VLOOKUP($A$2,DATOS!$A$2:$N$14,12,FALSE),"SUCURSAL NO ENCONTRADA")</f>
        <v>0</v>
      </c>
    </row>
    <row r="8" spans="1:13" ht="14.25" hidden="1" customHeight="1" outlineLevel="1" x14ac:dyDescent="0.25">
      <c r="A8" s="613" t="s">
        <v>163</v>
      </c>
      <c r="B8" s="613"/>
      <c r="C8" s="85">
        <f>IFERROR(VLOOKUP($A$2,DATOS!$A$2:$N$14,7,FALSE),"SUCURSAL NO ENCONTRADA")</f>
        <v>0</v>
      </c>
      <c r="D8" s="85"/>
      <c r="E8" s="85"/>
      <c r="F8" s="15"/>
      <c r="G8" s="14"/>
      <c r="H8" s="107" t="s">
        <v>161</v>
      </c>
      <c r="I8" s="94">
        <f>IFERROR(VLOOKUP($A$2,DATOS!$A$2:$N$14,13,FALSE),"SUCURSAL NO ENCONTRADA")</f>
        <v>0</v>
      </c>
    </row>
    <row r="9" spans="1:13" s="586" customFormat="1" ht="24.75" customHeight="1" collapsed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x14ac:dyDescent="0.25">
      <c r="A10" s="90">
        <v>1</v>
      </c>
      <c r="B10" s="90">
        <v>85719</v>
      </c>
      <c r="C10" s="93">
        <v>42011</v>
      </c>
      <c r="D10" s="91" t="s">
        <v>467</v>
      </c>
      <c r="E10" s="90" t="s">
        <v>393</v>
      </c>
      <c r="F10" s="91" t="s">
        <v>115</v>
      </c>
      <c r="G10" s="9"/>
      <c r="H10" s="12" t="s">
        <v>414</v>
      </c>
      <c r="I10" s="119">
        <v>1</v>
      </c>
      <c r="J10" s="86">
        <f>IF(F10="","",VLOOKUP(F10,ARANCEL!$E$2:$F$123,2,FALSE))</f>
        <v>5274.3600000000006</v>
      </c>
      <c r="K10" s="87">
        <f t="shared" ref="K10:K42" si="0">IF(I10=0,"",J10*I10)</f>
        <v>5274.3600000000006</v>
      </c>
      <c r="L10" s="585" t="s">
        <v>3246</v>
      </c>
      <c r="M10" s="92"/>
    </row>
    <row r="11" spans="1:13" x14ac:dyDescent="0.25">
      <c r="A11" s="90">
        <v>2</v>
      </c>
      <c r="B11" s="90">
        <v>85719</v>
      </c>
      <c r="C11" s="93">
        <v>42011</v>
      </c>
      <c r="D11" s="91" t="s">
        <v>467</v>
      </c>
      <c r="E11" s="90" t="s">
        <v>393</v>
      </c>
      <c r="F11" s="91" t="s">
        <v>208</v>
      </c>
      <c r="G11" s="9"/>
      <c r="H11" s="12" t="s">
        <v>414</v>
      </c>
      <c r="I11" s="119">
        <v>1</v>
      </c>
      <c r="J11" s="86">
        <f>IF(F11="","",VLOOKUP(F11,ARANCEL!$E$2:$F$123,2,FALSE))</f>
        <v>14098.999999999998</v>
      </c>
      <c r="K11" s="87">
        <f t="shared" si="0"/>
        <v>14098.999999999998</v>
      </c>
      <c r="L11" s="585" t="s">
        <v>3246</v>
      </c>
      <c r="M11" s="92"/>
    </row>
    <row r="12" spans="1:13" x14ac:dyDescent="0.25">
      <c r="A12" s="90">
        <v>3</v>
      </c>
      <c r="B12" s="90">
        <v>85541</v>
      </c>
      <c r="C12" s="93">
        <v>42010</v>
      </c>
      <c r="D12" s="91" t="s">
        <v>457</v>
      </c>
      <c r="E12" s="90" t="s">
        <v>453</v>
      </c>
      <c r="F12" s="91" t="s">
        <v>353</v>
      </c>
      <c r="G12" s="9"/>
      <c r="H12" s="12" t="s">
        <v>368</v>
      </c>
      <c r="I12" s="119">
        <v>1</v>
      </c>
      <c r="J12" s="86">
        <f>IF(F12="","",VLOOKUP(F12,ARANCEL!$E$2:$F$123,2,FALSE))</f>
        <v>55057.687499999993</v>
      </c>
      <c r="K12" s="87">
        <f t="shared" si="0"/>
        <v>55057.687499999993</v>
      </c>
      <c r="L12" s="585" t="s">
        <v>3246</v>
      </c>
      <c r="M12" s="92"/>
    </row>
    <row r="13" spans="1:13" x14ac:dyDescent="0.25">
      <c r="A13" s="90">
        <v>4</v>
      </c>
      <c r="B13" s="101">
        <v>85186</v>
      </c>
      <c r="C13" s="102">
        <v>42009</v>
      </c>
      <c r="D13" s="103" t="s">
        <v>458</v>
      </c>
      <c r="E13" s="101" t="s">
        <v>453</v>
      </c>
      <c r="F13" s="103" t="s">
        <v>114</v>
      </c>
      <c r="G13" s="104"/>
      <c r="H13" s="98" t="s">
        <v>397</v>
      </c>
      <c r="I13" s="105">
        <v>2</v>
      </c>
      <c r="J13" s="86">
        <f>IF(F13="","",VLOOKUP(F13,ARANCEL!$E$2:$F$123,2,FALSE))</f>
        <v>33370.239999999998</v>
      </c>
      <c r="K13" s="100">
        <f t="shared" si="0"/>
        <v>66740.479999999996</v>
      </c>
      <c r="L13" s="585" t="s">
        <v>3246</v>
      </c>
      <c r="M13" s="99"/>
    </row>
    <row r="14" spans="1:13" x14ac:dyDescent="0.25">
      <c r="A14" s="90">
        <v>5</v>
      </c>
      <c r="B14" s="101">
        <v>85123</v>
      </c>
      <c r="C14" s="102">
        <v>42004</v>
      </c>
      <c r="D14" s="103" t="s">
        <v>468</v>
      </c>
      <c r="E14" s="101" t="s">
        <v>453</v>
      </c>
      <c r="F14" s="103" t="s">
        <v>115</v>
      </c>
      <c r="G14" s="104"/>
      <c r="H14" s="98" t="s">
        <v>431</v>
      </c>
      <c r="I14" s="105">
        <v>1</v>
      </c>
      <c r="J14" s="86">
        <f>IF(F14="","",VLOOKUP(F14,ARANCEL!$E$2:$F$123,2,FALSE))</f>
        <v>5274.3600000000006</v>
      </c>
      <c r="K14" s="100">
        <f t="shared" si="0"/>
        <v>5274.3600000000006</v>
      </c>
      <c r="L14" s="585" t="s">
        <v>3246</v>
      </c>
      <c r="M14" s="99"/>
    </row>
    <row r="15" spans="1:13" x14ac:dyDescent="0.25">
      <c r="A15" s="90">
        <v>6</v>
      </c>
      <c r="B15" s="101">
        <v>85123</v>
      </c>
      <c r="C15" s="102">
        <v>42004</v>
      </c>
      <c r="D15" s="103" t="s">
        <v>468</v>
      </c>
      <c r="E15" s="101" t="s">
        <v>453</v>
      </c>
      <c r="F15" s="103" t="s">
        <v>202</v>
      </c>
      <c r="G15" s="104"/>
      <c r="H15" s="98" t="s">
        <v>469</v>
      </c>
      <c r="I15" s="105">
        <v>1</v>
      </c>
      <c r="J15" s="86">
        <f>IF(F15="","",VLOOKUP(F15,ARANCEL!$E$2:$F$123,2,FALSE))</f>
        <v>17243.560000000001</v>
      </c>
      <c r="K15" s="100">
        <f t="shared" ref="K15:K17" si="1">IF(I15=0,"",J15*I15)</f>
        <v>17243.560000000001</v>
      </c>
      <c r="L15" s="585" t="s">
        <v>3246</v>
      </c>
      <c r="M15" s="99"/>
    </row>
    <row r="16" spans="1:13" x14ac:dyDescent="0.25">
      <c r="A16" s="90">
        <v>7</v>
      </c>
      <c r="B16" s="101">
        <v>82219</v>
      </c>
      <c r="C16" s="102">
        <v>41995</v>
      </c>
      <c r="D16" s="103" t="s">
        <v>364</v>
      </c>
      <c r="E16" s="101" t="s">
        <v>365</v>
      </c>
      <c r="F16" s="103" t="s">
        <v>537</v>
      </c>
      <c r="G16" s="104"/>
      <c r="H16" s="98" t="s">
        <v>366</v>
      </c>
      <c r="I16" s="105">
        <v>1</v>
      </c>
      <c r="J16" s="95">
        <v>-18764</v>
      </c>
      <c r="K16" s="95">
        <f t="shared" si="1"/>
        <v>-18764</v>
      </c>
      <c r="L16" s="585" t="s">
        <v>3246</v>
      </c>
      <c r="M16" s="99" t="s">
        <v>538</v>
      </c>
    </row>
    <row r="17" spans="1:13" x14ac:dyDescent="0.25">
      <c r="A17" s="90">
        <v>8</v>
      </c>
      <c r="B17" s="101">
        <v>87024</v>
      </c>
      <c r="C17" s="102">
        <v>42016</v>
      </c>
      <c r="D17" s="103" t="s">
        <v>3070</v>
      </c>
      <c r="E17" s="101" t="s">
        <v>393</v>
      </c>
      <c r="F17" s="103" t="s">
        <v>115</v>
      </c>
      <c r="G17" s="104"/>
      <c r="H17" s="98" t="s">
        <v>397</v>
      </c>
      <c r="I17" s="105">
        <v>2</v>
      </c>
      <c r="J17" s="86">
        <f>IF(F17="","",VLOOKUP(F17,ARANCEL!$E$2:$F$123,2,FALSE))</f>
        <v>5274.3600000000006</v>
      </c>
      <c r="K17" s="100">
        <f t="shared" si="1"/>
        <v>10548.720000000001</v>
      </c>
      <c r="L17" s="585" t="s">
        <v>3246</v>
      </c>
      <c r="M17" s="99"/>
    </row>
    <row r="18" spans="1:13" x14ac:dyDescent="0.25">
      <c r="A18" s="90">
        <v>9</v>
      </c>
      <c r="B18" s="101">
        <v>87068</v>
      </c>
      <c r="C18" s="102">
        <v>42016</v>
      </c>
      <c r="D18" s="103" t="s">
        <v>1105</v>
      </c>
      <c r="E18" s="101" t="s">
        <v>393</v>
      </c>
      <c r="F18" s="103" t="s">
        <v>208</v>
      </c>
      <c r="G18" s="104"/>
      <c r="H18" s="98" t="s">
        <v>397</v>
      </c>
      <c r="I18" s="105">
        <v>2</v>
      </c>
      <c r="J18" s="86">
        <f>IF(F18="","",VLOOKUP(F18,ARANCEL!$E$2:$F$123,2,FALSE))</f>
        <v>14098.999999999998</v>
      </c>
      <c r="K18" s="100">
        <f t="shared" si="0"/>
        <v>28197.999999999996</v>
      </c>
      <c r="L18" s="585" t="s">
        <v>3246</v>
      </c>
      <c r="M18" s="99"/>
    </row>
    <row r="19" spans="1:13" x14ac:dyDescent="0.25">
      <c r="A19" s="90">
        <v>10</v>
      </c>
      <c r="B19" s="101">
        <v>85377</v>
      </c>
      <c r="C19" s="102">
        <v>42009</v>
      </c>
      <c r="D19" s="103" t="s">
        <v>1174</v>
      </c>
      <c r="E19" s="101" t="s">
        <v>453</v>
      </c>
      <c r="F19" s="103" t="s">
        <v>534</v>
      </c>
      <c r="G19" s="104"/>
      <c r="H19" s="98" t="s">
        <v>508</v>
      </c>
      <c r="I19" s="105">
        <v>1</v>
      </c>
      <c r="J19" s="86">
        <f>IF(F19="","",VLOOKUP(F19,ARANCEL!$E$2:$F$123,2,FALSE))</f>
        <v>30428.999999999996</v>
      </c>
      <c r="K19" s="100">
        <f t="shared" si="0"/>
        <v>30428.999999999996</v>
      </c>
      <c r="L19" s="585" t="s">
        <v>3246</v>
      </c>
      <c r="M19" s="99"/>
    </row>
    <row r="20" spans="1:13" x14ac:dyDescent="0.25">
      <c r="A20" s="101">
        <v>11</v>
      </c>
      <c r="B20" s="101">
        <v>86400</v>
      </c>
      <c r="C20" s="102">
        <v>42017</v>
      </c>
      <c r="D20" s="103" t="s">
        <v>1179</v>
      </c>
      <c r="E20" s="101" t="s">
        <v>453</v>
      </c>
      <c r="F20" s="103" t="s">
        <v>534</v>
      </c>
      <c r="G20" s="104"/>
      <c r="H20" s="98" t="s">
        <v>508</v>
      </c>
      <c r="I20" s="105">
        <v>1</v>
      </c>
      <c r="J20" s="86">
        <f>IF(F20="","",VLOOKUP(F20,ARANCEL!$E$2:$F$123,2,FALSE))</f>
        <v>30428.999999999996</v>
      </c>
      <c r="K20" s="100">
        <f t="shared" si="0"/>
        <v>30428.999999999996</v>
      </c>
      <c r="L20" s="585" t="s">
        <v>3246</v>
      </c>
      <c r="M20" s="99"/>
    </row>
    <row r="21" spans="1:13" x14ac:dyDescent="0.25">
      <c r="A21" s="101">
        <v>12</v>
      </c>
      <c r="B21" s="101">
        <v>86166</v>
      </c>
      <c r="C21" s="102">
        <v>42012</v>
      </c>
      <c r="D21" s="103" t="s">
        <v>3072</v>
      </c>
      <c r="E21" s="101" t="s">
        <v>453</v>
      </c>
      <c r="F21" s="103" t="s">
        <v>534</v>
      </c>
      <c r="G21" s="104"/>
      <c r="H21" s="98" t="s">
        <v>389</v>
      </c>
      <c r="I21" s="105">
        <v>1</v>
      </c>
      <c r="J21" s="86">
        <f>IF(F21="","",VLOOKUP(F21,ARANCEL!$E$2:$F$123,2,FALSE))</f>
        <v>30428.999999999996</v>
      </c>
      <c r="K21" s="100">
        <f t="shared" si="0"/>
        <v>30428.999999999996</v>
      </c>
      <c r="L21" s="585" t="s">
        <v>3246</v>
      </c>
      <c r="M21" s="99"/>
    </row>
    <row r="22" spans="1:13" x14ac:dyDescent="0.25">
      <c r="A22" s="101">
        <v>13</v>
      </c>
      <c r="B22" s="101">
        <v>86504</v>
      </c>
      <c r="C22" s="102">
        <v>42011</v>
      </c>
      <c r="D22" s="103" t="s">
        <v>465</v>
      </c>
      <c r="E22" s="101" t="s">
        <v>393</v>
      </c>
      <c r="F22" s="103" t="s">
        <v>114</v>
      </c>
      <c r="G22" s="104"/>
      <c r="H22" s="98" t="s">
        <v>439</v>
      </c>
      <c r="I22" s="105">
        <v>1</v>
      </c>
      <c r="J22" s="86">
        <f>IF(F22="","",VLOOKUP(F22,ARANCEL!$E$2:$F$123,2,FALSE))</f>
        <v>33370.239999999998</v>
      </c>
      <c r="K22" s="100">
        <f t="shared" si="0"/>
        <v>33370.239999999998</v>
      </c>
      <c r="L22" s="585" t="s">
        <v>3246</v>
      </c>
      <c r="M22" s="99"/>
    </row>
    <row r="23" spans="1:13" x14ac:dyDescent="0.25">
      <c r="A23" s="101">
        <v>14</v>
      </c>
      <c r="B23" s="101">
        <v>86503</v>
      </c>
      <c r="C23" s="102">
        <v>42011</v>
      </c>
      <c r="D23" s="103" t="s">
        <v>3076</v>
      </c>
      <c r="E23" s="101" t="s">
        <v>393</v>
      </c>
      <c r="F23" s="103" t="s">
        <v>334</v>
      </c>
      <c r="G23" s="104"/>
      <c r="H23" s="98" t="s">
        <v>414</v>
      </c>
      <c r="I23" s="105">
        <v>1</v>
      </c>
      <c r="J23" s="86">
        <f>IF(F23="","",VLOOKUP(F23,ARANCEL!$E$2:$F$123,2,FALSE))</f>
        <v>29439.999999999996</v>
      </c>
      <c r="K23" s="100">
        <f t="shared" si="0"/>
        <v>29439.999999999996</v>
      </c>
      <c r="L23" s="585" t="s">
        <v>3246</v>
      </c>
      <c r="M23" s="99"/>
    </row>
    <row r="24" spans="1:13" x14ac:dyDescent="0.25">
      <c r="A24" s="101">
        <v>15</v>
      </c>
      <c r="B24" s="101">
        <v>86723</v>
      </c>
      <c r="C24" s="102">
        <v>42013</v>
      </c>
      <c r="D24" s="103" t="s">
        <v>3073</v>
      </c>
      <c r="E24" s="101" t="s">
        <v>3074</v>
      </c>
      <c r="F24" s="103" t="s">
        <v>195</v>
      </c>
      <c r="G24" s="104"/>
      <c r="H24" s="98" t="s">
        <v>389</v>
      </c>
      <c r="I24" s="105">
        <v>1</v>
      </c>
      <c r="J24" s="86">
        <f>IF(F24="","",VLOOKUP(F24,ARANCEL!$E$2:$F$123,2,FALSE))</f>
        <v>2738.8399999999997</v>
      </c>
      <c r="K24" s="100">
        <f t="shared" si="0"/>
        <v>2738.8399999999997</v>
      </c>
      <c r="L24" s="585" t="s">
        <v>3246</v>
      </c>
      <c r="M24" s="99"/>
    </row>
    <row r="25" spans="1:13" x14ac:dyDescent="0.25">
      <c r="A25" s="101">
        <v>16</v>
      </c>
      <c r="B25" s="101">
        <v>87628</v>
      </c>
      <c r="C25" s="102">
        <v>42016</v>
      </c>
      <c r="D25" s="103" t="s">
        <v>464</v>
      </c>
      <c r="E25" s="101" t="s">
        <v>393</v>
      </c>
      <c r="F25" s="103" t="s">
        <v>186</v>
      </c>
      <c r="G25" s="104"/>
      <c r="H25" s="98" t="s">
        <v>439</v>
      </c>
      <c r="I25" s="105">
        <v>1</v>
      </c>
      <c r="J25" s="86">
        <f>IF(F25="","",VLOOKUP(F25,ARANCEL!$E$2:$F$123,2,FALSE))</f>
        <v>42600.6</v>
      </c>
      <c r="K25" s="100">
        <f t="shared" si="0"/>
        <v>42600.6</v>
      </c>
      <c r="L25" s="585" t="s">
        <v>3246</v>
      </c>
      <c r="M25" s="99"/>
    </row>
    <row r="26" spans="1:13" x14ac:dyDescent="0.25">
      <c r="A26" s="101">
        <v>17</v>
      </c>
      <c r="B26" s="101">
        <v>87553</v>
      </c>
      <c r="C26" s="102">
        <v>42017</v>
      </c>
      <c r="D26" s="103" t="s">
        <v>3077</v>
      </c>
      <c r="E26" s="101" t="s">
        <v>453</v>
      </c>
      <c r="F26" s="103" t="s">
        <v>534</v>
      </c>
      <c r="G26" s="104"/>
      <c r="H26" s="98" t="s">
        <v>439</v>
      </c>
      <c r="I26" s="105">
        <v>1</v>
      </c>
      <c r="J26" s="86">
        <f>IF(F26="","",VLOOKUP(F26,ARANCEL!$E$2:$F$123,2,FALSE))</f>
        <v>30428.999999999996</v>
      </c>
      <c r="K26" s="100">
        <f t="shared" si="0"/>
        <v>30428.999999999996</v>
      </c>
      <c r="L26" s="585" t="s">
        <v>3246</v>
      </c>
      <c r="M26" s="99"/>
    </row>
    <row r="27" spans="1:13" x14ac:dyDescent="0.25">
      <c r="A27" s="101">
        <v>18</v>
      </c>
      <c r="B27" s="101">
        <v>87482</v>
      </c>
      <c r="C27" s="102">
        <v>42017</v>
      </c>
      <c r="D27" s="103" t="s">
        <v>1185</v>
      </c>
      <c r="E27" s="101" t="s">
        <v>453</v>
      </c>
      <c r="F27" s="103" t="s">
        <v>534</v>
      </c>
      <c r="G27" s="104"/>
      <c r="H27" s="98" t="s">
        <v>412</v>
      </c>
      <c r="I27" s="105">
        <v>1</v>
      </c>
      <c r="J27" s="86">
        <f>IF(F27="","",VLOOKUP(F27,ARANCEL!$E$2:$F$123,2,FALSE))</f>
        <v>30428.999999999996</v>
      </c>
      <c r="K27" s="100">
        <f t="shared" si="0"/>
        <v>30428.999999999996</v>
      </c>
      <c r="L27" s="585" t="s">
        <v>3246</v>
      </c>
      <c r="M27" s="99"/>
    </row>
    <row r="28" spans="1:13" x14ac:dyDescent="0.25">
      <c r="A28" s="101">
        <v>19</v>
      </c>
      <c r="B28" s="101">
        <v>87634</v>
      </c>
      <c r="C28" s="102">
        <v>42017</v>
      </c>
      <c r="D28" s="103" t="s">
        <v>3078</v>
      </c>
      <c r="E28" s="101" t="s">
        <v>453</v>
      </c>
      <c r="F28" s="103" t="s">
        <v>115</v>
      </c>
      <c r="G28" s="104"/>
      <c r="H28" s="98" t="s">
        <v>442</v>
      </c>
      <c r="I28" s="105">
        <v>1</v>
      </c>
      <c r="J28" s="86">
        <f>IF(F28="","",VLOOKUP(F28,ARANCEL!$E$2:$F$123,2,FALSE))</f>
        <v>5274.3600000000006</v>
      </c>
      <c r="K28" s="100">
        <f t="shared" si="0"/>
        <v>5274.3600000000006</v>
      </c>
      <c r="L28" s="585" t="s">
        <v>3246</v>
      </c>
      <c r="M28" s="99"/>
    </row>
    <row r="29" spans="1:13" x14ac:dyDescent="0.25">
      <c r="A29" s="101">
        <v>20</v>
      </c>
      <c r="B29" s="101">
        <v>87728</v>
      </c>
      <c r="C29" s="102">
        <v>42017</v>
      </c>
      <c r="D29" s="103" t="s">
        <v>3079</v>
      </c>
      <c r="E29" s="101" t="s">
        <v>453</v>
      </c>
      <c r="F29" s="103" t="s">
        <v>534</v>
      </c>
      <c r="G29" s="104"/>
      <c r="H29" s="98" t="s">
        <v>414</v>
      </c>
      <c r="I29" s="105">
        <v>1</v>
      </c>
      <c r="J29" s="86">
        <f>IF(F29="","",VLOOKUP(F29,ARANCEL!$E$2:$F$123,2,FALSE))</f>
        <v>30428.999999999996</v>
      </c>
      <c r="K29" s="100">
        <f t="shared" si="0"/>
        <v>30428.999999999996</v>
      </c>
      <c r="L29" s="585" t="s">
        <v>3246</v>
      </c>
      <c r="M29" s="99"/>
    </row>
    <row r="30" spans="1:13" x14ac:dyDescent="0.25">
      <c r="A30" s="101">
        <v>21</v>
      </c>
      <c r="B30" s="101">
        <v>88019</v>
      </c>
      <c r="C30" s="102">
        <v>42017</v>
      </c>
      <c r="D30" s="103" t="s">
        <v>3080</v>
      </c>
      <c r="E30" s="101" t="s">
        <v>393</v>
      </c>
      <c r="F30" s="103" t="s">
        <v>115</v>
      </c>
      <c r="G30" s="104"/>
      <c r="H30" s="98" t="s">
        <v>524</v>
      </c>
      <c r="I30" s="105">
        <v>1</v>
      </c>
      <c r="J30" s="86">
        <f>IF(F30="","",VLOOKUP(F30,ARANCEL!$E$2:$F$123,2,FALSE))</f>
        <v>5274.3600000000006</v>
      </c>
      <c r="K30" s="100">
        <f t="shared" si="0"/>
        <v>5274.3600000000006</v>
      </c>
      <c r="L30" s="585" t="s">
        <v>3246</v>
      </c>
      <c r="M30" s="99"/>
    </row>
    <row r="31" spans="1:13" x14ac:dyDescent="0.25">
      <c r="A31" s="101">
        <v>22</v>
      </c>
      <c r="B31" s="101">
        <v>88019</v>
      </c>
      <c r="C31" s="102">
        <v>42017</v>
      </c>
      <c r="D31" s="103" t="s">
        <v>3080</v>
      </c>
      <c r="E31" s="101" t="s">
        <v>393</v>
      </c>
      <c r="F31" s="103" t="s">
        <v>208</v>
      </c>
      <c r="G31" s="104"/>
      <c r="H31" s="98" t="s">
        <v>524</v>
      </c>
      <c r="I31" s="105">
        <v>1</v>
      </c>
      <c r="J31" s="86">
        <f>IF(F31="","",VLOOKUP(F31,ARANCEL!$E$2:$F$123,2,FALSE))</f>
        <v>14098.999999999998</v>
      </c>
      <c r="K31" s="100">
        <f t="shared" si="0"/>
        <v>14098.999999999998</v>
      </c>
      <c r="L31" s="585" t="s">
        <v>3246</v>
      </c>
      <c r="M31" s="99"/>
    </row>
    <row r="32" spans="1:13" x14ac:dyDescent="0.25">
      <c r="A32" s="101">
        <v>23</v>
      </c>
      <c r="B32" s="101">
        <v>87899</v>
      </c>
      <c r="C32" s="102">
        <v>42017</v>
      </c>
      <c r="D32" s="103" t="s">
        <v>3081</v>
      </c>
      <c r="E32" s="101" t="s">
        <v>453</v>
      </c>
      <c r="F32" s="103" t="s">
        <v>355</v>
      </c>
      <c r="G32" s="104"/>
      <c r="H32" s="98" t="s">
        <v>368</v>
      </c>
      <c r="I32" s="105">
        <v>1</v>
      </c>
      <c r="J32" s="86">
        <f>IF(F32="","",VLOOKUP(F32,ARANCEL!$E$2:$F$123,2,FALSE))</f>
        <v>25800.249999999996</v>
      </c>
      <c r="K32" s="100">
        <f t="shared" si="0"/>
        <v>25800.249999999996</v>
      </c>
      <c r="L32" s="585" t="s">
        <v>3246</v>
      </c>
      <c r="M32" s="99"/>
    </row>
    <row r="33" spans="1:13" x14ac:dyDescent="0.25">
      <c r="A33" s="101">
        <v>24</v>
      </c>
      <c r="B33" s="101">
        <v>88172</v>
      </c>
      <c r="C33" s="102">
        <v>42018</v>
      </c>
      <c r="D33" s="103" t="s">
        <v>3082</v>
      </c>
      <c r="E33" s="101" t="s">
        <v>393</v>
      </c>
      <c r="F33" s="103" t="s">
        <v>534</v>
      </c>
      <c r="G33" s="104"/>
      <c r="H33" s="98" t="s">
        <v>469</v>
      </c>
      <c r="I33" s="105">
        <v>1</v>
      </c>
      <c r="J33" s="86">
        <f>IF(F33="","",VLOOKUP(F33,ARANCEL!$E$2:$F$123,2,FALSE))</f>
        <v>30428.999999999996</v>
      </c>
      <c r="K33" s="100">
        <f t="shared" si="0"/>
        <v>30428.999999999996</v>
      </c>
      <c r="L33" s="585" t="s">
        <v>3246</v>
      </c>
      <c r="M33" s="99"/>
    </row>
    <row r="34" spans="1:13" x14ac:dyDescent="0.25">
      <c r="A34" s="101">
        <v>25</v>
      </c>
      <c r="B34" s="101">
        <v>88323</v>
      </c>
      <c r="C34" s="102">
        <v>42020</v>
      </c>
      <c r="D34" s="103" t="s">
        <v>3083</v>
      </c>
      <c r="E34" s="101" t="s">
        <v>453</v>
      </c>
      <c r="F34" s="103" t="s">
        <v>114</v>
      </c>
      <c r="G34" s="104"/>
      <c r="H34" s="98" t="s">
        <v>389</v>
      </c>
      <c r="I34" s="105">
        <v>1</v>
      </c>
      <c r="J34" s="86">
        <f>IF(F34="","",VLOOKUP(F34,ARANCEL!$E$2:$F$123,2,FALSE))</f>
        <v>33370.239999999998</v>
      </c>
      <c r="K34" s="100">
        <f t="shared" si="0"/>
        <v>33370.239999999998</v>
      </c>
      <c r="L34" s="585" t="s">
        <v>3246</v>
      </c>
      <c r="M34" s="99"/>
    </row>
    <row r="35" spans="1:13" x14ac:dyDescent="0.25">
      <c r="A35" s="101">
        <v>26</v>
      </c>
      <c r="B35" s="101">
        <v>88508</v>
      </c>
      <c r="C35" s="102">
        <v>42018</v>
      </c>
      <c r="D35" s="103" t="s">
        <v>463</v>
      </c>
      <c r="E35" s="101" t="s">
        <v>453</v>
      </c>
      <c r="F35" s="103" t="s">
        <v>353</v>
      </c>
      <c r="G35" s="104"/>
      <c r="H35" s="98" t="s">
        <v>368</v>
      </c>
      <c r="I35" s="105">
        <v>1</v>
      </c>
      <c r="J35" s="86">
        <f>IF(F35="","",VLOOKUP(F35,ARANCEL!$E$2:$F$123,2,FALSE))</f>
        <v>55057.687499999993</v>
      </c>
      <c r="K35" s="100">
        <f t="shared" si="0"/>
        <v>55057.687499999993</v>
      </c>
      <c r="L35" s="585" t="s">
        <v>3246</v>
      </c>
      <c r="M35" s="99"/>
    </row>
    <row r="36" spans="1:13" x14ac:dyDescent="0.25">
      <c r="A36" s="101">
        <v>27</v>
      </c>
      <c r="B36" s="101">
        <v>89055</v>
      </c>
      <c r="C36" s="102">
        <v>42020</v>
      </c>
      <c r="D36" s="103" t="s">
        <v>3085</v>
      </c>
      <c r="E36" s="101" t="s">
        <v>453</v>
      </c>
      <c r="F36" s="103" t="s">
        <v>215</v>
      </c>
      <c r="G36" s="104"/>
      <c r="H36" s="98" t="s">
        <v>368</v>
      </c>
      <c r="I36" s="105">
        <v>1</v>
      </c>
      <c r="J36" s="86">
        <f>IF(F36="","",VLOOKUP(F36,ARANCEL!$E$2:$F$123,2,FALSE))</f>
        <v>44597.287499999999</v>
      </c>
      <c r="K36" s="100">
        <f t="shared" si="0"/>
        <v>44597.287499999999</v>
      </c>
      <c r="L36" s="585" t="s">
        <v>3246</v>
      </c>
      <c r="M36" s="99"/>
    </row>
    <row r="37" spans="1:13" x14ac:dyDescent="0.25">
      <c r="A37" s="101">
        <v>28</v>
      </c>
      <c r="B37" s="101">
        <v>89307</v>
      </c>
      <c r="C37" s="102">
        <v>42020</v>
      </c>
      <c r="D37" s="103" t="s">
        <v>3086</v>
      </c>
      <c r="E37" s="101" t="s">
        <v>453</v>
      </c>
      <c r="F37" s="103" t="s">
        <v>230</v>
      </c>
      <c r="G37" s="104"/>
      <c r="H37" s="98" t="s">
        <v>368</v>
      </c>
      <c r="I37" s="105">
        <v>1</v>
      </c>
      <c r="J37" s="86">
        <f>IF(F37="","",VLOOKUP(F37,ARANCEL!$E$2:$F$123,2,FALSE))</f>
        <v>17243.560000000001</v>
      </c>
      <c r="K37" s="100">
        <f t="shared" si="0"/>
        <v>17243.560000000001</v>
      </c>
      <c r="L37" s="585" t="s">
        <v>3246</v>
      </c>
      <c r="M37" s="99"/>
    </row>
    <row r="38" spans="1:13" x14ac:dyDescent="0.25">
      <c r="A38" s="101">
        <v>29</v>
      </c>
      <c r="B38" s="101">
        <v>89821</v>
      </c>
      <c r="C38" s="102">
        <v>42024</v>
      </c>
      <c r="D38" s="103" t="s">
        <v>3159</v>
      </c>
      <c r="E38" s="101" t="s">
        <v>453</v>
      </c>
      <c r="F38" s="103" t="s">
        <v>115</v>
      </c>
      <c r="G38" s="104"/>
      <c r="H38" s="98" t="s">
        <v>416</v>
      </c>
      <c r="I38" s="105">
        <v>1</v>
      </c>
      <c r="J38" s="86">
        <f>IF(F38="","",VLOOKUP(F38,ARANCEL!$E$2:$F$123,2,FALSE))</f>
        <v>5274.3600000000006</v>
      </c>
      <c r="K38" s="100">
        <f t="shared" si="0"/>
        <v>5274.3600000000006</v>
      </c>
      <c r="L38" s="585" t="s">
        <v>3246</v>
      </c>
      <c r="M38" s="99"/>
    </row>
    <row r="39" spans="1:13" x14ac:dyDescent="0.25">
      <c r="A39" s="101">
        <v>30</v>
      </c>
      <c r="B39" s="101">
        <v>89821</v>
      </c>
      <c r="C39" s="102">
        <v>42024</v>
      </c>
      <c r="D39" s="103" t="s">
        <v>3159</v>
      </c>
      <c r="E39" s="101" t="s">
        <v>453</v>
      </c>
      <c r="F39" s="103" t="s">
        <v>534</v>
      </c>
      <c r="G39" s="104"/>
      <c r="H39" s="98" t="s">
        <v>416</v>
      </c>
      <c r="I39" s="105">
        <v>1</v>
      </c>
      <c r="J39" s="86">
        <f>IF(F39="","",VLOOKUP(F39,ARANCEL!$E$2:$F$123,2,FALSE))</f>
        <v>30428.999999999996</v>
      </c>
      <c r="K39" s="100">
        <f t="shared" si="0"/>
        <v>30428.999999999996</v>
      </c>
      <c r="L39" s="585" t="s">
        <v>3246</v>
      </c>
      <c r="M39" s="99"/>
    </row>
    <row r="40" spans="1:13" x14ac:dyDescent="0.25">
      <c r="A40" s="101">
        <v>31</v>
      </c>
      <c r="B40" s="101">
        <v>90113</v>
      </c>
      <c r="C40" s="102">
        <v>42024</v>
      </c>
      <c r="D40" s="103" t="s">
        <v>3071</v>
      </c>
      <c r="E40" s="101" t="s">
        <v>453</v>
      </c>
      <c r="F40" s="103" t="s">
        <v>190</v>
      </c>
      <c r="G40" s="104"/>
      <c r="H40" s="98" t="s">
        <v>1001</v>
      </c>
      <c r="I40" s="105">
        <v>4</v>
      </c>
      <c r="J40" s="86">
        <f>IF(F40="","",VLOOKUP(F40,ARANCEL!$E$2:$F$123,2,FALSE))</f>
        <v>57959.999999999993</v>
      </c>
      <c r="K40" s="100">
        <f t="shared" si="0"/>
        <v>231839.99999999997</v>
      </c>
      <c r="L40" s="585" t="s">
        <v>3246</v>
      </c>
      <c r="M40" s="99"/>
    </row>
    <row r="41" spans="1:13" x14ac:dyDescent="0.25">
      <c r="A41" s="101">
        <v>32</v>
      </c>
      <c r="B41" s="101">
        <v>90294</v>
      </c>
      <c r="C41" s="102">
        <v>42024</v>
      </c>
      <c r="D41" s="103" t="s">
        <v>466</v>
      </c>
      <c r="E41" s="101" t="s">
        <v>453</v>
      </c>
      <c r="F41" s="103" t="s">
        <v>353</v>
      </c>
      <c r="G41" s="104"/>
      <c r="H41" s="98" t="s">
        <v>368</v>
      </c>
      <c r="I41" s="105">
        <v>1</v>
      </c>
      <c r="J41" s="86">
        <f>IF(F41="","",VLOOKUP(F41,ARANCEL!$E$2:$F$123,2,FALSE))</f>
        <v>55057.687499999993</v>
      </c>
      <c r="K41" s="100">
        <f t="shared" si="0"/>
        <v>55057.687499999993</v>
      </c>
      <c r="L41" s="585" t="s">
        <v>3246</v>
      </c>
      <c r="M41" s="99"/>
    </row>
    <row r="42" spans="1:13" x14ac:dyDescent="0.25">
      <c r="A42" s="101">
        <v>33</v>
      </c>
      <c r="B42" s="101">
        <v>90267</v>
      </c>
      <c r="C42" s="102">
        <v>42024</v>
      </c>
      <c r="D42" s="103" t="s">
        <v>3162</v>
      </c>
      <c r="E42" s="101" t="s">
        <v>453</v>
      </c>
      <c r="F42" s="103" t="s">
        <v>215</v>
      </c>
      <c r="G42" s="104"/>
      <c r="H42" s="98" t="s">
        <v>368</v>
      </c>
      <c r="I42" s="105">
        <v>1</v>
      </c>
      <c r="J42" s="86">
        <f>IF(F42="","",VLOOKUP(F42,ARANCEL!$E$2:$F$123,2,FALSE))</f>
        <v>44597.287499999999</v>
      </c>
      <c r="K42" s="100">
        <f t="shared" si="0"/>
        <v>44597.287499999999</v>
      </c>
      <c r="L42" s="585" t="s">
        <v>3246</v>
      </c>
      <c r="M42" s="99"/>
    </row>
    <row r="43" spans="1:13" x14ac:dyDescent="0.25">
      <c r="A43" s="90">
        <v>34</v>
      </c>
      <c r="B43" s="101">
        <v>90521</v>
      </c>
      <c r="C43" s="102">
        <v>42025</v>
      </c>
      <c r="D43" s="103" t="s">
        <v>3070</v>
      </c>
      <c r="E43" s="101" t="s">
        <v>393</v>
      </c>
      <c r="F43" s="103" t="s">
        <v>208</v>
      </c>
      <c r="G43" s="104"/>
      <c r="H43" s="98" t="s">
        <v>442</v>
      </c>
      <c r="I43" s="105">
        <v>1</v>
      </c>
      <c r="J43" s="86">
        <f>IF(F43="","",VLOOKUP(F43,ARANCEL!$E$2:$F$123,2,FALSE))</f>
        <v>14098.999999999998</v>
      </c>
      <c r="K43" s="100">
        <f t="shared" ref="K43:K56" si="2">IF(I43=0,"",J43*I43)</f>
        <v>14098.999999999998</v>
      </c>
      <c r="L43" s="585" t="s">
        <v>3246</v>
      </c>
      <c r="M43" s="99"/>
    </row>
    <row r="44" spans="1:13" x14ac:dyDescent="0.25">
      <c r="A44" s="101">
        <v>33</v>
      </c>
      <c r="B44" s="101">
        <v>90578</v>
      </c>
      <c r="C44" s="102">
        <v>42025</v>
      </c>
      <c r="D44" s="103" t="s">
        <v>3164</v>
      </c>
      <c r="E44" s="101" t="s">
        <v>393</v>
      </c>
      <c r="F44" s="103" t="s">
        <v>353</v>
      </c>
      <c r="G44" s="104"/>
      <c r="H44" s="98" t="s">
        <v>368</v>
      </c>
      <c r="I44" s="105">
        <v>1</v>
      </c>
      <c r="J44" s="86">
        <f>IF(F44="","",VLOOKUP(F44,ARANCEL!$E$2:$F$123,2,FALSE))</f>
        <v>55057.687499999993</v>
      </c>
      <c r="K44" s="100">
        <f t="shared" si="2"/>
        <v>55057.687499999993</v>
      </c>
      <c r="L44" s="585" t="s">
        <v>3246</v>
      </c>
      <c r="M44" s="99"/>
    </row>
    <row r="45" spans="1:13" x14ac:dyDescent="0.25">
      <c r="A45" s="90">
        <v>34</v>
      </c>
      <c r="B45" s="101">
        <v>90545</v>
      </c>
      <c r="C45" s="102">
        <v>42025</v>
      </c>
      <c r="D45" s="103" t="s">
        <v>3165</v>
      </c>
      <c r="E45" s="101" t="s">
        <v>393</v>
      </c>
      <c r="F45" s="103" t="s">
        <v>190</v>
      </c>
      <c r="G45" s="104"/>
      <c r="H45" s="98" t="s">
        <v>397</v>
      </c>
      <c r="I45" s="105">
        <v>2</v>
      </c>
      <c r="J45" s="86">
        <f>IF(F45="","",VLOOKUP(F45,ARANCEL!$E$2:$F$123,2,FALSE))</f>
        <v>57959.999999999993</v>
      </c>
      <c r="K45" s="100">
        <f t="shared" si="2"/>
        <v>115919.99999999999</v>
      </c>
      <c r="L45" s="585" t="s">
        <v>3246</v>
      </c>
      <c r="M45" s="99"/>
    </row>
    <row r="46" spans="1:13" x14ac:dyDescent="0.25">
      <c r="A46" s="101">
        <v>35</v>
      </c>
      <c r="B46" s="101">
        <v>92540</v>
      </c>
      <c r="C46" s="102">
        <v>42032</v>
      </c>
      <c r="D46" s="103" t="s">
        <v>3224</v>
      </c>
      <c r="E46" s="101" t="s">
        <v>453</v>
      </c>
      <c r="F46" s="103" t="s">
        <v>115</v>
      </c>
      <c r="G46" s="104"/>
      <c r="H46" s="98" t="s">
        <v>508</v>
      </c>
      <c r="I46" s="105">
        <v>1</v>
      </c>
      <c r="J46" s="86">
        <f>IF(F46="","",VLOOKUP(F46,ARANCEL!$E$2:$F$123,2,FALSE))</f>
        <v>5274.3600000000006</v>
      </c>
      <c r="K46" s="100">
        <f t="shared" si="2"/>
        <v>5274.3600000000006</v>
      </c>
      <c r="L46" s="585" t="s">
        <v>3246</v>
      </c>
      <c r="M46" s="99"/>
    </row>
    <row r="47" spans="1:13" x14ac:dyDescent="0.25">
      <c r="A47" s="101">
        <v>36</v>
      </c>
      <c r="B47" s="101">
        <v>92540</v>
      </c>
      <c r="C47" s="102">
        <v>42032</v>
      </c>
      <c r="D47" s="103" t="s">
        <v>3224</v>
      </c>
      <c r="E47" s="101" t="s">
        <v>453</v>
      </c>
      <c r="F47" s="103" t="s">
        <v>534</v>
      </c>
      <c r="G47" s="104"/>
      <c r="H47" s="98" t="s">
        <v>428</v>
      </c>
      <c r="I47" s="105">
        <v>1</v>
      </c>
      <c r="J47" s="86">
        <f>IF(F47="","",VLOOKUP(F47,ARANCEL!$E$2:$F$123,2,FALSE))</f>
        <v>30428.999999999996</v>
      </c>
      <c r="K47" s="100">
        <f t="shared" si="2"/>
        <v>30428.999999999996</v>
      </c>
      <c r="L47" s="585" t="s">
        <v>3246</v>
      </c>
      <c r="M47" s="99"/>
    </row>
    <row r="48" spans="1:13" x14ac:dyDescent="0.25">
      <c r="A48" s="101">
        <v>37</v>
      </c>
      <c r="B48" s="101">
        <v>92171</v>
      </c>
      <c r="C48" s="102">
        <v>42031</v>
      </c>
      <c r="D48" s="103" t="s">
        <v>458</v>
      </c>
      <c r="E48" s="101" t="s">
        <v>453</v>
      </c>
      <c r="F48" s="103" t="s">
        <v>534</v>
      </c>
      <c r="G48" s="104"/>
      <c r="H48" s="98" t="s">
        <v>524</v>
      </c>
      <c r="I48" s="105">
        <v>1</v>
      </c>
      <c r="J48" s="86">
        <f>IF(F48="","",VLOOKUP(F48,ARANCEL!$E$2:$F$123,2,FALSE))</f>
        <v>30428.999999999996</v>
      </c>
      <c r="K48" s="100">
        <f t="shared" si="2"/>
        <v>30428.999999999996</v>
      </c>
      <c r="L48" s="585" t="s">
        <v>3246</v>
      </c>
      <c r="M48" s="99"/>
    </row>
    <row r="49" spans="1:13" x14ac:dyDescent="0.25">
      <c r="A49" s="101">
        <v>38</v>
      </c>
      <c r="B49" s="101">
        <v>91798</v>
      </c>
      <c r="C49" s="102">
        <v>42030</v>
      </c>
      <c r="D49" s="103" t="s">
        <v>3228</v>
      </c>
      <c r="E49" s="101" t="s">
        <v>453</v>
      </c>
      <c r="F49" s="103" t="s">
        <v>534</v>
      </c>
      <c r="G49" s="104"/>
      <c r="H49" s="98" t="s">
        <v>469</v>
      </c>
      <c r="I49" s="105">
        <v>1</v>
      </c>
      <c r="J49" s="86">
        <f>IF(F49="","",VLOOKUP(F49,ARANCEL!$E$2:$F$123,2,FALSE))</f>
        <v>30428.999999999996</v>
      </c>
      <c r="K49" s="100">
        <f t="shared" si="2"/>
        <v>30428.999999999996</v>
      </c>
      <c r="L49" s="585" t="s">
        <v>3246</v>
      </c>
      <c r="M49" s="99"/>
    </row>
    <row r="50" spans="1:13" x14ac:dyDescent="0.25">
      <c r="A50" s="101">
        <v>39</v>
      </c>
      <c r="B50" s="101">
        <v>92347</v>
      </c>
      <c r="C50" s="102">
        <v>42031</v>
      </c>
      <c r="D50" s="103" t="s">
        <v>3229</v>
      </c>
      <c r="E50" s="101" t="s">
        <v>453</v>
      </c>
      <c r="F50" s="103" t="s">
        <v>115</v>
      </c>
      <c r="G50" s="104"/>
      <c r="H50" s="98" t="s">
        <v>428</v>
      </c>
      <c r="I50" s="105">
        <v>1</v>
      </c>
      <c r="J50" s="86">
        <f>IF(F50="","",VLOOKUP(F50,ARANCEL!$E$2:$F$123,2,FALSE))</f>
        <v>5274.3600000000006</v>
      </c>
      <c r="K50" s="100">
        <f t="shared" si="2"/>
        <v>5274.3600000000006</v>
      </c>
      <c r="L50" s="585" t="s">
        <v>3246</v>
      </c>
      <c r="M50" s="99"/>
    </row>
    <row r="51" spans="1:13" x14ac:dyDescent="0.25">
      <c r="A51" s="101">
        <v>40</v>
      </c>
      <c r="B51" s="101">
        <v>92347</v>
      </c>
      <c r="C51" s="102">
        <v>42031</v>
      </c>
      <c r="D51" s="103" t="s">
        <v>3229</v>
      </c>
      <c r="E51" s="101" t="s">
        <v>453</v>
      </c>
      <c r="F51" s="103" t="s">
        <v>534</v>
      </c>
      <c r="G51" s="104"/>
      <c r="H51" s="98" t="s">
        <v>412</v>
      </c>
      <c r="I51" s="105">
        <v>1</v>
      </c>
      <c r="J51" s="86">
        <f>IF(F51="","",VLOOKUP(F51,ARANCEL!$E$2:$F$123,2,FALSE))</f>
        <v>30428.999999999996</v>
      </c>
      <c r="K51" s="100">
        <f t="shared" si="2"/>
        <v>30428.999999999996</v>
      </c>
      <c r="L51" s="585" t="s">
        <v>3246</v>
      </c>
      <c r="M51" s="99"/>
    </row>
    <row r="52" spans="1:13" ht="24.75" customHeight="1" collapsed="1" x14ac:dyDescent="0.25">
      <c r="A52" s="80" t="s">
        <v>96</v>
      </c>
      <c r="B52" s="80" t="s">
        <v>97</v>
      </c>
      <c r="C52" s="81" t="s">
        <v>101</v>
      </c>
      <c r="D52" s="80" t="s">
        <v>98</v>
      </c>
      <c r="E52" s="80" t="s">
        <v>99</v>
      </c>
      <c r="F52" s="80" t="s">
        <v>100</v>
      </c>
      <c r="G52" s="80" t="s">
        <v>103</v>
      </c>
      <c r="H52" s="80" t="s">
        <v>102</v>
      </c>
      <c r="I52" s="80" t="s">
        <v>107</v>
      </c>
      <c r="J52" s="81" t="s">
        <v>104</v>
      </c>
      <c r="K52" s="81" t="s">
        <v>105</v>
      </c>
      <c r="L52" s="82" t="s">
        <v>166</v>
      </c>
      <c r="M52" s="82" t="s">
        <v>106</v>
      </c>
    </row>
    <row r="53" spans="1:13" x14ac:dyDescent="0.25">
      <c r="A53" s="101">
        <v>41</v>
      </c>
      <c r="B53" s="101"/>
      <c r="C53" s="102"/>
      <c r="D53" s="103"/>
      <c r="E53" s="101"/>
      <c r="F53" s="103"/>
      <c r="G53" s="104"/>
      <c r="H53" s="98"/>
      <c r="I53" s="105"/>
      <c r="J53" s="86" t="str">
        <f>IF(F53="","",VLOOKUP(F53,ARANCEL!$E$2:$F$123,2,FALSE))</f>
        <v/>
      </c>
      <c r="K53" s="100" t="str">
        <f t="shared" si="2"/>
        <v/>
      </c>
      <c r="L53" s="98"/>
      <c r="M53" s="99"/>
    </row>
    <row r="54" spans="1:13" x14ac:dyDescent="0.25">
      <c r="A54" s="101">
        <v>42</v>
      </c>
      <c r="B54" s="101"/>
      <c r="C54" s="102"/>
      <c r="D54" s="103"/>
      <c r="E54" s="101"/>
      <c r="F54" s="103"/>
      <c r="G54" s="104"/>
      <c r="H54" s="98"/>
      <c r="I54" s="105"/>
      <c r="J54" s="86" t="str">
        <f>IF(F54="","",VLOOKUP(F54,ARANCEL!$E$2:$F$123,2,FALSE))</f>
        <v/>
      </c>
      <c r="K54" s="100" t="str">
        <f t="shared" si="2"/>
        <v/>
      </c>
      <c r="L54" s="98"/>
      <c r="M54" s="99"/>
    </row>
    <row r="55" spans="1:13" x14ac:dyDescent="0.25">
      <c r="A55" s="101">
        <v>43</v>
      </c>
      <c r="B55" s="101"/>
      <c r="C55" s="102"/>
      <c r="D55" s="103"/>
      <c r="E55" s="101"/>
      <c r="F55" s="103"/>
      <c r="G55" s="104"/>
      <c r="H55" s="98"/>
      <c r="I55" s="105"/>
      <c r="J55" s="86" t="str">
        <f>IF(F55="","",VLOOKUP(F55,ARANCEL!$E$2:$F$123,2,FALSE))</f>
        <v/>
      </c>
      <c r="K55" s="100" t="str">
        <f t="shared" si="2"/>
        <v/>
      </c>
      <c r="L55" s="98"/>
      <c r="M55" s="99"/>
    </row>
    <row r="56" spans="1:13" x14ac:dyDescent="0.25">
      <c r="A56" s="101">
        <v>44</v>
      </c>
      <c r="B56" s="101"/>
      <c r="C56" s="102"/>
      <c r="D56" s="103"/>
      <c r="E56" s="101"/>
      <c r="F56" s="103"/>
      <c r="G56" s="104"/>
      <c r="H56" s="98"/>
      <c r="I56" s="105"/>
      <c r="J56" s="86" t="str">
        <f>IF(F56="","",VLOOKUP(F56,ARANCEL!$E$2:$F$123,2,FALSE))</f>
        <v/>
      </c>
      <c r="K56" s="100" t="str">
        <f t="shared" si="2"/>
        <v/>
      </c>
      <c r="L56" s="98"/>
      <c r="M56" s="99"/>
    </row>
    <row r="57" spans="1:13" x14ac:dyDescent="0.25">
      <c r="A57" s="101">
        <v>45</v>
      </c>
      <c r="B57" s="101"/>
      <c r="C57" s="102"/>
      <c r="D57" s="103"/>
      <c r="E57" s="101"/>
      <c r="F57" s="103"/>
      <c r="G57" s="104"/>
      <c r="H57" s="98"/>
      <c r="I57" s="105"/>
      <c r="J57" s="86" t="str">
        <f>IF(F57="","",VLOOKUP(F57,ARANCEL!$E$2:$F$123,2,FALSE))</f>
        <v/>
      </c>
      <c r="K57" s="100" t="str">
        <f t="shared" ref="K57:K58" si="3">IF(I57=0,"",J57*I57)</f>
        <v/>
      </c>
      <c r="L57" s="98"/>
      <c r="M57" s="99"/>
    </row>
    <row r="58" spans="1:13" x14ac:dyDescent="0.25">
      <c r="A58" s="90">
        <v>46</v>
      </c>
      <c r="B58" s="101"/>
      <c r="C58" s="102"/>
      <c r="D58" s="103"/>
      <c r="E58" s="101"/>
      <c r="F58" s="103"/>
      <c r="G58" s="104"/>
      <c r="H58" s="98"/>
      <c r="I58" s="105"/>
      <c r="J58" s="86" t="str">
        <f>IF(F58="","",VLOOKUP(F58,ARANCEL!$E$2:$F$123,2,FALSE))</f>
        <v/>
      </c>
      <c r="K58" s="100" t="str">
        <f t="shared" si="3"/>
        <v/>
      </c>
      <c r="L58" s="98"/>
      <c r="M58" s="99"/>
    </row>
    <row r="61" spans="1:13" ht="20.25" customHeight="1" x14ac:dyDescent="0.25">
      <c r="A61" s="614" t="s">
        <v>363</v>
      </c>
      <c r="B61" s="614"/>
      <c r="C61" s="614"/>
      <c r="D61" s="614"/>
      <c r="E61" s="614"/>
      <c r="F61" s="614"/>
      <c r="G61" s="614"/>
      <c r="H61" s="614"/>
      <c r="I61" s="614"/>
      <c r="J61" s="614"/>
      <c r="K61" s="614"/>
    </row>
    <row r="62" spans="1:13" ht="24" x14ac:dyDescent="0.25">
      <c r="A62" s="88" t="s">
        <v>96</v>
      </c>
      <c r="B62" s="88" t="s">
        <v>97</v>
      </c>
      <c r="C62" s="89" t="s">
        <v>101</v>
      </c>
      <c r="D62" s="88" t="s">
        <v>98</v>
      </c>
      <c r="E62" s="88" t="s">
        <v>99</v>
      </c>
      <c r="F62" s="88" t="s">
        <v>100</v>
      </c>
      <c r="G62" s="88" t="s">
        <v>103</v>
      </c>
      <c r="H62" s="88" t="s">
        <v>102</v>
      </c>
      <c r="I62" s="88" t="s">
        <v>107</v>
      </c>
      <c r="J62" s="89" t="s">
        <v>104</v>
      </c>
      <c r="K62" s="89" t="s">
        <v>105</v>
      </c>
      <c r="L62" s="89" t="s">
        <v>166</v>
      </c>
      <c r="M62" s="89" t="s">
        <v>106</v>
      </c>
    </row>
    <row r="63" spans="1:13" x14ac:dyDescent="0.25">
      <c r="A63" s="113">
        <v>1</v>
      </c>
      <c r="B63" s="114">
        <v>40442</v>
      </c>
      <c r="C63" s="109">
        <v>41852</v>
      </c>
      <c r="D63" s="115" t="s">
        <v>436</v>
      </c>
      <c r="E63" s="114" t="s">
        <v>393</v>
      </c>
      <c r="F63" s="115" t="s">
        <v>419</v>
      </c>
      <c r="G63" s="110"/>
      <c r="H63" s="110" t="s">
        <v>368</v>
      </c>
      <c r="I63" s="112">
        <v>1</v>
      </c>
      <c r="J63" s="116"/>
      <c r="K63" s="117"/>
      <c r="L63" s="113"/>
      <c r="M63" s="13"/>
    </row>
    <row r="64" spans="1:13" x14ac:dyDescent="0.25">
      <c r="A64" s="113">
        <v>2</v>
      </c>
      <c r="B64" s="114" t="s">
        <v>437</v>
      </c>
      <c r="C64" s="109">
        <v>41911</v>
      </c>
      <c r="D64" s="115" t="s">
        <v>438</v>
      </c>
      <c r="E64" s="114" t="s">
        <v>393</v>
      </c>
      <c r="F64" s="115" t="s">
        <v>379</v>
      </c>
      <c r="G64" s="110"/>
      <c r="H64" s="110" t="s">
        <v>439</v>
      </c>
      <c r="I64" s="112">
        <v>1</v>
      </c>
      <c r="J64" s="116"/>
      <c r="K64" s="117"/>
      <c r="L64" s="113"/>
      <c r="M64" s="13"/>
    </row>
    <row r="65" spans="1:13" x14ac:dyDescent="0.25">
      <c r="A65" s="113">
        <v>3</v>
      </c>
      <c r="B65" s="114">
        <v>53634</v>
      </c>
      <c r="C65" s="109">
        <v>41898</v>
      </c>
      <c r="D65" s="115" t="s">
        <v>440</v>
      </c>
      <c r="E65" s="114" t="s">
        <v>393</v>
      </c>
      <c r="F65" s="115" t="s">
        <v>419</v>
      </c>
      <c r="G65" s="110"/>
      <c r="H65" s="110" t="s">
        <v>384</v>
      </c>
      <c r="I65" s="112">
        <v>2</v>
      </c>
      <c r="J65" s="116"/>
      <c r="K65" s="117"/>
      <c r="L65" s="113"/>
      <c r="M65" s="13"/>
    </row>
    <row r="66" spans="1:13" x14ac:dyDescent="0.25">
      <c r="A66" s="113">
        <v>4</v>
      </c>
      <c r="B66" s="114">
        <v>56609</v>
      </c>
      <c r="C66" s="109">
        <v>41913</v>
      </c>
      <c r="D66" s="115" t="s">
        <v>441</v>
      </c>
      <c r="E66" s="114" t="s">
        <v>393</v>
      </c>
      <c r="F66" s="115" t="s">
        <v>396</v>
      </c>
      <c r="G66" s="110"/>
      <c r="H66" s="110" t="s">
        <v>442</v>
      </c>
      <c r="I66" s="112">
        <v>1</v>
      </c>
      <c r="J66" s="116"/>
      <c r="K66" s="117"/>
      <c r="L66" s="113"/>
      <c r="M66" s="13"/>
    </row>
    <row r="67" spans="1:13" x14ac:dyDescent="0.25">
      <c r="A67" s="113">
        <v>5</v>
      </c>
      <c r="B67" s="114">
        <v>54572</v>
      </c>
      <c r="C67" s="109">
        <v>41927</v>
      </c>
      <c r="D67" s="115" t="s">
        <v>443</v>
      </c>
      <c r="E67" s="114" t="s">
        <v>393</v>
      </c>
      <c r="F67" s="115" t="s">
        <v>396</v>
      </c>
      <c r="G67" s="110"/>
      <c r="H67" s="110" t="s">
        <v>414</v>
      </c>
      <c r="I67" s="112">
        <v>1</v>
      </c>
      <c r="J67" s="116"/>
      <c r="K67" s="117"/>
      <c r="L67" s="113"/>
      <c r="M67" s="13"/>
    </row>
    <row r="68" spans="1:13" x14ac:dyDescent="0.25">
      <c r="A68" s="113">
        <v>6</v>
      </c>
      <c r="B68" s="114">
        <v>56018</v>
      </c>
      <c r="C68" s="109">
        <v>41932</v>
      </c>
      <c r="D68" s="115" t="s">
        <v>444</v>
      </c>
      <c r="E68" s="114" t="s">
        <v>393</v>
      </c>
      <c r="F68" s="115" t="s">
        <v>445</v>
      </c>
      <c r="G68" s="110"/>
      <c r="H68" s="110" t="s">
        <v>384</v>
      </c>
      <c r="I68" s="112">
        <v>2</v>
      </c>
      <c r="J68" s="116"/>
      <c r="K68" s="117"/>
      <c r="L68" s="113"/>
      <c r="M68" s="13"/>
    </row>
    <row r="69" spans="1:13" x14ac:dyDescent="0.25">
      <c r="A69" s="113">
        <v>7</v>
      </c>
      <c r="B69" s="114" t="s">
        <v>446</v>
      </c>
      <c r="C69" s="109">
        <v>41941</v>
      </c>
      <c r="D69" s="115" t="s">
        <v>447</v>
      </c>
      <c r="E69" s="114" t="s">
        <v>393</v>
      </c>
      <c r="F69" s="115" t="s">
        <v>448</v>
      </c>
      <c r="G69" s="110"/>
      <c r="H69" s="110" t="s">
        <v>366</v>
      </c>
      <c r="I69" s="112">
        <v>1</v>
      </c>
      <c r="J69" s="116"/>
      <c r="K69" s="117"/>
      <c r="L69" s="113"/>
      <c r="M69" s="13"/>
    </row>
    <row r="70" spans="1:13" x14ac:dyDescent="0.25">
      <c r="A70" s="113">
        <v>8</v>
      </c>
      <c r="B70" s="114">
        <v>59655</v>
      </c>
      <c r="C70" s="109">
        <v>41941</v>
      </c>
      <c r="D70" s="115" t="s">
        <v>447</v>
      </c>
      <c r="E70" s="114" t="s">
        <v>393</v>
      </c>
      <c r="F70" s="115" t="s">
        <v>374</v>
      </c>
      <c r="G70" s="110"/>
      <c r="H70" s="110" t="s">
        <v>368</v>
      </c>
      <c r="I70" s="112">
        <v>1</v>
      </c>
      <c r="J70" s="116"/>
      <c r="K70" s="117"/>
      <c r="L70" s="113"/>
      <c r="M70" s="13"/>
    </row>
    <row r="71" spans="1:13" x14ac:dyDescent="0.25">
      <c r="A71" s="113">
        <v>9</v>
      </c>
      <c r="B71" s="114">
        <v>60515</v>
      </c>
      <c r="C71" s="109">
        <v>41942</v>
      </c>
      <c r="D71" s="115" t="s">
        <v>449</v>
      </c>
      <c r="E71" s="114" t="s">
        <v>393</v>
      </c>
      <c r="F71" s="115" t="s">
        <v>396</v>
      </c>
      <c r="G71" s="110"/>
      <c r="H71" s="110" t="s">
        <v>442</v>
      </c>
      <c r="I71" s="112">
        <v>1</v>
      </c>
      <c r="J71" s="116"/>
      <c r="K71" s="117"/>
      <c r="L71" s="113"/>
      <c r="M71" s="13"/>
    </row>
    <row r="72" spans="1:13" x14ac:dyDescent="0.25">
      <c r="A72" s="113">
        <v>11</v>
      </c>
      <c r="B72" s="114">
        <v>62253</v>
      </c>
      <c r="C72" s="109">
        <v>41953</v>
      </c>
      <c r="D72" s="115" t="s">
        <v>451</v>
      </c>
      <c r="E72" s="114" t="s">
        <v>393</v>
      </c>
      <c r="F72" s="115" t="s">
        <v>383</v>
      </c>
      <c r="G72" s="110"/>
      <c r="H72" s="110" t="s">
        <v>366</v>
      </c>
      <c r="I72" s="112">
        <v>1</v>
      </c>
      <c r="J72" s="116"/>
      <c r="K72" s="117"/>
      <c r="L72" s="113"/>
      <c r="M72" s="13"/>
    </row>
    <row r="73" spans="1:13" x14ac:dyDescent="0.25">
      <c r="A73" s="113">
        <v>12</v>
      </c>
      <c r="B73" s="114">
        <v>68036</v>
      </c>
      <c r="C73" s="109">
        <v>41968</v>
      </c>
      <c r="D73" s="115" t="s">
        <v>452</v>
      </c>
      <c r="E73" s="114" t="s">
        <v>453</v>
      </c>
      <c r="F73" s="115" t="s">
        <v>419</v>
      </c>
      <c r="G73" s="110"/>
      <c r="H73" s="110" t="s">
        <v>368</v>
      </c>
      <c r="I73" s="112">
        <v>1</v>
      </c>
      <c r="J73" s="116"/>
      <c r="K73" s="117"/>
      <c r="L73" s="113"/>
      <c r="M73" s="13"/>
    </row>
    <row r="74" spans="1:13" x14ac:dyDescent="0.25">
      <c r="A74" s="113">
        <v>15</v>
      </c>
      <c r="B74" s="114">
        <v>71010</v>
      </c>
      <c r="C74" s="109">
        <v>41974</v>
      </c>
      <c r="D74" s="115" t="s">
        <v>456</v>
      </c>
      <c r="E74" s="114" t="s">
        <v>453</v>
      </c>
      <c r="F74" s="115" t="s">
        <v>374</v>
      </c>
      <c r="G74" s="110"/>
      <c r="H74" s="110" t="s">
        <v>368</v>
      </c>
      <c r="I74" s="112">
        <v>1</v>
      </c>
      <c r="J74" s="116"/>
      <c r="K74" s="117"/>
      <c r="L74" s="113"/>
      <c r="M74" s="13"/>
    </row>
    <row r="75" spans="1:13" x14ac:dyDescent="0.25">
      <c r="A75" s="113">
        <v>23</v>
      </c>
      <c r="B75" s="114" t="s">
        <v>459</v>
      </c>
      <c r="C75" s="109">
        <v>41996</v>
      </c>
      <c r="D75" s="115" t="s">
        <v>460</v>
      </c>
      <c r="E75" s="114" t="s">
        <v>453</v>
      </c>
      <c r="F75" s="115" t="s">
        <v>427</v>
      </c>
      <c r="G75" s="110"/>
      <c r="H75" s="110" t="s">
        <v>416</v>
      </c>
      <c r="I75" s="112">
        <v>1</v>
      </c>
      <c r="J75" s="116"/>
      <c r="K75" s="117"/>
      <c r="L75" s="113"/>
      <c r="M75" s="13"/>
    </row>
    <row r="76" spans="1:13" x14ac:dyDescent="0.25">
      <c r="A76" s="113">
        <v>24</v>
      </c>
      <c r="B76" s="114" t="s">
        <v>3160</v>
      </c>
      <c r="C76" s="109">
        <v>42023</v>
      </c>
      <c r="D76" s="115" t="s">
        <v>461</v>
      </c>
      <c r="E76" s="114" t="s">
        <v>393</v>
      </c>
      <c r="F76" s="115" t="s">
        <v>455</v>
      </c>
      <c r="G76" s="110"/>
      <c r="H76" s="110" t="s">
        <v>366</v>
      </c>
      <c r="I76" s="112">
        <v>1</v>
      </c>
      <c r="J76" s="116"/>
      <c r="K76" s="117"/>
      <c r="L76" s="113"/>
      <c r="M76" s="13"/>
    </row>
    <row r="77" spans="1:13" x14ac:dyDescent="0.25">
      <c r="A77" s="113">
        <v>25</v>
      </c>
      <c r="B77" s="114" t="s">
        <v>3084</v>
      </c>
      <c r="C77" s="109">
        <v>42019</v>
      </c>
      <c r="D77" s="115" t="s">
        <v>462</v>
      </c>
      <c r="E77" s="114" t="s">
        <v>393</v>
      </c>
      <c r="F77" s="115" t="s">
        <v>455</v>
      </c>
      <c r="G77" s="110"/>
      <c r="H77" s="110" t="s">
        <v>368</v>
      </c>
      <c r="I77" s="112">
        <v>1</v>
      </c>
      <c r="J77" s="116"/>
      <c r="K77" s="117"/>
      <c r="L77" s="113"/>
      <c r="M77" s="13"/>
    </row>
    <row r="78" spans="1:13" x14ac:dyDescent="0.25">
      <c r="A78" s="113"/>
      <c r="B78" s="114">
        <v>87606</v>
      </c>
      <c r="C78" s="109">
        <v>42016</v>
      </c>
      <c r="D78" s="115" t="s">
        <v>1104</v>
      </c>
      <c r="E78" s="114" t="s">
        <v>393</v>
      </c>
      <c r="F78" s="115" t="s">
        <v>383</v>
      </c>
      <c r="G78" s="110"/>
      <c r="H78" s="108" t="s">
        <v>366</v>
      </c>
      <c r="I78" s="112">
        <v>1</v>
      </c>
      <c r="J78" s="116"/>
      <c r="K78" s="116"/>
      <c r="L78" s="113"/>
      <c r="M78" s="13" t="s">
        <v>3075</v>
      </c>
    </row>
    <row r="79" spans="1:13" x14ac:dyDescent="0.25">
      <c r="A79" s="113"/>
      <c r="B79" s="114">
        <v>87523</v>
      </c>
      <c r="C79" s="109">
        <v>42016</v>
      </c>
      <c r="D79" s="115" t="s">
        <v>1208</v>
      </c>
      <c r="E79" s="114" t="s">
        <v>393</v>
      </c>
      <c r="F79" s="115" t="s">
        <v>406</v>
      </c>
      <c r="G79" s="110"/>
      <c r="H79" s="111" t="s">
        <v>397</v>
      </c>
      <c r="I79" s="112">
        <v>2</v>
      </c>
      <c r="J79" s="116"/>
      <c r="K79" s="116"/>
      <c r="L79" s="113"/>
      <c r="M79" s="13"/>
    </row>
    <row r="80" spans="1:13" x14ac:dyDescent="0.25">
      <c r="A80" s="113"/>
      <c r="B80" s="114">
        <v>89159</v>
      </c>
      <c r="C80" s="109">
        <v>42022</v>
      </c>
      <c r="D80" s="115" t="s">
        <v>3078</v>
      </c>
      <c r="E80" s="114" t="s">
        <v>453</v>
      </c>
      <c r="F80" s="115" t="s">
        <v>396</v>
      </c>
      <c r="G80" s="110"/>
      <c r="H80" s="111" t="s">
        <v>442</v>
      </c>
      <c r="I80" s="112">
        <v>1</v>
      </c>
      <c r="J80" s="116"/>
      <c r="K80" s="116"/>
      <c r="L80" s="113"/>
      <c r="M80" s="13"/>
    </row>
    <row r="81" spans="1:13" x14ac:dyDescent="0.25">
      <c r="A81" s="113"/>
      <c r="B81" s="114">
        <v>89432</v>
      </c>
      <c r="C81" s="109">
        <v>42018</v>
      </c>
      <c r="D81" s="115" t="s">
        <v>1085</v>
      </c>
      <c r="E81" s="114" t="s">
        <v>393</v>
      </c>
      <c r="F81" s="115" t="s">
        <v>383</v>
      </c>
      <c r="G81" s="110"/>
      <c r="H81" s="111" t="s">
        <v>384</v>
      </c>
      <c r="I81" s="112">
        <v>2</v>
      </c>
      <c r="J81" s="116"/>
      <c r="K81" s="116"/>
      <c r="L81" s="113"/>
      <c r="M81" s="13" t="s">
        <v>3087</v>
      </c>
    </row>
    <row r="82" spans="1:13" x14ac:dyDescent="0.25">
      <c r="A82" s="113"/>
      <c r="B82" s="114" t="s">
        <v>3225</v>
      </c>
      <c r="C82" s="109">
        <v>42031</v>
      </c>
      <c r="D82" s="115" t="s">
        <v>3161</v>
      </c>
      <c r="E82" s="114" t="s">
        <v>453</v>
      </c>
      <c r="F82" s="115" t="s">
        <v>3226</v>
      </c>
      <c r="G82" s="110"/>
      <c r="H82" s="111" t="s">
        <v>591</v>
      </c>
      <c r="I82" s="112">
        <v>1</v>
      </c>
      <c r="J82" s="116"/>
      <c r="K82" s="116"/>
      <c r="L82" s="113"/>
      <c r="M82" s="13" t="s">
        <v>3227</v>
      </c>
    </row>
    <row r="83" spans="1:13" x14ac:dyDescent="0.25">
      <c r="A83" s="113"/>
      <c r="B83" s="114">
        <v>92621</v>
      </c>
      <c r="C83" s="109">
        <v>42031</v>
      </c>
      <c r="D83" s="115" t="s">
        <v>466</v>
      </c>
      <c r="E83" s="114" t="s">
        <v>453</v>
      </c>
      <c r="F83" s="115" t="s">
        <v>396</v>
      </c>
      <c r="G83" s="110"/>
      <c r="H83" s="111" t="s">
        <v>535</v>
      </c>
      <c r="I83" s="112">
        <v>1</v>
      </c>
      <c r="J83" s="116"/>
      <c r="K83" s="116"/>
      <c r="L83" s="113"/>
      <c r="M83" s="13"/>
    </row>
    <row r="84" spans="1:13" x14ac:dyDescent="0.25">
      <c r="A84" s="113"/>
      <c r="B84" s="114">
        <v>92192</v>
      </c>
      <c r="C84" s="109">
        <v>42031</v>
      </c>
      <c r="D84" s="115" t="s">
        <v>1183</v>
      </c>
      <c r="E84" s="114" t="s">
        <v>453</v>
      </c>
      <c r="F84" s="115" t="s">
        <v>396</v>
      </c>
      <c r="G84" s="110"/>
      <c r="H84" s="111" t="s">
        <v>404</v>
      </c>
      <c r="I84" s="112">
        <v>1</v>
      </c>
      <c r="J84" s="116"/>
      <c r="K84" s="116"/>
      <c r="L84" s="113"/>
      <c r="M84" s="13"/>
    </row>
    <row r="85" spans="1:13" x14ac:dyDescent="0.25">
      <c r="A85" s="113"/>
      <c r="B85" s="114"/>
      <c r="C85" s="109"/>
      <c r="D85" s="115"/>
      <c r="E85" s="114"/>
      <c r="F85" s="115"/>
      <c r="G85" s="110"/>
      <c r="H85" s="111"/>
      <c r="I85" s="112"/>
      <c r="J85" s="116"/>
      <c r="K85" s="116"/>
      <c r="L85" s="113"/>
      <c r="M85" s="13"/>
    </row>
    <row r="86" spans="1:13" x14ac:dyDescent="0.25">
      <c r="A86" s="113"/>
      <c r="B86" s="114"/>
      <c r="C86" s="109"/>
      <c r="D86" s="115"/>
      <c r="E86" s="114"/>
      <c r="F86" s="115"/>
      <c r="G86" s="110"/>
      <c r="H86" s="111"/>
      <c r="I86" s="112"/>
      <c r="J86" s="116"/>
      <c r="K86" s="116"/>
      <c r="L86" s="113"/>
      <c r="M86" s="13"/>
    </row>
    <row r="87" spans="1:13" x14ac:dyDescent="0.25">
      <c r="A87" s="113"/>
      <c r="B87" s="114"/>
      <c r="C87" s="109"/>
      <c r="D87" s="115"/>
      <c r="E87" s="114"/>
      <c r="F87" s="115"/>
      <c r="G87" s="110"/>
      <c r="H87" s="111"/>
      <c r="I87" s="112"/>
      <c r="J87" s="116"/>
      <c r="K87" s="116"/>
      <c r="L87" s="113"/>
      <c r="M87" s="13"/>
    </row>
    <row r="88" spans="1:13" x14ac:dyDescent="0.25">
      <c r="A88" s="113"/>
      <c r="B88" s="114"/>
      <c r="C88" s="109"/>
      <c r="D88" s="115"/>
      <c r="E88" s="114"/>
      <c r="F88" s="115"/>
      <c r="G88" s="110"/>
      <c r="H88" s="111"/>
      <c r="I88" s="112"/>
      <c r="J88" s="116"/>
      <c r="K88" s="116"/>
      <c r="L88" s="113"/>
      <c r="M88" s="13"/>
    </row>
    <row r="89" spans="1:13" x14ac:dyDescent="0.25">
      <c r="A89" s="113"/>
      <c r="B89" s="114"/>
      <c r="C89" s="109"/>
      <c r="D89" s="115"/>
      <c r="E89" s="114"/>
      <c r="F89" s="115"/>
      <c r="G89" s="110"/>
      <c r="H89" s="111"/>
      <c r="I89" s="112"/>
      <c r="J89" s="116"/>
      <c r="K89" s="116"/>
      <c r="L89" s="113"/>
      <c r="M89" s="13"/>
    </row>
  </sheetData>
  <autoFilter ref="A52:M52">
    <sortState ref="A54:M57">
      <sortCondition ref="L10"/>
    </sortState>
  </autoFilter>
  <mergeCells count="11">
    <mergeCell ref="L9:M9"/>
    <mergeCell ref="A7:B7"/>
    <mergeCell ref="A8:B8"/>
    <mergeCell ref="A61:K6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M67"/>
  <sheetViews>
    <sheetView zoomScale="90" zoomScaleNormal="90" workbookViewId="0">
      <pane ySplit="9" topLeftCell="A31" activePane="bottomLeft" state="frozen"/>
      <selection activeCell="C15" sqref="C15"/>
      <selection pane="bottomLeft" activeCell="H15" sqref="H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6.140625" hidden="1" customWidth="1"/>
    <col min="9" max="9" width="8.42578125" style="120" customWidth="1"/>
    <col min="12" max="12" width="12.140625" customWidth="1"/>
    <col min="13" max="13" width="39.28515625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36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customHeight="1" outlineLevel="1" x14ac:dyDescent="0.25">
      <c r="A3" s="612" t="s">
        <v>156</v>
      </c>
      <c r="B3" s="612"/>
      <c r="C3" s="94" t="str">
        <f>IFERROR(VLOOKUP($A$2,DATOS!$A$2:$N$14,2,FALSE),"SUCURSAL NO ENCONTRADA")</f>
        <v>SOC. ODONTOLÓGICA UNO SALUD MONEDA LTDA.</v>
      </c>
      <c r="H3" s="107" t="s">
        <v>164</v>
      </c>
      <c r="I3" s="94" t="str">
        <f>IFERROR(VLOOKUP($A$2,DATOS!$A$2:$N$14,8,FALSE),"SUCURSAL NO ENCONTRADA")</f>
        <v>SEBASTIAN REYES</v>
      </c>
    </row>
    <row r="4" spans="1:13" ht="12.75" customHeight="1" outlineLevel="1" x14ac:dyDescent="0.25">
      <c r="A4" s="612" t="s">
        <v>157</v>
      </c>
      <c r="B4" s="612"/>
      <c r="C4" s="94" t="str">
        <f>IFERROR(VLOOKUP($A$2,DATOS!$A$2:$N$14,3,FALSE),"SUCURSAL NO ENCONTRADA")</f>
        <v>76.144.936-2</v>
      </c>
      <c r="H4" s="107" t="s">
        <v>162</v>
      </c>
      <c r="I4" s="94" t="str">
        <f>IFERROR(VLOOKUP($A$2,DATOS!$A$2:$N$14,9,FALSE),"SUCURSAL NO ENCONTRADA")</f>
        <v>laboratorios@unosalud.cl</v>
      </c>
      <c r="K4" s="84"/>
    </row>
    <row r="5" spans="1:13" ht="12.75" customHeight="1" outlineLevel="1" x14ac:dyDescent="0.25">
      <c r="A5" s="612" t="s">
        <v>158</v>
      </c>
      <c r="B5" s="612"/>
      <c r="C5" s="94" t="str">
        <f>IFERROR(VLOOKUP($A$2,DATOS!$A$2:$N$14,4,FALSE),"SUCURSAL NO ENCONTRADA")</f>
        <v>MONEDA 953</v>
      </c>
      <c r="H5" s="107" t="s">
        <v>161</v>
      </c>
      <c r="I5" s="94">
        <f>IFERROR(VLOOKUP($A$2,DATOS!$A$2:$N$14,10,FALSE),"SUCURSAL NO ENCONTRADA")</f>
        <v>227638906</v>
      </c>
    </row>
    <row r="6" spans="1:13" ht="12.75" customHeight="1" outlineLevel="1" x14ac:dyDescent="0.25">
      <c r="A6" s="612" t="s">
        <v>159</v>
      </c>
      <c r="B6" s="612"/>
      <c r="C6" s="94" t="str">
        <f>IFERROR(VLOOKUP($A$2,DATOS!$A$2:$N$14,5,FALSE),"SUCURSAL NO ENCONTRADA")</f>
        <v>CENTROS MÉDICOS DE ATENCIÓN AMBULATORIA</v>
      </c>
      <c r="H6" s="107" t="s">
        <v>165</v>
      </c>
      <c r="I6" s="94" t="str">
        <f>IFERROR(VLOOKUP($A$2,DATOS!$A$2:$N$14,11,FALSE),"SUCURSAL NO ENCONTRADA")</f>
        <v>DANIEL SILVA
MARJORIE NARANJO</v>
      </c>
    </row>
    <row r="7" spans="1:13" ht="12.75" customHeight="1" outlineLevel="1" x14ac:dyDescent="0.25">
      <c r="A7" s="612" t="s">
        <v>160</v>
      </c>
      <c r="B7" s="612"/>
      <c r="C7" s="94" t="str">
        <f>IFERROR(VLOOKUP($A$2,DATOS!$A$2:$N$14,6,FALSE),"SUCURSAL NO ENCONTRADA")</f>
        <v>UNO SALUD MONEDA LTDA.</v>
      </c>
      <c r="H7" s="107" t="s">
        <v>162</v>
      </c>
      <c r="I7" s="94" t="str">
        <f>IFERROR(VLOOKUP($A$2,DATOS!$A$2:$N$14,12,FALSE),"SUCURSAL NO ENCONTRADA")</f>
        <v>dsilva@unosalud.cl</v>
      </c>
    </row>
    <row r="8" spans="1:13" ht="14.25" customHeight="1" outlineLevel="1" x14ac:dyDescent="0.25">
      <c r="A8" s="613" t="s">
        <v>163</v>
      </c>
      <c r="B8" s="613"/>
      <c r="C8" s="85" t="str">
        <f>IFERROR(VLOOKUP($A$2,DATOS!$A$2:$N$14,7,FALSE),"SUCURSAL NO ENCONTRADA")</f>
        <v>Enviar Factura a Moneda Nº 953 - Sr. Sebastian Reyes</v>
      </c>
      <c r="D8" s="85"/>
      <c r="E8" s="85"/>
      <c r="F8" s="15"/>
      <c r="G8" s="14"/>
      <c r="H8" s="107" t="s">
        <v>161</v>
      </c>
      <c r="I8" s="94" t="str">
        <f>IFERROR(VLOOKUP($A$2,DATOS!$A$2:$N$14,13,FALSE),"SUCURSAL NO ENCONTRADA")</f>
        <v>22 7638928
22 7638928</v>
      </c>
    </row>
    <row r="9" spans="1:13" s="586" customFormat="1" ht="24.75" customHeight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x14ac:dyDescent="0.25">
      <c r="A10" s="90">
        <v>1</v>
      </c>
      <c r="B10" s="90">
        <v>84619</v>
      </c>
      <c r="C10" s="93">
        <v>42002</v>
      </c>
      <c r="D10" s="91" t="s">
        <v>504</v>
      </c>
      <c r="E10" s="90" t="s">
        <v>502</v>
      </c>
      <c r="F10" s="91" t="s">
        <v>577</v>
      </c>
      <c r="G10" s="9"/>
      <c r="H10" s="90" t="s">
        <v>368</v>
      </c>
      <c r="I10" s="119">
        <v>1</v>
      </c>
      <c r="J10" s="571">
        <v>25800</v>
      </c>
      <c r="K10" s="572">
        <f>IF(I10="","",J10*I10)</f>
        <v>25800</v>
      </c>
      <c r="L10" s="585" t="s">
        <v>3246</v>
      </c>
      <c r="M10" s="92"/>
    </row>
    <row r="11" spans="1:13" x14ac:dyDescent="0.25">
      <c r="A11" s="90">
        <v>2</v>
      </c>
      <c r="B11" s="90">
        <v>82699</v>
      </c>
      <c r="C11" s="93">
        <v>41995</v>
      </c>
      <c r="D11" s="91" t="s">
        <v>1502</v>
      </c>
      <c r="E11" s="90" t="s">
        <v>497</v>
      </c>
      <c r="F11" s="91" t="s">
        <v>679</v>
      </c>
      <c r="G11" s="9"/>
      <c r="H11" s="90" t="s">
        <v>368</v>
      </c>
      <c r="I11" s="119">
        <v>1</v>
      </c>
      <c r="J11" s="571">
        <v>55058</v>
      </c>
      <c r="K11" s="572">
        <f>IF(I11="","",J11*I11)</f>
        <v>55058</v>
      </c>
      <c r="L11" s="585" t="s">
        <v>3246</v>
      </c>
      <c r="M11" s="92"/>
    </row>
    <row r="12" spans="1:13" x14ac:dyDescent="0.25">
      <c r="A12" s="90">
        <v>3</v>
      </c>
      <c r="B12" s="90">
        <v>80495</v>
      </c>
      <c r="C12" s="93">
        <v>41989</v>
      </c>
      <c r="D12" s="91" t="s">
        <v>1532</v>
      </c>
      <c r="E12" s="90" t="s">
        <v>497</v>
      </c>
      <c r="F12" s="91" t="s">
        <v>215</v>
      </c>
      <c r="G12" s="9"/>
      <c r="H12" s="90" t="s">
        <v>384</v>
      </c>
      <c r="I12" s="119">
        <v>2</v>
      </c>
      <c r="J12" s="571">
        <v>44597</v>
      </c>
      <c r="K12" s="572">
        <f>IF(I12="","",J12*I12)</f>
        <v>89194</v>
      </c>
      <c r="L12" s="585" t="s">
        <v>3246</v>
      </c>
      <c r="M12" s="92"/>
    </row>
    <row r="13" spans="1:13" x14ac:dyDescent="0.25">
      <c r="A13" s="90">
        <v>4</v>
      </c>
      <c r="B13" s="90">
        <v>58401</v>
      </c>
      <c r="C13" s="93">
        <v>42006</v>
      </c>
      <c r="D13" s="91" t="s">
        <v>507</v>
      </c>
      <c r="E13" s="90" t="s">
        <v>497</v>
      </c>
      <c r="F13" s="91" t="s">
        <v>202</v>
      </c>
      <c r="G13" s="9"/>
      <c r="H13" s="12" t="s">
        <v>508</v>
      </c>
      <c r="I13" s="119">
        <v>1</v>
      </c>
      <c r="J13" s="86">
        <f>IF(F13="","",VLOOKUP(F13,ARANCEL!$E$2:$F$123,2,FALSE))</f>
        <v>17243.560000000001</v>
      </c>
      <c r="K13" s="87">
        <f t="shared" ref="K13:K20" si="0">IF(I13=0,"",J13*I13)</f>
        <v>17243.560000000001</v>
      </c>
      <c r="L13" s="585" t="s">
        <v>3246</v>
      </c>
      <c r="M13" s="92"/>
    </row>
    <row r="14" spans="1:13" x14ac:dyDescent="0.25">
      <c r="A14" s="90">
        <v>5</v>
      </c>
      <c r="B14" s="90">
        <v>85574</v>
      </c>
      <c r="C14" s="93">
        <v>42010</v>
      </c>
      <c r="D14" s="91" t="s">
        <v>505</v>
      </c>
      <c r="E14" s="90" t="s">
        <v>471</v>
      </c>
      <c r="F14" s="91" t="s">
        <v>215</v>
      </c>
      <c r="G14" s="9"/>
      <c r="H14" s="12" t="s">
        <v>384</v>
      </c>
      <c r="I14" s="119">
        <v>2</v>
      </c>
      <c r="J14" s="86">
        <f>IF(F14="","",VLOOKUP(F14,ARANCEL!$E$2:$F$123,2,FALSE))</f>
        <v>44597.287499999999</v>
      </c>
      <c r="K14" s="87">
        <f t="shared" si="0"/>
        <v>89194.574999999997</v>
      </c>
      <c r="L14" s="585" t="s">
        <v>3246</v>
      </c>
      <c r="M14" s="92"/>
    </row>
    <row r="15" spans="1:13" x14ac:dyDescent="0.25">
      <c r="A15" s="90">
        <v>6</v>
      </c>
      <c r="B15" s="90">
        <v>87122</v>
      </c>
      <c r="C15" s="93">
        <v>42017</v>
      </c>
      <c r="D15" s="91" t="s">
        <v>3088</v>
      </c>
      <c r="E15" s="90" t="s">
        <v>497</v>
      </c>
      <c r="F15" s="91" t="s">
        <v>1539</v>
      </c>
      <c r="G15" s="9"/>
      <c r="H15" s="12" t="s">
        <v>428</v>
      </c>
      <c r="I15" s="119">
        <v>1</v>
      </c>
      <c r="J15" s="86">
        <f>IF(F15="","",VLOOKUP(F15,ARANCEL!$E$2:$F$123,2,FALSE))</f>
        <v>3651.48</v>
      </c>
      <c r="K15" s="87">
        <f t="shared" si="0"/>
        <v>3651.48</v>
      </c>
      <c r="L15" s="585" t="s">
        <v>3246</v>
      </c>
      <c r="M15" s="92"/>
    </row>
    <row r="16" spans="1:13" x14ac:dyDescent="0.25">
      <c r="A16" s="90">
        <v>7</v>
      </c>
      <c r="B16" s="101">
        <v>86714</v>
      </c>
      <c r="C16" s="102">
        <v>42013</v>
      </c>
      <c r="D16" s="103" t="s">
        <v>3089</v>
      </c>
      <c r="E16" s="101" t="s">
        <v>481</v>
      </c>
      <c r="F16" s="103" t="s">
        <v>215</v>
      </c>
      <c r="G16" s="104"/>
      <c r="H16" s="98" t="s">
        <v>368</v>
      </c>
      <c r="I16" s="105">
        <v>1</v>
      </c>
      <c r="J16" s="86">
        <f>IF(F16="","",VLOOKUP(F16,ARANCEL!$E$2:$F$123,2,FALSE))</f>
        <v>44597.287499999999</v>
      </c>
      <c r="K16" s="100">
        <f t="shared" si="0"/>
        <v>44597.287499999999</v>
      </c>
      <c r="L16" s="585" t="s">
        <v>3246</v>
      </c>
      <c r="M16" s="99"/>
    </row>
    <row r="17" spans="1:13" x14ac:dyDescent="0.25">
      <c r="A17" s="90">
        <v>8</v>
      </c>
      <c r="B17" s="101">
        <v>87557</v>
      </c>
      <c r="C17" s="102">
        <v>42016</v>
      </c>
      <c r="D17" s="103" t="s">
        <v>3092</v>
      </c>
      <c r="E17" s="101" t="s">
        <v>497</v>
      </c>
      <c r="F17" s="103" t="s">
        <v>233</v>
      </c>
      <c r="G17" s="104"/>
      <c r="H17" s="98" t="s">
        <v>368</v>
      </c>
      <c r="I17" s="105">
        <v>1</v>
      </c>
      <c r="J17" s="86">
        <f>IF(F17="","",VLOOKUP(F17,ARANCEL!$E$2:$F$123,2,FALSE))</f>
        <v>12499.349999999999</v>
      </c>
      <c r="K17" s="100">
        <f t="shared" si="0"/>
        <v>12499.349999999999</v>
      </c>
      <c r="L17" s="585" t="s">
        <v>3246</v>
      </c>
      <c r="M17" s="99"/>
    </row>
    <row r="18" spans="1:13" x14ac:dyDescent="0.25">
      <c r="A18" s="90">
        <v>9</v>
      </c>
      <c r="B18" s="101">
        <v>88903</v>
      </c>
      <c r="C18" s="102">
        <v>42024</v>
      </c>
      <c r="D18" s="103" t="s">
        <v>3090</v>
      </c>
      <c r="E18" s="101" t="s">
        <v>481</v>
      </c>
      <c r="F18" s="103" t="s">
        <v>215</v>
      </c>
      <c r="G18" s="104"/>
      <c r="H18" s="98" t="s">
        <v>384</v>
      </c>
      <c r="I18" s="105">
        <v>2</v>
      </c>
      <c r="J18" s="86">
        <f>IF(F18="","",VLOOKUP(F18,ARANCEL!$E$2:$F$123,2,FALSE))</f>
        <v>44597.287499999999</v>
      </c>
      <c r="K18" s="100">
        <f t="shared" si="0"/>
        <v>89194.574999999997</v>
      </c>
      <c r="L18" s="585" t="s">
        <v>3246</v>
      </c>
      <c r="M18" s="99"/>
    </row>
    <row r="19" spans="1:13" x14ac:dyDescent="0.25">
      <c r="A19" s="90">
        <v>10</v>
      </c>
      <c r="B19" s="101">
        <v>89958</v>
      </c>
      <c r="C19" s="102">
        <v>42025</v>
      </c>
      <c r="D19" s="103" t="s">
        <v>506</v>
      </c>
      <c r="E19" s="101" t="s">
        <v>497</v>
      </c>
      <c r="F19" s="91" t="s">
        <v>679</v>
      </c>
      <c r="G19" s="104"/>
      <c r="H19" s="98" t="s">
        <v>366</v>
      </c>
      <c r="I19" s="105">
        <v>1</v>
      </c>
      <c r="J19" s="86">
        <v>55058</v>
      </c>
      <c r="K19" s="100">
        <f t="shared" si="0"/>
        <v>55058</v>
      </c>
      <c r="L19" s="585" t="s">
        <v>3246</v>
      </c>
      <c r="M19" s="99"/>
    </row>
    <row r="20" spans="1:13" x14ac:dyDescent="0.25">
      <c r="A20" s="90">
        <v>11</v>
      </c>
      <c r="B20" s="101">
        <v>90865</v>
      </c>
      <c r="C20" s="102">
        <v>42026</v>
      </c>
      <c r="D20" s="103" t="s">
        <v>3091</v>
      </c>
      <c r="E20" s="101" t="s">
        <v>1231</v>
      </c>
      <c r="F20" s="91" t="s">
        <v>679</v>
      </c>
      <c r="G20" s="104"/>
      <c r="H20" s="98" t="s">
        <v>368</v>
      </c>
      <c r="I20" s="105">
        <v>1</v>
      </c>
      <c r="J20" s="86">
        <v>55058</v>
      </c>
      <c r="K20" s="100">
        <f t="shared" si="0"/>
        <v>55058</v>
      </c>
      <c r="L20" s="585" t="s">
        <v>3246</v>
      </c>
      <c r="M20" s="99"/>
    </row>
    <row r="21" spans="1:13" x14ac:dyDescent="0.25">
      <c r="A21" s="90">
        <v>10</v>
      </c>
      <c r="B21" s="101">
        <v>90513</v>
      </c>
      <c r="C21" s="102">
        <v>42025</v>
      </c>
      <c r="D21" s="103" t="s">
        <v>3097</v>
      </c>
      <c r="E21" s="101" t="s">
        <v>497</v>
      </c>
      <c r="F21" s="103" t="s">
        <v>215</v>
      </c>
      <c r="G21" s="104"/>
      <c r="H21" s="98" t="s">
        <v>368</v>
      </c>
      <c r="I21" s="105">
        <v>1</v>
      </c>
      <c r="J21" s="86">
        <f>IF(F21="","",VLOOKUP(F21,ARANCEL!$E$2:$F$123,2,FALSE))</f>
        <v>44597.287499999999</v>
      </c>
      <c r="K21" s="100">
        <f t="shared" ref="K21:K30" si="1">IF(I21=0,"",J21*I21)</f>
        <v>44597.287499999999</v>
      </c>
      <c r="L21" s="585" t="s">
        <v>3246</v>
      </c>
      <c r="M21" s="99"/>
    </row>
    <row r="22" spans="1:13" x14ac:dyDescent="0.25">
      <c r="A22" s="90">
        <v>11</v>
      </c>
      <c r="B22" s="101" t="s">
        <v>3230</v>
      </c>
      <c r="C22" s="102">
        <v>42027</v>
      </c>
      <c r="D22" s="103" t="s">
        <v>3088</v>
      </c>
      <c r="E22" s="101" t="s">
        <v>497</v>
      </c>
      <c r="F22" s="103" t="s">
        <v>202</v>
      </c>
      <c r="G22" s="104"/>
      <c r="H22" s="98" t="s">
        <v>428</v>
      </c>
      <c r="I22" s="105">
        <v>1</v>
      </c>
      <c r="J22" s="86">
        <f>IF(F22="","",VLOOKUP(F22,ARANCEL!$E$2:$F$123,2,FALSE))</f>
        <v>17243.560000000001</v>
      </c>
      <c r="K22" s="100">
        <f t="shared" si="1"/>
        <v>17243.560000000001</v>
      </c>
      <c r="L22" s="585" t="s">
        <v>3246</v>
      </c>
      <c r="M22" s="99"/>
    </row>
    <row r="23" spans="1:13" x14ac:dyDescent="0.25">
      <c r="A23" s="101">
        <v>12</v>
      </c>
      <c r="B23" s="101">
        <v>92549</v>
      </c>
      <c r="C23" s="102">
        <v>42032</v>
      </c>
      <c r="D23" s="103" t="s">
        <v>1251</v>
      </c>
      <c r="E23" s="101" t="s">
        <v>481</v>
      </c>
      <c r="F23" s="103" t="s">
        <v>3232</v>
      </c>
      <c r="G23" s="104"/>
      <c r="H23" s="98" t="s">
        <v>368</v>
      </c>
      <c r="I23" s="105">
        <v>1</v>
      </c>
      <c r="J23" s="86">
        <f>IF(F23="","",VLOOKUP(F23,ARANCEL!$E$2:$F$123,2,FALSE))</f>
        <v>35500.959999999999</v>
      </c>
      <c r="K23" s="100">
        <f t="shared" si="1"/>
        <v>35500.959999999999</v>
      </c>
      <c r="L23" s="585" t="s">
        <v>3246</v>
      </c>
      <c r="M23" s="99"/>
    </row>
    <row r="24" spans="1:13" x14ac:dyDescent="0.25">
      <c r="A24" s="101">
        <v>13</v>
      </c>
      <c r="B24" s="101">
        <v>91716</v>
      </c>
      <c r="C24" s="102">
        <v>42030</v>
      </c>
      <c r="D24" s="103" t="s">
        <v>2722</v>
      </c>
      <c r="E24" s="101" t="s">
        <v>481</v>
      </c>
      <c r="F24" s="103" t="s">
        <v>355</v>
      </c>
      <c r="G24" s="104"/>
      <c r="H24" s="98" t="s">
        <v>368</v>
      </c>
      <c r="I24" s="105">
        <v>1</v>
      </c>
      <c r="J24" s="86">
        <f>IF(F24="","",VLOOKUP(F24,ARANCEL!$E$2:$F$123,2,FALSE))</f>
        <v>25800.249999999996</v>
      </c>
      <c r="K24" s="100">
        <f t="shared" si="1"/>
        <v>25800.249999999996</v>
      </c>
      <c r="L24" s="585" t="s">
        <v>3246</v>
      </c>
      <c r="M24" s="99"/>
    </row>
    <row r="25" spans="1:13" x14ac:dyDescent="0.25">
      <c r="A25" s="101">
        <v>14</v>
      </c>
      <c r="B25" s="101">
        <v>91595</v>
      </c>
      <c r="C25" s="102">
        <v>42027</v>
      </c>
      <c r="D25" s="103" t="s">
        <v>3093</v>
      </c>
      <c r="E25" s="101" t="s">
        <v>497</v>
      </c>
      <c r="F25" s="103" t="s">
        <v>353</v>
      </c>
      <c r="G25" s="104"/>
      <c r="H25" s="98" t="s">
        <v>384</v>
      </c>
      <c r="I25" s="105">
        <v>2</v>
      </c>
      <c r="J25" s="86">
        <f>IF(F25="","",VLOOKUP(F25,ARANCEL!$E$2:$F$123,2,FALSE))</f>
        <v>55057.687499999993</v>
      </c>
      <c r="K25" s="100">
        <f t="shared" si="1"/>
        <v>110115.37499999999</v>
      </c>
      <c r="L25" s="585" t="s">
        <v>3246</v>
      </c>
      <c r="M25" s="99" t="s">
        <v>3094</v>
      </c>
    </row>
    <row r="26" spans="1:13" ht="24.75" customHeight="1" x14ac:dyDescent="0.25">
      <c r="A26" s="80" t="s">
        <v>96</v>
      </c>
      <c r="B26" s="80" t="s">
        <v>97</v>
      </c>
      <c r="C26" s="81" t="s">
        <v>101</v>
      </c>
      <c r="D26" s="80" t="s">
        <v>98</v>
      </c>
      <c r="E26" s="80" t="s">
        <v>99</v>
      </c>
      <c r="F26" s="80" t="s">
        <v>100</v>
      </c>
      <c r="G26" s="80" t="s">
        <v>103</v>
      </c>
      <c r="H26" s="80" t="s">
        <v>102</v>
      </c>
      <c r="I26" s="80" t="s">
        <v>107</v>
      </c>
      <c r="J26" s="81" t="s">
        <v>104</v>
      </c>
      <c r="K26" s="81" t="s">
        <v>105</v>
      </c>
      <c r="L26" s="82" t="s">
        <v>166</v>
      </c>
      <c r="M26" s="82" t="s">
        <v>106</v>
      </c>
    </row>
    <row r="27" spans="1:13" x14ac:dyDescent="0.25">
      <c r="A27" s="101">
        <v>15</v>
      </c>
      <c r="B27" s="101"/>
      <c r="C27" s="102"/>
      <c r="D27" s="103"/>
      <c r="E27" s="101"/>
      <c r="F27" s="103"/>
      <c r="G27" s="104"/>
      <c r="H27" s="98"/>
      <c r="I27" s="105"/>
      <c r="J27" s="86" t="str">
        <f>IF(F27="","",VLOOKUP(F27,ARANCEL!$E$2:$F$123,2,FALSE))</f>
        <v/>
      </c>
      <c r="K27" s="100" t="str">
        <f t="shared" si="1"/>
        <v/>
      </c>
      <c r="L27" s="98"/>
      <c r="M27" s="99"/>
    </row>
    <row r="28" spans="1:13" x14ac:dyDescent="0.25">
      <c r="A28" s="101">
        <v>16</v>
      </c>
      <c r="B28" s="101"/>
      <c r="C28" s="102"/>
      <c r="D28" s="103"/>
      <c r="E28" s="101"/>
      <c r="F28" s="103"/>
      <c r="G28" s="104"/>
      <c r="H28" s="98"/>
      <c r="I28" s="105"/>
      <c r="J28" s="86" t="str">
        <f>IF(F28="","",VLOOKUP(F28,ARANCEL!$E$2:$F$123,2,FALSE))</f>
        <v/>
      </c>
      <c r="K28" s="100" t="str">
        <f t="shared" si="1"/>
        <v/>
      </c>
      <c r="L28" s="98"/>
      <c r="M28" s="99"/>
    </row>
    <row r="29" spans="1:13" x14ac:dyDescent="0.25">
      <c r="A29" s="101">
        <v>17</v>
      </c>
      <c r="B29" s="101"/>
      <c r="C29" s="102"/>
      <c r="D29" s="103"/>
      <c r="E29" s="101"/>
      <c r="F29" s="103"/>
      <c r="G29" s="104"/>
      <c r="H29" s="98"/>
      <c r="I29" s="105"/>
      <c r="J29" s="86" t="str">
        <f>IF(F29="","",VLOOKUP(F29,ARANCEL!$E$2:$F$123,2,FALSE))</f>
        <v/>
      </c>
      <c r="K29" s="100" t="str">
        <f t="shared" si="1"/>
        <v/>
      </c>
      <c r="L29" s="98"/>
      <c r="M29" s="99"/>
    </row>
    <row r="30" spans="1:13" x14ac:dyDescent="0.25">
      <c r="A30" s="101">
        <v>18</v>
      </c>
      <c r="B30" s="101"/>
      <c r="C30" s="102"/>
      <c r="D30" s="103"/>
      <c r="E30" s="101"/>
      <c r="F30" s="103"/>
      <c r="G30" s="104"/>
      <c r="H30" s="98"/>
      <c r="I30" s="105"/>
      <c r="J30" s="86" t="str">
        <f>IF(F30="","",VLOOKUP(F30,ARANCEL!$E$2:$F$123,2,FALSE))</f>
        <v/>
      </c>
      <c r="K30" s="100" t="str">
        <f t="shared" si="1"/>
        <v/>
      </c>
      <c r="L30" s="98"/>
      <c r="M30" s="99"/>
    </row>
    <row r="31" spans="1:13" x14ac:dyDescent="0.25">
      <c r="A31" s="90">
        <v>19</v>
      </c>
      <c r="B31" s="101"/>
      <c r="C31" s="102"/>
      <c r="D31" s="103"/>
      <c r="E31" s="101"/>
      <c r="F31" s="103"/>
      <c r="G31" s="104"/>
      <c r="H31" s="98"/>
      <c r="I31" s="105"/>
      <c r="J31" s="86" t="str">
        <f>IF(F31="","",VLOOKUP(F31,ARANCEL!$E$2:$F$123,2,FALSE))</f>
        <v/>
      </c>
      <c r="K31" s="100" t="str">
        <f t="shared" ref="K31:K32" si="2">IF(I31=0,"",J31*I31)</f>
        <v/>
      </c>
      <c r="L31" s="98"/>
      <c r="M31" s="99"/>
    </row>
    <row r="32" spans="1:13" x14ac:dyDescent="0.25">
      <c r="A32" s="90">
        <v>20</v>
      </c>
      <c r="B32" s="101"/>
      <c r="C32" s="102"/>
      <c r="D32" s="103"/>
      <c r="E32" s="101"/>
      <c r="F32" s="103"/>
      <c r="G32" s="104"/>
      <c r="H32" s="98"/>
      <c r="I32" s="105"/>
      <c r="J32" s="86" t="str">
        <f>IF(F32="","",VLOOKUP(F32,ARANCEL!$E$2:$F$123,2,FALSE))</f>
        <v/>
      </c>
      <c r="K32" s="100" t="str">
        <f t="shared" si="2"/>
        <v/>
      </c>
      <c r="L32" s="98"/>
      <c r="M32" s="99"/>
    </row>
    <row r="35" spans="1:13" ht="20.25" customHeight="1" x14ac:dyDescent="0.25">
      <c r="A35" s="614" t="s">
        <v>363</v>
      </c>
      <c r="B35" s="614"/>
      <c r="C35" s="614"/>
      <c r="D35" s="614"/>
      <c r="E35" s="614"/>
      <c r="F35" s="614"/>
      <c r="G35" s="614"/>
      <c r="H35" s="614"/>
      <c r="I35" s="614"/>
      <c r="J35" s="614"/>
      <c r="K35" s="614"/>
    </row>
    <row r="36" spans="1:13" ht="24" x14ac:dyDescent="0.25">
      <c r="A36" s="88" t="s">
        <v>96</v>
      </c>
      <c r="B36" s="88" t="s">
        <v>97</v>
      </c>
      <c r="C36" s="89" t="s">
        <v>101</v>
      </c>
      <c r="D36" s="88" t="s">
        <v>98</v>
      </c>
      <c r="E36" s="88" t="s">
        <v>99</v>
      </c>
      <c r="F36" s="88" t="s">
        <v>100</v>
      </c>
      <c r="G36" s="88" t="s">
        <v>103</v>
      </c>
      <c r="H36" s="88" t="s">
        <v>102</v>
      </c>
      <c r="I36" s="88" t="s">
        <v>107</v>
      </c>
      <c r="J36" s="89" t="s">
        <v>104</v>
      </c>
      <c r="K36" s="89" t="s">
        <v>105</v>
      </c>
      <c r="L36" s="89" t="s">
        <v>166</v>
      </c>
      <c r="M36" s="89" t="s">
        <v>106</v>
      </c>
    </row>
    <row r="37" spans="1:13" x14ac:dyDescent="0.25">
      <c r="A37" s="113">
        <v>3</v>
      </c>
      <c r="B37" s="114">
        <v>69551</v>
      </c>
      <c r="C37" s="109">
        <v>41586</v>
      </c>
      <c r="D37" s="115" t="s">
        <v>470</v>
      </c>
      <c r="E37" s="114" t="s">
        <v>471</v>
      </c>
      <c r="F37" s="115" t="s">
        <v>445</v>
      </c>
      <c r="G37" s="110" t="s">
        <v>368</v>
      </c>
      <c r="H37" s="110" t="s">
        <v>368</v>
      </c>
      <c r="I37" s="112">
        <v>1</v>
      </c>
      <c r="J37" s="116"/>
      <c r="K37" s="117"/>
      <c r="L37" s="113"/>
      <c r="M37" s="13"/>
    </row>
    <row r="38" spans="1:13" x14ac:dyDescent="0.25">
      <c r="A38" s="113">
        <v>4</v>
      </c>
      <c r="B38" s="114">
        <v>78441</v>
      </c>
      <c r="C38" s="109">
        <v>41979</v>
      </c>
      <c r="D38" s="115" t="s">
        <v>470</v>
      </c>
      <c r="E38" s="114" t="s">
        <v>471</v>
      </c>
      <c r="F38" s="115" t="s">
        <v>374</v>
      </c>
      <c r="G38" s="110" t="s">
        <v>368</v>
      </c>
      <c r="H38" s="110" t="s">
        <v>368</v>
      </c>
      <c r="I38" s="112">
        <v>1</v>
      </c>
      <c r="J38" s="116"/>
      <c r="K38" s="117"/>
      <c r="L38" s="113"/>
      <c r="M38" s="13"/>
    </row>
    <row r="39" spans="1:13" x14ac:dyDescent="0.25">
      <c r="A39" s="113">
        <v>5</v>
      </c>
      <c r="B39" s="114">
        <v>80462</v>
      </c>
      <c r="C39" s="109">
        <v>41985</v>
      </c>
      <c r="D39" s="115" t="s">
        <v>470</v>
      </c>
      <c r="E39" s="114" t="s">
        <v>471</v>
      </c>
      <c r="F39" s="115" t="s">
        <v>374</v>
      </c>
      <c r="G39" s="110" t="s">
        <v>368</v>
      </c>
      <c r="H39" s="110" t="s">
        <v>368</v>
      </c>
      <c r="I39" s="112">
        <v>1</v>
      </c>
      <c r="J39" s="116"/>
      <c r="K39" s="117"/>
      <c r="L39" s="113"/>
      <c r="M39" s="13"/>
    </row>
    <row r="40" spans="1:13" x14ac:dyDescent="0.25">
      <c r="A40" s="113">
        <v>6</v>
      </c>
      <c r="B40" s="114">
        <v>74223</v>
      </c>
      <c r="C40" s="109">
        <v>41603</v>
      </c>
      <c r="D40" s="115" t="s">
        <v>472</v>
      </c>
      <c r="E40" s="114" t="s">
        <v>473</v>
      </c>
      <c r="F40" s="115" t="s">
        <v>396</v>
      </c>
      <c r="G40" s="110" t="s">
        <v>416</v>
      </c>
      <c r="H40" s="110" t="s">
        <v>416</v>
      </c>
      <c r="I40" s="112">
        <v>1</v>
      </c>
      <c r="J40" s="116"/>
      <c r="K40" s="117"/>
      <c r="L40" s="113"/>
      <c r="M40" s="13"/>
    </row>
    <row r="41" spans="1:13" x14ac:dyDescent="0.25">
      <c r="A41" s="113">
        <v>7</v>
      </c>
      <c r="B41" s="114">
        <v>5620</v>
      </c>
      <c r="C41" s="109">
        <v>41725</v>
      </c>
      <c r="D41" s="115" t="s">
        <v>474</v>
      </c>
      <c r="E41" s="114" t="s">
        <v>475</v>
      </c>
      <c r="F41" s="115" t="s">
        <v>374</v>
      </c>
      <c r="G41" s="110" t="s">
        <v>368</v>
      </c>
      <c r="H41" s="110" t="s">
        <v>368</v>
      </c>
      <c r="I41" s="112">
        <v>1</v>
      </c>
      <c r="J41" s="116"/>
      <c r="K41" s="117"/>
      <c r="L41" s="113"/>
      <c r="M41" s="13"/>
    </row>
    <row r="42" spans="1:13" x14ac:dyDescent="0.25">
      <c r="A42" s="113">
        <v>8</v>
      </c>
      <c r="B42" s="114" t="s">
        <v>476</v>
      </c>
      <c r="C42" s="109">
        <v>41746</v>
      </c>
      <c r="D42" s="115" t="s">
        <v>477</v>
      </c>
      <c r="E42" s="114" t="s">
        <v>478</v>
      </c>
      <c r="F42" s="115" t="s">
        <v>479</v>
      </c>
      <c r="G42" s="110" t="s">
        <v>368</v>
      </c>
      <c r="H42" s="110" t="s">
        <v>368</v>
      </c>
      <c r="I42" s="112">
        <v>1</v>
      </c>
      <c r="J42" s="116"/>
      <c r="K42" s="117"/>
      <c r="L42" s="113"/>
      <c r="M42" s="13"/>
    </row>
    <row r="43" spans="1:13" x14ac:dyDescent="0.25">
      <c r="A43" s="113">
        <v>9</v>
      </c>
      <c r="B43" s="114">
        <v>8025</v>
      </c>
      <c r="C43" s="109">
        <v>41733</v>
      </c>
      <c r="D43" s="115" t="s">
        <v>480</v>
      </c>
      <c r="E43" s="114" t="s">
        <v>481</v>
      </c>
      <c r="F43" s="115" t="s">
        <v>374</v>
      </c>
      <c r="G43" s="110" t="s">
        <v>482</v>
      </c>
      <c r="H43" s="110" t="s">
        <v>482</v>
      </c>
      <c r="I43" s="112">
        <v>2</v>
      </c>
      <c r="J43" s="116"/>
      <c r="K43" s="117"/>
      <c r="L43" s="113"/>
      <c r="M43" s="13"/>
    </row>
    <row r="44" spans="1:13" x14ac:dyDescent="0.25">
      <c r="A44" s="113">
        <v>10</v>
      </c>
      <c r="B44" s="114" t="s">
        <v>484</v>
      </c>
      <c r="C44" s="109">
        <v>41744</v>
      </c>
      <c r="D44" s="115" t="s">
        <v>485</v>
      </c>
      <c r="E44" s="114" t="s">
        <v>473</v>
      </c>
      <c r="F44" s="115" t="s">
        <v>374</v>
      </c>
      <c r="G44" s="110" t="s">
        <v>366</v>
      </c>
      <c r="H44" s="110" t="s">
        <v>366</v>
      </c>
      <c r="I44" s="112">
        <v>1</v>
      </c>
      <c r="J44" s="116"/>
      <c r="K44" s="117"/>
      <c r="L44" s="113"/>
      <c r="M44" s="13"/>
    </row>
    <row r="45" spans="1:13" x14ac:dyDescent="0.25">
      <c r="A45" s="113">
        <v>11</v>
      </c>
      <c r="B45" s="114">
        <v>22473</v>
      </c>
      <c r="C45" s="109">
        <v>41787</v>
      </c>
      <c r="D45" s="115" t="s">
        <v>487</v>
      </c>
      <c r="E45" s="114" t="s">
        <v>488</v>
      </c>
      <c r="F45" s="115" t="s">
        <v>489</v>
      </c>
      <c r="G45" s="110" t="s">
        <v>439</v>
      </c>
      <c r="H45" s="110" t="s">
        <v>439</v>
      </c>
      <c r="I45" s="112">
        <v>1</v>
      </c>
      <c r="J45" s="116"/>
      <c r="K45" s="117"/>
      <c r="L45" s="113"/>
      <c r="M45" s="13"/>
    </row>
    <row r="46" spans="1:13" x14ac:dyDescent="0.25">
      <c r="A46" s="113">
        <v>12</v>
      </c>
      <c r="B46" s="114">
        <v>25496</v>
      </c>
      <c r="C46" s="109">
        <v>41799</v>
      </c>
      <c r="D46" s="115" t="s">
        <v>490</v>
      </c>
      <c r="E46" s="114" t="s">
        <v>473</v>
      </c>
      <c r="F46" s="115" t="s">
        <v>383</v>
      </c>
      <c r="G46" s="110" t="s">
        <v>366</v>
      </c>
      <c r="H46" s="110" t="s">
        <v>366</v>
      </c>
      <c r="I46" s="112">
        <v>1</v>
      </c>
      <c r="J46" s="116"/>
      <c r="K46" s="117"/>
      <c r="L46" s="113"/>
      <c r="M46" s="13"/>
    </row>
    <row r="47" spans="1:13" x14ac:dyDescent="0.25">
      <c r="A47" s="113">
        <v>13</v>
      </c>
      <c r="B47" s="114">
        <v>35319</v>
      </c>
      <c r="C47" s="109">
        <v>41834</v>
      </c>
      <c r="D47" s="115" t="s">
        <v>491</v>
      </c>
      <c r="E47" s="114" t="s">
        <v>471</v>
      </c>
      <c r="F47" s="115" t="s">
        <v>383</v>
      </c>
      <c r="G47" s="110" t="s">
        <v>366</v>
      </c>
      <c r="H47" s="110" t="s">
        <v>366</v>
      </c>
      <c r="I47" s="112">
        <v>1</v>
      </c>
      <c r="J47" s="116"/>
      <c r="K47" s="117"/>
      <c r="L47" s="113"/>
      <c r="M47" s="13"/>
    </row>
    <row r="48" spans="1:13" x14ac:dyDescent="0.25">
      <c r="A48" s="113">
        <v>14</v>
      </c>
      <c r="B48" s="114">
        <v>43375</v>
      </c>
      <c r="C48" s="109">
        <v>41864</v>
      </c>
      <c r="D48" s="115" t="s">
        <v>492</v>
      </c>
      <c r="E48" s="114" t="s">
        <v>475</v>
      </c>
      <c r="F48" s="115" t="s">
        <v>493</v>
      </c>
      <c r="G48" s="110" t="s">
        <v>494</v>
      </c>
      <c r="H48" s="110" t="s">
        <v>494</v>
      </c>
      <c r="I48" s="112">
        <v>2</v>
      </c>
      <c r="J48" s="116"/>
      <c r="K48" s="117"/>
      <c r="L48" s="113"/>
      <c r="M48" s="13"/>
    </row>
    <row r="49" spans="1:13" x14ac:dyDescent="0.25">
      <c r="A49" s="113">
        <v>15</v>
      </c>
      <c r="B49" s="114">
        <v>46685</v>
      </c>
      <c r="C49" s="109">
        <v>41877</v>
      </c>
      <c r="D49" s="115" t="s">
        <v>495</v>
      </c>
      <c r="E49" s="114" t="s">
        <v>481</v>
      </c>
      <c r="F49" s="115" t="s">
        <v>374</v>
      </c>
      <c r="G49" s="110" t="s">
        <v>368</v>
      </c>
      <c r="H49" s="110" t="s">
        <v>368</v>
      </c>
      <c r="I49" s="112">
        <v>1</v>
      </c>
      <c r="J49" s="116"/>
      <c r="K49" s="117"/>
      <c r="L49" s="113"/>
      <c r="M49" s="13"/>
    </row>
    <row r="50" spans="1:13" x14ac:dyDescent="0.25">
      <c r="A50" s="113">
        <v>16</v>
      </c>
      <c r="B50" s="114">
        <v>53181</v>
      </c>
      <c r="C50" s="109">
        <v>41922</v>
      </c>
      <c r="D50" s="115" t="s">
        <v>496</v>
      </c>
      <c r="E50" s="114" t="s">
        <v>497</v>
      </c>
      <c r="F50" s="115" t="s">
        <v>406</v>
      </c>
      <c r="G50" s="110" t="s">
        <v>414</v>
      </c>
      <c r="H50" s="110" t="s">
        <v>414</v>
      </c>
      <c r="I50" s="112">
        <v>1</v>
      </c>
      <c r="J50" s="116"/>
      <c r="K50" s="117"/>
      <c r="L50" s="113"/>
      <c r="M50" s="13"/>
    </row>
    <row r="51" spans="1:13" x14ac:dyDescent="0.25">
      <c r="A51" s="113">
        <v>17</v>
      </c>
      <c r="B51" s="114">
        <v>55565</v>
      </c>
      <c r="C51" s="109">
        <v>41929</v>
      </c>
      <c r="D51" s="115" t="s">
        <v>498</v>
      </c>
      <c r="E51" s="114" t="s">
        <v>497</v>
      </c>
      <c r="F51" s="115" t="s">
        <v>419</v>
      </c>
      <c r="G51" s="110" t="s">
        <v>368</v>
      </c>
      <c r="H51" s="110" t="s">
        <v>368</v>
      </c>
      <c r="I51" s="112">
        <v>1</v>
      </c>
      <c r="J51" s="116"/>
      <c r="K51" s="117"/>
      <c r="L51" s="113"/>
      <c r="M51" s="13"/>
    </row>
    <row r="52" spans="1:13" x14ac:dyDescent="0.25">
      <c r="A52" s="113">
        <v>18</v>
      </c>
      <c r="B52" s="114">
        <v>60536</v>
      </c>
      <c r="C52" s="109">
        <v>41946</v>
      </c>
      <c r="D52" s="115" t="s">
        <v>499</v>
      </c>
      <c r="E52" s="114" t="s">
        <v>481</v>
      </c>
      <c r="F52" s="115" t="s">
        <v>383</v>
      </c>
      <c r="G52" s="110" t="s">
        <v>366</v>
      </c>
      <c r="H52" s="110" t="s">
        <v>366</v>
      </c>
      <c r="I52" s="112">
        <v>1</v>
      </c>
      <c r="J52" s="116"/>
      <c r="K52" s="117"/>
      <c r="L52" s="113"/>
      <c r="M52" s="13"/>
    </row>
    <row r="53" spans="1:13" x14ac:dyDescent="0.25">
      <c r="A53" s="113">
        <v>19</v>
      </c>
      <c r="B53" s="114">
        <v>61372</v>
      </c>
      <c r="C53" s="109">
        <v>41948</v>
      </c>
      <c r="D53" s="115" t="s">
        <v>500</v>
      </c>
      <c r="E53" s="114" t="s">
        <v>497</v>
      </c>
      <c r="F53" s="115" t="s">
        <v>406</v>
      </c>
      <c r="G53" s="110" t="s">
        <v>416</v>
      </c>
      <c r="H53" s="110" t="s">
        <v>416</v>
      </c>
      <c r="I53" s="112">
        <v>1</v>
      </c>
      <c r="J53" s="116"/>
      <c r="K53" s="117"/>
      <c r="L53" s="113"/>
      <c r="M53" s="13"/>
    </row>
    <row r="54" spans="1:13" x14ac:dyDescent="0.25">
      <c r="A54" s="113">
        <v>20</v>
      </c>
      <c r="B54" s="114">
        <v>65968</v>
      </c>
      <c r="C54" s="109">
        <v>41961</v>
      </c>
      <c r="D54" s="115" t="s">
        <v>501</v>
      </c>
      <c r="E54" s="114" t="s">
        <v>502</v>
      </c>
      <c r="F54" s="115" t="s">
        <v>419</v>
      </c>
      <c r="G54" s="110" t="s">
        <v>368</v>
      </c>
      <c r="H54" s="110" t="s">
        <v>368</v>
      </c>
      <c r="I54" s="112">
        <v>1</v>
      </c>
      <c r="J54" s="116"/>
      <c r="K54" s="117"/>
      <c r="L54" s="113"/>
      <c r="M54" s="13"/>
    </row>
    <row r="55" spans="1:13" x14ac:dyDescent="0.25">
      <c r="A55" s="113">
        <v>21</v>
      </c>
      <c r="B55" s="114">
        <v>70960</v>
      </c>
      <c r="C55" s="109">
        <v>41976</v>
      </c>
      <c r="D55" s="115" t="s">
        <v>503</v>
      </c>
      <c r="E55" s="114" t="s">
        <v>481</v>
      </c>
      <c r="F55" s="115" t="s">
        <v>419</v>
      </c>
      <c r="G55" s="110" t="s">
        <v>368</v>
      </c>
      <c r="H55" s="110" t="s">
        <v>368</v>
      </c>
      <c r="I55" s="112">
        <v>1</v>
      </c>
      <c r="J55" s="116"/>
      <c r="K55" s="116"/>
      <c r="L55" s="113"/>
      <c r="M55" s="13"/>
    </row>
    <row r="56" spans="1:13" x14ac:dyDescent="0.25">
      <c r="A56" s="113">
        <v>22</v>
      </c>
      <c r="B56" s="114">
        <v>74790</v>
      </c>
      <c r="C56" s="109">
        <v>41984</v>
      </c>
      <c r="D56" s="115" t="s">
        <v>504</v>
      </c>
      <c r="E56" s="114" t="s">
        <v>502</v>
      </c>
      <c r="F56" s="115" t="s">
        <v>419</v>
      </c>
      <c r="G56" s="110" t="s">
        <v>368</v>
      </c>
      <c r="H56" s="110" t="s">
        <v>368</v>
      </c>
      <c r="I56" s="112">
        <v>1</v>
      </c>
      <c r="J56" s="116"/>
      <c r="K56" s="116"/>
      <c r="L56" s="113"/>
      <c r="M56" s="13"/>
    </row>
    <row r="57" spans="1:13" x14ac:dyDescent="0.25">
      <c r="A57" s="113">
        <v>24</v>
      </c>
      <c r="B57" s="114">
        <v>85231</v>
      </c>
      <c r="C57" s="109">
        <v>42004</v>
      </c>
      <c r="D57" s="115" t="s">
        <v>509</v>
      </c>
      <c r="E57" s="114" t="s">
        <v>497</v>
      </c>
      <c r="F57" s="115" t="s">
        <v>374</v>
      </c>
      <c r="G57" s="110"/>
      <c r="H57" s="113"/>
      <c r="I57" s="112">
        <v>1</v>
      </c>
      <c r="J57" s="116"/>
      <c r="K57" s="116"/>
      <c r="L57" s="113"/>
      <c r="M57" s="13"/>
    </row>
    <row r="58" spans="1:13" x14ac:dyDescent="0.25">
      <c r="A58" s="113"/>
      <c r="B58" s="114" t="s">
        <v>3099</v>
      </c>
      <c r="C58" s="109">
        <v>42024</v>
      </c>
      <c r="D58" s="115" t="s">
        <v>3092</v>
      </c>
      <c r="E58" s="114" t="s">
        <v>497</v>
      </c>
      <c r="F58" s="115" t="s">
        <v>455</v>
      </c>
      <c r="G58" s="110"/>
      <c r="H58" s="108" t="s">
        <v>366</v>
      </c>
      <c r="I58" s="112">
        <v>1</v>
      </c>
      <c r="J58" s="116"/>
      <c r="K58" s="116"/>
      <c r="L58" s="113"/>
      <c r="M58" s="13"/>
    </row>
    <row r="59" spans="1:13" x14ac:dyDescent="0.25">
      <c r="A59" s="113"/>
      <c r="B59" s="114">
        <v>88178</v>
      </c>
      <c r="C59" s="109">
        <v>42019</v>
      </c>
      <c r="D59" s="115" t="s">
        <v>3095</v>
      </c>
      <c r="E59" s="114" t="s">
        <v>481</v>
      </c>
      <c r="F59" s="115" t="s">
        <v>383</v>
      </c>
      <c r="G59" s="110"/>
      <c r="H59" s="108" t="s">
        <v>366</v>
      </c>
      <c r="I59" s="112">
        <v>1</v>
      </c>
      <c r="J59" s="116"/>
      <c r="K59" s="116"/>
      <c r="L59" s="113"/>
      <c r="M59" s="13" t="s">
        <v>3096</v>
      </c>
    </row>
    <row r="60" spans="1:13" x14ac:dyDescent="0.25">
      <c r="A60" s="113"/>
      <c r="B60" s="114">
        <v>88563</v>
      </c>
      <c r="C60" s="109">
        <v>42020</v>
      </c>
      <c r="D60" s="115" t="s">
        <v>3098</v>
      </c>
      <c r="E60" s="114" t="s">
        <v>497</v>
      </c>
      <c r="F60" s="115" t="s">
        <v>383</v>
      </c>
      <c r="G60" s="110"/>
      <c r="H60" s="108" t="s">
        <v>368</v>
      </c>
      <c r="I60" s="112">
        <v>1</v>
      </c>
      <c r="J60" s="116"/>
      <c r="K60" s="116"/>
      <c r="L60" s="113"/>
      <c r="M60" s="13"/>
    </row>
    <row r="61" spans="1:13" x14ac:dyDescent="0.25">
      <c r="A61" s="113"/>
      <c r="B61" s="114">
        <v>92608</v>
      </c>
      <c r="C61" s="109">
        <v>42031</v>
      </c>
      <c r="D61" s="115" t="s">
        <v>3231</v>
      </c>
      <c r="E61" s="114" t="s">
        <v>481</v>
      </c>
      <c r="F61" s="115" t="s">
        <v>374</v>
      </c>
      <c r="G61" s="110"/>
      <c r="H61" s="108" t="s">
        <v>368</v>
      </c>
      <c r="I61" s="112">
        <v>1</v>
      </c>
      <c r="J61" s="116"/>
      <c r="K61" s="116"/>
      <c r="L61" s="113"/>
      <c r="M61" s="13"/>
    </row>
    <row r="62" spans="1:13" x14ac:dyDescent="0.25">
      <c r="A62" s="113"/>
      <c r="B62" s="114"/>
      <c r="C62" s="109"/>
      <c r="D62" s="115"/>
      <c r="E62" s="114"/>
      <c r="F62" s="115"/>
      <c r="G62" s="110"/>
      <c r="H62" s="108"/>
      <c r="I62" s="112"/>
      <c r="J62" s="116"/>
      <c r="K62" s="116"/>
      <c r="L62" s="113"/>
      <c r="M62" s="13"/>
    </row>
    <row r="63" spans="1:13" x14ac:dyDescent="0.25">
      <c r="A63" s="113"/>
      <c r="B63" s="114"/>
      <c r="C63" s="109"/>
      <c r="D63" s="115"/>
      <c r="E63" s="114"/>
      <c r="F63" s="115"/>
      <c r="G63" s="110"/>
      <c r="H63" s="108"/>
      <c r="I63" s="112"/>
      <c r="J63" s="116"/>
      <c r="K63" s="116"/>
      <c r="L63" s="113"/>
      <c r="M63" s="13"/>
    </row>
    <row r="64" spans="1:13" x14ac:dyDescent="0.25">
      <c r="A64" s="113"/>
      <c r="B64" s="114"/>
      <c r="C64" s="109"/>
      <c r="D64" s="115"/>
      <c r="E64" s="114"/>
      <c r="F64" s="115"/>
      <c r="G64" s="110"/>
      <c r="H64" s="108"/>
      <c r="I64" s="112"/>
      <c r="J64" s="116"/>
      <c r="K64" s="116"/>
      <c r="L64" s="113"/>
      <c r="M64" s="13"/>
    </row>
    <row r="65" spans="1:13" x14ac:dyDescent="0.25">
      <c r="A65" s="113"/>
      <c r="B65" s="114"/>
      <c r="C65" s="109"/>
      <c r="D65" s="115"/>
      <c r="E65" s="114"/>
      <c r="F65" s="115"/>
      <c r="G65" s="110"/>
      <c r="H65" s="108"/>
      <c r="I65" s="112"/>
      <c r="J65" s="116"/>
      <c r="K65" s="116"/>
      <c r="L65" s="113"/>
      <c r="M65" s="13"/>
    </row>
    <row r="66" spans="1:13" x14ac:dyDescent="0.25">
      <c r="A66" s="113"/>
      <c r="B66" s="114"/>
      <c r="C66" s="109"/>
      <c r="D66" s="115"/>
      <c r="E66" s="114"/>
      <c r="F66" s="115"/>
      <c r="G66" s="110"/>
      <c r="H66" s="108"/>
      <c r="I66" s="112"/>
      <c r="J66" s="116"/>
      <c r="K66" s="116"/>
      <c r="L66" s="113"/>
      <c r="M66" s="13"/>
    </row>
    <row r="67" spans="1:13" x14ac:dyDescent="0.25">
      <c r="A67" s="113"/>
      <c r="B67" s="114"/>
      <c r="C67" s="109"/>
      <c r="D67" s="115"/>
      <c r="E67" s="114"/>
      <c r="F67" s="115"/>
      <c r="G67" s="110"/>
      <c r="H67" s="108"/>
      <c r="I67" s="112"/>
      <c r="J67" s="116"/>
      <c r="K67" s="116"/>
      <c r="L67" s="113"/>
      <c r="M67" s="13"/>
    </row>
  </sheetData>
  <autoFilter ref="A26:M26">
    <sortState ref="A28:M31">
      <sortCondition ref="L10"/>
    </sortState>
  </autoFilter>
  <mergeCells count="11">
    <mergeCell ref="L9:M9"/>
    <mergeCell ref="A7:B7"/>
    <mergeCell ref="A8:B8"/>
    <mergeCell ref="A35:K35"/>
    <mergeCell ref="A1:K1"/>
    <mergeCell ref="A2:K2"/>
    <mergeCell ref="A3:B3"/>
    <mergeCell ref="A4:B4"/>
    <mergeCell ref="A5:B5"/>
    <mergeCell ref="A6:B6"/>
    <mergeCell ref="A9:K9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M93"/>
  <sheetViews>
    <sheetView zoomScale="90" zoomScaleNormal="90" workbookViewId="0">
      <pane ySplit="9" topLeftCell="A58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20" customWidth="1"/>
    <col min="12" max="12" width="12.140625" customWidth="1"/>
    <col min="13" max="13" width="39.28515625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37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customHeight="1" outlineLevel="1" x14ac:dyDescent="0.25">
      <c r="A3" s="612" t="s">
        <v>156</v>
      </c>
      <c r="B3" s="612"/>
      <c r="C3" s="94" t="str">
        <f>IFERROR(VLOOKUP($A$2,DATOS!$A$2:$N$14,2,FALSE),"SUCURSAL NO ENCONTRADA")</f>
        <v>SOCIEDAD PRESTADORA DE SERVICIOS ODONTOLÓGICOS LOS ALERCES LTDA.</v>
      </c>
      <c r="H3" s="107" t="s">
        <v>164</v>
      </c>
      <c r="I3" s="94" t="str">
        <f>IFERROR(VLOOKUP($A$2,DATOS!$A$2:$N$14,8,FALSE),"SUCURSAL NO ENCONTRADA")</f>
        <v>CRISTIAN EGGERS</v>
      </c>
    </row>
    <row r="4" spans="1:13" ht="12.75" customHeight="1" outlineLevel="1" x14ac:dyDescent="0.25">
      <c r="A4" s="612" t="s">
        <v>157</v>
      </c>
      <c r="B4" s="612"/>
      <c r="C4" s="94" t="str">
        <f>IFERROR(VLOOKUP($A$2,DATOS!$A$2:$N$14,3,FALSE),"SUCURSAL NO ENCONTRADA")</f>
        <v>76.330.243-1</v>
      </c>
      <c r="H4" s="107" t="s">
        <v>162</v>
      </c>
      <c r="I4" s="94" t="str">
        <f>IFERROR(VLOOKUP($A$2,DATOS!$A$2:$N$14,9,FALSE),"SUCURSAL NO ENCONTRADA")</f>
        <v>dr.cristian.eggers@gmail.com
ceggers@unosalud.cl</v>
      </c>
      <c r="K4" s="84"/>
    </row>
    <row r="5" spans="1:13" ht="12.75" customHeight="1" outlineLevel="1" x14ac:dyDescent="0.25">
      <c r="A5" s="612" t="s">
        <v>158</v>
      </c>
      <c r="B5" s="612"/>
      <c r="C5" s="94" t="str">
        <f>IFERROR(VLOOKUP($A$2,DATOS!$A$2:$N$14,4,FALSE),"SUCURSAL NO ENCONTRADA")</f>
        <v>ILLAPE 10 LOCAL 1, PUERTO MONTT</v>
      </c>
      <c r="H5" s="107" t="s">
        <v>161</v>
      </c>
      <c r="I5" s="94">
        <f>IFERROR(VLOOKUP($A$2,DATOS!$A$2:$N$14,10,FALSE),"SUCURSAL NO ENCONTRADA")</f>
        <v>0</v>
      </c>
    </row>
    <row r="6" spans="1:13" ht="12.75" customHeight="1" outlineLevel="1" x14ac:dyDescent="0.25">
      <c r="A6" s="612" t="s">
        <v>159</v>
      </c>
      <c r="B6" s="612"/>
      <c r="C6" s="94" t="str">
        <f>IFERROR(VLOOKUP($A$2,DATOS!$A$2:$N$14,5,FALSE),"SUCURSAL NO ENCONTRADA")</f>
        <v>CENTRO MÉDICO DE ATENCIÓN AMBULATORIA</v>
      </c>
      <c r="H6" s="107" t="s">
        <v>165</v>
      </c>
      <c r="I6" s="94" t="str">
        <f>IFERROR(VLOOKUP($A$2,DATOS!$A$2:$N$14,11,FALSE),"SUCURSAL NO ENCONTRADA")</f>
        <v>CLAUDIA GATICA</v>
      </c>
    </row>
    <row r="7" spans="1:13" ht="12.75" customHeight="1" outlineLevel="1" x14ac:dyDescent="0.25">
      <c r="A7" s="612" t="s">
        <v>160</v>
      </c>
      <c r="B7" s="612"/>
      <c r="C7" s="94" t="str">
        <f>IFERROR(VLOOKUP($A$2,DATOS!$A$2:$N$14,6,FALSE),"SUCURSAL NO ENCONTRADA")</f>
        <v>UNO SALUD PUERTO MONTT</v>
      </c>
      <c r="H7" s="107" t="s">
        <v>162</v>
      </c>
      <c r="I7" s="94">
        <f>IFERROR(VLOOKUP($A$2,DATOS!$A$2:$N$14,12,FALSE),"SUCURSAL NO ENCONTRADA")</f>
        <v>0</v>
      </c>
    </row>
    <row r="8" spans="1:13" ht="14.25" customHeight="1" outlineLevel="1" x14ac:dyDescent="0.25">
      <c r="A8" s="613" t="s">
        <v>163</v>
      </c>
      <c r="B8" s="613"/>
      <c r="C8" s="85">
        <f>IFERROR(VLOOKUP($A$2,DATOS!$A$2:$N$14,7,FALSE),"SUCURSAL NO ENCONTRADA")</f>
        <v>0</v>
      </c>
      <c r="D8" s="85"/>
      <c r="E8" s="85"/>
      <c r="F8" s="15"/>
      <c r="G8" s="14"/>
      <c r="H8" s="107" t="s">
        <v>161</v>
      </c>
      <c r="I8" s="94" t="str">
        <f>IFERROR(VLOOKUP($A$2,DATOS!$A$2:$N$14,13,FALSE),"SUCURSAL NO ENCONTRADA")</f>
        <v>22 7638990
22 7638994</v>
      </c>
    </row>
    <row r="9" spans="1:13" s="586" customFormat="1" ht="24.75" customHeight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x14ac:dyDescent="0.25">
      <c r="A10" s="90">
        <v>1</v>
      </c>
      <c r="B10" s="90">
        <v>85980</v>
      </c>
      <c r="C10" s="93">
        <v>42010</v>
      </c>
      <c r="D10" s="91" t="s">
        <v>541</v>
      </c>
      <c r="E10" s="90" t="s">
        <v>542</v>
      </c>
      <c r="F10" s="91" t="s">
        <v>534</v>
      </c>
      <c r="G10" s="9"/>
      <c r="H10" s="12" t="s">
        <v>414</v>
      </c>
      <c r="I10" s="119">
        <v>1</v>
      </c>
      <c r="J10" s="86">
        <f>IF(F10="","",VLOOKUP(F10,ARANCEL!$E$2:$F$123,2,FALSE))</f>
        <v>30428.999999999996</v>
      </c>
      <c r="K10" s="87">
        <f t="shared" ref="K10:K32" si="0">IF(I10=0,"",J10*I10)</f>
        <v>30428.999999999996</v>
      </c>
      <c r="L10" s="585" t="s">
        <v>3246</v>
      </c>
      <c r="M10" s="92"/>
    </row>
    <row r="11" spans="1:13" x14ac:dyDescent="0.25">
      <c r="A11" s="101">
        <v>2</v>
      </c>
      <c r="B11" s="101">
        <v>85508</v>
      </c>
      <c r="C11" s="102">
        <v>42009</v>
      </c>
      <c r="D11" s="103" t="s">
        <v>1717</v>
      </c>
      <c r="E11" s="101" t="s">
        <v>542</v>
      </c>
      <c r="F11" s="103" t="s">
        <v>114</v>
      </c>
      <c r="G11" s="104"/>
      <c r="H11" s="98" t="s">
        <v>416</v>
      </c>
      <c r="I11" s="105">
        <v>1</v>
      </c>
      <c r="J11" s="86">
        <f>IF(F11="","",VLOOKUP(F11,ARANCEL!$E$2:$F$123,2,FALSE))</f>
        <v>33370.239999999998</v>
      </c>
      <c r="K11" s="100">
        <f t="shared" si="0"/>
        <v>33370.239999999998</v>
      </c>
      <c r="L11" s="585" t="s">
        <v>3246</v>
      </c>
      <c r="M11" s="99"/>
    </row>
    <row r="12" spans="1:13" x14ac:dyDescent="0.25">
      <c r="A12" s="90">
        <v>3</v>
      </c>
      <c r="B12" s="90">
        <v>85618</v>
      </c>
      <c r="C12" s="93">
        <v>42009</v>
      </c>
      <c r="D12" s="91" t="s">
        <v>544</v>
      </c>
      <c r="E12" s="90" t="s">
        <v>542</v>
      </c>
      <c r="F12" s="91" t="s">
        <v>114</v>
      </c>
      <c r="G12" s="9"/>
      <c r="H12" s="12" t="s">
        <v>545</v>
      </c>
      <c r="I12" s="119">
        <v>1</v>
      </c>
      <c r="J12" s="86">
        <f>IF(F12="","",VLOOKUP(F12,ARANCEL!$E$2:$F$123,2,FALSE))</f>
        <v>33370.239999999998</v>
      </c>
      <c r="K12" s="87">
        <f t="shared" si="0"/>
        <v>33370.239999999998</v>
      </c>
      <c r="L12" s="585" t="s">
        <v>3246</v>
      </c>
      <c r="M12" s="92"/>
    </row>
    <row r="13" spans="1:13" x14ac:dyDescent="0.25">
      <c r="A13" s="90">
        <v>4</v>
      </c>
      <c r="B13" s="90">
        <v>85071</v>
      </c>
      <c r="C13" s="93">
        <v>42004</v>
      </c>
      <c r="D13" s="91" t="s">
        <v>547</v>
      </c>
      <c r="E13" s="90" t="s">
        <v>518</v>
      </c>
      <c r="F13" s="91" t="s">
        <v>182</v>
      </c>
      <c r="G13" s="9"/>
      <c r="H13" s="12" t="s">
        <v>404</v>
      </c>
      <c r="I13" s="119">
        <v>1</v>
      </c>
      <c r="J13" s="86">
        <f>IF(F13="","",VLOOKUP(F13,ARANCEL!$E$2:$F$123,2,FALSE))</f>
        <v>45643.96</v>
      </c>
      <c r="K13" s="87">
        <f t="shared" si="0"/>
        <v>45643.96</v>
      </c>
      <c r="L13" s="585" t="s">
        <v>3246</v>
      </c>
      <c r="M13" s="92"/>
    </row>
    <row r="14" spans="1:13" x14ac:dyDescent="0.25">
      <c r="A14" s="101">
        <v>5</v>
      </c>
      <c r="B14" s="101">
        <v>85126</v>
      </c>
      <c r="C14" s="102">
        <v>42011</v>
      </c>
      <c r="D14" s="103" t="s">
        <v>548</v>
      </c>
      <c r="E14" s="101" t="s">
        <v>542</v>
      </c>
      <c r="F14" s="103" t="s">
        <v>115</v>
      </c>
      <c r="G14" s="104"/>
      <c r="H14" s="98" t="s">
        <v>469</v>
      </c>
      <c r="I14" s="105">
        <v>1</v>
      </c>
      <c r="J14" s="86">
        <f>IF(F14="","",VLOOKUP(F14,ARANCEL!$E$2:$F$123,2,FALSE))</f>
        <v>5274.3600000000006</v>
      </c>
      <c r="K14" s="100">
        <f t="shared" si="0"/>
        <v>5274.3600000000006</v>
      </c>
      <c r="L14" s="585" t="s">
        <v>3246</v>
      </c>
      <c r="M14" s="99"/>
    </row>
    <row r="15" spans="1:13" x14ac:dyDescent="0.25">
      <c r="A15" s="90">
        <v>6</v>
      </c>
      <c r="B15" s="101">
        <v>85126</v>
      </c>
      <c r="C15" s="102">
        <v>42011</v>
      </c>
      <c r="D15" s="103" t="s">
        <v>548</v>
      </c>
      <c r="E15" s="101" t="s">
        <v>542</v>
      </c>
      <c r="F15" s="103" t="s">
        <v>208</v>
      </c>
      <c r="G15" s="104"/>
      <c r="H15" s="98" t="s">
        <v>469</v>
      </c>
      <c r="I15" s="105">
        <v>1</v>
      </c>
      <c r="J15" s="86">
        <f>IF(F15="","",VLOOKUP(F15,ARANCEL!$E$2:$F$123,2,FALSE))</f>
        <v>14098.999999999998</v>
      </c>
      <c r="K15" s="100">
        <f t="shared" si="0"/>
        <v>14098.999999999998</v>
      </c>
      <c r="L15" s="585" t="s">
        <v>3246</v>
      </c>
      <c r="M15" s="99"/>
    </row>
    <row r="16" spans="1:13" x14ac:dyDescent="0.25">
      <c r="A16" s="90">
        <v>7</v>
      </c>
      <c r="B16" s="101">
        <v>85122</v>
      </c>
      <c r="C16" s="102">
        <v>42009</v>
      </c>
      <c r="D16" s="103" t="s">
        <v>549</v>
      </c>
      <c r="E16" s="101" t="s">
        <v>542</v>
      </c>
      <c r="F16" s="103" t="s">
        <v>115</v>
      </c>
      <c r="G16" s="104"/>
      <c r="H16" s="98" t="s">
        <v>389</v>
      </c>
      <c r="I16" s="105">
        <v>1</v>
      </c>
      <c r="J16" s="86">
        <f>IF(F16="","",VLOOKUP(F16,ARANCEL!$E$2:$F$123,2,FALSE))</f>
        <v>5274.3600000000006</v>
      </c>
      <c r="K16" s="100">
        <f t="shared" si="0"/>
        <v>5274.3600000000006</v>
      </c>
      <c r="L16" s="585" t="s">
        <v>3246</v>
      </c>
      <c r="M16" s="99"/>
    </row>
    <row r="17" spans="1:13" x14ac:dyDescent="0.25">
      <c r="A17" s="101">
        <v>8</v>
      </c>
      <c r="B17" s="101">
        <v>85122</v>
      </c>
      <c r="C17" s="102">
        <v>42009</v>
      </c>
      <c r="D17" s="103" t="s">
        <v>549</v>
      </c>
      <c r="E17" s="101" t="s">
        <v>542</v>
      </c>
      <c r="F17" s="103" t="s">
        <v>208</v>
      </c>
      <c r="G17" s="104"/>
      <c r="H17" s="98" t="s">
        <v>389</v>
      </c>
      <c r="I17" s="105">
        <v>1</v>
      </c>
      <c r="J17" s="86">
        <f>IF(F17="","",VLOOKUP(F17,ARANCEL!$E$2:$F$123,2,FALSE))</f>
        <v>14098.999999999998</v>
      </c>
      <c r="K17" s="100">
        <f t="shared" si="0"/>
        <v>14098.999999999998</v>
      </c>
      <c r="L17" s="585" t="s">
        <v>3246</v>
      </c>
      <c r="M17" s="99"/>
    </row>
    <row r="18" spans="1:13" x14ac:dyDescent="0.25">
      <c r="A18" s="101">
        <v>9</v>
      </c>
      <c r="B18" s="101">
        <v>86325</v>
      </c>
      <c r="C18" s="102">
        <v>42012</v>
      </c>
      <c r="D18" s="103" t="s">
        <v>3100</v>
      </c>
      <c r="E18" s="101" t="s">
        <v>542</v>
      </c>
      <c r="F18" s="103" t="s">
        <v>353</v>
      </c>
      <c r="G18" s="104"/>
      <c r="H18" s="98" t="s">
        <v>384</v>
      </c>
      <c r="I18" s="105">
        <v>2</v>
      </c>
      <c r="J18" s="86">
        <f>IF(F18="","",VLOOKUP(F18,ARANCEL!$E$2:$F$123,2,FALSE))</f>
        <v>55057.687499999993</v>
      </c>
      <c r="K18" s="100">
        <f t="shared" si="0"/>
        <v>110115.37499999999</v>
      </c>
      <c r="L18" s="585" t="s">
        <v>3246</v>
      </c>
      <c r="M18" s="99"/>
    </row>
    <row r="19" spans="1:13" x14ac:dyDescent="0.25">
      <c r="A19" s="101">
        <v>10</v>
      </c>
      <c r="B19" s="101">
        <v>87577</v>
      </c>
      <c r="C19" s="102">
        <v>42016</v>
      </c>
      <c r="D19" s="103" t="s">
        <v>3110</v>
      </c>
      <c r="E19" s="101" t="s">
        <v>542</v>
      </c>
      <c r="F19" s="103" t="s">
        <v>215</v>
      </c>
      <c r="G19" s="104"/>
      <c r="H19" s="98" t="s">
        <v>368</v>
      </c>
      <c r="I19" s="105">
        <v>1</v>
      </c>
      <c r="J19" s="86">
        <f>IF(F19="","",VLOOKUP(F19,ARANCEL!$E$2:$F$123,2,FALSE))</f>
        <v>44597.287499999999</v>
      </c>
      <c r="K19" s="100">
        <f t="shared" si="0"/>
        <v>44597.287499999999</v>
      </c>
      <c r="L19" s="585" t="s">
        <v>3246</v>
      </c>
      <c r="M19" s="99"/>
    </row>
    <row r="20" spans="1:13" x14ac:dyDescent="0.25">
      <c r="A20" s="101">
        <v>11</v>
      </c>
      <c r="B20" s="101">
        <v>87287</v>
      </c>
      <c r="C20" s="102">
        <v>42016</v>
      </c>
      <c r="D20" s="103" t="s">
        <v>3111</v>
      </c>
      <c r="E20" s="101" t="s">
        <v>542</v>
      </c>
      <c r="F20" s="103" t="s">
        <v>534</v>
      </c>
      <c r="G20" s="104"/>
      <c r="H20" s="98" t="s">
        <v>508</v>
      </c>
      <c r="I20" s="105">
        <v>1</v>
      </c>
      <c r="J20" s="86">
        <f>IF(F20="","",VLOOKUP(F20,ARANCEL!$E$2:$F$123,2,FALSE))</f>
        <v>30428.999999999996</v>
      </c>
      <c r="K20" s="100">
        <f t="shared" si="0"/>
        <v>30428.999999999996</v>
      </c>
      <c r="L20" s="585" t="s">
        <v>3246</v>
      </c>
      <c r="M20" s="99"/>
    </row>
    <row r="21" spans="1:13" x14ac:dyDescent="0.25">
      <c r="A21" s="101">
        <v>12</v>
      </c>
      <c r="B21" s="101">
        <v>87304</v>
      </c>
      <c r="C21" s="102">
        <v>42014</v>
      </c>
      <c r="D21" s="103" t="s">
        <v>3112</v>
      </c>
      <c r="E21" s="101" t="s">
        <v>542</v>
      </c>
      <c r="F21" s="103" t="s">
        <v>534</v>
      </c>
      <c r="G21" s="104"/>
      <c r="H21" s="98" t="s">
        <v>414</v>
      </c>
      <c r="I21" s="105">
        <v>1</v>
      </c>
      <c r="J21" s="86">
        <f>IF(F21="","",VLOOKUP(F21,ARANCEL!$E$2:$F$123,2,FALSE))</f>
        <v>30428.999999999996</v>
      </c>
      <c r="K21" s="100">
        <f t="shared" si="0"/>
        <v>30428.999999999996</v>
      </c>
      <c r="L21" s="585" t="s">
        <v>3246</v>
      </c>
      <c r="M21" s="99"/>
    </row>
    <row r="22" spans="1:13" x14ac:dyDescent="0.25">
      <c r="A22" s="101">
        <v>13</v>
      </c>
      <c r="B22" s="101">
        <v>87305</v>
      </c>
      <c r="C22" s="102">
        <v>42016</v>
      </c>
      <c r="D22" s="103" t="s">
        <v>3113</v>
      </c>
      <c r="E22" s="101" t="s">
        <v>542</v>
      </c>
      <c r="F22" s="103" t="s">
        <v>534</v>
      </c>
      <c r="G22" s="104"/>
      <c r="H22" s="98" t="s">
        <v>414</v>
      </c>
      <c r="I22" s="105">
        <v>1</v>
      </c>
      <c r="J22" s="86">
        <f>IF(F22="","",VLOOKUP(F22,ARANCEL!$E$2:$F$123,2,FALSE))</f>
        <v>30428.999999999996</v>
      </c>
      <c r="K22" s="100">
        <f t="shared" si="0"/>
        <v>30428.999999999996</v>
      </c>
      <c r="L22" s="585" t="s">
        <v>3246</v>
      </c>
      <c r="M22" s="99"/>
    </row>
    <row r="23" spans="1:13" x14ac:dyDescent="0.25">
      <c r="A23" s="101">
        <v>14</v>
      </c>
      <c r="B23" s="101">
        <v>87535</v>
      </c>
      <c r="C23" s="102">
        <v>42016</v>
      </c>
      <c r="D23" s="103" t="s">
        <v>3114</v>
      </c>
      <c r="E23" s="101" t="s">
        <v>542</v>
      </c>
      <c r="F23" s="103" t="s">
        <v>208</v>
      </c>
      <c r="G23" s="104"/>
      <c r="H23" s="98" t="s">
        <v>524</v>
      </c>
      <c r="I23" s="105">
        <v>1</v>
      </c>
      <c r="J23" s="86">
        <f>IF(F23="","",VLOOKUP(F23,ARANCEL!$E$2:$F$123,2,FALSE))</f>
        <v>14098.999999999998</v>
      </c>
      <c r="K23" s="100">
        <f t="shared" si="0"/>
        <v>14098.999999999998</v>
      </c>
      <c r="L23" s="585" t="s">
        <v>3246</v>
      </c>
      <c r="M23" s="99"/>
    </row>
    <row r="24" spans="1:13" x14ac:dyDescent="0.25">
      <c r="A24" s="101">
        <v>15</v>
      </c>
      <c r="B24" s="101">
        <v>87718</v>
      </c>
      <c r="C24" s="102">
        <v>42017</v>
      </c>
      <c r="D24" s="103" t="s">
        <v>3115</v>
      </c>
      <c r="E24" s="101" t="s">
        <v>542</v>
      </c>
      <c r="F24" s="103" t="s">
        <v>355</v>
      </c>
      <c r="G24" s="104"/>
      <c r="H24" s="98" t="s">
        <v>368</v>
      </c>
      <c r="I24" s="105">
        <v>1</v>
      </c>
      <c r="J24" s="86">
        <f>IF(F24="","",VLOOKUP(F24,ARANCEL!$E$2:$F$123,2,FALSE))</f>
        <v>25800.249999999996</v>
      </c>
      <c r="K24" s="100">
        <f t="shared" si="0"/>
        <v>25800.249999999996</v>
      </c>
      <c r="L24" s="585" t="s">
        <v>3246</v>
      </c>
      <c r="M24" s="99"/>
    </row>
    <row r="25" spans="1:13" x14ac:dyDescent="0.25">
      <c r="A25" s="101">
        <v>16</v>
      </c>
      <c r="B25" s="101">
        <v>87927</v>
      </c>
      <c r="C25" s="102">
        <v>42018</v>
      </c>
      <c r="D25" s="103" t="s">
        <v>3116</v>
      </c>
      <c r="E25" s="101" t="s">
        <v>518</v>
      </c>
      <c r="F25" s="103" t="s">
        <v>355</v>
      </c>
      <c r="G25" s="104"/>
      <c r="H25" s="98" t="s">
        <v>368</v>
      </c>
      <c r="I25" s="105">
        <v>1</v>
      </c>
      <c r="J25" s="86">
        <f>IF(F25="","",VLOOKUP(F25,ARANCEL!$E$2:$F$123,2,FALSE))</f>
        <v>25800.249999999996</v>
      </c>
      <c r="K25" s="100">
        <f t="shared" si="0"/>
        <v>25800.249999999996</v>
      </c>
      <c r="L25" s="585" t="s">
        <v>3246</v>
      </c>
      <c r="M25" s="99"/>
    </row>
    <row r="26" spans="1:13" x14ac:dyDescent="0.25">
      <c r="A26" s="101">
        <v>17</v>
      </c>
      <c r="B26" s="101">
        <v>88203</v>
      </c>
      <c r="C26" s="102">
        <v>42020</v>
      </c>
      <c r="D26" s="103" t="s">
        <v>3117</v>
      </c>
      <c r="E26" s="101" t="s">
        <v>518</v>
      </c>
      <c r="F26" s="103" t="s">
        <v>534</v>
      </c>
      <c r="G26" s="104"/>
      <c r="H26" s="98" t="s">
        <v>428</v>
      </c>
      <c r="I26" s="105">
        <v>1</v>
      </c>
      <c r="J26" s="86">
        <f>IF(F26="","",VLOOKUP(F26,ARANCEL!$E$2:$F$123,2,FALSE))</f>
        <v>30428.999999999996</v>
      </c>
      <c r="K26" s="100">
        <f t="shared" si="0"/>
        <v>30428.999999999996</v>
      </c>
      <c r="L26" s="585" t="s">
        <v>3246</v>
      </c>
      <c r="M26" s="99"/>
    </row>
    <row r="27" spans="1:13" x14ac:dyDescent="0.25">
      <c r="A27" s="101">
        <v>18</v>
      </c>
      <c r="B27" s="101">
        <v>88194</v>
      </c>
      <c r="C27" s="102">
        <v>42017</v>
      </c>
      <c r="D27" s="103" t="s">
        <v>3118</v>
      </c>
      <c r="E27" s="101" t="s">
        <v>542</v>
      </c>
      <c r="F27" s="103" t="s">
        <v>215</v>
      </c>
      <c r="G27" s="104"/>
      <c r="H27" s="98" t="s">
        <v>368</v>
      </c>
      <c r="I27" s="105">
        <v>1</v>
      </c>
      <c r="J27" s="86">
        <f>IF(F27="","",VLOOKUP(F27,ARANCEL!$E$2:$F$123,2,FALSE))</f>
        <v>44597.287499999999</v>
      </c>
      <c r="K27" s="100">
        <f t="shared" si="0"/>
        <v>44597.287499999999</v>
      </c>
      <c r="L27" s="585" t="s">
        <v>3246</v>
      </c>
      <c r="M27" s="99"/>
    </row>
    <row r="28" spans="1:13" x14ac:dyDescent="0.25">
      <c r="A28" s="90">
        <v>19</v>
      </c>
      <c r="B28" s="101">
        <v>88697</v>
      </c>
      <c r="C28" s="102">
        <v>42019</v>
      </c>
      <c r="D28" s="103" t="s">
        <v>3119</v>
      </c>
      <c r="E28" s="101" t="s">
        <v>1027</v>
      </c>
      <c r="F28" s="103" t="s">
        <v>3120</v>
      </c>
      <c r="G28" s="104"/>
      <c r="H28" s="98" t="s">
        <v>368</v>
      </c>
      <c r="I28" s="105">
        <v>1</v>
      </c>
      <c r="J28" s="86">
        <f>IF(F28="","",VLOOKUP(F28,ARANCEL!$E$2:$F$123,2,FALSE))</f>
        <v>15721.88</v>
      </c>
      <c r="K28" s="100">
        <f t="shared" si="0"/>
        <v>15721.88</v>
      </c>
      <c r="L28" s="585" t="s">
        <v>3246</v>
      </c>
      <c r="M28" s="99"/>
    </row>
    <row r="29" spans="1:13" x14ac:dyDescent="0.25">
      <c r="A29" s="101">
        <v>20</v>
      </c>
      <c r="B29" s="101">
        <v>88659</v>
      </c>
      <c r="C29" s="102">
        <v>42023</v>
      </c>
      <c r="D29" s="103" t="s">
        <v>3121</v>
      </c>
      <c r="E29" s="101" t="s">
        <v>542</v>
      </c>
      <c r="F29" s="103" t="s">
        <v>115</v>
      </c>
      <c r="G29" s="104"/>
      <c r="H29" s="98" t="s">
        <v>428</v>
      </c>
      <c r="I29" s="105">
        <v>1</v>
      </c>
      <c r="J29" s="86">
        <f>IF(F29="","",VLOOKUP(F29,ARANCEL!$E$2:$F$123,2,FALSE))</f>
        <v>5274.3600000000006</v>
      </c>
      <c r="K29" s="100">
        <f t="shared" si="0"/>
        <v>5274.3600000000006</v>
      </c>
      <c r="L29" s="585" t="s">
        <v>3246</v>
      </c>
      <c r="M29" s="99"/>
    </row>
    <row r="30" spans="1:13" x14ac:dyDescent="0.25">
      <c r="A30" s="101">
        <v>21</v>
      </c>
      <c r="B30" s="101">
        <v>88659</v>
      </c>
      <c r="C30" s="102">
        <v>42023</v>
      </c>
      <c r="D30" s="103" t="s">
        <v>3121</v>
      </c>
      <c r="E30" s="101" t="s">
        <v>542</v>
      </c>
      <c r="F30" s="103" t="s">
        <v>208</v>
      </c>
      <c r="G30" s="104"/>
      <c r="H30" s="98" t="s">
        <v>428</v>
      </c>
      <c r="I30" s="105">
        <v>1</v>
      </c>
      <c r="J30" s="86">
        <f>IF(F30="","",VLOOKUP(F30,ARANCEL!$E$2:$F$123,2,FALSE))</f>
        <v>14098.999999999998</v>
      </c>
      <c r="K30" s="100">
        <f t="shared" si="0"/>
        <v>14098.999999999998</v>
      </c>
      <c r="L30" s="585" t="s">
        <v>3246</v>
      </c>
      <c r="M30" s="99"/>
    </row>
    <row r="31" spans="1:13" x14ac:dyDescent="0.25">
      <c r="A31" s="101">
        <v>22</v>
      </c>
      <c r="B31" s="101">
        <v>88632</v>
      </c>
      <c r="C31" s="102">
        <v>42025</v>
      </c>
      <c r="D31" s="103" t="s">
        <v>3122</v>
      </c>
      <c r="E31" s="101" t="s">
        <v>542</v>
      </c>
      <c r="F31" s="103" t="s">
        <v>534</v>
      </c>
      <c r="G31" s="104"/>
      <c r="H31" s="98" t="s">
        <v>565</v>
      </c>
      <c r="I31" s="105">
        <v>1</v>
      </c>
      <c r="J31" s="86">
        <f>IF(F31="","",VLOOKUP(F31,ARANCEL!$E$2:$F$123,2,FALSE))</f>
        <v>30428.999999999996</v>
      </c>
      <c r="K31" s="100">
        <f t="shared" si="0"/>
        <v>30428.999999999996</v>
      </c>
      <c r="L31" s="585" t="s">
        <v>3246</v>
      </c>
      <c r="M31" s="99"/>
    </row>
    <row r="32" spans="1:13" x14ac:dyDescent="0.25">
      <c r="A32" s="101">
        <v>23</v>
      </c>
      <c r="B32" s="101">
        <v>89238</v>
      </c>
      <c r="C32" s="102">
        <v>42024</v>
      </c>
      <c r="D32" s="103" t="s">
        <v>3123</v>
      </c>
      <c r="E32" s="101" t="s">
        <v>542</v>
      </c>
      <c r="F32" s="103" t="s">
        <v>534</v>
      </c>
      <c r="G32" s="104"/>
      <c r="H32" s="98" t="s">
        <v>524</v>
      </c>
      <c r="I32" s="105">
        <v>1</v>
      </c>
      <c r="J32" s="86">
        <f>IF(F32="","",VLOOKUP(F32,ARANCEL!$E$2:$F$123,2,FALSE))</f>
        <v>30428.999999999996</v>
      </c>
      <c r="K32" s="100">
        <f t="shared" si="0"/>
        <v>30428.999999999996</v>
      </c>
      <c r="L32" s="585" t="s">
        <v>3246</v>
      </c>
      <c r="M32" s="99"/>
    </row>
    <row r="33" spans="1:13" x14ac:dyDescent="0.25">
      <c r="A33" s="90">
        <v>24</v>
      </c>
      <c r="B33" s="101">
        <v>89228</v>
      </c>
      <c r="C33" s="102">
        <v>42023</v>
      </c>
      <c r="D33" s="103" t="s">
        <v>3124</v>
      </c>
      <c r="E33" s="101" t="s">
        <v>542</v>
      </c>
      <c r="F33" s="103" t="s">
        <v>534</v>
      </c>
      <c r="G33" s="104"/>
      <c r="H33" s="98" t="s">
        <v>524</v>
      </c>
      <c r="I33" s="105">
        <v>1</v>
      </c>
      <c r="J33" s="86">
        <f>IF(F33="","",VLOOKUP(F33,ARANCEL!$E$2:$F$123,2,FALSE))</f>
        <v>30428.999999999996</v>
      </c>
      <c r="K33" s="100">
        <f t="shared" ref="K33:K45" si="1">IF(I33=0,"",J33*I33)</f>
        <v>30428.999999999996</v>
      </c>
      <c r="L33" s="585" t="s">
        <v>3246</v>
      </c>
      <c r="M33" s="99"/>
    </row>
    <row r="34" spans="1:13" x14ac:dyDescent="0.25">
      <c r="A34" s="101">
        <v>25</v>
      </c>
      <c r="B34" s="101">
        <v>89157</v>
      </c>
      <c r="C34" s="102">
        <v>42020</v>
      </c>
      <c r="D34" s="103" t="s">
        <v>3125</v>
      </c>
      <c r="E34" s="101" t="s">
        <v>518</v>
      </c>
      <c r="F34" s="103" t="s">
        <v>215</v>
      </c>
      <c r="G34" s="104"/>
      <c r="H34" s="98" t="s">
        <v>384</v>
      </c>
      <c r="I34" s="105">
        <v>2</v>
      </c>
      <c r="J34" s="86">
        <f>IF(F34="","",VLOOKUP(F34,ARANCEL!$E$2:$F$123,2,FALSE))</f>
        <v>44597.287499999999</v>
      </c>
      <c r="K34" s="100">
        <f t="shared" si="1"/>
        <v>89194.574999999997</v>
      </c>
      <c r="L34" s="585" t="s">
        <v>3246</v>
      </c>
      <c r="M34" s="99"/>
    </row>
    <row r="35" spans="1:13" x14ac:dyDescent="0.25">
      <c r="A35" s="101">
        <v>26</v>
      </c>
      <c r="B35" s="101">
        <v>89523</v>
      </c>
      <c r="C35" s="102">
        <v>42023</v>
      </c>
      <c r="D35" s="103" t="s">
        <v>3127</v>
      </c>
      <c r="E35" s="101" t="s">
        <v>1555</v>
      </c>
      <c r="F35" s="103" t="s">
        <v>193</v>
      </c>
      <c r="G35" s="104"/>
      <c r="H35" s="98" t="s">
        <v>368</v>
      </c>
      <c r="I35" s="105">
        <v>1</v>
      </c>
      <c r="J35" s="86">
        <f>IF(F35="","",VLOOKUP(F35,ARANCEL!$E$2:$F$123,2,FALSE))</f>
        <v>36514.799999999996</v>
      </c>
      <c r="K35" s="100">
        <f t="shared" si="1"/>
        <v>36514.799999999996</v>
      </c>
      <c r="L35" s="585" t="s">
        <v>3246</v>
      </c>
      <c r="M35" s="99"/>
    </row>
    <row r="36" spans="1:13" x14ac:dyDescent="0.25">
      <c r="A36" s="101">
        <v>27</v>
      </c>
      <c r="B36" s="101">
        <v>89420</v>
      </c>
      <c r="C36" s="102">
        <v>42024</v>
      </c>
      <c r="D36" s="103" t="s">
        <v>3128</v>
      </c>
      <c r="E36" s="101" t="s">
        <v>542</v>
      </c>
      <c r="F36" s="103" t="s">
        <v>215</v>
      </c>
      <c r="G36" s="104"/>
      <c r="H36" s="98" t="s">
        <v>366</v>
      </c>
      <c r="I36" s="105">
        <v>1</v>
      </c>
      <c r="J36" s="86">
        <f>IF(F36="","",VLOOKUP(F36,ARANCEL!$E$2:$F$123,2,FALSE))</f>
        <v>44597.287499999999</v>
      </c>
      <c r="K36" s="100">
        <f t="shared" si="1"/>
        <v>44597.287499999999</v>
      </c>
      <c r="L36" s="585" t="s">
        <v>3246</v>
      </c>
      <c r="M36" s="99"/>
    </row>
    <row r="37" spans="1:13" x14ac:dyDescent="0.25">
      <c r="A37" s="101">
        <v>28</v>
      </c>
      <c r="B37" s="101">
        <v>89458</v>
      </c>
      <c r="C37" s="102">
        <v>42025</v>
      </c>
      <c r="D37" s="103" t="s">
        <v>1706</v>
      </c>
      <c r="E37" s="101" t="s">
        <v>518</v>
      </c>
      <c r="F37" s="103" t="s">
        <v>208</v>
      </c>
      <c r="G37" s="104"/>
      <c r="H37" s="98" t="s">
        <v>431</v>
      </c>
      <c r="I37" s="105">
        <v>1</v>
      </c>
      <c r="J37" s="86">
        <f>IF(F37="","",VLOOKUP(F37,ARANCEL!$E$2:$F$123,2,FALSE))</f>
        <v>14098.999999999998</v>
      </c>
      <c r="K37" s="100">
        <f t="shared" si="1"/>
        <v>14098.999999999998</v>
      </c>
      <c r="L37" s="585" t="s">
        <v>3246</v>
      </c>
      <c r="M37" s="99"/>
    </row>
    <row r="38" spans="1:13" x14ac:dyDescent="0.25">
      <c r="A38" s="101">
        <v>29</v>
      </c>
      <c r="B38" s="101">
        <v>89585</v>
      </c>
      <c r="C38" s="102">
        <v>42019</v>
      </c>
      <c r="D38" s="103" t="s">
        <v>3129</v>
      </c>
      <c r="E38" s="101" t="s">
        <v>542</v>
      </c>
      <c r="F38" s="103" t="s">
        <v>215</v>
      </c>
      <c r="G38" s="104"/>
      <c r="H38" s="98" t="s">
        <v>368</v>
      </c>
      <c r="I38" s="105">
        <v>1</v>
      </c>
      <c r="J38" s="86">
        <f>IF(F38="","",VLOOKUP(F38,ARANCEL!$E$2:$F$123,2,FALSE))</f>
        <v>44597.287499999999</v>
      </c>
      <c r="K38" s="100">
        <f t="shared" si="1"/>
        <v>44597.287499999999</v>
      </c>
      <c r="L38" s="585" t="s">
        <v>3246</v>
      </c>
      <c r="M38" s="99"/>
    </row>
    <row r="39" spans="1:13" x14ac:dyDescent="0.25">
      <c r="A39" s="101">
        <v>30</v>
      </c>
      <c r="B39" s="101">
        <v>86445</v>
      </c>
      <c r="C39" s="102">
        <v>42017</v>
      </c>
      <c r="D39" s="103" t="s">
        <v>3130</v>
      </c>
      <c r="E39" s="101" t="s">
        <v>518</v>
      </c>
      <c r="F39" s="103" t="s">
        <v>186</v>
      </c>
      <c r="G39" s="104"/>
      <c r="H39" s="98" t="s">
        <v>3131</v>
      </c>
      <c r="I39" s="105">
        <v>3</v>
      </c>
      <c r="J39" s="86">
        <f>IF(F39="","",VLOOKUP(F39,ARANCEL!$E$2:$F$123,2,FALSE))</f>
        <v>42600.6</v>
      </c>
      <c r="K39" s="100">
        <f t="shared" si="1"/>
        <v>127801.79999999999</v>
      </c>
      <c r="L39" s="585" t="s">
        <v>3246</v>
      </c>
      <c r="M39" s="99" t="s">
        <v>3132</v>
      </c>
    </row>
    <row r="40" spans="1:13" x14ac:dyDescent="0.25">
      <c r="A40" s="101">
        <v>31</v>
      </c>
      <c r="B40" s="101">
        <v>90000</v>
      </c>
      <c r="C40" s="102">
        <v>42025</v>
      </c>
      <c r="D40" s="103" t="s">
        <v>3155</v>
      </c>
      <c r="E40" s="101" t="s">
        <v>1600</v>
      </c>
      <c r="F40" s="103" t="s">
        <v>534</v>
      </c>
      <c r="G40" s="104"/>
      <c r="H40" s="98" t="s">
        <v>431</v>
      </c>
      <c r="I40" s="105">
        <v>1</v>
      </c>
      <c r="J40" s="86">
        <f>IF(F40="","",VLOOKUP(F40,ARANCEL!$E$2:$F$123,2,FALSE))</f>
        <v>30428.999999999996</v>
      </c>
      <c r="K40" s="100">
        <f t="shared" si="1"/>
        <v>30428.999999999996</v>
      </c>
      <c r="L40" s="585" t="s">
        <v>3246</v>
      </c>
      <c r="M40" s="99"/>
    </row>
    <row r="41" spans="1:13" x14ac:dyDescent="0.25">
      <c r="A41" s="101">
        <v>32</v>
      </c>
      <c r="B41" s="101">
        <v>90078</v>
      </c>
      <c r="C41" s="102">
        <v>42025</v>
      </c>
      <c r="D41" s="103" t="s">
        <v>3156</v>
      </c>
      <c r="E41" s="101" t="s">
        <v>518</v>
      </c>
      <c r="F41" s="103" t="s">
        <v>1576</v>
      </c>
      <c r="G41" s="104"/>
      <c r="H41" s="98" t="s">
        <v>389</v>
      </c>
      <c r="I41" s="105">
        <v>1</v>
      </c>
      <c r="J41" s="86">
        <v>63583</v>
      </c>
      <c r="K41" s="100">
        <f t="shared" si="1"/>
        <v>63583</v>
      </c>
      <c r="L41" s="585" t="s">
        <v>3246</v>
      </c>
      <c r="M41" s="99"/>
    </row>
    <row r="42" spans="1:13" x14ac:dyDescent="0.25">
      <c r="A42" s="101">
        <v>33</v>
      </c>
      <c r="B42" s="101">
        <v>90077</v>
      </c>
      <c r="C42" s="102">
        <v>42024</v>
      </c>
      <c r="D42" s="103" t="s">
        <v>3157</v>
      </c>
      <c r="E42" s="101" t="s">
        <v>518</v>
      </c>
      <c r="F42" s="103" t="s">
        <v>1576</v>
      </c>
      <c r="G42" s="104"/>
      <c r="H42" s="98" t="s">
        <v>428</v>
      </c>
      <c r="I42" s="105">
        <v>1</v>
      </c>
      <c r="J42" s="86">
        <v>63583</v>
      </c>
      <c r="K42" s="100">
        <f t="shared" si="1"/>
        <v>63583</v>
      </c>
      <c r="L42" s="585" t="s">
        <v>3246</v>
      </c>
      <c r="M42" s="99"/>
    </row>
    <row r="43" spans="1:13" x14ac:dyDescent="0.25">
      <c r="A43" s="101">
        <v>34</v>
      </c>
      <c r="B43" s="101">
        <v>90894</v>
      </c>
      <c r="C43" s="102">
        <v>42027</v>
      </c>
      <c r="D43" s="103" t="s">
        <v>3166</v>
      </c>
      <c r="E43" s="101" t="s">
        <v>542</v>
      </c>
      <c r="F43" s="103" t="s">
        <v>115</v>
      </c>
      <c r="G43" s="104"/>
      <c r="H43" s="98" t="s">
        <v>407</v>
      </c>
      <c r="I43" s="105">
        <v>1</v>
      </c>
      <c r="J43" s="86">
        <f>IF(F43="","",VLOOKUP(F43,ARANCEL!$E$2:$F$123,2,FALSE))</f>
        <v>5274.3600000000006</v>
      </c>
      <c r="K43" s="100">
        <f t="shared" si="1"/>
        <v>5274.3600000000006</v>
      </c>
      <c r="L43" s="585" t="s">
        <v>3246</v>
      </c>
      <c r="M43" s="99"/>
    </row>
    <row r="44" spans="1:13" x14ac:dyDescent="0.25">
      <c r="A44" s="101">
        <v>35</v>
      </c>
      <c r="B44" s="101">
        <v>90894</v>
      </c>
      <c r="C44" s="102">
        <v>42027</v>
      </c>
      <c r="D44" s="103" t="s">
        <v>3166</v>
      </c>
      <c r="E44" s="101" t="s">
        <v>542</v>
      </c>
      <c r="F44" s="103" t="s">
        <v>115</v>
      </c>
      <c r="G44" s="104"/>
      <c r="H44" s="98" t="s">
        <v>407</v>
      </c>
      <c r="I44" s="105">
        <v>1</v>
      </c>
      <c r="J44" s="86">
        <f>IF(F44="","",VLOOKUP(F44,ARANCEL!$E$2:$F$123,2,FALSE))</f>
        <v>5274.3600000000006</v>
      </c>
      <c r="K44" s="100">
        <f t="shared" si="1"/>
        <v>5274.3600000000006</v>
      </c>
      <c r="L44" s="585" t="s">
        <v>3246</v>
      </c>
      <c r="M44" s="99"/>
    </row>
    <row r="45" spans="1:13" x14ac:dyDescent="0.25">
      <c r="A45" s="90">
        <v>36</v>
      </c>
      <c r="B45" s="101">
        <v>90683</v>
      </c>
      <c r="C45" s="102">
        <v>42027</v>
      </c>
      <c r="D45" s="103" t="s">
        <v>3167</v>
      </c>
      <c r="E45" s="101" t="s">
        <v>542</v>
      </c>
      <c r="F45" s="103" t="s">
        <v>115</v>
      </c>
      <c r="G45" s="104"/>
      <c r="H45" s="98" t="s">
        <v>380</v>
      </c>
      <c r="I45" s="105">
        <v>1</v>
      </c>
      <c r="J45" s="86">
        <f>IF(F45="","",VLOOKUP(F45,ARANCEL!$E$2:$F$123,2,FALSE))</f>
        <v>5274.3600000000006</v>
      </c>
      <c r="K45" s="100">
        <f t="shared" si="1"/>
        <v>5274.3600000000006</v>
      </c>
      <c r="L45" s="585" t="s">
        <v>3246</v>
      </c>
      <c r="M45" s="99"/>
    </row>
    <row r="46" spans="1:13" x14ac:dyDescent="0.25">
      <c r="A46" s="101">
        <v>34</v>
      </c>
      <c r="B46" s="101">
        <v>90683</v>
      </c>
      <c r="C46" s="102">
        <v>42027</v>
      </c>
      <c r="D46" s="103" t="s">
        <v>3167</v>
      </c>
      <c r="E46" s="101" t="s">
        <v>542</v>
      </c>
      <c r="F46" s="103" t="s">
        <v>208</v>
      </c>
      <c r="G46" s="104"/>
      <c r="H46" s="98" t="s">
        <v>380</v>
      </c>
      <c r="I46" s="105">
        <v>1</v>
      </c>
      <c r="J46" s="86">
        <f>IF(F46="","",VLOOKUP(F46,ARANCEL!$E$2:$F$123,2,FALSE))</f>
        <v>14098.999999999998</v>
      </c>
      <c r="K46" s="100">
        <f t="shared" ref="K46:K49" si="2">IF(I46=0,"",J46*I46)</f>
        <v>14098.999999999998</v>
      </c>
      <c r="L46" s="585" t="s">
        <v>3246</v>
      </c>
      <c r="M46" s="99"/>
    </row>
    <row r="47" spans="1:13" x14ac:dyDescent="0.25">
      <c r="A47" s="101">
        <v>35</v>
      </c>
      <c r="B47" s="101">
        <v>90323</v>
      </c>
      <c r="C47" s="102">
        <v>42026</v>
      </c>
      <c r="D47" s="103" t="s">
        <v>3168</v>
      </c>
      <c r="E47" s="101" t="s">
        <v>1600</v>
      </c>
      <c r="F47" s="103" t="s">
        <v>115</v>
      </c>
      <c r="G47" s="104"/>
      <c r="H47" s="98" t="s">
        <v>442</v>
      </c>
      <c r="I47" s="105">
        <v>1</v>
      </c>
      <c r="J47" s="86">
        <f>IF(F47="","",VLOOKUP(F47,ARANCEL!$E$2:$F$123,2,FALSE))</f>
        <v>5274.3600000000006</v>
      </c>
      <c r="K47" s="100">
        <f t="shared" si="2"/>
        <v>5274.3600000000006</v>
      </c>
      <c r="L47" s="585" t="s">
        <v>3246</v>
      </c>
      <c r="M47" s="99"/>
    </row>
    <row r="48" spans="1:13" x14ac:dyDescent="0.25">
      <c r="A48" s="90">
        <v>36</v>
      </c>
      <c r="B48" s="101">
        <v>90445</v>
      </c>
      <c r="C48" s="102">
        <v>42025</v>
      </c>
      <c r="D48" s="103" t="s">
        <v>1706</v>
      </c>
      <c r="E48" s="101" t="s">
        <v>518</v>
      </c>
      <c r="F48" s="103" t="s">
        <v>114</v>
      </c>
      <c r="G48" s="104"/>
      <c r="H48" s="98" t="s">
        <v>428</v>
      </c>
      <c r="I48" s="105">
        <v>1</v>
      </c>
      <c r="J48" s="86">
        <f>IF(F48="","",VLOOKUP(F48,ARANCEL!$E$2:$F$123,2,FALSE))</f>
        <v>33370.239999999998</v>
      </c>
      <c r="K48" s="100">
        <f t="shared" si="2"/>
        <v>33370.239999999998</v>
      </c>
      <c r="L48" s="585" t="s">
        <v>3246</v>
      </c>
      <c r="M48" s="99"/>
    </row>
    <row r="49" spans="1:13" x14ac:dyDescent="0.25">
      <c r="A49" s="90">
        <v>36</v>
      </c>
      <c r="B49" s="101">
        <v>90306</v>
      </c>
      <c r="C49" s="102">
        <v>42024</v>
      </c>
      <c r="D49" s="103" t="s">
        <v>548</v>
      </c>
      <c r="E49" s="101" t="s">
        <v>542</v>
      </c>
      <c r="F49" s="103" t="s">
        <v>115</v>
      </c>
      <c r="G49" s="104"/>
      <c r="H49" s="98" t="s">
        <v>469</v>
      </c>
      <c r="I49" s="105">
        <v>1</v>
      </c>
      <c r="J49" s="86">
        <f>IF(F49="","",VLOOKUP(F49,ARANCEL!$E$2:$F$123,2,FALSE))</f>
        <v>5274.3600000000006</v>
      </c>
      <c r="K49" s="100">
        <f t="shared" si="2"/>
        <v>5274.3600000000006</v>
      </c>
      <c r="L49" s="585" t="s">
        <v>3246</v>
      </c>
      <c r="M49" s="99"/>
    </row>
    <row r="50" spans="1:13" x14ac:dyDescent="0.25">
      <c r="A50" s="101">
        <v>34</v>
      </c>
      <c r="B50" s="101">
        <v>90306</v>
      </c>
      <c r="C50" s="102">
        <v>42024</v>
      </c>
      <c r="D50" s="103" t="s">
        <v>548</v>
      </c>
      <c r="E50" s="101" t="s">
        <v>542</v>
      </c>
      <c r="F50" s="103" t="s">
        <v>208</v>
      </c>
      <c r="G50" s="104"/>
      <c r="H50" s="98" t="s">
        <v>469</v>
      </c>
      <c r="I50" s="105">
        <v>1</v>
      </c>
      <c r="J50" s="86">
        <f>IF(F50="","",VLOOKUP(F50,ARANCEL!$E$2:$F$123,2,FALSE))</f>
        <v>14098.999999999998</v>
      </c>
      <c r="K50" s="100">
        <f t="shared" ref="K50:K52" si="3">IF(I50=0,"",J50*I50)</f>
        <v>14098.999999999998</v>
      </c>
      <c r="L50" s="585" t="s">
        <v>3246</v>
      </c>
      <c r="M50" s="99"/>
    </row>
    <row r="51" spans="1:13" x14ac:dyDescent="0.25">
      <c r="A51" s="101">
        <v>35</v>
      </c>
      <c r="B51" s="101">
        <v>90412</v>
      </c>
      <c r="C51" s="102">
        <v>42025</v>
      </c>
      <c r="D51" s="103" t="s">
        <v>1666</v>
      </c>
      <c r="E51" s="101" t="s">
        <v>542</v>
      </c>
      <c r="F51" s="103" t="s">
        <v>114</v>
      </c>
      <c r="G51" s="104"/>
      <c r="H51" s="98" t="s">
        <v>416</v>
      </c>
      <c r="I51" s="105">
        <v>1</v>
      </c>
      <c r="J51" s="86">
        <f>IF(F51="","",VLOOKUP(F51,ARANCEL!$E$2:$F$123,2,FALSE))</f>
        <v>33370.239999999998</v>
      </c>
      <c r="K51" s="100">
        <f t="shared" si="3"/>
        <v>33370.239999999998</v>
      </c>
      <c r="L51" s="585" t="s">
        <v>3246</v>
      </c>
      <c r="M51" s="99"/>
    </row>
    <row r="52" spans="1:13" x14ac:dyDescent="0.25">
      <c r="A52" s="90">
        <v>36</v>
      </c>
      <c r="B52" s="101">
        <v>90589</v>
      </c>
      <c r="C52" s="102">
        <v>42026</v>
      </c>
      <c r="D52" s="103" t="s">
        <v>3172</v>
      </c>
      <c r="E52" s="101" t="s">
        <v>542</v>
      </c>
      <c r="F52" s="103" t="s">
        <v>534</v>
      </c>
      <c r="G52" s="104"/>
      <c r="H52" s="98" t="s">
        <v>389</v>
      </c>
      <c r="I52" s="105">
        <v>1</v>
      </c>
      <c r="J52" s="86">
        <f>IF(F52="","",VLOOKUP(F52,ARANCEL!$E$2:$F$123,2,FALSE))</f>
        <v>30428.999999999996</v>
      </c>
      <c r="K52" s="100">
        <f t="shared" si="3"/>
        <v>30428.999999999996</v>
      </c>
      <c r="L52" s="585" t="s">
        <v>3246</v>
      </c>
      <c r="M52" s="99"/>
    </row>
    <row r="53" spans="1:13" x14ac:dyDescent="0.25">
      <c r="A53" s="101">
        <v>35</v>
      </c>
      <c r="B53" s="101">
        <v>90717</v>
      </c>
      <c r="C53" s="102">
        <v>42027</v>
      </c>
      <c r="D53" s="103" t="s">
        <v>3173</v>
      </c>
      <c r="E53" s="101" t="s">
        <v>518</v>
      </c>
      <c r="F53" s="103" t="s">
        <v>534</v>
      </c>
      <c r="G53" s="104"/>
      <c r="H53" s="98" t="s">
        <v>524</v>
      </c>
      <c r="I53" s="105">
        <v>1</v>
      </c>
      <c r="J53" s="86">
        <f>IF(F53="","",VLOOKUP(F53,ARANCEL!$E$2:$F$123,2,FALSE))</f>
        <v>30428.999999999996</v>
      </c>
      <c r="K53" s="100">
        <f t="shared" ref="K53:K66" si="4">IF(I53=0,"",J53*I53)</f>
        <v>30428.999999999996</v>
      </c>
      <c r="L53" s="585" t="s">
        <v>3246</v>
      </c>
      <c r="M53" s="99"/>
    </row>
    <row r="54" spans="1:13" x14ac:dyDescent="0.25">
      <c r="A54" s="101">
        <v>36</v>
      </c>
      <c r="B54" s="101">
        <v>91271</v>
      </c>
      <c r="C54" s="102">
        <v>42026</v>
      </c>
      <c r="D54" s="103" t="s">
        <v>541</v>
      </c>
      <c r="E54" s="101" t="s">
        <v>542</v>
      </c>
      <c r="F54" s="103" t="s">
        <v>114</v>
      </c>
      <c r="G54" s="104"/>
      <c r="H54" s="98" t="s">
        <v>543</v>
      </c>
      <c r="I54" s="105">
        <v>2</v>
      </c>
      <c r="J54" s="86">
        <f>IF(F54="","",VLOOKUP(F54,ARANCEL!$E$2:$F$123,2,FALSE))</f>
        <v>33370.239999999998</v>
      </c>
      <c r="K54" s="100">
        <f t="shared" si="4"/>
        <v>66740.479999999996</v>
      </c>
      <c r="L54" s="585" t="s">
        <v>3246</v>
      </c>
      <c r="M54" s="99"/>
    </row>
    <row r="55" spans="1:13" x14ac:dyDescent="0.25">
      <c r="A55" s="101">
        <v>37</v>
      </c>
      <c r="B55" s="101">
        <v>91613</v>
      </c>
      <c r="C55" s="102">
        <v>42030</v>
      </c>
      <c r="D55" s="103" t="s">
        <v>3109</v>
      </c>
      <c r="E55" s="101" t="s">
        <v>518</v>
      </c>
      <c r="F55" s="103" t="s">
        <v>353</v>
      </c>
      <c r="G55" s="104"/>
      <c r="H55" s="98" t="s">
        <v>384</v>
      </c>
      <c r="I55" s="105">
        <v>2</v>
      </c>
      <c r="J55" s="86">
        <f>IF(F55="","",VLOOKUP(F55,ARANCEL!$E$2:$F$123,2,FALSE))</f>
        <v>55057.687499999993</v>
      </c>
      <c r="K55" s="100">
        <f t="shared" si="4"/>
        <v>110115.37499999999</v>
      </c>
      <c r="L55" s="585" t="s">
        <v>3246</v>
      </c>
      <c r="M55" s="99"/>
    </row>
    <row r="56" spans="1:13" x14ac:dyDescent="0.25">
      <c r="A56" s="101">
        <v>38</v>
      </c>
      <c r="B56" s="101">
        <v>91610</v>
      </c>
      <c r="C56" s="102">
        <v>42030</v>
      </c>
      <c r="D56" s="103" t="s">
        <v>3233</v>
      </c>
      <c r="E56" s="101" t="s">
        <v>1641</v>
      </c>
      <c r="F56" s="103" t="s">
        <v>215</v>
      </c>
      <c r="G56" s="104"/>
      <c r="H56" s="98" t="s">
        <v>368</v>
      </c>
      <c r="I56" s="105">
        <v>1</v>
      </c>
      <c r="J56" s="86">
        <f>IF(F56="","",VLOOKUP(F56,ARANCEL!$E$2:$F$123,2,FALSE))</f>
        <v>44597.287499999999</v>
      </c>
      <c r="K56" s="100">
        <f t="shared" si="4"/>
        <v>44597.287499999999</v>
      </c>
      <c r="L56" s="585" t="s">
        <v>3246</v>
      </c>
      <c r="M56" s="99"/>
    </row>
    <row r="57" spans="1:13" x14ac:dyDescent="0.25">
      <c r="A57" s="101">
        <v>39</v>
      </c>
      <c r="B57" s="101">
        <v>91610</v>
      </c>
      <c r="C57" s="102">
        <v>42030</v>
      </c>
      <c r="D57" s="103" t="s">
        <v>3233</v>
      </c>
      <c r="E57" s="101" t="s">
        <v>1641</v>
      </c>
      <c r="F57" s="103" t="s">
        <v>195</v>
      </c>
      <c r="G57" s="104"/>
      <c r="H57" s="98" t="s">
        <v>1095</v>
      </c>
      <c r="I57" s="105">
        <v>2</v>
      </c>
      <c r="J57" s="86">
        <f>IF(F57="","",VLOOKUP(F57,ARANCEL!$E$2:$F$123,2,FALSE))</f>
        <v>2738.8399999999997</v>
      </c>
      <c r="K57" s="100">
        <f t="shared" si="4"/>
        <v>5477.6799999999994</v>
      </c>
      <c r="L57" s="585" t="s">
        <v>3246</v>
      </c>
      <c r="M57" s="99"/>
    </row>
    <row r="58" spans="1:13" x14ac:dyDescent="0.25">
      <c r="A58" s="101">
        <v>40</v>
      </c>
      <c r="B58" s="101">
        <v>91610</v>
      </c>
      <c r="C58" s="102">
        <v>42030</v>
      </c>
      <c r="D58" s="103" t="s">
        <v>3233</v>
      </c>
      <c r="E58" s="101" t="s">
        <v>1641</v>
      </c>
      <c r="F58" s="103" t="s">
        <v>3120</v>
      </c>
      <c r="G58" s="104"/>
      <c r="H58" s="98" t="s">
        <v>368</v>
      </c>
      <c r="I58" s="105">
        <v>1</v>
      </c>
      <c r="J58" s="86">
        <f>IF(F58="","",VLOOKUP(F58,ARANCEL!$E$2:$F$123,2,FALSE))</f>
        <v>15721.88</v>
      </c>
      <c r="K58" s="100">
        <f t="shared" si="4"/>
        <v>15721.88</v>
      </c>
      <c r="L58" s="585" t="s">
        <v>3246</v>
      </c>
      <c r="M58" s="99"/>
    </row>
    <row r="59" spans="1:13" x14ac:dyDescent="0.25">
      <c r="A59" s="90">
        <v>41</v>
      </c>
      <c r="B59" s="101">
        <v>91704</v>
      </c>
      <c r="C59" s="102">
        <v>42030</v>
      </c>
      <c r="D59" s="103" t="s">
        <v>3114</v>
      </c>
      <c r="E59" s="101" t="s">
        <v>542</v>
      </c>
      <c r="F59" s="103" t="s">
        <v>114</v>
      </c>
      <c r="G59" s="104"/>
      <c r="H59" s="98" t="s">
        <v>469</v>
      </c>
      <c r="I59" s="105">
        <v>1</v>
      </c>
      <c r="J59" s="86">
        <f>IF(F59="","",VLOOKUP(F59,ARANCEL!$E$2:$F$123,2,FALSE))</f>
        <v>33370.239999999998</v>
      </c>
      <c r="K59" s="100">
        <f t="shared" si="4"/>
        <v>33370.239999999998</v>
      </c>
      <c r="L59" s="585" t="s">
        <v>3246</v>
      </c>
      <c r="M59" s="99"/>
    </row>
    <row r="60" spans="1:13" x14ac:dyDescent="0.25">
      <c r="A60" s="101">
        <v>42</v>
      </c>
      <c r="B60" s="101">
        <v>91708</v>
      </c>
      <c r="C60" s="102">
        <v>42030</v>
      </c>
      <c r="D60" s="103" t="s">
        <v>1613</v>
      </c>
      <c r="E60" s="101" t="s">
        <v>542</v>
      </c>
      <c r="F60" s="103" t="s">
        <v>114</v>
      </c>
      <c r="G60" s="104"/>
      <c r="H60" s="98" t="s">
        <v>389</v>
      </c>
      <c r="I60" s="105">
        <v>1</v>
      </c>
      <c r="J60" s="86">
        <f>IF(F60="","",VLOOKUP(F60,ARANCEL!$E$2:$F$123,2,FALSE))</f>
        <v>33370.239999999998</v>
      </c>
      <c r="K60" s="100">
        <f t="shared" si="4"/>
        <v>33370.239999999998</v>
      </c>
      <c r="L60" s="585" t="s">
        <v>3246</v>
      </c>
      <c r="M60" s="99"/>
    </row>
    <row r="61" spans="1:13" x14ac:dyDescent="0.25">
      <c r="A61" s="101">
        <v>43</v>
      </c>
      <c r="B61" s="101">
        <v>92162</v>
      </c>
      <c r="C61" s="102">
        <v>42032</v>
      </c>
      <c r="D61" s="103" t="s">
        <v>3234</v>
      </c>
      <c r="E61" s="101" t="s">
        <v>518</v>
      </c>
      <c r="F61" s="103" t="s">
        <v>114</v>
      </c>
      <c r="G61" s="104"/>
      <c r="H61" s="98" t="s">
        <v>414</v>
      </c>
      <c r="I61" s="105">
        <v>1</v>
      </c>
      <c r="J61" s="86">
        <f>IF(F61="","",VLOOKUP(F61,ARANCEL!$E$2:$F$123,2,FALSE))</f>
        <v>33370.239999999998</v>
      </c>
      <c r="K61" s="100">
        <f t="shared" si="4"/>
        <v>33370.239999999998</v>
      </c>
      <c r="L61" s="585" t="s">
        <v>3246</v>
      </c>
      <c r="M61" s="99"/>
    </row>
    <row r="62" spans="1:13" x14ac:dyDescent="0.25">
      <c r="A62" s="101">
        <v>44</v>
      </c>
      <c r="B62" s="101">
        <v>92034</v>
      </c>
      <c r="C62" s="102">
        <v>42032</v>
      </c>
      <c r="D62" s="103" t="s">
        <v>1686</v>
      </c>
      <c r="E62" s="101" t="s">
        <v>518</v>
      </c>
      <c r="F62" s="103" t="s">
        <v>115</v>
      </c>
      <c r="G62" s="104"/>
      <c r="H62" s="98" t="s">
        <v>2012</v>
      </c>
      <c r="I62" s="105">
        <v>6</v>
      </c>
      <c r="J62" s="86">
        <f>IF(F62="","",VLOOKUP(F62,ARANCEL!$E$2:$F$123,2,FALSE))</f>
        <v>5274.3600000000006</v>
      </c>
      <c r="K62" s="100">
        <f t="shared" si="4"/>
        <v>31646.160000000003</v>
      </c>
      <c r="L62" s="585" t="s">
        <v>3246</v>
      </c>
      <c r="M62" s="99"/>
    </row>
    <row r="63" spans="1:13" x14ac:dyDescent="0.25">
      <c r="A63" s="101">
        <v>45</v>
      </c>
      <c r="B63" s="101">
        <v>92034</v>
      </c>
      <c r="C63" s="102">
        <v>42032</v>
      </c>
      <c r="D63" s="103" t="s">
        <v>1686</v>
      </c>
      <c r="E63" s="101" t="s">
        <v>518</v>
      </c>
      <c r="F63" s="103" t="s">
        <v>208</v>
      </c>
      <c r="G63" s="104"/>
      <c r="H63" s="98" t="s">
        <v>531</v>
      </c>
      <c r="I63" s="105">
        <v>1</v>
      </c>
      <c r="J63" s="86">
        <f>IF(F63="","",VLOOKUP(F63,ARANCEL!$E$2:$F$123,2,FALSE))</f>
        <v>14098.999999999998</v>
      </c>
      <c r="K63" s="100">
        <f t="shared" si="4"/>
        <v>14098.999999999998</v>
      </c>
      <c r="L63" s="585" t="s">
        <v>3246</v>
      </c>
      <c r="M63" s="99"/>
    </row>
    <row r="64" spans="1:13" ht="24.75" customHeight="1" collapsed="1" x14ac:dyDescent="0.25">
      <c r="A64" s="80" t="s">
        <v>96</v>
      </c>
      <c r="B64" s="80" t="s">
        <v>97</v>
      </c>
      <c r="C64" s="81" t="s">
        <v>101</v>
      </c>
      <c r="D64" s="80" t="s">
        <v>98</v>
      </c>
      <c r="E64" s="80" t="s">
        <v>99</v>
      </c>
      <c r="F64" s="80" t="s">
        <v>100</v>
      </c>
      <c r="G64" s="80" t="s">
        <v>103</v>
      </c>
      <c r="H64" s="80" t="s">
        <v>102</v>
      </c>
      <c r="I64" s="80" t="s">
        <v>107</v>
      </c>
      <c r="J64" s="81" t="s">
        <v>104</v>
      </c>
      <c r="K64" s="81" t="s">
        <v>105</v>
      </c>
      <c r="L64" s="82" t="s">
        <v>166</v>
      </c>
      <c r="M64" s="82" t="s">
        <v>106</v>
      </c>
    </row>
    <row r="65" spans="1:13" x14ac:dyDescent="0.25">
      <c r="A65" s="101">
        <v>46</v>
      </c>
      <c r="B65" s="101"/>
      <c r="C65" s="102"/>
      <c r="D65" s="103"/>
      <c r="E65" s="101"/>
      <c r="F65" s="103"/>
      <c r="G65" s="104"/>
      <c r="H65" s="98"/>
      <c r="I65" s="105"/>
      <c r="J65" s="86" t="str">
        <f>IF(F65="","",VLOOKUP(F65,ARANCEL!$E$2:$F$123,2,FALSE))</f>
        <v/>
      </c>
      <c r="K65" s="100" t="str">
        <f t="shared" si="4"/>
        <v/>
      </c>
      <c r="L65" s="98"/>
      <c r="M65" s="99"/>
    </row>
    <row r="66" spans="1:13" x14ac:dyDescent="0.25">
      <c r="A66" s="101">
        <v>47</v>
      </c>
      <c r="B66" s="101"/>
      <c r="C66" s="102"/>
      <c r="D66" s="103"/>
      <c r="E66" s="101"/>
      <c r="F66" s="103"/>
      <c r="G66" s="104"/>
      <c r="H66" s="98"/>
      <c r="I66" s="105"/>
      <c r="J66" s="86" t="str">
        <f>IF(F66="","",VLOOKUP(F66,ARANCEL!$E$2:$F$123,2,FALSE))</f>
        <v/>
      </c>
      <c r="K66" s="100" t="str">
        <f t="shared" si="4"/>
        <v/>
      </c>
      <c r="L66" s="98"/>
      <c r="M66" s="99"/>
    </row>
    <row r="67" spans="1:13" x14ac:dyDescent="0.25">
      <c r="A67" s="101">
        <v>48</v>
      </c>
      <c r="B67" s="101"/>
      <c r="C67" s="102"/>
      <c r="D67" s="103"/>
      <c r="E67" s="101"/>
      <c r="F67" s="103"/>
      <c r="G67" s="104"/>
      <c r="H67" s="98"/>
      <c r="I67" s="105"/>
      <c r="J67" s="86" t="str">
        <f>IF(F67="","",VLOOKUP(F67,ARANCEL!$E$2:$F$123,2,FALSE))</f>
        <v/>
      </c>
      <c r="K67" s="100" t="str">
        <f t="shared" ref="K67:K68" si="5">IF(I67=0,"",J67*I67)</f>
        <v/>
      </c>
      <c r="L67" s="98"/>
      <c r="M67" s="99"/>
    </row>
    <row r="68" spans="1:13" x14ac:dyDescent="0.25">
      <c r="A68" s="90">
        <v>49</v>
      </c>
      <c r="B68" s="101"/>
      <c r="C68" s="102"/>
      <c r="D68" s="103"/>
      <c r="E68" s="101"/>
      <c r="F68" s="103"/>
      <c r="G68" s="104"/>
      <c r="H68" s="98"/>
      <c r="I68" s="105"/>
      <c r="J68" s="86" t="str">
        <f>IF(F68="","",VLOOKUP(F68,ARANCEL!$E$2:$F$123,2,FALSE))</f>
        <v/>
      </c>
      <c r="K68" s="100" t="str">
        <f t="shared" si="5"/>
        <v/>
      </c>
      <c r="L68" s="98"/>
      <c r="M68" s="99"/>
    </row>
    <row r="71" spans="1:13" ht="20.25" customHeight="1" x14ac:dyDescent="0.25">
      <c r="A71" s="614" t="s">
        <v>363</v>
      </c>
      <c r="B71" s="614"/>
      <c r="C71" s="614"/>
      <c r="D71" s="614"/>
      <c r="E71" s="614"/>
      <c r="F71" s="614"/>
      <c r="G71" s="614"/>
      <c r="H71" s="614"/>
      <c r="I71" s="614"/>
      <c r="J71" s="614"/>
      <c r="K71" s="614"/>
    </row>
    <row r="72" spans="1:13" ht="24" x14ac:dyDescent="0.25">
      <c r="A72" s="88" t="s">
        <v>96</v>
      </c>
      <c r="B72" s="88" t="s">
        <v>97</v>
      </c>
      <c r="C72" s="89" t="s">
        <v>101</v>
      </c>
      <c r="D72" s="88" t="s">
        <v>98</v>
      </c>
      <c r="E72" s="88" t="s">
        <v>99</v>
      </c>
      <c r="F72" s="88" t="s">
        <v>100</v>
      </c>
      <c r="G72" s="88" t="s">
        <v>103</v>
      </c>
      <c r="H72" s="88" t="s">
        <v>102</v>
      </c>
      <c r="I72" s="88" t="s">
        <v>107</v>
      </c>
      <c r="J72" s="89" t="s">
        <v>104</v>
      </c>
      <c r="K72" s="89" t="s">
        <v>105</v>
      </c>
      <c r="L72" s="89" t="s">
        <v>166</v>
      </c>
      <c r="M72" s="89" t="s">
        <v>106</v>
      </c>
    </row>
    <row r="73" spans="1:13" x14ac:dyDescent="0.25">
      <c r="A73" s="90">
        <v>2</v>
      </c>
      <c r="B73" s="582">
        <v>85077</v>
      </c>
      <c r="C73" s="583">
        <v>42009</v>
      </c>
      <c r="D73" s="584" t="s">
        <v>546</v>
      </c>
      <c r="E73" s="582" t="s">
        <v>542</v>
      </c>
      <c r="F73" s="584" t="s">
        <v>396</v>
      </c>
      <c r="G73" s="9"/>
      <c r="H73" s="12" t="s">
        <v>407</v>
      </c>
      <c r="I73" s="119">
        <v>1</v>
      </c>
      <c r="J73" s="86"/>
      <c r="K73" s="87"/>
      <c r="L73" s="12"/>
      <c r="M73" s="92"/>
    </row>
    <row r="74" spans="1:13" x14ac:dyDescent="0.25">
      <c r="A74" s="90">
        <v>3</v>
      </c>
      <c r="B74" s="582">
        <v>57061</v>
      </c>
      <c r="C74" s="583">
        <v>41936</v>
      </c>
      <c r="D74" s="584" t="s">
        <v>1679</v>
      </c>
      <c r="E74" s="582" t="s">
        <v>542</v>
      </c>
      <c r="F74" s="584" t="s">
        <v>383</v>
      </c>
      <c r="G74" s="9"/>
      <c r="H74" s="12" t="s">
        <v>366</v>
      </c>
      <c r="I74" s="119">
        <v>1</v>
      </c>
      <c r="J74" s="86"/>
      <c r="K74" s="87"/>
      <c r="L74" s="12"/>
      <c r="M74" s="92"/>
    </row>
    <row r="75" spans="1:13" x14ac:dyDescent="0.25">
      <c r="A75" s="90">
        <v>4</v>
      </c>
      <c r="B75" s="582">
        <v>61800</v>
      </c>
      <c r="C75" s="583">
        <v>41950</v>
      </c>
      <c r="D75" s="584" t="s">
        <v>3101</v>
      </c>
      <c r="E75" s="582" t="s">
        <v>1668</v>
      </c>
      <c r="F75" s="584" t="s">
        <v>3102</v>
      </c>
      <c r="G75" s="9"/>
      <c r="H75" s="12" t="s">
        <v>368</v>
      </c>
      <c r="I75" s="119">
        <v>1</v>
      </c>
      <c r="J75" s="86"/>
      <c r="K75" s="87"/>
      <c r="L75" s="12"/>
      <c r="M75" s="92"/>
    </row>
    <row r="76" spans="1:13" x14ac:dyDescent="0.25">
      <c r="A76" s="90">
        <v>5</v>
      </c>
      <c r="B76" s="582">
        <v>64376</v>
      </c>
      <c r="C76" s="583">
        <v>41957</v>
      </c>
      <c r="D76" s="584" t="s">
        <v>1609</v>
      </c>
      <c r="E76" s="582" t="s">
        <v>542</v>
      </c>
      <c r="F76" s="584" t="s">
        <v>396</v>
      </c>
      <c r="G76" s="9"/>
      <c r="H76" s="12" t="s">
        <v>1652</v>
      </c>
      <c r="I76" s="119">
        <v>3</v>
      </c>
      <c r="J76" s="86"/>
      <c r="K76" s="87"/>
      <c r="L76" s="12"/>
      <c r="M76" s="92"/>
    </row>
    <row r="77" spans="1:13" x14ac:dyDescent="0.25">
      <c r="A77" s="90">
        <v>6</v>
      </c>
      <c r="B77" s="582">
        <v>65902</v>
      </c>
      <c r="C77" s="583">
        <v>41960</v>
      </c>
      <c r="D77" s="584" t="s">
        <v>3103</v>
      </c>
      <c r="E77" s="582" t="s">
        <v>1600</v>
      </c>
      <c r="F77" s="584" t="s">
        <v>406</v>
      </c>
      <c r="G77" s="9"/>
      <c r="H77" s="12" t="s">
        <v>404</v>
      </c>
      <c r="I77" s="119">
        <v>1</v>
      </c>
      <c r="J77" s="86"/>
      <c r="K77" s="87"/>
      <c r="L77" s="12"/>
      <c r="M77" s="92"/>
    </row>
    <row r="78" spans="1:13" x14ac:dyDescent="0.25">
      <c r="A78" s="90">
        <v>7</v>
      </c>
      <c r="B78" s="582">
        <v>65969</v>
      </c>
      <c r="C78" s="583">
        <v>41961</v>
      </c>
      <c r="D78" s="584" t="s">
        <v>3104</v>
      </c>
      <c r="E78" s="582" t="s">
        <v>518</v>
      </c>
      <c r="F78" s="584" t="s">
        <v>445</v>
      </c>
      <c r="G78" s="9"/>
      <c r="H78" s="12" t="s">
        <v>368</v>
      </c>
      <c r="I78" s="119">
        <v>1</v>
      </c>
      <c r="J78" s="86"/>
      <c r="K78" s="87"/>
      <c r="L78" s="12"/>
      <c r="M78" s="92"/>
    </row>
    <row r="79" spans="1:13" x14ac:dyDescent="0.25">
      <c r="A79" s="90">
        <v>8</v>
      </c>
      <c r="B79" s="582">
        <v>68677</v>
      </c>
      <c r="C79" s="583">
        <v>41968</v>
      </c>
      <c r="D79" s="584" t="s">
        <v>3105</v>
      </c>
      <c r="E79" s="582" t="s">
        <v>1600</v>
      </c>
      <c r="F79" s="584" t="s">
        <v>1129</v>
      </c>
      <c r="G79" s="9"/>
      <c r="H79" s="12" t="s">
        <v>404</v>
      </c>
      <c r="I79" s="119">
        <v>1</v>
      </c>
      <c r="J79" s="86"/>
      <c r="K79" s="87"/>
      <c r="L79" s="12"/>
      <c r="M79" s="92"/>
    </row>
    <row r="80" spans="1:13" x14ac:dyDescent="0.25">
      <c r="A80" s="90">
        <v>9</v>
      </c>
      <c r="B80" s="582">
        <v>70316</v>
      </c>
      <c r="C80" s="583">
        <v>41971</v>
      </c>
      <c r="D80" s="584" t="s">
        <v>1620</v>
      </c>
      <c r="E80" s="582" t="s">
        <v>542</v>
      </c>
      <c r="F80" s="584" t="s">
        <v>396</v>
      </c>
      <c r="G80" s="9"/>
      <c r="H80" s="12" t="s">
        <v>1621</v>
      </c>
      <c r="I80" s="119">
        <v>4</v>
      </c>
      <c r="J80" s="86"/>
      <c r="K80" s="87"/>
      <c r="L80" s="12"/>
      <c r="M80" s="92"/>
    </row>
    <row r="81" spans="1:13" x14ac:dyDescent="0.25">
      <c r="A81" s="90">
        <v>11</v>
      </c>
      <c r="B81" s="582">
        <v>74722</v>
      </c>
      <c r="C81" s="583">
        <v>41984</v>
      </c>
      <c r="D81" s="584" t="s">
        <v>3106</v>
      </c>
      <c r="E81" s="582" t="s">
        <v>542</v>
      </c>
      <c r="F81" s="584" t="s">
        <v>383</v>
      </c>
      <c r="G81" s="9"/>
      <c r="H81" s="12" t="s">
        <v>366</v>
      </c>
      <c r="I81" s="119">
        <v>1</v>
      </c>
      <c r="J81" s="86"/>
      <c r="K81" s="87"/>
      <c r="L81" s="12"/>
      <c r="M81" s="92"/>
    </row>
    <row r="82" spans="1:13" x14ac:dyDescent="0.25">
      <c r="A82" s="90">
        <v>12</v>
      </c>
      <c r="B82" s="582">
        <v>53141</v>
      </c>
      <c r="C82" s="583">
        <v>41988</v>
      </c>
      <c r="D82" s="584" t="s">
        <v>3107</v>
      </c>
      <c r="E82" s="582" t="s">
        <v>542</v>
      </c>
      <c r="F82" s="584" t="s">
        <v>383</v>
      </c>
      <c r="G82" s="9"/>
      <c r="H82" s="12" t="s">
        <v>366</v>
      </c>
      <c r="I82" s="119">
        <v>1</v>
      </c>
      <c r="J82" s="86"/>
      <c r="K82" s="87"/>
      <c r="L82" s="12"/>
      <c r="M82" s="92"/>
    </row>
    <row r="83" spans="1:13" x14ac:dyDescent="0.25">
      <c r="A83" s="90">
        <v>13</v>
      </c>
      <c r="B83" s="582" t="s">
        <v>3126</v>
      </c>
      <c r="C83" s="583">
        <v>42023</v>
      </c>
      <c r="D83" s="584" t="s">
        <v>3108</v>
      </c>
      <c r="E83" s="582" t="s">
        <v>542</v>
      </c>
      <c r="F83" s="584" t="s">
        <v>455</v>
      </c>
      <c r="G83" s="9"/>
      <c r="H83" s="12" t="s">
        <v>384</v>
      </c>
      <c r="I83" s="119">
        <v>2</v>
      </c>
      <c r="J83" s="86"/>
      <c r="K83" s="87"/>
      <c r="L83" s="12"/>
      <c r="M83" s="92"/>
    </row>
    <row r="84" spans="1:13" x14ac:dyDescent="0.25">
      <c r="A84" s="90">
        <v>14</v>
      </c>
      <c r="B84" s="582">
        <v>84218</v>
      </c>
      <c r="C84" s="583">
        <v>42002</v>
      </c>
      <c r="D84" s="584" t="s">
        <v>1660</v>
      </c>
      <c r="E84" s="582" t="s">
        <v>542</v>
      </c>
      <c r="F84" s="584" t="s">
        <v>427</v>
      </c>
      <c r="G84" s="9"/>
      <c r="H84" s="12" t="s">
        <v>439</v>
      </c>
      <c r="I84" s="119">
        <v>1</v>
      </c>
      <c r="J84" s="86"/>
      <c r="K84" s="87"/>
      <c r="L84" s="12"/>
      <c r="M84" s="92"/>
    </row>
    <row r="85" spans="1:13" x14ac:dyDescent="0.25">
      <c r="A85" s="90">
        <v>15</v>
      </c>
      <c r="B85" s="582">
        <v>84501</v>
      </c>
      <c r="C85" s="583">
        <v>42003</v>
      </c>
      <c r="D85" s="584" t="s">
        <v>1688</v>
      </c>
      <c r="E85" s="582" t="s">
        <v>542</v>
      </c>
      <c r="F85" s="584" t="s">
        <v>383</v>
      </c>
      <c r="G85" s="9"/>
      <c r="H85" s="12" t="s">
        <v>366</v>
      </c>
      <c r="I85" s="119">
        <v>1</v>
      </c>
      <c r="J85" s="86"/>
      <c r="K85" s="87"/>
      <c r="L85" s="12"/>
      <c r="M85" s="92"/>
    </row>
    <row r="86" spans="1:13" x14ac:dyDescent="0.25">
      <c r="A86" s="90">
        <v>18</v>
      </c>
      <c r="B86" s="582">
        <v>88797</v>
      </c>
      <c r="C86" s="583">
        <v>42019</v>
      </c>
      <c r="D86" s="584" t="s">
        <v>3118</v>
      </c>
      <c r="E86" s="582" t="s">
        <v>542</v>
      </c>
      <c r="F86" s="584" t="s">
        <v>383</v>
      </c>
      <c r="G86" s="9"/>
      <c r="H86" s="12" t="s">
        <v>366</v>
      </c>
      <c r="I86" s="119">
        <v>1</v>
      </c>
      <c r="J86" s="116"/>
      <c r="K86" s="116"/>
      <c r="L86" s="113"/>
      <c r="M86" s="13"/>
    </row>
    <row r="87" spans="1:13" x14ac:dyDescent="0.25">
      <c r="A87" s="90">
        <v>19</v>
      </c>
      <c r="B87" s="582">
        <v>89585</v>
      </c>
      <c r="C87" s="583">
        <v>42019</v>
      </c>
      <c r="D87" s="584" t="s">
        <v>3129</v>
      </c>
      <c r="E87" s="582" t="s">
        <v>542</v>
      </c>
      <c r="F87" s="584" t="s">
        <v>383</v>
      </c>
      <c r="G87" s="9"/>
      <c r="H87" s="12" t="s">
        <v>366</v>
      </c>
      <c r="I87" s="119">
        <v>1</v>
      </c>
      <c r="J87" s="116"/>
      <c r="K87" s="116"/>
      <c r="L87" s="113"/>
      <c r="M87" s="13"/>
    </row>
    <row r="88" spans="1:13" x14ac:dyDescent="0.25">
      <c r="A88" s="90">
        <v>20</v>
      </c>
      <c r="B88" s="582">
        <v>90316</v>
      </c>
      <c r="C88" s="583">
        <v>42024</v>
      </c>
      <c r="D88" s="584" t="s">
        <v>3169</v>
      </c>
      <c r="E88" s="582" t="s">
        <v>542</v>
      </c>
      <c r="F88" s="584" t="s">
        <v>383</v>
      </c>
      <c r="G88" s="9"/>
      <c r="H88" s="12" t="s">
        <v>384</v>
      </c>
      <c r="I88" s="119">
        <v>2</v>
      </c>
      <c r="J88" s="116"/>
      <c r="K88" s="116"/>
      <c r="L88" s="113"/>
      <c r="M88" s="13"/>
    </row>
    <row r="89" spans="1:13" x14ac:dyDescent="0.25">
      <c r="A89" s="90">
        <v>21</v>
      </c>
      <c r="B89" s="582">
        <v>90440</v>
      </c>
      <c r="C89" s="583">
        <v>42024</v>
      </c>
      <c r="D89" s="584" t="s">
        <v>3170</v>
      </c>
      <c r="E89" s="582" t="s">
        <v>542</v>
      </c>
      <c r="F89" s="584" t="s">
        <v>3171</v>
      </c>
      <c r="G89" s="9"/>
      <c r="H89" s="12" t="s">
        <v>389</v>
      </c>
      <c r="I89" s="119">
        <v>1</v>
      </c>
      <c r="J89" s="116"/>
      <c r="K89" s="116"/>
      <c r="L89" s="113"/>
      <c r="M89" s="13"/>
    </row>
    <row r="90" spans="1:13" x14ac:dyDescent="0.25">
      <c r="A90" s="90">
        <v>22</v>
      </c>
      <c r="B90" s="582">
        <v>91672</v>
      </c>
      <c r="C90" s="583">
        <v>42031</v>
      </c>
      <c r="D90" s="584" t="s">
        <v>549</v>
      </c>
      <c r="E90" s="582" t="s">
        <v>542</v>
      </c>
      <c r="F90" s="584" t="s">
        <v>396</v>
      </c>
      <c r="G90" s="9"/>
      <c r="H90" s="12" t="s">
        <v>389</v>
      </c>
      <c r="I90" s="119">
        <v>1</v>
      </c>
      <c r="J90" s="116"/>
      <c r="K90" s="116"/>
      <c r="L90" s="113"/>
      <c r="M90" s="13"/>
    </row>
    <row r="91" spans="1:13" x14ac:dyDescent="0.25">
      <c r="A91" s="90">
        <v>20</v>
      </c>
      <c r="B91" s="582"/>
      <c r="C91" s="583"/>
      <c r="D91" s="584"/>
      <c r="E91" s="582"/>
      <c r="F91" s="584"/>
      <c r="G91" s="9"/>
      <c r="H91" s="12"/>
      <c r="I91" s="119"/>
      <c r="J91" s="116"/>
      <c r="K91" s="116"/>
      <c r="L91" s="113"/>
      <c r="M91" s="13"/>
    </row>
    <row r="92" spans="1:13" x14ac:dyDescent="0.25">
      <c r="A92" s="90">
        <v>21</v>
      </c>
      <c r="B92" s="582"/>
      <c r="C92" s="583"/>
      <c r="D92" s="584"/>
      <c r="E92" s="582"/>
      <c r="F92" s="584"/>
      <c r="G92" s="9"/>
      <c r="H92" s="12"/>
      <c r="I92" s="119"/>
      <c r="J92" s="116"/>
      <c r="K92" s="116"/>
      <c r="L92" s="113"/>
      <c r="M92" s="13"/>
    </row>
    <row r="93" spans="1:13" x14ac:dyDescent="0.25">
      <c r="A93" s="90">
        <v>22</v>
      </c>
      <c r="B93" s="582"/>
      <c r="C93" s="583"/>
      <c r="D93" s="584"/>
      <c r="E93" s="582"/>
      <c r="F93" s="584"/>
      <c r="G93" s="9"/>
      <c r="H93" s="12"/>
      <c r="I93" s="119"/>
      <c r="J93" s="116"/>
      <c r="K93" s="116"/>
      <c r="L93" s="113"/>
      <c r="M93" s="13"/>
    </row>
  </sheetData>
  <autoFilter ref="A64:M64">
    <sortState ref="A66:M69">
      <sortCondition ref="L10"/>
    </sortState>
  </autoFilter>
  <mergeCells count="11">
    <mergeCell ref="L9:M9"/>
    <mergeCell ref="A7:B7"/>
    <mergeCell ref="A8:B8"/>
    <mergeCell ref="A71:K7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M32"/>
  <sheetViews>
    <sheetView zoomScale="90" zoomScaleNormal="90" workbookViewId="0">
      <pane ySplit="9" topLeftCell="A10" activePane="bottomLeft" state="frozen"/>
      <selection activeCell="C15" sqref="C15"/>
      <selection pane="bottomLeft" activeCell="L10" sqref="L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20" customWidth="1"/>
    <col min="12" max="12" width="12.140625" customWidth="1"/>
    <col min="13" max="13" width="39.28515625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38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hidden="1" customHeight="1" outlineLevel="1" x14ac:dyDescent="0.25">
      <c r="A3" s="612" t="s">
        <v>156</v>
      </c>
      <c r="B3" s="612"/>
      <c r="C3" s="94" t="str">
        <f>IFERROR(VLOOKUP($A$2,DATOS!$A$2:$N$14,2,FALSE),"SUCURSAL NO ENCONTRADA")</f>
        <v>SOCIEDAD ODONTOLOGICA B Y B LTDA</v>
      </c>
      <c r="H3" s="107" t="s">
        <v>164</v>
      </c>
      <c r="I3" s="94" t="str">
        <f>IFERROR(VLOOKUP($A$2,DATOS!$A$2:$N$14,8,FALSE),"SUCURSAL NO ENCONTRADA")</f>
        <v>CATALINA BLANLOT</v>
      </c>
    </row>
    <row r="4" spans="1:13" ht="12.75" hidden="1" customHeight="1" outlineLevel="1" x14ac:dyDescent="0.25">
      <c r="A4" s="612" t="s">
        <v>157</v>
      </c>
      <c r="B4" s="612"/>
      <c r="C4" s="94" t="str">
        <f>IFERROR(VLOOKUP($A$2,DATOS!$A$2:$N$14,3,FALSE),"SUCURSAL NO ENCONTRADA")</f>
        <v>76.339.573-1</v>
      </c>
      <c r="H4" s="107" t="s">
        <v>162</v>
      </c>
      <c r="I4" s="570" t="str">
        <f>IFERROR(VLOOKUP($A$2,DATOS!$A$2:$N$14,9,FALSE),"SUCURSAL NO ENCONTRADA")</f>
        <v>cblanlot@unosalud.cl</v>
      </c>
      <c r="K4" s="84"/>
      <c r="L4" s="84"/>
    </row>
    <row r="5" spans="1:13" ht="12.75" hidden="1" customHeight="1" outlineLevel="1" x14ac:dyDescent="0.25">
      <c r="A5" s="612" t="s">
        <v>158</v>
      </c>
      <c r="B5" s="612"/>
      <c r="C5" s="94" t="str">
        <f>IFERROR(VLOOKUP($A$2,DATOS!$A$2:$N$14,4,FALSE),"SUCURSAL NO ENCONTRADA")</f>
        <v xml:space="preserve">EYZAGUIRRE 650, SAN BERNARDO </v>
      </c>
      <c r="H5" s="107" t="s">
        <v>161</v>
      </c>
      <c r="I5" s="94">
        <f>IFERROR(VLOOKUP($A$2,DATOS!$A$2:$N$14,10,FALSE),"SUCURSAL NO ENCONTRADA")</f>
        <v>0</v>
      </c>
    </row>
    <row r="6" spans="1:13" ht="12.75" hidden="1" customHeight="1" outlineLevel="1" x14ac:dyDescent="0.25">
      <c r="A6" s="612" t="s">
        <v>159</v>
      </c>
      <c r="B6" s="612"/>
      <c r="C6" s="94" t="str">
        <f>IFERROR(VLOOKUP($A$2,DATOS!$A$2:$N$14,5,FALSE),"SUCURSAL NO ENCONTRADA")</f>
        <v>CENTROS MÉDICOS DE ATENCIÓN AMBULATORIA</v>
      </c>
      <c r="H6" s="107" t="s">
        <v>165</v>
      </c>
      <c r="I6" s="94" t="str">
        <f>IFERROR(VLOOKUP($A$2,DATOS!$A$2:$N$14,11,FALSE),"SUCURSAL NO ENCONTRADA")</f>
        <v>SCARLETTE FERNANDEZ</v>
      </c>
    </row>
    <row r="7" spans="1:13" ht="12.75" hidden="1" customHeight="1" outlineLevel="1" x14ac:dyDescent="0.25">
      <c r="A7" s="612" t="s">
        <v>160</v>
      </c>
      <c r="B7" s="612"/>
      <c r="C7" s="94" t="str">
        <f>IFERROR(VLOOKUP($A$2,DATOS!$A$2:$N$14,6,FALSE),"SUCURSAL NO ENCONTRADA")</f>
        <v>UNO SALUD SAN BERNARDO</v>
      </c>
      <c r="H7" s="107" t="s">
        <v>162</v>
      </c>
      <c r="I7" s="94">
        <f>IFERROR(VLOOKUP($A$2,DATOS!$A$2:$N$14,12,FALSE),"SUCURSAL NO ENCONTRADA")</f>
        <v>0</v>
      </c>
    </row>
    <row r="8" spans="1:13" ht="14.25" hidden="1" customHeight="1" outlineLevel="1" x14ac:dyDescent="0.25">
      <c r="A8" s="613" t="s">
        <v>163</v>
      </c>
      <c r="B8" s="613"/>
      <c r="C8" s="85">
        <f>IFERROR(VLOOKUP($A$2,DATOS!$A$2:$N$14,7,FALSE),"SUCURSAL NO ENCONTRADA")</f>
        <v>0</v>
      </c>
      <c r="D8" s="85"/>
      <c r="E8" s="85"/>
      <c r="F8" s="15"/>
      <c r="G8" s="14"/>
      <c r="H8" s="107" t="s">
        <v>161</v>
      </c>
      <c r="I8" s="94" t="str">
        <f>IFERROR(VLOOKUP($A$2,DATOS!$A$2:$N$14,13,FALSE),"SUCURSAL NO ENCONTRADA")</f>
        <v>22 7638958</v>
      </c>
    </row>
    <row r="9" spans="1:13" s="586" customFormat="1" ht="24.75" customHeight="1" collapsed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x14ac:dyDescent="0.25">
      <c r="A10" s="90">
        <v>1</v>
      </c>
      <c r="B10" s="90">
        <v>85635</v>
      </c>
      <c r="C10" s="93">
        <v>42009</v>
      </c>
      <c r="D10" s="91" t="s">
        <v>539</v>
      </c>
      <c r="E10" s="90" t="s">
        <v>540</v>
      </c>
      <c r="F10" s="91" t="s">
        <v>534</v>
      </c>
      <c r="G10" s="9"/>
      <c r="H10" s="12" t="s">
        <v>428</v>
      </c>
      <c r="I10" s="119">
        <v>1</v>
      </c>
      <c r="J10" s="86">
        <f>IF(F10="","",VLOOKUP(F10,ARANCEL!$E$2:$F$123,2,FALSE))</f>
        <v>30428.999999999996</v>
      </c>
      <c r="K10" s="87">
        <f t="shared" ref="K10:K17" si="0">IF(I10=0,"",J10*I10)</f>
        <v>30428.999999999996</v>
      </c>
      <c r="L10" s="585" t="s">
        <v>3246</v>
      </c>
      <c r="M10" s="92"/>
    </row>
    <row r="11" spans="1:13" x14ac:dyDescent="0.25">
      <c r="A11" s="90">
        <v>2</v>
      </c>
      <c r="B11" s="90">
        <v>86252</v>
      </c>
      <c r="C11" s="93">
        <v>42012</v>
      </c>
      <c r="D11" s="91" t="s">
        <v>3136</v>
      </c>
      <c r="E11" s="90" t="s">
        <v>1734</v>
      </c>
      <c r="F11" s="91" t="s">
        <v>534</v>
      </c>
      <c r="G11" s="9"/>
      <c r="H11" s="12" t="s">
        <v>469</v>
      </c>
      <c r="I11" s="119">
        <v>1</v>
      </c>
      <c r="J11" s="86">
        <f>IF(F11="","",VLOOKUP(F11,ARANCEL!$E$2:$F$123,2,FALSE))</f>
        <v>30428.999999999996</v>
      </c>
      <c r="K11" s="87">
        <f t="shared" si="0"/>
        <v>30428.999999999996</v>
      </c>
      <c r="L11" s="585" t="s">
        <v>3246</v>
      </c>
      <c r="M11" s="92"/>
    </row>
    <row r="12" spans="1:13" x14ac:dyDescent="0.25">
      <c r="A12" s="90">
        <v>3</v>
      </c>
      <c r="B12" s="101">
        <v>86713</v>
      </c>
      <c r="C12" s="102">
        <v>42012</v>
      </c>
      <c r="D12" s="103" t="s">
        <v>3137</v>
      </c>
      <c r="E12" s="101" t="s">
        <v>1734</v>
      </c>
      <c r="F12" s="103" t="s">
        <v>115</v>
      </c>
      <c r="G12" s="104"/>
      <c r="H12" s="98" t="s">
        <v>439</v>
      </c>
      <c r="I12" s="105">
        <v>1</v>
      </c>
      <c r="J12" s="86">
        <f>IF(F12="","",VLOOKUP(F12,ARANCEL!$E$2:$F$123,2,FALSE))</f>
        <v>5274.3600000000006</v>
      </c>
      <c r="K12" s="100">
        <f t="shared" si="0"/>
        <v>5274.3600000000006</v>
      </c>
      <c r="L12" s="585" t="s">
        <v>3246</v>
      </c>
      <c r="M12" s="99"/>
    </row>
    <row r="13" spans="1:13" x14ac:dyDescent="0.25">
      <c r="A13" s="90">
        <v>4</v>
      </c>
      <c r="B13" s="101">
        <v>86713</v>
      </c>
      <c r="C13" s="102">
        <v>42012</v>
      </c>
      <c r="D13" s="103" t="s">
        <v>3137</v>
      </c>
      <c r="E13" s="101" t="s">
        <v>1734</v>
      </c>
      <c r="F13" s="103" t="s">
        <v>208</v>
      </c>
      <c r="G13" s="104"/>
      <c r="H13" s="98" t="s">
        <v>439</v>
      </c>
      <c r="I13" s="105">
        <v>1</v>
      </c>
      <c r="J13" s="86">
        <f>IF(F13="","",VLOOKUP(F13,ARANCEL!$E$2:$F$123,2,FALSE))</f>
        <v>14098.999999999998</v>
      </c>
      <c r="K13" s="100">
        <f t="shared" si="0"/>
        <v>14098.999999999998</v>
      </c>
      <c r="L13" s="585" t="s">
        <v>3246</v>
      </c>
      <c r="M13" s="99"/>
    </row>
    <row r="14" spans="1:13" x14ac:dyDescent="0.25">
      <c r="A14" s="90">
        <v>5</v>
      </c>
      <c r="B14" s="101">
        <v>89090</v>
      </c>
      <c r="C14" s="102">
        <v>42020</v>
      </c>
      <c r="D14" s="103" t="s">
        <v>1760</v>
      </c>
      <c r="E14" s="101" t="s">
        <v>540</v>
      </c>
      <c r="F14" s="103" t="s">
        <v>114</v>
      </c>
      <c r="G14" s="104"/>
      <c r="H14" s="98" t="s">
        <v>439</v>
      </c>
      <c r="I14" s="105">
        <v>1</v>
      </c>
      <c r="J14" s="86">
        <f>IF(F14="","",VLOOKUP(F14,ARANCEL!$E$2:$F$123,2,FALSE))</f>
        <v>33370.239999999998</v>
      </c>
      <c r="K14" s="100">
        <f t="shared" si="0"/>
        <v>33370.239999999998</v>
      </c>
      <c r="L14" s="585" t="s">
        <v>3246</v>
      </c>
      <c r="M14" s="99"/>
    </row>
    <row r="15" spans="1:13" ht="24.75" customHeight="1" collapsed="1" x14ac:dyDescent="0.25">
      <c r="A15" s="80" t="s">
        <v>96</v>
      </c>
      <c r="B15" s="80" t="s">
        <v>97</v>
      </c>
      <c r="C15" s="81" t="s">
        <v>101</v>
      </c>
      <c r="D15" s="80" t="s">
        <v>98</v>
      </c>
      <c r="E15" s="80" t="s">
        <v>99</v>
      </c>
      <c r="F15" s="80" t="s">
        <v>100</v>
      </c>
      <c r="G15" s="80" t="s">
        <v>103</v>
      </c>
      <c r="H15" s="80" t="s">
        <v>102</v>
      </c>
      <c r="I15" s="80" t="s">
        <v>107</v>
      </c>
      <c r="J15" s="81" t="s">
        <v>104</v>
      </c>
      <c r="K15" s="81" t="s">
        <v>105</v>
      </c>
      <c r="L15" s="82" t="s">
        <v>166</v>
      </c>
      <c r="M15" s="82" t="s">
        <v>106</v>
      </c>
    </row>
    <row r="16" spans="1:13" x14ac:dyDescent="0.25">
      <c r="A16" s="90">
        <v>6</v>
      </c>
      <c r="B16" s="101"/>
      <c r="C16" s="102"/>
      <c r="D16" s="103"/>
      <c r="E16" s="101"/>
      <c r="F16" s="103"/>
      <c r="G16" s="104"/>
      <c r="H16" s="98"/>
      <c r="I16" s="105"/>
      <c r="J16" s="86" t="str">
        <f>IF(F16="","",VLOOKUP(F16,ARANCEL!$E$2:$F$123,2,FALSE))</f>
        <v/>
      </c>
      <c r="K16" s="100" t="str">
        <f t="shared" si="0"/>
        <v/>
      </c>
      <c r="L16" s="98"/>
      <c r="M16" s="99"/>
    </row>
    <row r="17" spans="1:13" x14ac:dyDescent="0.25">
      <c r="A17" s="90">
        <v>7</v>
      </c>
      <c r="B17" s="101"/>
      <c r="C17" s="102"/>
      <c r="D17" s="103"/>
      <c r="E17" s="101"/>
      <c r="F17" s="103"/>
      <c r="G17" s="104"/>
      <c r="H17" s="98"/>
      <c r="I17" s="105"/>
      <c r="J17" s="86" t="str">
        <f>IF(F17="","",VLOOKUP(F17,ARANCEL!$E$2:$F$123,2,FALSE))</f>
        <v/>
      </c>
      <c r="K17" s="100" t="str">
        <f t="shared" si="0"/>
        <v/>
      </c>
      <c r="L17" s="98"/>
      <c r="M17" s="99"/>
    </row>
    <row r="20" spans="1:13" ht="20.25" customHeight="1" x14ac:dyDescent="0.25">
      <c r="A20" s="614" t="s">
        <v>363</v>
      </c>
      <c r="B20" s="614"/>
      <c r="C20" s="614"/>
      <c r="D20" s="614"/>
      <c r="E20" s="614"/>
      <c r="F20" s="614"/>
      <c r="G20" s="614"/>
      <c r="H20" s="614"/>
      <c r="I20" s="614"/>
      <c r="J20" s="614"/>
      <c r="K20" s="614"/>
    </row>
    <row r="21" spans="1:13" ht="24" x14ac:dyDescent="0.25">
      <c r="A21" s="88" t="s">
        <v>96</v>
      </c>
      <c r="B21" s="88" t="s">
        <v>97</v>
      </c>
      <c r="C21" s="89" t="s">
        <v>101</v>
      </c>
      <c r="D21" s="88" t="s">
        <v>98</v>
      </c>
      <c r="E21" s="88" t="s">
        <v>99</v>
      </c>
      <c r="F21" s="88" t="s">
        <v>100</v>
      </c>
      <c r="G21" s="88" t="s">
        <v>103</v>
      </c>
      <c r="H21" s="88" t="s">
        <v>102</v>
      </c>
      <c r="I21" s="88" t="s">
        <v>107</v>
      </c>
      <c r="J21" s="89" t="s">
        <v>104</v>
      </c>
      <c r="K21" s="89" t="s">
        <v>105</v>
      </c>
      <c r="L21" s="89" t="s">
        <v>166</v>
      </c>
      <c r="M21" s="89" t="s">
        <v>106</v>
      </c>
    </row>
    <row r="22" spans="1:13" x14ac:dyDescent="0.25">
      <c r="A22" s="113">
        <v>3</v>
      </c>
      <c r="B22" s="114" t="s">
        <v>409</v>
      </c>
      <c r="C22" s="109">
        <v>41925</v>
      </c>
      <c r="D22" s="115" t="s">
        <v>410</v>
      </c>
      <c r="E22" s="114" t="s">
        <v>411</v>
      </c>
      <c r="F22" s="115" t="s">
        <v>379</v>
      </c>
      <c r="G22" s="110"/>
      <c r="H22" s="110" t="s">
        <v>412</v>
      </c>
      <c r="I22" s="112">
        <v>1</v>
      </c>
      <c r="J22" s="116"/>
      <c r="K22" s="116"/>
      <c r="L22" s="113"/>
      <c r="M22" s="13"/>
    </row>
    <row r="23" spans="1:13" x14ac:dyDescent="0.25">
      <c r="A23" s="113">
        <v>4</v>
      </c>
      <c r="B23" s="114">
        <v>53827</v>
      </c>
      <c r="C23" s="109">
        <v>41925</v>
      </c>
      <c r="D23" s="115" t="s">
        <v>413</v>
      </c>
      <c r="E23" s="114" t="s">
        <v>411</v>
      </c>
      <c r="F23" s="115" t="s">
        <v>396</v>
      </c>
      <c r="G23" s="110"/>
      <c r="H23" s="110" t="s">
        <v>414</v>
      </c>
      <c r="I23" s="112">
        <v>1</v>
      </c>
      <c r="J23" s="116"/>
      <c r="K23" s="116"/>
      <c r="L23" s="113"/>
      <c r="M23" s="13"/>
    </row>
    <row r="24" spans="1:13" x14ac:dyDescent="0.25">
      <c r="A24" s="113">
        <v>5</v>
      </c>
      <c r="B24" s="114">
        <v>53385</v>
      </c>
      <c r="C24" s="109">
        <v>41925</v>
      </c>
      <c r="D24" s="115" t="s">
        <v>415</v>
      </c>
      <c r="E24" s="114" t="s">
        <v>411</v>
      </c>
      <c r="F24" s="115" t="s">
        <v>396</v>
      </c>
      <c r="G24" s="110"/>
      <c r="H24" s="110" t="s">
        <v>416</v>
      </c>
      <c r="I24" s="112">
        <v>1</v>
      </c>
      <c r="J24" s="116"/>
      <c r="K24" s="116"/>
      <c r="L24" s="113"/>
      <c r="M24" s="13"/>
    </row>
    <row r="25" spans="1:13" x14ac:dyDescent="0.25">
      <c r="A25" s="113">
        <v>6</v>
      </c>
      <c r="B25" s="114">
        <v>52831</v>
      </c>
      <c r="C25" s="109">
        <v>41922</v>
      </c>
      <c r="D25" s="115" t="s">
        <v>417</v>
      </c>
      <c r="E25" s="114" t="s">
        <v>418</v>
      </c>
      <c r="F25" s="115" t="s">
        <v>419</v>
      </c>
      <c r="G25" s="110"/>
      <c r="H25" s="110" t="s">
        <v>368</v>
      </c>
      <c r="I25" s="112">
        <v>1</v>
      </c>
      <c r="J25" s="116"/>
      <c r="K25" s="116"/>
      <c r="L25" s="113"/>
      <c r="M25" s="13"/>
    </row>
    <row r="26" spans="1:13" x14ac:dyDescent="0.25">
      <c r="A26" s="113">
        <v>7</v>
      </c>
      <c r="B26" s="114" t="s">
        <v>3133</v>
      </c>
      <c r="C26" s="109">
        <v>41978</v>
      </c>
      <c r="D26" s="115" t="s">
        <v>3134</v>
      </c>
      <c r="E26" s="114" t="s">
        <v>1734</v>
      </c>
      <c r="F26" s="115" t="s">
        <v>374</v>
      </c>
      <c r="G26" s="110"/>
      <c r="H26" s="110" t="s">
        <v>384</v>
      </c>
      <c r="I26" s="112">
        <v>2</v>
      </c>
      <c r="J26" s="116"/>
      <c r="K26" s="116"/>
      <c r="L26" s="113"/>
      <c r="M26" s="13"/>
    </row>
    <row r="27" spans="1:13" x14ac:dyDescent="0.25">
      <c r="A27" s="9"/>
      <c r="B27" s="114">
        <v>75011</v>
      </c>
      <c r="C27" s="109">
        <v>41984</v>
      </c>
      <c r="D27" s="115" t="s">
        <v>3135</v>
      </c>
      <c r="E27" s="114" t="s">
        <v>1734</v>
      </c>
      <c r="F27" s="115" t="s">
        <v>374</v>
      </c>
      <c r="G27" s="110"/>
      <c r="H27" s="110" t="s">
        <v>384</v>
      </c>
      <c r="I27" s="112">
        <v>2</v>
      </c>
      <c r="J27" s="116"/>
      <c r="K27" s="116"/>
      <c r="L27" s="9"/>
      <c r="M27" s="9"/>
    </row>
    <row r="28" spans="1:13" x14ac:dyDescent="0.25">
      <c r="A28" s="9"/>
      <c r="B28" s="114">
        <v>86713</v>
      </c>
      <c r="C28" s="109">
        <v>42012</v>
      </c>
      <c r="D28" s="115" t="s">
        <v>3137</v>
      </c>
      <c r="E28" s="114" t="s">
        <v>1734</v>
      </c>
      <c r="F28" s="115" t="s">
        <v>396</v>
      </c>
      <c r="G28" s="110"/>
      <c r="H28" s="98" t="s">
        <v>439</v>
      </c>
      <c r="I28" s="112">
        <v>1</v>
      </c>
      <c r="J28" s="116"/>
      <c r="K28" s="116"/>
      <c r="L28" s="9"/>
      <c r="M28" s="9"/>
    </row>
    <row r="29" spans="1:13" x14ac:dyDescent="0.25">
      <c r="A29" s="9"/>
      <c r="B29" s="114"/>
      <c r="C29" s="109"/>
      <c r="D29" s="115"/>
      <c r="E29" s="114"/>
      <c r="F29" s="115"/>
      <c r="G29" s="110"/>
      <c r="H29" s="98"/>
      <c r="I29" s="112"/>
      <c r="J29" s="116"/>
      <c r="K29" s="116"/>
      <c r="L29" s="9"/>
      <c r="M29" s="9"/>
    </row>
    <row r="30" spans="1:13" x14ac:dyDescent="0.25">
      <c r="A30" s="9"/>
      <c r="B30" s="114"/>
      <c r="C30" s="109"/>
      <c r="D30" s="115"/>
      <c r="E30" s="114"/>
      <c r="F30" s="115"/>
      <c r="G30" s="110"/>
      <c r="H30" s="98"/>
      <c r="I30" s="112"/>
      <c r="J30" s="116"/>
      <c r="K30" s="116"/>
      <c r="L30" s="9"/>
      <c r="M30" s="9"/>
    </row>
    <row r="31" spans="1:13" x14ac:dyDescent="0.25">
      <c r="A31" s="9"/>
      <c r="B31" s="114"/>
      <c r="C31" s="109"/>
      <c r="D31" s="115"/>
      <c r="E31" s="114"/>
      <c r="F31" s="115"/>
      <c r="G31" s="110"/>
      <c r="H31" s="98"/>
      <c r="I31" s="112"/>
      <c r="J31" s="116"/>
      <c r="K31" s="116"/>
      <c r="L31" s="9"/>
      <c r="M31" s="9"/>
    </row>
    <row r="32" spans="1:13" x14ac:dyDescent="0.25">
      <c r="A32" s="9"/>
      <c r="B32" s="114"/>
      <c r="C32" s="109"/>
      <c r="D32" s="115"/>
      <c r="E32" s="114"/>
      <c r="F32" s="115"/>
      <c r="G32" s="110"/>
      <c r="H32" s="98"/>
      <c r="I32" s="112"/>
      <c r="J32" s="116"/>
      <c r="K32" s="116"/>
      <c r="L32" s="9"/>
      <c r="M32" s="9"/>
    </row>
  </sheetData>
  <autoFilter ref="A15:M15">
    <sortState ref="A17:M20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M72"/>
  <sheetViews>
    <sheetView zoomScale="90" zoomScaleNormal="90" workbookViewId="0">
      <pane ySplit="9" topLeftCell="A25" activePane="bottomLeft" state="frozen"/>
      <selection activeCell="C15" sqref="C15"/>
      <selection pane="bottomLeft" activeCell="E5" sqref="E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3.42578125" hidden="1" customWidth="1"/>
    <col min="9" max="9" width="15" style="120" customWidth="1"/>
    <col min="12" max="12" width="12.140625" customWidth="1"/>
    <col min="13" max="13" width="39.28515625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39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customHeight="1" outlineLevel="1" x14ac:dyDescent="0.25">
      <c r="A3" s="612" t="s">
        <v>156</v>
      </c>
      <c r="B3" s="612"/>
      <c r="C3" s="94" t="str">
        <f>IFERROR(VLOOKUP($A$2,DATOS!$A$2:$N$14,2,FALSE),"SUCURSAL NO ENCONTRADA")</f>
        <v>SOC. ODONTOLÓGICA UNO SALUD SANTA LUCIA LTDA</v>
      </c>
      <c r="H3" s="107" t="s">
        <v>164</v>
      </c>
      <c r="I3" s="94" t="str">
        <f>IFERROR(VLOOKUP($A$2,DATOS!$A$2:$N$14,8,FALSE),"SUCURSAL NO ENCONTRADA")</f>
        <v>SEBASTIAN REYES</v>
      </c>
    </row>
    <row r="4" spans="1:13" ht="12.75" customHeight="1" outlineLevel="1" x14ac:dyDescent="0.25">
      <c r="A4" s="612" t="s">
        <v>157</v>
      </c>
      <c r="B4" s="612"/>
      <c r="C4" s="94" t="str">
        <f>IFERROR(VLOOKUP($A$2,DATOS!$A$2:$N$14,3,FALSE),"SUCURSAL NO ENCONTRADA")</f>
        <v xml:space="preserve">76.324.872-0 </v>
      </c>
      <c r="H4" s="107" t="s">
        <v>162</v>
      </c>
      <c r="I4" s="94" t="str">
        <f>IFERROR(VLOOKUP($A$2,DATOS!$A$2:$N$14,9,FALSE),"SUCURSAL NO ENCONTRADA")</f>
        <v>laboratorios@unosalud.cl</v>
      </c>
      <c r="K4" s="84"/>
    </row>
    <row r="5" spans="1:13" ht="12.75" customHeight="1" outlineLevel="1" x14ac:dyDescent="0.25">
      <c r="A5" s="612" t="s">
        <v>158</v>
      </c>
      <c r="B5" s="612"/>
      <c r="C5" s="94" t="str">
        <f>IFERROR(VLOOKUP($A$2,DATOS!$A$2:$N$14,4,FALSE),"SUCURSAL NO ENCONTRADA")</f>
        <v>SANTA ROSA 12 LOCAL 14, SANTIAGO.</v>
      </c>
      <c r="H5" s="107" t="s">
        <v>161</v>
      </c>
      <c r="I5" s="94">
        <f>IFERROR(VLOOKUP($A$2,DATOS!$A$2:$N$14,10,FALSE),"SUCURSAL NO ENCONTRADA")</f>
        <v>227638906</v>
      </c>
    </row>
    <row r="6" spans="1:13" ht="12.75" customHeight="1" outlineLevel="1" x14ac:dyDescent="0.25">
      <c r="A6" s="612" t="s">
        <v>159</v>
      </c>
      <c r="B6" s="612"/>
      <c r="C6" s="94" t="str">
        <f>IFERROR(VLOOKUP($A$2,DATOS!$A$2:$N$14,5,FALSE),"SUCURSAL NO ENCONTRADA")</f>
        <v>CENTROS MÉDICOS DE ATENCIÓN AMBULATORIA</v>
      </c>
      <c r="H6" s="107" t="s">
        <v>165</v>
      </c>
      <c r="I6" s="94" t="str">
        <f>IFERROR(VLOOKUP($A$2,DATOS!$A$2:$N$14,11,FALSE),"SUCURSAL NO ENCONTRADA")</f>
        <v>CONSTANZA CERDA
TERESA GUZMAN</v>
      </c>
    </row>
    <row r="7" spans="1:13" ht="12.75" customHeight="1" outlineLevel="1" x14ac:dyDescent="0.25">
      <c r="A7" s="612" t="s">
        <v>160</v>
      </c>
      <c r="B7" s="612"/>
      <c r="C7" s="94" t="str">
        <f>IFERROR(VLOOKUP($A$2,DATOS!$A$2:$N$14,6,FALSE),"SUCURSAL NO ENCONTRADA")</f>
        <v>UNO SALUD SANTA LUCIA LTDA.</v>
      </c>
      <c r="H7" s="107" t="s">
        <v>162</v>
      </c>
      <c r="I7" s="94" t="str">
        <f>IFERROR(VLOOKUP($A$2,DATOS!$A$2:$N$14,12,FALSE),"SUCURSAL NO ENCONTRADA")</f>
        <v>ccerda@unosalud.cl</v>
      </c>
    </row>
    <row r="8" spans="1:13" ht="14.25" customHeight="1" outlineLevel="1" x14ac:dyDescent="0.25">
      <c r="A8" s="613" t="s">
        <v>163</v>
      </c>
      <c r="B8" s="613"/>
      <c r="C8" s="85" t="str">
        <f>IFERROR(VLOOKUP($A$2,DATOS!$A$2:$N$14,7,FALSE),"SUCURSAL NO ENCONTRADA")</f>
        <v>Enviar Factura a Moneda Nº 953 - Sr. Sebastian Reyes</v>
      </c>
      <c r="D8" s="85"/>
      <c r="E8" s="85"/>
      <c r="F8" s="15"/>
      <c r="G8" s="14"/>
      <c r="H8" s="107" t="s">
        <v>161</v>
      </c>
      <c r="I8" s="94" t="str">
        <f>IFERROR(VLOOKUP($A$2,DATOS!$A$2:$N$14,13,FALSE),"SUCURSAL NO ENCONTRADA")</f>
        <v>22 7638984
22 7638985</v>
      </c>
    </row>
    <row r="9" spans="1:13" s="586" customFormat="1" ht="24.75" customHeight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collapsed="1" x14ac:dyDescent="0.25">
      <c r="A10" s="90">
        <v>1</v>
      </c>
      <c r="B10" s="90">
        <v>84838</v>
      </c>
      <c r="C10" s="93">
        <v>42006</v>
      </c>
      <c r="D10" s="91" t="s">
        <v>1933</v>
      </c>
      <c r="E10" s="90" t="s">
        <v>411</v>
      </c>
      <c r="F10" s="91" t="s">
        <v>534</v>
      </c>
      <c r="G10" s="9"/>
      <c r="H10" s="12" t="s">
        <v>389</v>
      </c>
      <c r="I10" s="119">
        <v>1</v>
      </c>
      <c r="J10" s="571">
        <v>30429</v>
      </c>
      <c r="K10" s="572">
        <f>IF(I10="","",J10*I10)</f>
        <v>30429</v>
      </c>
      <c r="L10" s="585" t="s">
        <v>3246</v>
      </c>
      <c r="M10" s="92"/>
    </row>
    <row r="11" spans="1:13" x14ac:dyDescent="0.25">
      <c r="A11" s="90">
        <v>2</v>
      </c>
      <c r="B11" s="90">
        <v>74699</v>
      </c>
      <c r="C11" s="93">
        <v>41983</v>
      </c>
      <c r="D11" s="91" t="s">
        <v>1912</v>
      </c>
      <c r="E11" s="90" t="s">
        <v>411</v>
      </c>
      <c r="F11" s="91" t="s">
        <v>534</v>
      </c>
      <c r="G11" s="9"/>
      <c r="H11" s="12" t="s">
        <v>524</v>
      </c>
      <c r="I11" s="119">
        <v>1</v>
      </c>
      <c r="J11" s="571">
        <v>30429</v>
      </c>
      <c r="K11" s="572">
        <f>IF(I11="","",J11*I11)</f>
        <v>30429</v>
      </c>
      <c r="L11" s="585" t="s">
        <v>3246</v>
      </c>
      <c r="M11" s="92"/>
    </row>
    <row r="12" spans="1:13" x14ac:dyDescent="0.25">
      <c r="A12" s="90">
        <v>3</v>
      </c>
      <c r="B12" s="90">
        <v>72941</v>
      </c>
      <c r="C12" s="93">
        <v>41977</v>
      </c>
      <c r="D12" s="91" t="s">
        <v>1909</v>
      </c>
      <c r="E12" s="90" t="s">
        <v>411</v>
      </c>
      <c r="F12" s="91" t="s">
        <v>1482</v>
      </c>
      <c r="G12" s="9"/>
      <c r="H12" s="12" t="s">
        <v>397</v>
      </c>
      <c r="I12" s="119">
        <v>2</v>
      </c>
      <c r="J12" s="571">
        <v>48203</v>
      </c>
      <c r="K12" s="572">
        <f>IF(I12="","",J12*I12)</f>
        <v>96406</v>
      </c>
      <c r="L12" s="585" t="s">
        <v>3246</v>
      </c>
      <c r="M12" s="92"/>
    </row>
    <row r="13" spans="1:13" x14ac:dyDescent="0.25">
      <c r="A13" s="90">
        <v>4</v>
      </c>
      <c r="B13" s="90">
        <v>53215</v>
      </c>
      <c r="C13" s="93">
        <v>41925</v>
      </c>
      <c r="D13" s="91" t="s">
        <v>1845</v>
      </c>
      <c r="E13" s="90" t="s">
        <v>940</v>
      </c>
      <c r="F13" s="91" t="s">
        <v>577</v>
      </c>
      <c r="G13" s="9"/>
      <c r="H13" s="12" t="s">
        <v>366</v>
      </c>
      <c r="I13" s="119">
        <v>1</v>
      </c>
      <c r="J13" s="571">
        <v>25800</v>
      </c>
      <c r="K13" s="572">
        <f>IF(I13="","",J13*I13)</f>
        <v>25800</v>
      </c>
      <c r="L13" s="585" t="s">
        <v>3246</v>
      </c>
      <c r="M13" s="573" t="s">
        <v>3048</v>
      </c>
    </row>
    <row r="14" spans="1:13" x14ac:dyDescent="0.25">
      <c r="A14" s="90">
        <v>5</v>
      </c>
      <c r="B14" s="90">
        <v>85978</v>
      </c>
      <c r="C14" s="93">
        <v>42009</v>
      </c>
      <c r="D14" s="91" t="s">
        <v>528</v>
      </c>
      <c r="E14" s="90" t="s">
        <v>411</v>
      </c>
      <c r="F14" s="91" t="s">
        <v>114</v>
      </c>
      <c r="G14" s="9"/>
      <c r="H14" s="12" t="s">
        <v>431</v>
      </c>
      <c r="I14" s="119">
        <v>1</v>
      </c>
      <c r="J14" s="86">
        <f>IF(F14="","",VLOOKUP(F14,ARANCEL!$E$2:$F$123,2,FALSE))</f>
        <v>33370.239999999998</v>
      </c>
      <c r="K14" s="87">
        <f t="shared" ref="K14:K29" si="0">IF(I14=0,"",J14*I14)</f>
        <v>33370.239999999998</v>
      </c>
      <c r="L14" s="585" t="s">
        <v>3246</v>
      </c>
      <c r="M14" s="92"/>
    </row>
    <row r="15" spans="1:13" x14ac:dyDescent="0.25">
      <c r="A15" s="90">
        <v>6</v>
      </c>
      <c r="B15" s="90">
        <v>85763</v>
      </c>
      <c r="C15" s="93">
        <v>42009</v>
      </c>
      <c r="D15" s="91" t="s">
        <v>532</v>
      </c>
      <c r="E15" s="90" t="s">
        <v>533</v>
      </c>
      <c r="F15" s="91" t="s">
        <v>534</v>
      </c>
      <c r="G15" s="9"/>
      <c r="H15" s="12" t="s">
        <v>535</v>
      </c>
      <c r="I15" s="119">
        <v>1</v>
      </c>
      <c r="J15" s="86">
        <f>IF(F15="","",VLOOKUP(F15,ARANCEL!$E$2:$F$123,2,FALSE))</f>
        <v>30428.999999999996</v>
      </c>
      <c r="K15" s="87">
        <f t="shared" si="0"/>
        <v>30428.999999999996</v>
      </c>
      <c r="L15" s="585" t="s">
        <v>3246</v>
      </c>
      <c r="M15" s="92"/>
    </row>
    <row r="16" spans="1:13" x14ac:dyDescent="0.25">
      <c r="A16" s="90">
        <v>7</v>
      </c>
      <c r="B16" s="90">
        <v>85440</v>
      </c>
      <c r="C16" s="93">
        <v>42009</v>
      </c>
      <c r="D16" s="91" t="s">
        <v>536</v>
      </c>
      <c r="E16" s="90" t="s">
        <v>411</v>
      </c>
      <c r="F16" s="91" t="s">
        <v>534</v>
      </c>
      <c r="G16" s="9"/>
      <c r="H16" s="12" t="s">
        <v>401</v>
      </c>
      <c r="I16" s="119">
        <v>1</v>
      </c>
      <c r="J16" s="86">
        <f>IF(F16="","",VLOOKUP(F16,ARANCEL!$E$2:$F$123,2,FALSE))</f>
        <v>30428.999999999996</v>
      </c>
      <c r="K16" s="87">
        <f t="shared" si="0"/>
        <v>30428.999999999996</v>
      </c>
      <c r="L16" s="585" t="s">
        <v>3246</v>
      </c>
      <c r="M16" s="92"/>
    </row>
    <row r="17" spans="1:13" x14ac:dyDescent="0.25">
      <c r="A17" s="90">
        <v>8</v>
      </c>
      <c r="B17" s="101">
        <v>86267</v>
      </c>
      <c r="C17" s="102">
        <v>42011</v>
      </c>
      <c r="D17" s="103" t="s">
        <v>3139</v>
      </c>
      <c r="E17" s="101" t="s">
        <v>411</v>
      </c>
      <c r="F17" s="103" t="s">
        <v>208</v>
      </c>
      <c r="G17" s="104"/>
      <c r="H17" s="98" t="s">
        <v>2316</v>
      </c>
      <c r="I17" s="105">
        <v>1</v>
      </c>
      <c r="J17" s="86">
        <f>IF(F17="","",VLOOKUP(F17,ARANCEL!$E$2:$F$123,2,FALSE))</f>
        <v>14098.999999999998</v>
      </c>
      <c r="K17" s="100">
        <f t="shared" si="0"/>
        <v>14098.999999999998</v>
      </c>
      <c r="L17" s="585" t="s">
        <v>3246</v>
      </c>
      <c r="M17" s="99"/>
    </row>
    <row r="18" spans="1:13" x14ac:dyDescent="0.25">
      <c r="A18" s="90">
        <v>9</v>
      </c>
      <c r="B18" s="101">
        <v>86199</v>
      </c>
      <c r="C18" s="102">
        <v>42010</v>
      </c>
      <c r="D18" s="103" t="s">
        <v>526</v>
      </c>
      <c r="E18" s="101" t="s">
        <v>411</v>
      </c>
      <c r="F18" s="103" t="s">
        <v>114</v>
      </c>
      <c r="G18" s="104"/>
      <c r="H18" s="98" t="s">
        <v>527</v>
      </c>
      <c r="I18" s="105">
        <v>1</v>
      </c>
      <c r="J18" s="86">
        <f>IF(F18="","",VLOOKUP(F18,ARANCEL!$E$2:$F$123,2,FALSE))</f>
        <v>33370.239999999998</v>
      </c>
      <c r="K18" s="100">
        <f t="shared" si="0"/>
        <v>33370.239999999998</v>
      </c>
      <c r="L18" s="585" t="s">
        <v>3246</v>
      </c>
      <c r="M18" s="99"/>
    </row>
    <row r="19" spans="1:13" x14ac:dyDescent="0.25">
      <c r="A19" s="90">
        <v>10</v>
      </c>
      <c r="B19" s="101">
        <v>86197</v>
      </c>
      <c r="C19" s="102">
        <v>42010</v>
      </c>
      <c r="D19" s="103" t="s">
        <v>525</v>
      </c>
      <c r="E19" s="101" t="s">
        <v>411</v>
      </c>
      <c r="F19" s="103" t="s">
        <v>114</v>
      </c>
      <c r="G19" s="104"/>
      <c r="H19" s="98" t="s">
        <v>439</v>
      </c>
      <c r="I19" s="105">
        <v>1</v>
      </c>
      <c r="J19" s="86">
        <f>IF(F19="","",VLOOKUP(F19,ARANCEL!$E$2:$F$123,2,FALSE))</f>
        <v>33370.239999999998</v>
      </c>
      <c r="K19" s="100">
        <f t="shared" si="0"/>
        <v>33370.239999999998</v>
      </c>
      <c r="L19" s="585" t="s">
        <v>3246</v>
      </c>
      <c r="M19" s="99"/>
    </row>
    <row r="20" spans="1:13" x14ac:dyDescent="0.25">
      <c r="A20" s="90">
        <v>11</v>
      </c>
      <c r="B20" s="101">
        <v>86527</v>
      </c>
      <c r="C20" s="102">
        <v>42011</v>
      </c>
      <c r="D20" s="103" t="s">
        <v>530</v>
      </c>
      <c r="E20" s="101" t="s">
        <v>411</v>
      </c>
      <c r="F20" s="103" t="s">
        <v>114</v>
      </c>
      <c r="G20" s="104"/>
      <c r="H20" s="98" t="s">
        <v>531</v>
      </c>
      <c r="I20" s="105">
        <v>1</v>
      </c>
      <c r="J20" s="86">
        <f>IF(F20="","",VLOOKUP(F20,ARANCEL!$E$2:$F$123,2,FALSE))</f>
        <v>33370.239999999998</v>
      </c>
      <c r="K20" s="100">
        <f t="shared" si="0"/>
        <v>33370.239999999998</v>
      </c>
      <c r="L20" s="585" t="s">
        <v>3246</v>
      </c>
      <c r="M20" s="99"/>
    </row>
    <row r="21" spans="1:13" x14ac:dyDescent="0.25">
      <c r="A21" s="90">
        <v>12</v>
      </c>
      <c r="B21" s="101">
        <v>87411</v>
      </c>
      <c r="C21" s="102">
        <v>42019</v>
      </c>
      <c r="D21" s="103" t="s">
        <v>3142</v>
      </c>
      <c r="E21" s="101" t="s">
        <v>411</v>
      </c>
      <c r="F21" s="103" t="s">
        <v>534</v>
      </c>
      <c r="G21" s="104"/>
      <c r="H21" s="98" t="s">
        <v>559</v>
      </c>
      <c r="I21" s="105">
        <v>1</v>
      </c>
      <c r="J21" s="86">
        <f>IF(F21="","",VLOOKUP(F21,ARANCEL!$E$2:$F$123,2,FALSE))</f>
        <v>30428.999999999996</v>
      </c>
      <c r="K21" s="100">
        <f t="shared" si="0"/>
        <v>30428.999999999996</v>
      </c>
      <c r="L21" s="585" t="s">
        <v>3246</v>
      </c>
      <c r="M21" s="99"/>
    </row>
    <row r="22" spans="1:13" x14ac:dyDescent="0.25">
      <c r="A22" s="90">
        <v>13</v>
      </c>
      <c r="B22" s="101">
        <v>88075</v>
      </c>
      <c r="C22" s="102">
        <v>42017</v>
      </c>
      <c r="D22" s="103" t="s">
        <v>1910</v>
      </c>
      <c r="E22" s="101" t="s">
        <v>411</v>
      </c>
      <c r="F22" s="103" t="s">
        <v>574</v>
      </c>
      <c r="G22" s="104"/>
      <c r="H22" s="98" t="s">
        <v>642</v>
      </c>
      <c r="I22" s="105">
        <v>1</v>
      </c>
      <c r="J22" s="86">
        <f>IF(F22="","",VLOOKUP(F22,ARANCEL!$E$2:$F$123,2,FALSE))</f>
        <v>49701.159999999996</v>
      </c>
      <c r="K22" s="100">
        <f t="shared" si="0"/>
        <v>49701.159999999996</v>
      </c>
      <c r="L22" s="585" t="s">
        <v>3246</v>
      </c>
      <c r="M22" s="99"/>
    </row>
    <row r="23" spans="1:13" x14ac:dyDescent="0.25">
      <c r="A23" s="90">
        <v>14</v>
      </c>
      <c r="B23" s="101">
        <v>88340</v>
      </c>
      <c r="C23" s="102">
        <v>42019</v>
      </c>
      <c r="D23" s="103" t="s">
        <v>3145</v>
      </c>
      <c r="E23" s="101" t="s">
        <v>411</v>
      </c>
      <c r="F23" s="103" t="s">
        <v>534</v>
      </c>
      <c r="G23" s="104"/>
      <c r="H23" s="98" t="s">
        <v>414</v>
      </c>
      <c r="I23" s="105">
        <v>1</v>
      </c>
      <c r="J23" s="86">
        <f>IF(F23="","",VLOOKUP(F23,ARANCEL!$E$2:$F$123,2,FALSE))</f>
        <v>30428.999999999996</v>
      </c>
      <c r="K23" s="100">
        <f t="shared" si="0"/>
        <v>30428.999999999996</v>
      </c>
      <c r="L23" s="585" t="s">
        <v>3246</v>
      </c>
      <c r="M23" s="99"/>
    </row>
    <row r="24" spans="1:13" x14ac:dyDescent="0.25">
      <c r="A24" s="90">
        <v>15</v>
      </c>
      <c r="B24" s="101">
        <v>88690</v>
      </c>
      <c r="C24" s="102">
        <v>42019</v>
      </c>
      <c r="D24" s="103" t="s">
        <v>1898</v>
      </c>
      <c r="E24" s="101" t="s">
        <v>411</v>
      </c>
      <c r="F24" s="103" t="s">
        <v>115</v>
      </c>
      <c r="G24" s="104"/>
      <c r="H24" s="98" t="s">
        <v>524</v>
      </c>
      <c r="I24" s="105">
        <v>1</v>
      </c>
      <c r="J24" s="86">
        <f>IF(F24="","",VLOOKUP(F24,ARANCEL!$E$2:$F$123,2,FALSE))</f>
        <v>5274.3600000000006</v>
      </c>
      <c r="K24" s="100">
        <f t="shared" si="0"/>
        <v>5274.3600000000006</v>
      </c>
      <c r="L24" s="585" t="s">
        <v>3246</v>
      </c>
      <c r="M24" s="99"/>
    </row>
    <row r="25" spans="1:13" x14ac:dyDescent="0.25">
      <c r="A25" s="90">
        <v>16</v>
      </c>
      <c r="B25" s="101">
        <v>88712</v>
      </c>
      <c r="C25" s="102">
        <v>42019</v>
      </c>
      <c r="D25" s="103" t="s">
        <v>3141</v>
      </c>
      <c r="E25" s="101" t="s">
        <v>411</v>
      </c>
      <c r="F25" s="103" t="s">
        <v>114</v>
      </c>
      <c r="G25" s="104"/>
      <c r="H25" s="98" t="s">
        <v>524</v>
      </c>
      <c r="I25" s="105">
        <v>1</v>
      </c>
      <c r="J25" s="86">
        <f>IF(F25="","",VLOOKUP(F25,ARANCEL!$E$2:$F$123,2,FALSE))</f>
        <v>33370.239999999998</v>
      </c>
      <c r="K25" s="100">
        <f t="shared" si="0"/>
        <v>33370.239999999998</v>
      </c>
      <c r="L25" s="585" t="s">
        <v>3246</v>
      </c>
      <c r="M25" s="99"/>
    </row>
    <row r="26" spans="1:13" x14ac:dyDescent="0.25">
      <c r="A26" s="90">
        <v>17</v>
      </c>
      <c r="B26" s="101">
        <v>89002</v>
      </c>
      <c r="C26" s="102">
        <v>42024</v>
      </c>
      <c r="D26" s="103" t="s">
        <v>3147</v>
      </c>
      <c r="E26" s="101" t="s">
        <v>533</v>
      </c>
      <c r="F26" s="103" t="s">
        <v>115</v>
      </c>
      <c r="G26" s="104"/>
      <c r="H26" s="98" t="s">
        <v>527</v>
      </c>
      <c r="I26" s="105">
        <v>1</v>
      </c>
      <c r="J26" s="86">
        <f>IF(F26="","",VLOOKUP(F26,ARANCEL!$E$2:$F$123,2,FALSE))</f>
        <v>5274.3600000000006</v>
      </c>
      <c r="K26" s="100">
        <f t="shared" si="0"/>
        <v>5274.3600000000006</v>
      </c>
      <c r="L26" s="585" t="s">
        <v>3246</v>
      </c>
      <c r="M26" s="99"/>
    </row>
    <row r="27" spans="1:13" x14ac:dyDescent="0.25">
      <c r="A27" s="90">
        <v>18</v>
      </c>
      <c r="B27" s="101">
        <v>89625</v>
      </c>
      <c r="C27" s="102">
        <v>42023</v>
      </c>
      <c r="D27" s="103" t="s">
        <v>3150</v>
      </c>
      <c r="E27" s="101" t="s">
        <v>587</v>
      </c>
      <c r="F27" s="103" t="s">
        <v>215</v>
      </c>
      <c r="G27" s="104"/>
      <c r="H27" s="98" t="s">
        <v>366</v>
      </c>
      <c r="I27" s="105">
        <v>1</v>
      </c>
      <c r="J27" s="86">
        <f>IF(F27="","",VLOOKUP(F27,ARANCEL!$E$2:$F$123,2,FALSE))</f>
        <v>44597.287499999999</v>
      </c>
      <c r="K27" s="100">
        <f t="shared" si="0"/>
        <v>44597.287499999999</v>
      </c>
      <c r="L27" s="585" t="s">
        <v>3246</v>
      </c>
      <c r="M27" s="99"/>
    </row>
    <row r="28" spans="1:13" x14ac:dyDescent="0.25">
      <c r="A28" s="90">
        <v>19</v>
      </c>
      <c r="B28" s="101">
        <v>87683</v>
      </c>
      <c r="C28" s="102">
        <v>42016</v>
      </c>
      <c r="D28" s="103" t="s">
        <v>1838</v>
      </c>
      <c r="E28" s="101" t="s">
        <v>411</v>
      </c>
      <c r="F28" s="103" t="s">
        <v>114</v>
      </c>
      <c r="G28" s="104"/>
      <c r="H28" s="98" t="s">
        <v>380</v>
      </c>
      <c r="I28" s="105">
        <v>1</v>
      </c>
      <c r="J28" s="86">
        <f>IF(F28="","",VLOOKUP(F28,ARANCEL!$E$2:$F$123,2,FALSE))</f>
        <v>33370.239999999998</v>
      </c>
      <c r="K28" s="100">
        <f t="shared" si="0"/>
        <v>33370.239999999998</v>
      </c>
      <c r="L28" s="585" t="s">
        <v>3246</v>
      </c>
      <c r="M28" s="99" t="s">
        <v>3151</v>
      </c>
    </row>
    <row r="29" spans="1:13" x14ac:dyDescent="0.25">
      <c r="A29" s="90">
        <v>20</v>
      </c>
      <c r="B29" s="101">
        <v>91132</v>
      </c>
      <c r="C29" s="102">
        <v>42026</v>
      </c>
      <c r="D29" s="103" t="s">
        <v>1863</v>
      </c>
      <c r="E29" s="101" t="s">
        <v>411</v>
      </c>
      <c r="F29" s="103" t="s">
        <v>114</v>
      </c>
      <c r="G29" s="104"/>
      <c r="H29" s="98" t="s">
        <v>389</v>
      </c>
      <c r="I29" s="105">
        <v>1</v>
      </c>
      <c r="J29" s="86">
        <f>IF(F29="","",VLOOKUP(F29,ARANCEL!$E$2:$F$123,2,FALSE))</f>
        <v>33370.239999999998</v>
      </c>
      <c r="K29" s="100">
        <f t="shared" si="0"/>
        <v>33370.239999999998</v>
      </c>
      <c r="L29" s="585" t="s">
        <v>3246</v>
      </c>
      <c r="M29" s="99"/>
    </row>
    <row r="30" spans="1:13" x14ac:dyDescent="0.25">
      <c r="A30" s="90">
        <v>21</v>
      </c>
      <c r="B30" s="101">
        <v>91066</v>
      </c>
      <c r="C30" s="102">
        <v>42026</v>
      </c>
      <c r="D30" s="103" t="s">
        <v>3174</v>
      </c>
      <c r="E30" s="101" t="s">
        <v>411</v>
      </c>
      <c r="F30" s="103" t="s">
        <v>534</v>
      </c>
      <c r="G30" s="104"/>
      <c r="H30" s="98" t="s">
        <v>565</v>
      </c>
      <c r="I30" s="105">
        <v>1</v>
      </c>
      <c r="J30" s="86">
        <f>IF(F30="","",VLOOKUP(F30,ARANCEL!$E$2:$F$123,2,FALSE))</f>
        <v>30428.999999999996</v>
      </c>
      <c r="K30" s="100">
        <f t="shared" ref="K30:K42" si="1">IF(I30=0,"",J30*I30)</f>
        <v>30428.999999999996</v>
      </c>
      <c r="L30" s="585" t="s">
        <v>3246</v>
      </c>
      <c r="M30" s="99"/>
    </row>
    <row r="31" spans="1:13" x14ac:dyDescent="0.25">
      <c r="A31" s="101">
        <v>22</v>
      </c>
      <c r="B31" s="101">
        <v>91434</v>
      </c>
      <c r="C31" s="102">
        <v>42027</v>
      </c>
      <c r="D31" s="103" t="s">
        <v>1880</v>
      </c>
      <c r="E31" s="101" t="s">
        <v>411</v>
      </c>
      <c r="F31" s="103" t="s">
        <v>115</v>
      </c>
      <c r="G31" s="104"/>
      <c r="H31" s="98" t="s">
        <v>389</v>
      </c>
      <c r="I31" s="105">
        <v>1</v>
      </c>
      <c r="J31" s="86">
        <f>IF(F31="","",VLOOKUP(F31,ARANCEL!$E$2:$F$123,2,FALSE))</f>
        <v>5274.3600000000006</v>
      </c>
      <c r="K31" s="100">
        <f t="shared" si="1"/>
        <v>5274.3600000000006</v>
      </c>
      <c r="L31" s="585" t="s">
        <v>3246</v>
      </c>
      <c r="M31" s="99"/>
    </row>
    <row r="32" spans="1:13" x14ac:dyDescent="0.25">
      <c r="A32" s="101">
        <v>23</v>
      </c>
      <c r="B32" s="101">
        <v>91437</v>
      </c>
      <c r="C32" s="102">
        <v>42027</v>
      </c>
      <c r="D32" s="103" t="s">
        <v>3236</v>
      </c>
      <c r="E32" s="101" t="s">
        <v>411</v>
      </c>
      <c r="F32" s="103" t="s">
        <v>534</v>
      </c>
      <c r="G32" s="104"/>
      <c r="H32" s="98" t="s">
        <v>524</v>
      </c>
      <c r="I32" s="105">
        <v>1</v>
      </c>
      <c r="J32" s="86">
        <f>IF(F32="","",VLOOKUP(F32,ARANCEL!$E$2:$F$123,2,FALSE))</f>
        <v>30428.999999999996</v>
      </c>
      <c r="K32" s="100">
        <f t="shared" si="1"/>
        <v>30428.999999999996</v>
      </c>
      <c r="L32" s="585" t="s">
        <v>3246</v>
      </c>
      <c r="M32" s="99"/>
    </row>
    <row r="33" spans="1:13" x14ac:dyDescent="0.25">
      <c r="A33" s="101">
        <v>24</v>
      </c>
      <c r="B33" s="101">
        <v>92182</v>
      </c>
      <c r="C33" s="102">
        <v>42030</v>
      </c>
      <c r="D33" s="103" t="s">
        <v>1924</v>
      </c>
      <c r="E33" s="101" t="s">
        <v>411</v>
      </c>
      <c r="F33" s="103" t="s">
        <v>534</v>
      </c>
      <c r="G33" s="104" t="s">
        <v>428</v>
      </c>
      <c r="H33" s="98" t="s">
        <v>508</v>
      </c>
      <c r="I33" s="105">
        <v>1</v>
      </c>
      <c r="J33" s="86">
        <f>IF(F33="","",VLOOKUP(F33,ARANCEL!$E$2:$F$123,2,FALSE))</f>
        <v>30428.999999999996</v>
      </c>
      <c r="K33" s="100">
        <f t="shared" si="1"/>
        <v>30428.999999999996</v>
      </c>
      <c r="L33" s="585" t="s">
        <v>3246</v>
      </c>
      <c r="M33" s="99" t="s">
        <v>3237</v>
      </c>
    </row>
    <row r="34" spans="1:13" x14ac:dyDescent="0.25">
      <c r="A34" s="101">
        <v>25</v>
      </c>
      <c r="B34" s="101">
        <v>92170</v>
      </c>
      <c r="C34" s="102">
        <v>42030</v>
      </c>
      <c r="D34" s="103" t="s">
        <v>1931</v>
      </c>
      <c r="E34" s="101" t="s">
        <v>411</v>
      </c>
      <c r="F34" s="103" t="s">
        <v>534</v>
      </c>
      <c r="G34" s="104"/>
      <c r="H34" s="98" t="s">
        <v>469</v>
      </c>
      <c r="I34" s="105">
        <v>1</v>
      </c>
      <c r="J34" s="86">
        <f>IF(F34="","",VLOOKUP(F34,ARANCEL!$E$2:$F$123,2,FALSE))</f>
        <v>30428.999999999996</v>
      </c>
      <c r="K34" s="100">
        <f t="shared" si="1"/>
        <v>30428.999999999996</v>
      </c>
      <c r="L34" s="585" t="s">
        <v>3246</v>
      </c>
      <c r="M34" s="99" t="s">
        <v>3238</v>
      </c>
    </row>
    <row r="35" spans="1:13" x14ac:dyDescent="0.25">
      <c r="A35" s="101">
        <v>26</v>
      </c>
      <c r="B35" s="101">
        <v>91773</v>
      </c>
      <c r="C35" s="102">
        <v>42027</v>
      </c>
      <c r="D35" s="103" t="s">
        <v>3239</v>
      </c>
      <c r="E35" s="101" t="s">
        <v>411</v>
      </c>
      <c r="F35" s="103" t="s">
        <v>215</v>
      </c>
      <c r="G35" s="104"/>
      <c r="H35" s="98" t="s">
        <v>368</v>
      </c>
      <c r="I35" s="105">
        <v>1</v>
      </c>
      <c r="J35" s="86">
        <f>IF(F35="","",VLOOKUP(F35,ARANCEL!$E$2:$F$123,2,FALSE))</f>
        <v>44597.287499999999</v>
      </c>
      <c r="K35" s="100">
        <f t="shared" si="1"/>
        <v>44597.287499999999</v>
      </c>
      <c r="L35" s="585" t="s">
        <v>3246</v>
      </c>
      <c r="M35" s="99"/>
    </row>
    <row r="36" spans="1:13" x14ac:dyDescent="0.25">
      <c r="A36" s="101">
        <v>27</v>
      </c>
      <c r="B36" s="101">
        <v>91690</v>
      </c>
      <c r="C36" s="102">
        <v>42030</v>
      </c>
      <c r="D36" s="103" t="s">
        <v>3240</v>
      </c>
      <c r="E36" s="101" t="s">
        <v>533</v>
      </c>
      <c r="F36" s="103" t="s">
        <v>534</v>
      </c>
      <c r="G36" s="104"/>
      <c r="H36" s="98" t="s">
        <v>412</v>
      </c>
      <c r="I36" s="105">
        <v>1</v>
      </c>
      <c r="J36" s="86">
        <f>IF(F36="","",VLOOKUP(F36,ARANCEL!$E$2:$F$123,2,FALSE))</f>
        <v>30428.999999999996</v>
      </c>
      <c r="K36" s="100">
        <f t="shared" si="1"/>
        <v>30428.999999999996</v>
      </c>
      <c r="L36" s="585" t="s">
        <v>3246</v>
      </c>
      <c r="M36" s="99"/>
    </row>
    <row r="37" spans="1:13" x14ac:dyDescent="0.25">
      <c r="A37" s="101">
        <v>28</v>
      </c>
      <c r="B37" s="101">
        <v>91800</v>
      </c>
      <c r="C37" s="102">
        <v>42030</v>
      </c>
      <c r="D37" s="103" t="s">
        <v>3241</v>
      </c>
      <c r="E37" s="101" t="s">
        <v>533</v>
      </c>
      <c r="F37" s="103" t="s">
        <v>534</v>
      </c>
      <c r="G37" s="104"/>
      <c r="H37" s="98" t="s">
        <v>439</v>
      </c>
      <c r="I37" s="105">
        <v>1</v>
      </c>
      <c r="J37" s="86">
        <f>IF(F37="","",VLOOKUP(F37,ARANCEL!$E$2:$F$123,2,FALSE))</f>
        <v>30428.999999999996</v>
      </c>
      <c r="K37" s="100">
        <f t="shared" si="1"/>
        <v>30428.999999999996</v>
      </c>
      <c r="L37" s="585" t="s">
        <v>3246</v>
      </c>
      <c r="M37" s="99"/>
    </row>
    <row r="38" spans="1:13" x14ac:dyDescent="0.25">
      <c r="A38" s="101">
        <v>29</v>
      </c>
      <c r="B38" s="101">
        <v>92272</v>
      </c>
      <c r="C38" s="102">
        <v>42030</v>
      </c>
      <c r="D38" s="103" t="s">
        <v>3245</v>
      </c>
      <c r="E38" s="101" t="s">
        <v>533</v>
      </c>
      <c r="F38" s="103" t="s">
        <v>353</v>
      </c>
      <c r="G38" s="104"/>
      <c r="H38" s="98" t="s">
        <v>366</v>
      </c>
      <c r="I38" s="105">
        <v>1</v>
      </c>
      <c r="J38" s="86">
        <f>IF(F38="","",VLOOKUP(F38,ARANCEL!$E$2:$F$123,2,FALSE))</f>
        <v>55057.687499999993</v>
      </c>
      <c r="K38" s="100">
        <f t="shared" si="1"/>
        <v>55057.687499999993</v>
      </c>
      <c r="L38" s="585" t="s">
        <v>3246</v>
      </c>
      <c r="M38" s="99"/>
    </row>
    <row r="39" spans="1:13" ht="24.75" customHeight="1" x14ac:dyDescent="0.25">
      <c r="A39" s="80" t="s">
        <v>96</v>
      </c>
      <c r="B39" s="80" t="s">
        <v>97</v>
      </c>
      <c r="C39" s="81" t="s">
        <v>101</v>
      </c>
      <c r="D39" s="80" t="s">
        <v>98</v>
      </c>
      <c r="E39" s="80" t="s">
        <v>99</v>
      </c>
      <c r="F39" s="80" t="s">
        <v>100</v>
      </c>
      <c r="G39" s="80" t="s">
        <v>103</v>
      </c>
      <c r="H39" s="80" t="s">
        <v>102</v>
      </c>
      <c r="I39" s="80" t="s">
        <v>107</v>
      </c>
      <c r="J39" s="81" t="s">
        <v>104</v>
      </c>
      <c r="K39" s="81" t="s">
        <v>105</v>
      </c>
      <c r="L39" s="82" t="s">
        <v>166</v>
      </c>
      <c r="M39" s="82" t="s">
        <v>106</v>
      </c>
    </row>
    <row r="40" spans="1:13" x14ac:dyDescent="0.25">
      <c r="A40" s="101">
        <v>30</v>
      </c>
      <c r="B40" s="101"/>
      <c r="C40" s="102"/>
      <c r="D40" s="103"/>
      <c r="E40" s="101"/>
      <c r="F40" s="103"/>
      <c r="G40" s="104"/>
      <c r="H40" s="98"/>
      <c r="I40" s="105"/>
      <c r="J40" s="86" t="str">
        <f>IF(F40="","",VLOOKUP(F40,ARANCEL!$E$2:$F$123,2,FALSE))</f>
        <v/>
      </c>
      <c r="K40" s="100" t="str">
        <f t="shared" si="1"/>
        <v/>
      </c>
      <c r="L40" s="98"/>
      <c r="M40" s="99"/>
    </row>
    <row r="41" spans="1:13" x14ac:dyDescent="0.25">
      <c r="A41" s="90">
        <v>31</v>
      </c>
      <c r="B41" s="101"/>
      <c r="C41" s="102"/>
      <c r="D41" s="103"/>
      <c r="E41" s="101"/>
      <c r="F41" s="103"/>
      <c r="G41" s="104"/>
      <c r="H41" s="98"/>
      <c r="I41" s="105"/>
      <c r="J41" s="86" t="str">
        <f>IF(F41="","",VLOOKUP(F41,ARANCEL!$E$2:$F$123,2,FALSE))</f>
        <v/>
      </c>
      <c r="K41" s="100" t="str">
        <f t="shared" si="1"/>
        <v/>
      </c>
      <c r="L41" s="98"/>
      <c r="M41" s="99"/>
    </row>
    <row r="42" spans="1:13" x14ac:dyDescent="0.25">
      <c r="A42" s="90">
        <v>32</v>
      </c>
      <c r="B42" s="101"/>
      <c r="C42" s="102"/>
      <c r="D42" s="103"/>
      <c r="E42" s="101"/>
      <c r="F42" s="103"/>
      <c r="G42" s="104"/>
      <c r="H42" s="98"/>
      <c r="I42" s="105"/>
      <c r="J42" s="86" t="str">
        <f>IF(F42="","",VLOOKUP(F42,ARANCEL!$E$2:$F$123,2,FALSE))</f>
        <v/>
      </c>
      <c r="K42" s="100" t="str">
        <f t="shared" si="1"/>
        <v/>
      </c>
      <c r="L42" s="98"/>
      <c r="M42" s="99"/>
    </row>
    <row r="45" spans="1:13" ht="20.25" customHeight="1" x14ac:dyDescent="0.25">
      <c r="A45" s="614" t="s">
        <v>363</v>
      </c>
      <c r="B45" s="614"/>
      <c r="C45" s="614"/>
      <c r="D45" s="614"/>
      <c r="E45" s="614"/>
      <c r="F45" s="614"/>
      <c r="G45" s="614"/>
      <c r="H45" s="614"/>
      <c r="I45" s="614"/>
      <c r="J45" s="614"/>
      <c r="K45" s="614"/>
    </row>
    <row r="46" spans="1:13" ht="24" x14ac:dyDescent="0.25">
      <c r="A46" s="88" t="s">
        <v>96</v>
      </c>
      <c r="B46" s="88" t="s">
        <v>97</v>
      </c>
      <c r="C46" s="89" t="s">
        <v>101</v>
      </c>
      <c r="D46" s="88" t="s">
        <v>98</v>
      </c>
      <c r="E46" s="88" t="s">
        <v>99</v>
      </c>
      <c r="F46" s="88" t="s">
        <v>100</v>
      </c>
      <c r="G46" s="88" t="s">
        <v>103</v>
      </c>
      <c r="H46" s="88" t="s">
        <v>102</v>
      </c>
      <c r="I46" s="88" t="s">
        <v>107</v>
      </c>
      <c r="J46" s="89" t="s">
        <v>104</v>
      </c>
      <c r="K46" s="89" t="s">
        <v>105</v>
      </c>
      <c r="L46" s="89" t="s">
        <v>166</v>
      </c>
      <c r="M46" s="89" t="s">
        <v>106</v>
      </c>
    </row>
    <row r="47" spans="1:13" x14ac:dyDescent="0.25">
      <c r="A47" s="113">
        <v>2</v>
      </c>
      <c r="B47" s="114">
        <v>50931</v>
      </c>
      <c r="C47" s="109">
        <v>41890</v>
      </c>
      <c r="D47" s="115" t="s">
        <v>510</v>
      </c>
      <c r="E47" s="114" t="s">
        <v>411</v>
      </c>
      <c r="F47" s="115" t="s">
        <v>396</v>
      </c>
      <c r="G47" s="110"/>
      <c r="H47" s="110" t="s">
        <v>414</v>
      </c>
      <c r="I47" s="112">
        <v>1</v>
      </c>
      <c r="J47" s="116"/>
      <c r="K47" s="116"/>
      <c r="L47" s="113"/>
      <c r="M47" s="13"/>
    </row>
    <row r="48" spans="1:13" x14ac:dyDescent="0.25">
      <c r="A48" s="113">
        <v>3</v>
      </c>
      <c r="B48" s="114">
        <v>56403</v>
      </c>
      <c r="C48" s="109">
        <v>41933</v>
      </c>
      <c r="D48" s="115" t="s">
        <v>511</v>
      </c>
      <c r="E48" s="114" t="s">
        <v>512</v>
      </c>
      <c r="F48" s="115" t="s">
        <v>419</v>
      </c>
      <c r="G48" s="110"/>
      <c r="H48" s="110" t="s">
        <v>368</v>
      </c>
      <c r="I48" s="112">
        <v>1</v>
      </c>
      <c r="J48" s="116"/>
      <c r="K48" s="116"/>
      <c r="L48" s="113"/>
      <c r="M48" s="13"/>
    </row>
    <row r="49" spans="1:13" x14ac:dyDescent="0.25">
      <c r="A49" s="113">
        <v>4</v>
      </c>
      <c r="B49" s="114" t="s">
        <v>513</v>
      </c>
      <c r="C49" s="109">
        <v>41968</v>
      </c>
      <c r="D49" s="115" t="s">
        <v>514</v>
      </c>
      <c r="E49" s="114" t="s">
        <v>411</v>
      </c>
      <c r="F49" s="115" t="s">
        <v>515</v>
      </c>
      <c r="G49" s="110"/>
      <c r="H49" s="110" t="s">
        <v>380</v>
      </c>
      <c r="I49" s="112">
        <v>1</v>
      </c>
      <c r="J49" s="116"/>
      <c r="K49" s="116"/>
      <c r="L49" s="113"/>
      <c r="M49" s="13"/>
    </row>
    <row r="50" spans="1:13" x14ac:dyDescent="0.25">
      <c r="A50" s="113">
        <v>5</v>
      </c>
      <c r="B50" s="114" t="s">
        <v>3148</v>
      </c>
      <c r="C50" s="109">
        <v>42024</v>
      </c>
      <c r="D50" s="115" t="s">
        <v>516</v>
      </c>
      <c r="E50" s="114" t="s">
        <v>411</v>
      </c>
      <c r="F50" s="115" t="s">
        <v>374</v>
      </c>
      <c r="G50" s="110"/>
      <c r="H50" s="110" t="s">
        <v>384</v>
      </c>
      <c r="I50" s="112">
        <v>2</v>
      </c>
      <c r="J50" s="116"/>
      <c r="K50" s="116"/>
      <c r="L50" s="113"/>
      <c r="M50" s="13" t="s">
        <v>3138</v>
      </c>
    </row>
    <row r="51" spans="1:13" x14ac:dyDescent="0.25">
      <c r="A51" s="113">
        <v>6</v>
      </c>
      <c r="B51" s="114">
        <v>62734</v>
      </c>
      <c r="C51" s="109">
        <v>41953</v>
      </c>
      <c r="D51" s="115" t="s">
        <v>517</v>
      </c>
      <c r="E51" s="114" t="s">
        <v>518</v>
      </c>
      <c r="F51" s="115" t="s">
        <v>419</v>
      </c>
      <c r="G51" s="110"/>
      <c r="H51" s="110" t="s">
        <v>519</v>
      </c>
      <c r="I51" s="112">
        <v>1</v>
      </c>
      <c r="J51" s="116"/>
      <c r="K51" s="116"/>
      <c r="L51" s="113"/>
      <c r="M51" s="13"/>
    </row>
    <row r="52" spans="1:13" x14ac:dyDescent="0.25">
      <c r="A52" s="113">
        <v>7</v>
      </c>
      <c r="B52" s="114">
        <v>62683</v>
      </c>
      <c r="C52" s="109">
        <v>41953</v>
      </c>
      <c r="D52" s="115" t="s">
        <v>520</v>
      </c>
      <c r="E52" s="114" t="s">
        <v>411</v>
      </c>
      <c r="F52" s="115" t="s">
        <v>419</v>
      </c>
      <c r="G52" s="110"/>
      <c r="H52" s="110" t="s">
        <v>368</v>
      </c>
      <c r="I52" s="112">
        <v>1</v>
      </c>
      <c r="J52" s="116"/>
      <c r="K52" s="116"/>
      <c r="L52" s="113"/>
      <c r="M52" s="13"/>
    </row>
    <row r="53" spans="1:13" x14ac:dyDescent="0.25">
      <c r="A53" s="113">
        <v>9</v>
      </c>
      <c r="B53" s="114">
        <v>69118</v>
      </c>
      <c r="C53" s="109">
        <v>41968</v>
      </c>
      <c r="D53" s="115" t="s">
        <v>521</v>
      </c>
      <c r="E53" s="114" t="s">
        <v>411</v>
      </c>
      <c r="F53" s="115" t="s">
        <v>396</v>
      </c>
      <c r="G53" s="110"/>
      <c r="H53" s="110" t="s">
        <v>431</v>
      </c>
      <c r="I53" s="112">
        <v>1</v>
      </c>
      <c r="J53" s="116"/>
      <c r="K53" s="116"/>
      <c r="L53" s="113"/>
      <c r="M53" s="13"/>
    </row>
    <row r="54" spans="1:13" x14ac:dyDescent="0.25">
      <c r="A54" s="113">
        <v>12</v>
      </c>
      <c r="B54" s="114">
        <v>71643</v>
      </c>
      <c r="C54" s="109">
        <v>41974</v>
      </c>
      <c r="D54" s="115" t="s">
        <v>396</v>
      </c>
      <c r="E54" s="114" t="s">
        <v>411</v>
      </c>
      <c r="F54" s="115" t="s">
        <v>396</v>
      </c>
      <c r="G54" s="110"/>
      <c r="H54" s="110" t="s">
        <v>524</v>
      </c>
      <c r="I54" s="112">
        <v>1</v>
      </c>
      <c r="J54" s="116"/>
      <c r="K54" s="116"/>
      <c r="L54" s="113"/>
      <c r="M54" s="13"/>
    </row>
    <row r="55" spans="1:13" x14ac:dyDescent="0.25">
      <c r="A55" s="113">
        <v>19</v>
      </c>
      <c r="B55" s="114">
        <v>84620</v>
      </c>
      <c r="C55" s="109">
        <v>42003</v>
      </c>
      <c r="D55" s="115" t="s">
        <v>529</v>
      </c>
      <c r="E55" s="114" t="s">
        <v>411</v>
      </c>
      <c r="F55" s="115" t="s">
        <v>396</v>
      </c>
      <c r="G55" s="110"/>
      <c r="H55" s="110" t="s">
        <v>407</v>
      </c>
      <c r="I55" s="112">
        <v>1</v>
      </c>
      <c r="J55" s="116"/>
      <c r="K55" s="116"/>
      <c r="L55" s="113"/>
      <c r="M55" s="13"/>
    </row>
    <row r="56" spans="1:13" x14ac:dyDescent="0.25">
      <c r="A56" s="9"/>
      <c r="B56" s="114">
        <v>86277</v>
      </c>
      <c r="C56" s="109">
        <v>42010</v>
      </c>
      <c r="D56" s="115" t="s">
        <v>3140</v>
      </c>
      <c r="E56" s="114" t="s">
        <v>411</v>
      </c>
      <c r="F56" s="115" t="s">
        <v>406</v>
      </c>
      <c r="G56" s="110"/>
      <c r="H56" s="110" t="s">
        <v>397</v>
      </c>
      <c r="I56" s="112">
        <v>2</v>
      </c>
      <c r="J56" s="116"/>
      <c r="K56" s="116"/>
      <c r="L56" s="9"/>
      <c r="M56" s="9"/>
    </row>
    <row r="57" spans="1:13" x14ac:dyDescent="0.25">
      <c r="A57" s="9"/>
      <c r="B57" s="114">
        <v>88025</v>
      </c>
      <c r="C57" s="109">
        <v>42017</v>
      </c>
      <c r="D57" s="115" t="s">
        <v>3143</v>
      </c>
      <c r="E57" s="114" t="s">
        <v>533</v>
      </c>
      <c r="F57" s="115" t="s">
        <v>383</v>
      </c>
      <c r="G57" s="110"/>
      <c r="H57" s="110" t="s">
        <v>368</v>
      </c>
      <c r="I57" s="112">
        <v>1</v>
      </c>
      <c r="J57" s="116"/>
      <c r="K57" s="116"/>
      <c r="L57" s="9"/>
      <c r="M57" s="9"/>
    </row>
    <row r="58" spans="1:13" x14ac:dyDescent="0.25">
      <c r="A58" s="90"/>
      <c r="B58" s="114">
        <v>92103</v>
      </c>
      <c r="C58" s="109">
        <v>42031</v>
      </c>
      <c r="D58" s="115" t="s">
        <v>3143</v>
      </c>
      <c r="E58" s="114" t="s">
        <v>533</v>
      </c>
      <c r="F58" s="115" t="s">
        <v>383</v>
      </c>
      <c r="G58" s="110"/>
      <c r="H58" s="110" t="s">
        <v>366</v>
      </c>
      <c r="I58" s="112">
        <v>1</v>
      </c>
      <c r="J58" s="116"/>
      <c r="K58" s="116"/>
      <c r="L58" s="12"/>
      <c r="M58" s="92"/>
    </row>
    <row r="59" spans="1:13" x14ac:dyDescent="0.25">
      <c r="A59" s="90"/>
      <c r="B59" s="114" t="s">
        <v>3243</v>
      </c>
      <c r="C59" s="109">
        <v>42030</v>
      </c>
      <c r="D59" s="115" t="s">
        <v>1815</v>
      </c>
      <c r="E59" s="114" t="s">
        <v>411</v>
      </c>
      <c r="F59" s="115" t="s">
        <v>455</v>
      </c>
      <c r="G59" s="110"/>
      <c r="H59" s="110" t="s">
        <v>368</v>
      </c>
      <c r="I59" s="112">
        <v>1</v>
      </c>
      <c r="J59" s="116"/>
      <c r="K59" s="116"/>
      <c r="L59" s="12"/>
      <c r="M59" s="92" t="s">
        <v>3146</v>
      </c>
    </row>
    <row r="60" spans="1:13" x14ac:dyDescent="0.25">
      <c r="A60" s="90"/>
      <c r="B60" s="114">
        <v>89359</v>
      </c>
      <c r="C60" s="109">
        <v>42026</v>
      </c>
      <c r="D60" s="115" t="s">
        <v>3149</v>
      </c>
      <c r="E60" s="114" t="s">
        <v>411</v>
      </c>
      <c r="F60" s="115" t="s">
        <v>455</v>
      </c>
      <c r="G60" s="110"/>
      <c r="H60" s="110" t="s">
        <v>384</v>
      </c>
      <c r="I60" s="112">
        <v>2</v>
      </c>
      <c r="J60" s="116"/>
      <c r="K60" s="116"/>
      <c r="L60" s="12"/>
      <c r="M60" s="92"/>
    </row>
    <row r="61" spans="1:13" x14ac:dyDescent="0.25">
      <c r="A61" s="90"/>
      <c r="B61" s="114">
        <v>92475</v>
      </c>
      <c r="C61" s="109">
        <v>42031</v>
      </c>
      <c r="D61" s="115" t="s">
        <v>3235</v>
      </c>
      <c r="E61" s="114" t="s">
        <v>533</v>
      </c>
      <c r="F61" s="115" t="s">
        <v>383</v>
      </c>
      <c r="G61" s="110"/>
      <c r="H61" s="110" t="s">
        <v>368</v>
      </c>
      <c r="I61" s="112">
        <v>1</v>
      </c>
      <c r="J61" s="116"/>
      <c r="K61" s="116"/>
      <c r="L61" s="12"/>
      <c r="M61" s="92"/>
    </row>
    <row r="62" spans="1:13" x14ac:dyDescent="0.25">
      <c r="A62" s="90"/>
      <c r="B62" s="114">
        <v>94648</v>
      </c>
      <c r="C62" s="109">
        <v>42029</v>
      </c>
      <c r="D62" s="115" t="s">
        <v>3242</v>
      </c>
      <c r="E62" s="114" t="s">
        <v>411</v>
      </c>
      <c r="F62" s="115" t="s">
        <v>396</v>
      </c>
      <c r="G62" s="110"/>
      <c r="H62" s="110" t="s">
        <v>428</v>
      </c>
      <c r="I62" s="112">
        <v>1</v>
      </c>
      <c r="J62" s="116"/>
      <c r="K62" s="116"/>
      <c r="L62" s="12"/>
      <c r="M62" s="92"/>
    </row>
    <row r="63" spans="1:13" x14ac:dyDescent="0.25">
      <c r="A63" s="90"/>
      <c r="B63" s="114">
        <v>91965</v>
      </c>
      <c r="C63" s="109">
        <v>42030</v>
      </c>
      <c r="D63" s="115" t="s">
        <v>1899</v>
      </c>
      <c r="E63" s="114" t="s">
        <v>411</v>
      </c>
      <c r="F63" s="115" t="s">
        <v>396</v>
      </c>
      <c r="G63" s="110"/>
      <c r="H63" s="110" t="s">
        <v>428</v>
      </c>
      <c r="I63" s="112">
        <v>1</v>
      </c>
      <c r="J63" s="116"/>
      <c r="K63" s="116"/>
      <c r="L63" s="12"/>
      <c r="M63" s="92"/>
    </row>
    <row r="64" spans="1:13" x14ac:dyDescent="0.25">
      <c r="A64" s="90"/>
      <c r="B64" s="114">
        <v>92394</v>
      </c>
      <c r="C64" s="109">
        <v>42030</v>
      </c>
      <c r="D64" s="115" t="s">
        <v>3244</v>
      </c>
      <c r="E64" s="114" t="s">
        <v>533</v>
      </c>
      <c r="F64" s="115" t="s">
        <v>374</v>
      </c>
      <c r="G64" s="110"/>
      <c r="H64" s="110" t="s">
        <v>368</v>
      </c>
      <c r="I64" s="112">
        <v>1</v>
      </c>
      <c r="J64" s="116"/>
      <c r="K64" s="116"/>
      <c r="L64" s="12"/>
      <c r="M64" s="92"/>
    </row>
    <row r="65" spans="1:13" x14ac:dyDescent="0.25">
      <c r="A65" s="90"/>
      <c r="B65" s="114"/>
      <c r="C65" s="109"/>
      <c r="D65" s="115"/>
      <c r="E65" s="114"/>
      <c r="F65" s="115"/>
      <c r="G65" s="110"/>
      <c r="H65" s="110"/>
      <c r="I65" s="112"/>
      <c r="J65" s="116"/>
      <c r="K65" s="116"/>
      <c r="L65" s="12"/>
      <c r="M65" s="92"/>
    </row>
    <row r="66" spans="1:13" x14ac:dyDescent="0.25">
      <c r="A66" s="90"/>
      <c r="B66" s="114"/>
      <c r="C66" s="109"/>
      <c r="D66" s="115"/>
      <c r="E66" s="114"/>
      <c r="F66" s="115"/>
      <c r="G66" s="110"/>
      <c r="H66" s="110"/>
      <c r="I66" s="112"/>
      <c r="J66" s="116"/>
      <c r="K66" s="116"/>
      <c r="L66" s="12"/>
      <c r="M66" s="92"/>
    </row>
    <row r="67" spans="1:13" x14ac:dyDescent="0.25">
      <c r="A67" s="90"/>
      <c r="B67" s="114"/>
      <c r="C67" s="109"/>
      <c r="D67" s="115"/>
      <c r="E67" s="114"/>
      <c r="F67" s="115"/>
      <c r="G67" s="110"/>
      <c r="H67" s="110"/>
      <c r="I67" s="112"/>
      <c r="J67" s="116"/>
      <c r="K67" s="116"/>
      <c r="L67" s="12"/>
      <c r="M67" s="92"/>
    </row>
    <row r="68" spans="1:13" x14ac:dyDescent="0.25">
      <c r="A68" s="90"/>
      <c r="B68" s="114"/>
      <c r="C68" s="109"/>
      <c r="D68" s="115"/>
      <c r="E68" s="114"/>
      <c r="F68" s="115"/>
      <c r="G68" s="110"/>
      <c r="H68" s="110"/>
      <c r="I68" s="112"/>
      <c r="J68" s="116"/>
      <c r="K68" s="116"/>
      <c r="L68" s="12"/>
      <c r="M68" s="92"/>
    </row>
    <row r="69" spans="1:13" x14ac:dyDescent="0.25">
      <c r="A69" s="90"/>
      <c r="B69" s="114"/>
      <c r="C69" s="109"/>
      <c r="D69" s="115"/>
      <c r="E69" s="114"/>
      <c r="F69" s="115"/>
      <c r="G69" s="110"/>
      <c r="H69" s="110"/>
      <c r="I69" s="112"/>
      <c r="J69" s="116"/>
      <c r="K69" s="116"/>
      <c r="L69" s="12"/>
      <c r="M69" s="92"/>
    </row>
    <row r="70" spans="1:13" x14ac:dyDescent="0.25">
      <c r="A70" s="90"/>
      <c r="B70" s="114"/>
      <c r="C70" s="109"/>
      <c r="D70" s="115"/>
      <c r="E70" s="114"/>
      <c r="F70" s="115"/>
      <c r="G70" s="110"/>
      <c r="H70" s="110"/>
      <c r="I70" s="112"/>
      <c r="J70" s="116"/>
      <c r="K70" s="116"/>
      <c r="L70" s="12"/>
      <c r="M70" s="92"/>
    </row>
    <row r="71" spans="1:13" x14ac:dyDescent="0.25">
      <c r="A71" s="90"/>
      <c r="B71" s="114"/>
      <c r="C71" s="109"/>
      <c r="D71" s="115"/>
      <c r="E71" s="114"/>
      <c r="F71" s="115"/>
      <c r="G71" s="110"/>
      <c r="H71" s="110"/>
      <c r="I71" s="112"/>
      <c r="J71" s="116"/>
      <c r="K71" s="116"/>
      <c r="L71" s="12"/>
      <c r="M71" s="92"/>
    </row>
    <row r="72" spans="1:13" x14ac:dyDescent="0.25">
      <c r="A72" s="90"/>
      <c r="B72" s="114"/>
      <c r="C72" s="109"/>
      <c r="D72" s="115"/>
      <c r="E72" s="114"/>
      <c r="F72" s="115"/>
      <c r="G72" s="110"/>
      <c r="H72" s="110"/>
      <c r="I72" s="112"/>
      <c r="J72" s="116"/>
      <c r="K72" s="116"/>
      <c r="L72" s="12"/>
      <c r="M72" s="92"/>
    </row>
  </sheetData>
  <autoFilter ref="A39:M39">
    <sortState ref="A41:M44">
      <sortCondition ref="L10"/>
    </sortState>
  </autoFilter>
  <mergeCells count="11">
    <mergeCell ref="L9:M9"/>
    <mergeCell ref="A7:B7"/>
    <mergeCell ref="A8:B8"/>
    <mergeCell ref="A45:K45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M30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0" customWidth="1"/>
    <col min="12" max="12" width="12.140625" customWidth="1"/>
    <col min="13" max="13" width="39.28515625" customWidth="1"/>
  </cols>
  <sheetData>
    <row r="1" spans="1:13" ht="26.25" x14ac:dyDescent="0.4">
      <c r="A1" s="615" t="s">
        <v>155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</row>
    <row r="2" spans="1:13" ht="27" x14ac:dyDescent="0.5">
      <c r="A2" s="616" t="s">
        <v>370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</row>
    <row r="3" spans="1:13" ht="12.75" customHeight="1" x14ac:dyDescent="0.25">
      <c r="A3" s="612" t="s">
        <v>156</v>
      </c>
      <c r="B3" s="612"/>
      <c r="C3" s="94" t="str">
        <f>IFERROR(VLOOKUP($A$2,DATOS!$A$2:$N$14,2,FALSE),"SUCURSAL NO ENCONTRADA")</f>
        <v>SUCURSAL NO ENCONTRADA</v>
      </c>
      <c r="H3" s="83" t="s">
        <v>164</v>
      </c>
      <c r="I3" s="94" t="str">
        <f>IFERROR(VLOOKUP($A$2,DATOS!$A$2:$N$14,8,FALSE),"SUCURSAL NO ENCONTRADA")</f>
        <v>SUCURSAL NO ENCONTRADA</v>
      </c>
    </row>
    <row r="4" spans="1:13" ht="12.75" customHeight="1" x14ac:dyDescent="0.25">
      <c r="A4" s="612" t="s">
        <v>157</v>
      </c>
      <c r="B4" s="612"/>
      <c r="C4" s="94" t="str">
        <f>IFERROR(VLOOKUP($A$2,DATOS!$A$2:$N$14,3,FALSE),"SUCURSAL NO ENCONTRADA")</f>
        <v>SUCURSAL NO ENCONTRADA</v>
      </c>
      <c r="H4" s="83" t="s">
        <v>162</v>
      </c>
      <c r="I4" s="94" t="str">
        <f>IFERROR(VLOOKUP($A$2,DATOS!$A$2:$N$14,9,FALSE),"SUCURSAL NO ENCONTRADA")</f>
        <v>SUCURSAL NO ENCONTRADA</v>
      </c>
      <c r="K4" s="84"/>
    </row>
    <row r="5" spans="1:13" ht="12.75" customHeight="1" x14ac:dyDescent="0.25">
      <c r="A5" s="612" t="s">
        <v>158</v>
      </c>
      <c r="B5" s="612"/>
      <c r="C5" s="94" t="str">
        <f>IFERROR(VLOOKUP($A$2,DATOS!$A$2:$N$14,4,FALSE),"SUCURSAL NO ENCONTRADA")</f>
        <v>SUCURSAL NO ENCONTRADA</v>
      </c>
      <c r="H5" s="83" t="s">
        <v>161</v>
      </c>
      <c r="I5" s="94" t="str">
        <f>IFERROR(VLOOKUP($A$2,DATOS!$A$2:$N$14,10,FALSE),"SUCURSAL NO ENCONTRADA")</f>
        <v>SUCURSAL NO ENCONTRADA</v>
      </c>
    </row>
    <row r="6" spans="1:13" ht="12.75" customHeight="1" x14ac:dyDescent="0.25">
      <c r="A6" s="612" t="s">
        <v>159</v>
      </c>
      <c r="B6" s="612"/>
      <c r="C6" s="94" t="str">
        <f>IFERROR(VLOOKUP($A$2,DATOS!$A$2:$N$14,5,FALSE),"SUCURSAL NO ENCONTRADA")</f>
        <v>SUCURSAL NO ENCONTRADA</v>
      </c>
      <c r="H6" s="83" t="s">
        <v>165</v>
      </c>
      <c r="I6" s="94" t="str">
        <f>IFERROR(VLOOKUP($A$2,DATOS!$A$2:$N$14,11,FALSE),"SUCURSAL NO ENCONTRADA")</f>
        <v>SUCURSAL NO ENCONTRADA</v>
      </c>
    </row>
    <row r="7" spans="1:13" ht="12.75" customHeight="1" x14ac:dyDescent="0.25">
      <c r="A7" s="612" t="s">
        <v>160</v>
      </c>
      <c r="B7" s="612"/>
      <c r="C7" s="94" t="str">
        <f>IFERROR(VLOOKUP($A$2,DATOS!$A$2:$N$14,6,FALSE),"SUCURSAL NO ENCONTRADA")</f>
        <v>SUCURSAL NO ENCONTRADA</v>
      </c>
      <c r="H7" s="83" t="s">
        <v>162</v>
      </c>
      <c r="I7" s="94" t="str">
        <f>IFERROR(VLOOKUP($A$2,DATOS!$A$2:$N$14,12,FALSE),"SUCURSAL NO ENCONTRADA")</f>
        <v>SUCURSAL NO ENCONTRADA</v>
      </c>
    </row>
    <row r="8" spans="1:13" ht="14.25" customHeight="1" x14ac:dyDescent="0.25">
      <c r="A8" s="613" t="s">
        <v>163</v>
      </c>
      <c r="B8" s="613"/>
      <c r="C8" s="85" t="str">
        <f>IFERROR(VLOOKUP($A$2,DATOS!$A$2:$N$14,7,FALSE),"SUCURSAL NO ENCONTRADA")</f>
        <v>SUCURSAL NO ENCONTRADA</v>
      </c>
      <c r="D8" s="85"/>
      <c r="E8" s="85"/>
      <c r="F8" s="15"/>
      <c r="G8" s="14"/>
      <c r="H8" s="83" t="s">
        <v>161</v>
      </c>
      <c r="I8" s="94" t="str">
        <f>IFERROR(VLOOKUP($A$2,DATOS!$A$2:$N$14,13,FALSE),"SUCURSAL NO ENCONTRADA")</f>
        <v>SUCURSAL NO ENCONTRADA</v>
      </c>
    </row>
    <row r="9" spans="1:13" s="586" customFormat="1" ht="24.75" customHeight="1" collapsed="1" x14ac:dyDescent="0.35">
      <c r="A9" s="617" t="s">
        <v>3182</v>
      </c>
      <c r="B9" s="618"/>
      <c r="C9" s="618"/>
      <c r="D9" s="618"/>
      <c r="E9" s="618"/>
      <c r="F9" s="618"/>
      <c r="G9" s="618"/>
      <c r="H9" s="618"/>
      <c r="I9" s="618"/>
      <c r="J9" s="618"/>
      <c r="K9" s="619"/>
      <c r="L9" s="611"/>
      <c r="M9" s="611"/>
    </row>
    <row r="10" spans="1:13" ht="24.75" customHeight="1" x14ac:dyDescent="0.25">
      <c r="A10" s="80" t="s">
        <v>96</v>
      </c>
      <c r="B10" s="80" t="s">
        <v>97</v>
      </c>
      <c r="C10" s="81" t="s">
        <v>101</v>
      </c>
      <c r="D10" s="80" t="s">
        <v>98</v>
      </c>
      <c r="E10" s="80" t="s">
        <v>99</v>
      </c>
      <c r="F10" s="80" t="s">
        <v>100</v>
      </c>
      <c r="G10" s="80" t="s">
        <v>103</v>
      </c>
      <c r="H10" s="80" t="s">
        <v>102</v>
      </c>
      <c r="I10" s="80" t="s">
        <v>107</v>
      </c>
      <c r="J10" s="81" t="s">
        <v>104</v>
      </c>
      <c r="K10" s="81" t="s">
        <v>105</v>
      </c>
      <c r="L10" s="82" t="s">
        <v>166</v>
      </c>
      <c r="M10" s="82" t="s">
        <v>106</v>
      </c>
    </row>
    <row r="11" spans="1:13" x14ac:dyDescent="0.25">
      <c r="A11" s="90">
        <v>1</v>
      </c>
      <c r="B11" s="90"/>
      <c r="C11" s="93"/>
      <c r="D11" s="91"/>
      <c r="E11" s="90"/>
      <c r="F11" s="91"/>
      <c r="G11" s="9"/>
      <c r="H11" s="12"/>
      <c r="I11" s="119"/>
      <c r="J11" s="86" t="str">
        <f>IF(F11="","",VLOOKUP(F11,ARANCEL!$E$2:$F$123,2,FALSE))</f>
        <v/>
      </c>
      <c r="K11" s="87" t="str">
        <f t="shared" ref="K11:K18" si="0">IF(I11=0,"",J11*I11)</f>
        <v/>
      </c>
      <c r="L11" s="12"/>
      <c r="M11" s="92"/>
    </row>
    <row r="12" spans="1:13" x14ac:dyDescent="0.25">
      <c r="A12" s="90">
        <v>2</v>
      </c>
      <c r="B12" s="90"/>
      <c r="C12" s="93"/>
      <c r="D12" s="91"/>
      <c r="E12" s="90"/>
      <c r="F12" s="91"/>
      <c r="G12" s="9"/>
      <c r="H12" s="12"/>
      <c r="I12" s="119"/>
      <c r="J12" s="86" t="str">
        <f>IF(F12="","",VLOOKUP(F12,ARANCEL!$E$2:$F$123,2,FALSE))</f>
        <v/>
      </c>
      <c r="K12" s="87" t="str">
        <f t="shared" si="0"/>
        <v/>
      </c>
      <c r="L12" s="12"/>
      <c r="M12" s="92"/>
    </row>
    <row r="13" spans="1:13" x14ac:dyDescent="0.25">
      <c r="A13" s="90">
        <v>3</v>
      </c>
      <c r="B13" s="90"/>
      <c r="C13" s="93"/>
      <c r="D13" s="91"/>
      <c r="E13" s="90"/>
      <c r="F13" s="91"/>
      <c r="G13" s="9"/>
      <c r="H13" s="12"/>
      <c r="I13" s="119"/>
      <c r="J13" s="86" t="str">
        <f>IF(F13="","",VLOOKUP(F13,ARANCEL!$E$2:$F$123,2,FALSE))</f>
        <v/>
      </c>
      <c r="K13" s="87" t="str">
        <f t="shared" si="0"/>
        <v/>
      </c>
      <c r="L13" s="12"/>
      <c r="M13" s="92"/>
    </row>
    <row r="14" spans="1:13" x14ac:dyDescent="0.25">
      <c r="A14" s="90">
        <v>4</v>
      </c>
      <c r="B14" s="101"/>
      <c r="C14" s="102"/>
      <c r="D14" s="103"/>
      <c r="E14" s="101"/>
      <c r="F14" s="103"/>
      <c r="G14" s="104"/>
      <c r="H14" s="98"/>
      <c r="I14" s="105"/>
      <c r="J14" s="86" t="str">
        <f>IF(F14="","",VLOOKUP(F14,ARANCEL!$E$2:$F$123,2,FALSE))</f>
        <v/>
      </c>
      <c r="K14" s="100" t="str">
        <f t="shared" si="0"/>
        <v/>
      </c>
      <c r="L14" s="98"/>
      <c r="M14" s="99"/>
    </row>
    <row r="15" spans="1:13" x14ac:dyDescent="0.25">
      <c r="A15" s="90">
        <v>5</v>
      </c>
      <c r="B15" s="101"/>
      <c r="C15" s="102"/>
      <c r="D15" s="103"/>
      <c r="E15" s="101"/>
      <c r="F15" s="103"/>
      <c r="G15" s="104"/>
      <c r="H15" s="98"/>
      <c r="I15" s="105"/>
      <c r="J15" s="86" t="str">
        <f>IF(F15="","",VLOOKUP(F15,ARANCEL!$E$2:$F$123,2,FALSE))</f>
        <v/>
      </c>
      <c r="K15" s="100" t="str">
        <f t="shared" si="0"/>
        <v/>
      </c>
      <c r="L15" s="98"/>
      <c r="M15" s="99"/>
    </row>
    <row r="16" spans="1:13" x14ac:dyDescent="0.25">
      <c r="A16" s="90">
        <v>6</v>
      </c>
      <c r="B16" s="101"/>
      <c r="C16" s="102"/>
      <c r="D16" s="103"/>
      <c r="E16" s="101"/>
      <c r="F16" s="103"/>
      <c r="G16" s="104"/>
      <c r="H16" s="98"/>
      <c r="I16" s="105"/>
      <c r="J16" s="86" t="str">
        <f>IF(F16="","",VLOOKUP(F16,ARANCEL!$E$2:$F$123,2,FALSE))</f>
        <v/>
      </c>
      <c r="K16" s="100" t="str">
        <f t="shared" si="0"/>
        <v/>
      </c>
      <c r="L16" s="98"/>
      <c r="M16" s="99"/>
    </row>
    <row r="17" spans="1:13" x14ac:dyDescent="0.25">
      <c r="A17" s="90">
        <v>7</v>
      </c>
      <c r="B17" s="101"/>
      <c r="C17" s="102"/>
      <c r="D17" s="103"/>
      <c r="E17" s="101"/>
      <c r="F17" s="103"/>
      <c r="G17" s="104"/>
      <c r="H17" s="98"/>
      <c r="I17" s="105"/>
      <c r="J17" s="86" t="str">
        <f>IF(F17="","",VLOOKUP(F17,ARANCEL!$E$2:$F$123,2,FALSE))</f>
        <v/>
      </c>
      <c r="K17" s="100" t="str">
        <f t="shared" si="0"/>
        <v/>
      </c>
      <c r="L17" s="98"/>
      <c r="M17" s="99"/>
    </row>
    <row r="18" spans="1:13" x14ac:dyDescent="0.25">
      <c r="A18" s="90">
        <v>8</v>
      </c>
      <c r="B18" s="101"/>
      <c r="C18" s="102"/>
      <c r="D18" s="103"/>
      <c r="E18" s="101"/>
      <c r="F18" s="103"/>
      <c r="G18" s="104"/>
      <c r="H18" s="98"/>
      <c r="I18" s="105"/>
      <c r="J18" s="86" t="str">
        <f>IF(F18="","",VLOOKUP(F18,ARANCEL!$E$2:$F$123,2,FALSE))</f>
        <v/>
      </c>
      <c r="K18" s="100" t="str">
        <f t="shared" si="0"/>
        <v/>
      </c>
      <c r="L18" s="98"/>
      <c r="M18" s="99"/>
    </row>
    <row r="21" spans="1:13" ht="20.25" customHeight="1" x14ac:dyDescent="0.25">
      <c r="A21" s="614" t="s">
        <v>363</v>
      </c>
      <c r="B21" s="614"/>
      <c r="C21" s="614"/>
      <c r="D21" s="614"/>
      <c r="E21" s="614"/>
      <c r="F21" s="614"/>
      <c r="G21" s="614"/>
      <c r="H21" s="614"/>
      <c r="I21" s="614"/>
      <c r="J21" s="614"/>
      <c r="K21" s="614"/>
    </row>
    <row r="22" spans="1:13" ht="24" x14ac:dyDescent="0.25">
      <c r="A22" s="88" t="s">
        <v>96</v>
      </c>
      <c r="B22" s="88" t="s">
        <v>97</v>
      </c>
      <c r="C22" s="89" t="s">
        <v>101</v>
      </c>
      <c r="D22" s="88" t="s">
        <v>98</v>
      </c>
      <c r="E22" s="88" t="s">
        <v>99</v>
      </c>
      <c r="F22" s="88" t="s">
        <v>100</v>
      </c>
      <c r="G22" s="88" t="s">
        <v>103</v>
      </c>
      <c r="H22" s="88" t="s">
        <v>102</v>
      </c>
      <c r="I22" s="88" t="s">
        <v>107</v>
      </c>
      <c r="J22" s="89" t="s">
        <v>104</v>
      </c>
      <c r="K22" s="89" t="s">
        <v>105</v>
      </c>
      <c r="L22" s="89" t="s">
        <v>166</v>
      </c>
      <c r="M22" s="89" t="s">
        <v>106</v>
      </c>
    </row>
    <row r="23" spans="1:13" x14ac:dyDescent="0.25">
      <c r="A23" s="90"/>
      <c r="B23" s="582"/>
      <c r="C23" s="583"/>
      <c r="D23" s="584"/>
      <c r="E23" s="582"/>
      <c r="F23" s="584"/>
      <c r="G23" s="9"/>
      <c r="H23" s="12"/>
      <c r="I23" s="119"/>
      <c r="J23" s="86"/>
      <c r="K23" s="87"/>
      <c r="L23" s="12"/>
      <c r="M23" s="92"/>
    </row>
    <row r="24" spans="1:13" x14ac:dyDescent="0.25">
      <c r="A24" s="90"/>
      <c r="B24" s="582"/>
      <c r="C24" s="583"/>
      <c r="D24" s="584"/>
      <c r="E24" s="582"/>
      <c r="F24" s="584"/>
      <c r="G24" s="9"/>
      <c r="H24" s="12"/>
      <c r="I24" s="119"/>
      <c r="J24" s="86"/>
      <c r="K24" s="87"/>
      <c r="L24" s="12"/>
      <c r="M24" s="92"/>
    </row>
    <row r="25" spans="1:13" x14ac:dyDescent="0.25">
      <c r="A25" s="90"/>
      <c r="B25" s="582"/>
      <c r="C25" s="583"/>
      <c r="D25" s="584"/>
      <c r="E25" s="582"/>
      <c r="F25" s="584"/>
      <c r="G25" s="9"/>
      <c r="H25" s="12"/>
      <c r="I25" s="119"/>
      <c r="J25" s="86"/>
      <c r="K25" s="87"/>
      <c r="L25" s="12"/>
      <c r="M25" s="92"/>
    </row>
    <row r="26" spans="1:13" x14ac:dyDescent="0.25">
      <c r="A26" s="90"/>
      <c r="B26" s="582"/>
      <c r="C26" s="583"/>
      <c r="D26" s="584"/>
      <c r="E26" s="582"/>
      <c r="F26" s="584"/>
      <c r="G26" s="9"/>
      <c r="H26" s="12"/>
      <c r="I26" s="119"/>
      <c r="J26" s="86"/>
      <c r="K26" s="87"/>
      <c r="L26" s="12"/>
      <c r="M26" s="92"/>
    </row>
    <row r="27" spans="1:13" x14ac:dyDescent="0.25">
      <c r="A27" s="90"/>
      <c r="B27" s="582"/>
      <c r="C27" s="583"/>
      <c r="D27" s="584"/>
      <c r="E27" s="582"/>
      <c r="F27" s="584"/>
      <c r="G27" s="9"/>
      <c r="H27" s="12"/>
      <c r="I27" s="119"/>
      <c r="J27" s="86"/>
      <c r="K27" s="87"/>
      <c r="L27" s="12"/>
      <c r="M27" s="92"/>
    </row>
    <row r="28" spans="1:13" x14ac:dyDescent="0.25">
      <c r="A28" s="90"/>
      <c r="B28" s="582"/>
      <c r="C28" s="583"/>
      <c r="D28" s="584"/>
      <c r="E28" s="582"/>
      <c r="F28" s="584"/>
      <c r="G28" s="9"/>
      <c r="H28" s="12"/>
      <c r="I28" s="119"/>
      <c r="J28" s="86"/>
      <c r="K28" s="87"/>
      <c r="L28" s="12"/>
      <c r="M28" s="92"/>
    </row>
    <row r="29" spans="1:13" x14ac:dyDescent="0.25">
      <c r="A29" s="90"/>
      <c r="B29" s="582"/>
      <c r="C29" s="583"/>
      <c r="D29" s="584"/>
      <c r="E29" s="582"/>
      <c r="F29" s="584"/>
      <c r="G29" s="9"/>
      <c r="H29" s="12"/>
      <c r="I29" s="119"/>
      <c r="J29" s="86"/>
      <c r="K29" s="87"/>
      <c r="L29" s="12"/>
      <c r="M29" s="92"/>
    </row>
    <row r="30" spans="1:13" x14ac:dyDescent="0.25">
      <c r="A30" s="90"/>
      <c r="B30" s="582"/>
      <c r="C30" s="583"/>
      <c r="D30" s="584"/>
      <c r="E30" s="582"/>
      <c r="F30" s="584"/>
      <c r="G30" s="9"/>
      <c r="H30" s="12"/>
      <c r="I30" s="119"/>
      <c r="J30" s="86"/>
      <c r="K30" s="87"/>
      <c r="L30" s="12"/>
      <c r="M30" s="92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1:K2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P111"/>
  <sheetViews>
    <sheetView topLeftCell="B1" zoomScale="85" zoomScaleNormal="85" workbookViewId="0">
      <selection activeCell="E12" sqref="E12"/>
    </sheetView>
  </sheetViews>
  <sheetFormatPr baseColWidth="10" defaultRowHeight="12.75" x14ac:dyDescent="0.2"/>
  <cols>
    <col min="1" max="1" width="5.28515625" style="589" customWidth="1"/>
    <col min="2" max="2" width="17.85546875" style="589" customWidth="1"/>
    <col min="3" max="3" width="12.140625" style="589" customWidth="1"/>
    <col min="4" max="4" width="15.28515625" style="589" customWidth="1"/>
    <col min="5" max="15" width="14.28515625" style="589" customWidth="1"/>
    <col min="16" max="16" width="16.140625" style="589" customWidth="1"/>
    <col min="17" max="16384" width="11.42578125" style="589"/>
  </cols>
  <sheetData>
    <row r="1" spans="1:16" ht="30.75" customHeight="1" x14ac:dyDescent="0.2">
      <c r="B1" s="620" t="s">
        <v>3183</v>
      </c>
      <c r="C1" s="620"/>
      <c r="D1" s="620"/>
      <c r="E1" s="620"/>
      <c r="F1" s="620"/>
      <c r="G1" s="620"/>
      <c r="H1" s="620"/>
      <c r="I1" s="620"/>
      <c r="J1" s="620"/>
      <c r="K1" s="620"/>
      <c r="L1" s="620"/>
      <c r="M1" s="620"/>
      <c r="N1" s="620"/>
      <c r="O1" s="620"/>
      <c r="P1" s="620"/>
    </row>
    <row r="2" spans="1:16" ht="27" customHeight="1" x14ac:dyDescent="0.2">
      <c r="B2" s="628" t="s">
        <v>0</v>
      </c>
      <c r="C2" s="629"/>
      <c r="D2" s="604" t="s">
        <v>3246</v>
      </c>
      <c r="E2" s="604" t="s">
        <v>3202</v>
      </c>
      <c r="F2" s="604" t="s">
        <v>3203</v>
      </c>
      <c r="G2" s="604" t="s">
        <v>3204</v>
      </c>
      <c r="H2" s="604" t="s">
        <v>3205</v>
      </c>
      <c r="I2" s="604" t="s">
        <v>3206</v>
      </c>
      <c r="J2" s="604" t="s">
        <v>3207</v>
      </c>
      <c r="K2" s="604" t="s">
        <v>3208</v>
      </c>
      <c r="L2" s="604" t="s">
        <v>3209</v>
      </c>
      <c r="M2" s="604" t="s">
        <v>3210</v>
      </c>
      <c r="N2" s="604" t="s">
        <v>3211</v>
      </c>
      <c r="O2" s="604" t="s">
        <v>3212</v>
      </c>
      <c r="P2" s="590" t="s">
        <v>3184</v>
      </c>
    </row>
    <row r="3" spans="1:16" s="591" customFormat="1" ht="20.25" customHeight="1" x14ac:dyDescent="0.25">
      <c r="A3" s="592" t="s">
        <v>3185</v>
      </c>
      <c r="B3" s="621" t="s">
        <v>7</v>
      </c>
      <c r="C3" s="605" t="s">
        <v>3186</v>
      </c>
      <c r="D3" s="593"/>
      <c r="E3" s="593"/>
      <c r="F3" s="593"/>
      <c r="G3" s="593"/>
      <c r="H3" s="593"/>
      <c r="I3" s="593"/>
      <c r="J3" s="593"/>
      <c r="K3" s="593"/>
      <c r="L3" s="593"/>
      <c r="M3" s="593"/>
      <c r="N3" s="593"/>
      <c r="O3" s="593"/>
      <c r="P3" s="623">
        <f>SUM(D3:O3)</f>
        <v>0</v>
      </c>
    </row>
    <row r="4" spans="1:16" s="594" customFormat="1" ht="17.100000000000001" customHeight="1" x14ac:dyDescent="0.25">
      <c r="B4" s="621"/>
      <c r="C4" s="595" t="s">
        <v>108</v>
      </c>
      <c r="D4" s="595"/>
      <c r="E4" s="595"/>
      <c r="F4" s="595"/>
      <c r="G4" s="595"/>
      <c r="H4" s="595"/>
      <c r="I4" s="595"/>
      <c r="J4" s="595"/>
      <c r="K4" s="595"/>
      <c r="L4" s="595"/>
      <c r="M4" s="595"/>
      <c r="N4" s="595"/>
      <c r="O4" s="595"/>
      <c r="P4" s="624"/>
    </row>
    <row r="5" spans="1:16" s="594" customFormat="1" ht="17.100000000000001" customHeight="1" thickBot="1" x14ac:dyDescent="0.3">
      <c r="B5" s="622"/>
      <c r="C5" s="596" t="s">
        <v>110</v>
      </c>
      <c r="D5" s="596"/>
      <c r="E5" s="596"/>
      <c r="F5" s="596"/>
      <c r="G5" s="596"/>
      <c r="H5" s="596"/>
      <c r="I5" s="596"/>
      <c r="J5" s="596"/>
      <c r="K5" s="596"/>
      <c r="L5" s="596"/>
      <c r="M5" s="596"/>
      <c r="N5" s="596"/>
      <c r="O5" s="596"/>
      <c r="P5" s="625"/>
    </row>
    <row r="6" spans="1:16" s="594" customFormat="1" ht="17.100000000000001" customHeight="1" x14ac:dyDescent="0.25">
      <c r="A6" s="594" t="s">
        <v>3187</v>
      </c>
      <c r="B6" s="626" t="s">
        <v>21</v>
      </c>
      <c r="C6" s="606" t="s">
        <v>3186</v>
      </c>
      <c r="D6" s="593"/>
      <c r="E6" s="593"/>
      <c r="F6" s="593"/>
      <c r="G6" s="593"/>
      <c r="H6" s="593"/>
      <c r="I6" s="593"/>
      <c r="J6" s="593"/>
      <c r="K6" s="593"/>
      <c r="L6" s="593"/>
      <c r="M6" s="593"/>
      <c r="N6" s="593"/>
      <c r="O6" s="593"/>
      <c r="P6" s="627">
        <f>SUM(D6:O6)</f>
        <v>0</v>
      </c>
    </row>
    <row r="7" spans="1:16" s="594" customFormat="1" ht="17.100000000000001" customHeight="1" x14ac:dyDescent="0.25">
      <c r="B7" s="621"/>
      <c r="C7" s="595" t="s">
        <v>108</v>
      </c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  <c r="P7" s="624"/>
    </row>
    <row r="8" spans="1:16" s="594" customFormat="1" ht="17.100000000000001" customHeight="1" thickBot="1" x14ac:dyDescent="0.3">
      <c r="B8" s="622"/>
      <c r="C8" s="596" t="s">
        <v>110</v>
      </c>
      <c r="D8" s="596"/>
      <c r="E8" s="596"/>
      <c r="F8" s="596"/>
      <c r="G8" s="596"/>
      <c r="H8" s="596"/>
      <c r="I8" s="596"/>
      <c r="J8" s="596"/>
      <c r="K8" s="596"/>
      <c r="L8" s="596"/>
      <c r="M8" s="596"/>
      <c r="N8" s="596"/>
      <c r="O8" s="596"/>
      <c r="P8" s="625"/>
    </row>
    <row r="9" spans="1:16" s="594" customFormat="1" ht="17.100000000000001" customHeight="1" x14ac:dyDescent="0.25">
      <c r="A9" s="594" t="s">
        <v>3188</v>
      </c>
      <c r="B9" s="626" t="s">
        <v>33</v>
      </c>
      <c r="C9" s="606" t="s">
        <v>3186</v>
      </c>
      <c r="D9" s="593"/>
      <c r="E9" s="593"/>
      <c r="F9" s="593"/>
      <c r="G9" s="593"/>
      <c r="H9" s="593"/>
      <c r="I9" s="593"/>
      <c r="J9" s="593"/>
      <c r="K9" s="593"/>
      <c r="L9" s="593"/>
      <c r="M9" s="593"/>
      <c r="N9" s="593"/>
      <c r="O9" s="593"/>
      <c r="P9" s="627">
        <f t="shared" ref="P9" si="0">SUM(D9:O9)</f>
        <v>0</v>
      </c>
    </row>
    <row r="10" spans="1:16" s="594" customFormat="1" ht="17.100000000000001" customHeight="1" x14ac:dyDescent="0.25">
      <c r="B10" s="621"/>
      <c r="C10" s="595" t="s">
        <v>108</v>
      </c>
      <c r="D10" s="595"/>
      <c r="E10" s="595"/>
      <c r="F10" s="595"/>
      <c r="G10" s="595"/>
      <c r="H10" s="595"/>
      <c r="I10" s="595"/>
      <c r="J10" s="595"/>
      <c r="K10" s="595"/>
      <c r="L10" s="595"/>
      <c r="M10" s="595"/>
      <c r="N10" s="595"/>
      <c r="O10" s="595"/>
      <c r="P10" s="624"/>
    </row>
    <row r="11" spans="1:16" s="594" customFormat="1" ht="17.100000000000001" customHeight="1" thickBot="1" x14ac:dyDescent="0.3">
      <c r="B11" s="622"/>
      <c r="C11" s="596" t="s">
        <v>110</v>
      </c>
      <c r="D11" s="596"/>
      <c r="E11" s="596"/>
      <c r="F11" s="596"/>
      <c r="G11" s="596"/>
      <c r="H11" s="596"/>
      <c r="I11" s="596"/>
      <c r="J11" s="596"/>
      <c r="K11" s="596"/>
      <c r="L11" s="596"/>
      <c r="M11" s="596"/>
      <c r="N11" s="596"/>
      <c r="O11" s="596"/>
      <c r="P11" s="625"/>
    </row>
    <row r="12" spans="1:16" s="594" customFormat="1" ht="17.100000000000001" customHeight="1" x14ac:dyDescent="0.25">
      <c r="A12" s="594" t="s">
        <v>3189</v>
      </c>
      <c r="B12" s="626" t="s">
        <v>408</v>
      </c>
      <c r="C12" s="606" t="s">
        <v>3186</v>
      </c>
      <c r="D12" s="593"/>
      <c r="E12" s="593"/>
      <c r="F12" s="593"/>
      <c r="G12" s="593"/>
      <c r="H12" s="593"/>
      <c r="I12" s="593"/>
      <c r="J12" s="593"/>
      <c r="K12" s="593"/>
      <c r="L12" s="593"/>
      <c r="M12" s="593"/>
      <c r="N12" s="593"/>
      <c r="O12" s="593"/>
      <c r="P12" s="627">
        <f t="shared" ref="P12" si="1">SUM(D12:O12)</f>
        <v>0</v>
      </c>
    </row>
    <row r="13" spans="1:16" s="594" customFormat="1" ht="17.100000000000001" customHeight="1" x14ac:dyDescent="0.25">
      <c r="B13" s="621"/>
      <c r="C13" s="595" t="s">
        <v>108</v>
      </c>
      <c r="D13" s="595"/>
      <c r="E13" s="595"/>
      <c r="F13" s="595"/>
      <c r="G13" s="595"/>
      <c r="H13" s="595"/>
      <c r="I13" s="595"/>
      <c r="J13" s="595"/>
      <c r="K13" s="595"/>
      <c r="L13" s="595"/>
      <c r="M13" s="595"/>
      <c r="N13" s="595"/>
      <c r="O13" s="595"/>
      <c r="P13" s="624"/>
    </row>
    <row r="14" spans="1:16" s="594" customFormat="1" ht="17.100000000000001" customHeight="1" thickBot="1" x14ac:dyDescent="0.3">
      <c r="B14" s="622"/>
      <c r="C14" s="596" t="s">
        <v>110</v>
      </c>
      <c r="D14" s="596"/>
      <c r="E14" s="596"/>
      <c r="F14" s="596"/>
      <c r="G14" s="596"/>
      <c r="H14" s="596"/>
      <c r="I14" s="596"/>
      <c r="J14" s="596"/>
      <c r="K14" s="596"/>
      <c r="L14" s="596"/>
      <c r="M14" s="596"/>
      <c r="N14" s="596"/>
      <c r="O14" s="596"/>
      <c r="P14" s="625"/>
    </row>
    <row r="15" spans="1:16" s="594" customFormat="1" ht="17.100000000000001" customHeight="1" x14ac:dyDescent="0.25">
      <c r="A15" s="594" t="s">
        <v>3190</v>
      </c>
      <c r="B15" s="626" t="s">
        <v>34</v>
      </c>
      <c r="C15" s="606" t="s">
        <v>3186</v>
      </c>
      <c r="D15" s="593"/>
      <c r="E15" s="593"/>
      <c r="F15" s="593"/>
      <c r="G15" s="593"/>
      <c r="H15" s="593"/>
      <c r="I15" s="593"/>
      <c r="J15" s="593"/>
      <c r="K15" s="593"/>
      <c r="L15" s="593"/>
      <c r="M15" s="593"/>
      <c r="N15" s="593"/>
      <c r="O15" s="593"/>
      <c r="P15" s="627">
        <f t="shared" ref="P15" si="2">SUM(D15:O15)</f>
        <v>0</v>
      </c>
    </row>
    <row r="16" spans="1:16" s="594" customFormat="1" ht="17.100000000000001" customHeight="1" x14ac:dyDescent="0.25">
      <c r="B16" s="621"/>
      <c r="C16" s="595" t="s">
        <v>108</v>
      </c>
      <c r="D16" s="595"/>
      <c r="E16" s="595"/>
      <c r="F16" s="595"/>
      <c r="G16" s="595"/>
      <c r="H16" s="595"/>
      <c r="I16" s="595"/>
      <c r="J16" s="595"/>
      <c r="K16" s="595"/>
      <c r="L16" s="595"/>
      <c r="M16" s="595"/>
      <c r="N16" s="595"/>
      <c r="O16" s="595"/>
      <c r="P16" s="624"/>
    </row>
    <row r="17" spans="1:16" s="594" customFormat="1" ht="17.100000000000001" customHeight="1" thickBot="1" x14ac:dyDescent="0.3">
      <c r="B17" s="622"/>
      <c r="C17" s="596" t="s">
        <v>110</v>
      </c>
      <c r="D17" s="596"/>
      <c r="E17" s="596"/>
      <c r="F17" s="596"/>
      <c r="G17" s="596"/>
      <c r="H17" s="596"/>
      <c r="I17" s="596"/>
      <c r="J17" s="596"/>
      <c r="K17" s="596"/>
      <c r="L17" s="596"/>
      <c r="M17" s="596"/>
      <c r="N17" s="596"/>
      <c r="O17" s="596"/>
      <c r="P17" s="625"/>
    </row>
    <row r="18" spans="1:16" s="591" customFormat="1" ht="15" customHeight="1" x14ac:dyDescent="0.25">
      <c r="A18" s="594" t="s">
        <v>3191</v>
      </c>
      <c r="B18" s="626" t="s">
        <v>35</v>
      </c>
      <c r="C18" s="606" t="s">
        <v>3186</v>
      </c>
      <c r="D18" s="593"/>
      <c r="E18" s="593"/>
      <c r="F18" s="593"/>
      <c r="G18" s="593"/>
      <c r="H18" s="593"/>
      <c r="I18" s="593"/>
      <c r="J18" s="593"/>
      <c r="K18" s="593"/>
      <c r="L18" s="593"/>
      <c r="M18" s="593"/>
      <c r="N18" s="593"/>
      <c r="O18" s="593"/>
      <c r="P18" s="627">
        <f t="shared" ref="P18" si="3">SUM(D18:O18)</f>
        <v>0</v>
      </c>
    </row>
    <row r="19" spans="1:16" s="597" customFormat="1" ht="16.5" customHeight="1" x14ac:dyDescent="0.25">
      <c r="A19" s="594"/>
      <c r="B19" s="621"/>
      <c r="C19" s="595" t="s">
        <v>108</v>
      </c>
      <c r="D19" s="595"/>
      <c r="E19" s="595"/>
      <c r="F19" s="595"/>
      <c r="G19" s="595"/>
      <c r="H19" s="595"/>
      <c r="I19" s="595"/>
      <c r="J19" s="595"/>
      <c r="K19" s="595"/>
      <c r="L19" s="595"/>
      <c r="M19" s="595"/>
      <c r="N19" s="595"/>
      <c r="O19" s="595"/>
      <c r="P19" s="624"/>
    </row>
    <row r="20" spans="1:16" s="591" customFormat="1" ht="14.25" customHeight="1" thickBot="1" x14ac:dyDescent="0.3">
      <c r="A20" s="594"/>
      <c r="B20" s="622"/>
      <c r="C20" s="596" t="s">
        <v>110</v>
      </c>
      <c r="D20" s="596"/>
      <c r="E20" s="596"/>
      <c r="F20" s="596"/>
      <c r="G20" s="596"/>
      <c r="H20" s="596"/>
      <c r="I20" s="596"/>
      <c r="J20" s="596"/>
      <c r="K20" s="596"/>
      <c r="L20" s="596"/>
      <c r="M20" s="596"/>
      <c r="N20" s="596"/>
      <c r="O20" s="596"/>
      <c r="P20" s="625"/>
    </row>
    <row r="21" spans="1:16" ht="21" customHeight="1" x14ac:dyDescent="0.2">
      <c r="A21" s="592" t="s">
        <v>3192</v>
      </c>
      <c r="B21" s="626" t="s">
        <v>36</v>
      </c>
      <c r="C21" s="606" t="s">
        <v>3186</v>
      </c>
      <c r="D21" s="593"/>
      <c r="E21" s="593"/>
      <c r="F21" s="593"/>
      <c r="G21" s="593"/>
      <c r="H21" s="593"/>
      <c r="I21" s="593"/>
      <c r="J21" s="593"/>
      <c r="K21" s="593"/>
      <c r="L21" s="593"/>
      <c r="M21" s="593"/>
      <c r="N21" s="593"/>
      <c r="O21" s="593"/>
      <c r="P21" s="627">
        <f t="shared" ref="P21" si="4">SUM(D21:O21)</f>
        <v>0</v>
      </c>
    </row>
    <row r="22" spans="1:16" ht="15" customHeight="1" x14ac:dyDescent="0.2">
      <c r="A22" s="597"/>
      <c r="B22" s="621"/>
      <c r="C22" s="595" t="s">
        <v>108</v>
      </c>
      <c r="D22" s="595"/>
      <c r="E22" s="595"/>
      <c r="F22" s="595"/>
      <c r="G22" s="595"/>
      <c r="H22" s="595"/>
      <c r="I22" s="595"/>
      <c r="J22" s="595"/>
      <c r="K22" s="595"/>
      <c r="L22" s="595"/>
      <c r="M22" s="595"/>
      <c r="N22" s="595"/>
      <c r="O22" s="595"/>
      <c r="P22" s="624"/>
    </row>
    <row r="23" spans="1:16" s="591" customFormat="1" ht="17.100000000000001" customHeight="1" thickBot="1" x14ac:dyDescent="0.3">
      <c r="B23" s="622"/>
      <c r="C23" s="596" t="s">
        <v>110</v>
      </c>
      <c r="D23" s="596"/>
      <c r="E23" s="596"/>
      <c r="F23" s="596"/>
      <c r="G23" s="596"/>
      <c r="H23" s="596"/>
      <c r="I23" s="596"/>
      <c r="J23" s="596"/>
      <c r="K23" s="596"/>
      <c r="L23" s="596"/>
      <c r="M23" s="596"/>
      <c r="N23" s="596"/>
      <c r="O23" s="596"/>
      <c r="P23" s="625"/>
    </row>
    <row r="24" spans="1:16" s="594" customFormat="1" ht="17.100000000000001" customHeight="1" x14ac:dyDescent="0.2">
      <c r="A24" s="598" t="s">
        <v>3193</v>
      </c>
      <c r="B24" s="626" t="s">
        <v>37</v>
      </c>
      <c r="C24" s="606" t="s">
        <v>3186</v>
      </c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627">
        <f t="shared" ref="P24" si="5">SUM(D24:O24)</f>
        <v>0</v>
      </c>
    </row>
    <row r="25" spans="1:16" s="594" customFormat="1" ht="17.100000000000001" customHeight="1" x14ac:dyDescent="0.2">
      <c r="A25" s="589"/>
      <c r="B25" s="621"/>
      <c r="C25" s="595" t="s">
        <v>108</v>
      </c>
      <c r="D25" s="595"/>
      <c r="E25" s="595"/>
      <c r="F25" s="595"/>
      <c r="G25" s="595"/>
      <c r="H25" s="595"/>
      <c r="I25" s="595"/>
      <c r="J25" s="595"/>
      <c r="K25" s="595"/>
      <c r="L25" s="595"/>
      <c r="M25" s="595"/>
      <c r="N25" s="595"/>
      <c r="O25" s="595"/>
      <c r="P25" s="624"/>
    </row>
    <row r="26" spans="1:16" s="594" customFormat="1" ht="17.100000000000001" customHeight="1" thickBot="1" x14ac:dyDescent="0.3">
      <c r="A26" s="591"/>
      <c r="B26" s="622"/>
      <c r="C26" s="596" t="s">
        <v>110</v>
      </c>
      <c r="D26" s="596"/>
      <c r="E26" s="596"/>
      <c r="F26" s="596"/>
      <c r="G26" s="596"/>
      <c r="H26" s="596"/>
      <c r="I26" s="596"/>
      <c r="J26" s="596"/>
      <c r="K26" s="596"/>
      <c r="L26" s="596"/>
      <c r="M26" s="596"/>
      <c r="N26" s="596"/>
      <c r="O26" s="596"/>
      <c r="P26" s="625"/>
    </row>
    <row r="27" spans="1:16" s="594" customFormat="1" ht="17.100000000000001" customHeight="1" x14ac:dyDescent="0.25">
      <c r="A27" s="594" t="s">
        <v>3194</v>
      </c>
      <c r="B27" s="626" t="s">
        <v>38</v>
      </c>
      <c r="C27" s="606" t="s">
        <v>3186</v>
      </c>
      <c r="D27" s="593"/>
      <c r="E27" s="593"/>
      <c r="F27" s="593"/>
      <c r="G27" s="593"/>
      <c r="H27" s="593"/>
      <c r="I27" s="593"/>
      <c r="J27" s="593"/>
      <c r="K27" s="593"/>
      <c r="L27" s="593"/>
      <c r="M27" s="593"/>
      <c r="N27" s="593"/>
      <c r="O27" s="593"/>
      <c r="P27" s="627">
        <f t="shared" ref="P27" si="6">SUM(D27:O27)</f>
        <v>0</v>
      </c>
    </row>
    <row r="28" spans="1:16" s="594" customFormat="1" ht="17.100000000000001" customHeight="1" x14ac:dyDescent="0.25">
      <c r="B28" s="621"/>
      <c r="C28" s="595" t="s">
        <v>108</v>
      </c>
      <c r="D28" s="595"/>
      <c r="E28" s="595"/>
      <c r="F28" s="595"/>
      <c r="G28" s="595"/>
      <c r="H28" s="595"/>
      <c r="I28" s="595"/>
      <c r="J28" s="595"/>
      <c r="K28" s="595"/>
      <c r="L28" s="595"/>
      <c r="M28" s="595"/>
      <c r="N28" s="595"/>
      <c r="O28" s="595"/>
      <c r="P28" s="624"/>
    </row>
    <row r="29" spans="1:16" s="594" customFormat="1" ht="17.100000000000001" customHeight="1" thickBot="1" x14ac:dyDescent="0.3">
      <c r="B29" s="622"/>
      <c r="C29" s="596" t="s">
        <v>110</v>
      </c>
      <c r="D29" s="596"/>
      <c r="E29" s="596"/>
      <c r="F29" s="596"/>
      <c r="G29" s="596"/>
      <c r="H29" s="596"/>
      <c r="I29" s="596"/>
      <c r="J29" s="596"/>
      <c r="K29" s="596"/>
      <c r="L29" s="596"/>
      <c r="M29" s="596"/>
      <c r="N29" s="596"/>
      <c r="O29" s="596"/>
      <c r="P29" s="625"/>
    </row>
    <row r="30" spans="1:16" s="594" customFormat="1" ht="17.100000000000001" customHeight="1" x14ac:dyDescent="0.25">
      <c r="A30" s="594" t="s">
        <v>3195</v>
      </c>
      <c r="B30" s="626" t="s">
        <v>39</v>
      </c>
      <c r="C30" s="606" t="s">
        <v>3186</v>
      </c>
      <c r="D30" s="593"/>
      <c r="E30" s="593"/>
      <c r="F30" s="593"/>
      <c r="G30" s="593"/>
      <c r="H30" s="593"/>
      <c r="I30" s="593"/>
      <c r="J30" s="593"/>
      <c r="K30" s="593"/>
      <c r="L30" s="593"/>
      <c r="M30" s="593"/>
      <c r="N30" s="593"/>
      <c r="O30" s="593"/>
      <c r="P30" s="627">
        <f t="shared" ref="P30" si="7">SUM(D30:O30)</f>
        <v>0</v>
      </c>
    </row>
    <row r="31" spans="1:16" s="594" customFormat="1" ht="17.100000000000001" customHeight="1" x14ac:dyDescent="0.25">
      <c r="B31" s="621"/>
      <c r="C31" s="595" t="s">
        <v>108</v>
      </c>
      <c r="D31" s="595"/>
      <c r="E31" s="595"/>
      <c r="F31" s="595"/>
      <c r="G31" s="595"/>
      <c r="H31" s="595"/>
      <c r="I31" s="595"/>
      <c r="J31" s="595"/>
      <c r="K31" s="595"/>
      <c r="L31" s="595"/>
      <c r="M31" s="595"/>
      <c r="N31" s="595"/>
      <c r="O31" s="595"/>
      <c r="P31" s="624"/>
    </row>
    <row r="32" spans="1:16" s="594" customFormat="1" ht="17.100000000000001" customHeight="1" thickBot="1" x14ac:dyDescent="0.3">
      <c r="B32" s="622"/>
      <c r="C32" s="596" t="s">
        <v>110</v>
      </c>
      <c r="D32" s="596"/>
      <c r="E32" s="596"/>
      <c r="F32" s="596"/>
      <c r="G32" s="596"/>
      <c r="H32" s="596"/>
      <c r="I32" s="596"/>
      <c r="J32" s="596"/>
      <c r="K32" s="596"/>
      <c r="L32" s="596"/>
      <c r="M32" s="596"/>
      <c r="N32" s="596"/>
      <c r="O32" s="596"/>
      <c r="P32" s="625"/>
    </row>
    <row r="33" spans="1:16" s="594" customFormat="1" ht="17.100000000000001" customHeight="1" x14ac:dyDescent="0.25">
      <c r="A33" s="594" t="s">
        <v>3196</v>
      </c>
      <c r="B33" s="626" t="s">
        <v>40</v>
      </c>
      <c r="C33" s="606" t="s">
        <v>3186</v>
      </c>
      <c r="D33" s="593"/>
      <c r="E33" s="593"/>
      <c r="F33" s="593"/>
      <c r="G33" s="593"/>
      <c r="H33" s="593"/>
      <c r="I33" s="593"/>
      <c r="J33" s="593"/>
      <c r="K33" s="593"/>
      <c r="L33" s="593"/>
      <c r="M33" s="593"/>
      <c r="N33" s="593"/>
      <c r="O33" s="593"/>
      <c r="P33" s="627">
        <f t="shared" ref="P33" si="8">SUM(D33:O33)</f>
        <v>0</v>
      </c>
    </row>
    <row r="34" spans="1:16" s="594" customFormat="1" ht="17.100000000000001" customHeight="1" x14ac:dyDescent="0.25">
      <c r="B34" s="621"/>
      <c r="C34" s="595" t="s">
        <v>108</v>
      </c>
      <c r="D34" s="595"/>
      <c r="E34" s="595"/>
      <c r="F34" s="595"/>
      <c r="G34" s="595"/>
      <c r="H34" s="595"/>
      <c r="I34" s="595"/>
      <c r="J34" s="595"/>
      <c r="K34" s="595"/>
      <c r="L34" s="595"/>
      <c r="M34" s="595"/>
      <c r="N34" s="595"/>
      <c r="O34" s="595"/>
      <c r="P34" s="624"/>
    </row>
    <row r="35" spans="1:16" s="594" customFormat="1" ht="17.100000000000001" customHeight="1" thickBot="1" x14ac:dyDescent="0.3">
      <c r="B35" s="622"/>
      <c r="C35" s="596" t="s">
        <v>110</v>
      </c>
      <c r="D35" s="596"/>
      <c r="E35" s="596"/>
      <c r="F35" s="596"/>
      <c r="G35" s="596"/>
      <c r="H35" s="596"/>
      <c r="I35" s="596"/>
      <c r="J35" s="596"/>
      <c r="K35" s="596"/>
      <c r="L35" s="596"/>
      <c r="M35" s="596"/>
      <c r="N35" s="596"/>
      <c r="O35" s="596"/>
      <c r="P35" s="625"/>
    </row>
    <row r="36" spans="1:16" s="594" customFormat="1" ht="17.100000000000001" customHeight="1" x14ac:dyDescent="0.25">
      <c r="A36" s="594" t="s">
        <v>3197</v>
      </c>
      <c r="B36" s="626" t="s">
        <v>41</v>
      </c>
      <c r="C36" s="606" t="s">
        <v>3186</v>
      </c>
      <c r="D36" s="593"/>
      <c r="E36" s="593"/>
      <c r="F36" s="593"/>
      <c r="G36" s="593"/>
      <c r="H36" s="593"/>
      <c r="I36" s="593"/>
      <c r="J36" s="593"/>
      <c r="K36" s="593"/>
      <c r="L36" s="593"/>
      <c r="M36" s="593"/>
      <c r="N36" s="593"/>
      <c r="O36" s="593"/>
      <c r="P36" s="627">
        <f t="shared" ref="P36" si="9">SUM(D36:O36)</f>
        <v>0</v>
      </c>
    </row>
    <row r="37" spans="1:16" s="594" customFormat="1" ht="21.75" customHeight="1" x14ac:dyDescent="0.25">
      <c r="B37" s="621"/>
      <c r="C37" s="595" t="s">
        <v>108</v>
      </c>
      <c r="D37" s="595"/>
      <c r="E37" s="595"/>
      <c r="F37" s="595"/>
      <c r="G37" s="595"/>
      <c r="H37" s="595"/>
      <c r="I37" s="595"/>
      <c r="J37" s="595"/>
      <c r="K37" s="595"/>
      <c r="L37" s="595"/>
      <c r="M37" s="595"/>
      <c r="N37" s="595"/>
      <c r="O37" s="595"/>
      <c r="P37" s="624"/>
    </row>
    <row r="38" spans="1:16" s="591" customFormat="1" ht="21.75" customHeight="1" thickBot="1" x14ac:dyDescent="0.3">
      <c r="A38" s="594"/>
      <c r="B38" s="622"/>
      <c r="C38" s="596" t="s">
        <v>110</v>
      </c>
      <c r="D38" s="596"/>
      <c r="E38" s="596"/>
      <c r="F38" s="596"/>
      <c r="G38" s="596"/>
      <c r="H38" s="596"/>
      <c r="I38" s="596"/>
      <c r="J38" s="596"/>
      <c r="K38" s="596"/>
      <c r="L38" s="596"/>
      <c r="M38" s="596"/>
      <c r="N38" s="596"/>
      <c r="O38" s="596"/>
      <c r="P38" s="625"/>
    </row>
    <row r="39" spans="1:16" s="597" customFormat="1" ht="15" customHeight="1" x14ac:dyDescent="0.25">
      <c r="A39" s="594" t="s">
        <v>3198</v>
      </c>
      <c r="B39" s="626" t="s">
        <v>42</v>
      </c>
      <c r="C39" s="606" t="s">
        <v>3186</v>
      </c>
      <c r="D39" s="593"/>
      <c r="E39" s="593"/>
      <c r="F39" s="593"/>
      <c r="G39" s="593"/>
      <c r="H39" s="593"/>
      <c r="I39" s="593"/>
      <c r="J39" s="593"/>
      <c r="K39" s="593"/>
      <c r="L39" s="593"/>
      <c r="M39" s="593"/>
      <c r="N39" s="593"/>
      <c r="O39" s="593"/>
      <c r="P39" s="627">
        <f t="shared" ref="P39" si="10">SUM(D39:O39)</f>
        <v>0</v>
      </c>
    </row>
    <row r="40" spans="1:16" s="591" customFormat="1" ht="15" customHeight="1" x14ac:dyDescent="0.25">
      <c r="A40" s="594"/>
      <c r="B40" s="621"/>
      <c r="C40" s="595" t="s">
        <v>108</v>
      </c>
      <c r="D40" s="595"/>
      <c r="E40" s="595"/>
      <c r="F40" s="595"/>
      <c r="G40" s="595"/>
      <c r="H40" s="595"/>
      <c r="I40" s="595"/>
      <c r="J40" s="595"/>
      <c r="K40" s="595"/>
      <c r="L40" s="595"/>
      <c r="M40" s="595"/>
      <c r="N40" s="595"/>
      <c r="O40" s="595"/>
      <c r="P40" s="624"/>
    </row>
    <row r="41" spans="1:16" ht="20.25" customHeight="1" thickBot="1" x14ac:dyDescent="0.25">
      <c r="A41" s="594"/>
      <c r="B41" s="622"/>
      <c r="C41" s="596" t="s">
        <v>110</v>
      </c>
      <c r="D41" s="596"/>
      <c r="E41" s="596"/>
      <c r="F41" s="596"/>
      <c r="G41" s="596"/>
      <c r="H41" s="596"/>
      <c r="I41" s="596"/>
      <c r="J41" s="596"/>
      <c r="K41" s="596"/>
      <c r="L41" s="596"/>
      <c r="M41" s="596"/>
      <c r="N41" s="596"/>
      <c r="O41" s="596"/>
      <c r="P41" s="625"/>
    </row>
    <row r="42" spans="1:16" ht="24" customHeight="1" x14ac:dyDescent="0.2">
      <c r="A42" s="594"/>
      <c r="B42" s="594"/>
      <c r="C42" s="594"/>
      <c r="D42" s="594"/>
      <c r="E42" s="594"/>
      <c r="F42" s="594"/>
      <c r="G42" s="594"/>
      <c r="H42" s="594"/>
      <c r="I42" s="594"/>
      <c r="J42" s="594"/>
      <c r="K42" s="594"/>
      <c r="L42" s="594"/>
      <c r="M42" s="594"/>
      <c r="N42" s="594"/>
      <c r="O42" s="594"/>
      <c r="P42" s="594"/>
    </row>
    <row r="43" spans="1:16" s="591" customFormat="1" ht="17.100000000000001" customHeight="1" x14ac:dyDescent="0.25">
      <c r="A43" s="594"/>
      <c r="B43" s="630" t="s">
        <v>3199</v>
      </c>
      <c r="C43" s="630"/>
      <c r="D43" s="599">
        <f>SUM(D3,D6,D9,D12,D15,D18,D21,D24,D27,D30,D33,D36,D39)</f>
        <v>0</v>
      </c>
      <c r="E43" s="599">
        <f>SUM(E3,E6,E9,E12,E15,E18,E21,E24,E27,E30,E33,E36,E39)</f>
        <v>0</v>
      </c>
      <c r="F43" s="599">
        <f t="shared" ref="F43:N43" si="11">SUM(F3,F6,F9,F12,F15,F18,F21,F24,F27,F30,F33,F36,F39)</f>
        <v>0</v>
      </c>
      <c r="G43" s="599">
        <f t="shared" si="11"/>
        <v>0</v>
      </c>
      <c r="H43" s="599">
        <f t="shared" si="11"/>
        <v>0</v>
      </c>
      <c r="I43" s="599">
        <f t="shared" si="11"/>
        <v>0</v>
      </c>
      <c r="J43" s="599">
        <f t="shared" si="11"/>
        <v>0</v>
      </c>
      <c r="K43" s="599">
        <f t="shared" si="11"/>
        <v>0</v>
      </c>
      <c r="L43" s="599">
        <f t="shared" si="11"/>
        <v>0</v>
      </c>
      <c r="M43" s="599">
        <f t="shared" si="11"/>
        <v>0</v>
      </c>
      <c r="N43" s="599">
        <f t="shared" si="11"/>
        <v>0</v>
      </c>
      <c r="O43" s="599">
        <f>SUM(O3,O6,O9,O12,O15,O18,O21,O24,O27,O30,O33,O36,O39)</f>
        <v>0</v>
      </c>
      <c r="P43" s="600">
        <f>SUM(D43:O43)</f>
        <v>0</v>
      </c>
    </row>
    <row r="44" spans="1:16" s="594" customFormat="1" ht="17.100000000000001" customHeight="1" x14ac:dyDescent="0.25">
      <c r="A44" s="591"/>
      <c r="B44" s="631" t="s">
        <v>3200</v>
      </c>
      <c r="C44" s="632"/>
      <c r="D44" s="601">
        <f>D43*13.05%</f>
        <v>0</v>
      </c>
      <c r="E44" s="601">
        <f t="shared" ref="E44:O44" si="12">E43*13.05%</f>
        <v>0</v>
      </c>
      <c r="F44" s="601">
        <f t="shared" si="12"/>
        <v>0</v>
      </c>
      <c r="G44" s="601">
        <f t="shared" si="12"/>
        <v>0</v>
      </c>
      <c r="H44" s="601">
        <f t="shared" si="12"/>
        <v>0</v>
      </c>
      <c r="I44" s="601">
        <f t="shared" si="12"/>
        <v>0</v>
      </c>
      <c r="J44" s="601">
        <f t="shared" si="12"/>
        <v>0</v>
      </c>
      <c r="K44" s="601">
        <f t="shared" si="12"/>
        <v>0</v>
      </c>
      <c r="L44" s="601">
        <f t="shared" si="12"/>
        <v>0</v>
      </c>
      <c r="M44" s="601">
        <f t="shared" si="12"/>
        <v>0</v>
      </c>
      <c r="N44" s="601">
        <f t="shared" si="12"/>
        <v>0</v>
      </c>
      <c r="O44" s="601">
        <f t="shared" si="12"/>
        <v>0</v>
      </c>
      <c r="P44" s="602">
        <f>SUM(D44:O44)</f>
        <v>0</v>
      </c>
    </row>
    <row r="45" spans="1:16" s="594" customFormat="1" ht="17.100000000000001" customHeight="1" x14ac:dyDescent="0.25">
      <c r="A45" s="597"/>
      <c r="C45" s="594" t="s">
        <v>3201</v>
      </c>
      <c r="D45" s="607"/>
      <c r="E45" s="607"/>
      <c r="F45" s="607"/>
      <c r="G45" s="607"/>
      <c r="H45" s="607"/>
      <c r="I45" s="607"/>
      <c r="J45" s="607"/>
      <c r="K45" s="607"/>
      <c r="L45" s="603"/>
      <c r="M45" s="603"/>
      <c r="N45" s="603"/>
      <c r="O45" s="603"/>
      <c r="P45" s="597"/>
    </row>
    <row r="46" spans="1:16" s="594" customFormat="1" ht="17.100000000000001" customHeight="1" x14ac:dyDescent="0.25">
      <c r="A46" s="591"/>
      <c r="P46" s="591"/>
    </row>
    <row r="47" spans="1:16" s="594" customFormat="1" ht="17.100000000000001" customHeight="1" x14ac:dyDescent="0.2">
      <c r="A47" s="589"/>
      <c r="B47" s="591"/>
      <c r="C47" s="591"/>
      <c r="P47" s="589"/>
    </row>
    <row r="48" spans="1:16" s="594" customFormat="1" ht="17.100000000000001" customHeight="1" x14ac:dyDescent="0.2">
      <c r="A48" s="589"/>
      <c r="B48" s="597"/>
      <c r="C48" s="597"/>
      <c r="P48" s="589"/>
    </row>
    <row r="49" spans="1:16" s="594" customFormat="1" ht="17.100000000000001" customHeight="1" x14ac:dyDescent="0.25">
      <c r="A49" s="591"/>
      <c r="B49" s="591"/>
      <c r="C49" s="591"/>
      <c r="D49" s="591" t="s">
        <v>3213</v>
      </c>
      <c r="E49" s="591"/>
      <c r="F49" s="591"/>
      <c r="G49" s="591"/>
      <c r="H49" s="591"/>
      <c r="I49" s="591"/>
      <c r="J49" s="591"/>
      <c r="K49" s="591"/>
      <c r="L49" s="591"/>
      <c r="M49" s="591"/>
      <c r="N49" s="591"/>
      <c r="O49" s="591"/>
      <c r="P49" s="591"/>
    </row>
    <row r="50" spans="1:16" s="594" customFormat="1" ht="17.100000000000001" customHeight="1" x14ac:dyDescent="0.2">
      <c r="B50" s="589"/>
      <c r="C50" s="589"/>
      <c r="D50" s="597"/>
      <c r="E50" s="597"/>
      <c r="F50" s="597"/>
      <c r="G50" s="597"/>
      <c r="H50" s="597"/>
      <c r="I50" s="597"/>
      <c r="J50" s="597"/>
      <c r="K50" s="597"/>
      <c r="L50" s="597"/>
      <c r="M50" s="597"/>
      <c r="N50" s="597"/>
      <c r="O50" s="597"/>
    </row>
    <row r="51" spans="1:16" s="594" customFormat="1" ht="17.100000000000001" customHeight="1" x14ac:dyDescent="0.2">
      <c r="B51" s="589"/>
      <c r="C51" s="589"/>
      <c r="D51" s="591"/>
      <c r="E51" s="591"/>
      <c r="F51" s="591"/>
      <c r="G51" s="591"/>
      <c r="H51" s="591"/>
      <c r="I51" s="591"/>
      <c r="J51" s="591"/>
      <c r="K51" s="591"/>
      <c r="L51" s="591"/>
      <c r="M51" s="591"/>
      <c r="N51" s="591"/>
      <c r="O51" s="591"/>
    </row>
    <row r="52" spans="1:16" s="594" customFormat="1" ht="17.100000000000001" customHeight="1" x14ac:dyDescent="0.2">
      <c r="B52" s="591"/>
      <c r="C52" s="591"/>
      <c r="D52" s="589"/>
      <c r="E52" s="589"/>
      <c r="F52" s="589"/>
      <c r="G52" s="589"/>
      <c r="H52" s="589"/>
      <c r="I52" s="589"/>
      <c r="J52" s="589"/>
      <c r="K52" s="589"/>
      <c r="L52" s="589"/>
      <c r="M52" s="589"/>
      <c r="N52" s="589"/>
      <c r="O52" s="589"/>
    </row>
    <row r="53" spans="1:16" s="594" customFormat="1" ht="17.100000000000001" customHeight="1" x14ac:dyDescent="0.2">
      <c r="D53" s="589"/>
      <c r="E53" s="589"/>
      <c r="F53" s="589"/>
      <c r="G53" s="589"/>
      <c r="H53" s="589"/>
      <c r="I53" s="589"/>
      <c r="J53" s="589"/>
      <c r="K53" s="589"/>
      <c r="L53" s="589"/>
      <c r="M53" s="589"/>
      <c r="N53" s="589"/>
      <c r="O53" s="589"/>
    </row>
    <row r="54" spans="1:16" s="594" customFormat="1" ht="17.100000000000001" customHeight="1" x14ac:dyDescent="0.25">
      <c r="D54" s="591"/>
      <c r="E54" s="591"/>
      <c r="F54" s="591"/>
      <c r="G54" s="591"/>
      <c r="H54" s="591"/>
      <c r="I54" s="591"/>
      <c r="J54" s="591"/>
      <c r="K54" s="591"/>
      <c r="L54" s="591"/>
      <c r="M54" s="591"/>
      <c r="N54" s="591"/>
      <c r="O54" s="591"/>
    </row>
    <row r="55" spans="1:16" s="594" customFormat="1" ht="17.100000000000001" customHeight="1" x14ac:dyDescent="0.25"/>
    <row r="56" spans="1:16" s="594" customFormat="1" ht="17.100000000000001" customHeight="1" x14ac:dyDescent="0.25"/>
    <row r="57" spans="1:16" s="594" customFormat="1" ht="17.100000000000001" customHeight="1" x14ac:dyDescent="0.25"/>
    <row r="58" spans="1:16" s="591" customFormat="1" ht="15" customHeight="1" x14ac:dyDescent="0.25">
      <c r="A58" s="594"/>
      <c r="B58" s="594"/>
      <c r="C58" s="594"/>
      <c r="D58" s="594"/>
      <c r="E58" s="594"/>
      <c r="F58" s="594"/>
      <c r="G58" s="594"/>
      <c r="H58" s="594"/>
      <c r="I58" s="594"/>
      <c r="J58" s="594"/>
      <c r="K58" s="594"/>
      <c r="L58" s="594"/>
      <c r="M58" s="594"/>
      <c r="N58" s="594"/>
      <c r="O58" s="594"/>
      <c r="P58" s="594"/>
    </row>
    <row r="59" spans="1:16" s="597" customFormat="1" ht="5.0999999999999996" customHeight="1" x14ac:dyDescent="0.25">
      <c r="A59" s="594"/>
      <c r="B59" s="594"/>
      <c r="C59" s="594"/>
      <c r="D59" s="594"/>
      <c r="E59" s="594"/>
      <c r="F59" s="594"/>
      <c r="G59" s="594"/>
      <c r="H59" s="594"/>
      <c r="I59" s="594"/>
      <c r="J59" s="594"/>
      <c r="K59" s="594"/>
      <c r="L59" s="594"/>
      <c r="M59" s="594"/>
      <c r="N59" s="594"/>
      <c r="O59" s="594"/>
      <c r="P59" s="594"/>
    </row>
    <row r="60" spans="1:16" s="591" customFormat="1" ht="15" customHeight="1" x14ac:dyDescent="0.25">
      <c r="A60" s="594"/>
      <c r="B60" s="594"/>
      <c r="C60" s="594"/>
      <c r="D60" s="594"/>
      <c r="E60" s="594"/>
      <c r="F60" s="594"/>
      <c r="G60" s="594"/>
      <c r="H60" s="594"/>
      <c r="I60" s="594"/>
      <c r="J60" s="594"/>
      <c r="K60" s="594"/>
      <c r="L60" s="594"/>
      <c r="M60" s="594"/>
      <c r="N60" s="594"/>
      <c r="O60" s="594"/>
      <c r="P60" s="594"/>
    </row>
    <row r="61" spans="1:16" ht="30.75" customHeight="1" x14ac:dyDescent="0.2">
      <c r="A61" s="594"/>
      <c r="B61" s="594"/>
      <c r="C61" s="594"/>
      <c r="D61" s="594"/>
      <c r="E61" s="594"/>
      <c r="F61" s="594"/>
      <c r="G61" s="594"/>
      <c r="H61" s="594"/>
      <c r="I61" s="594"/>
      <c r="J61" s="594"/>
      <c r="K61" s="594"/>
      <c r="L61" s="594"/>
      <c r="M61" s="594"/>
      <c r="N61" s="594"/>
      <c r="O61" s="594"/>
      <c r="P61" s="594"/>
    </row>
    <row r="62" spans="1:16" ht="24" customHeight="1" x14ac:dyDescent="0.2">
      <c r="A62" s="594"/>
      <c r="B62" s="594"/>
      <c r="C62" s="594"/>
      <c r="D62" s="594"/>
      <c r="E62" s="594"/>
      <c r="F62" s="594"/>
      <c r="G62" s="594"/>
      <c r="H62" s="594"/>
      <c r="I62" s="594"/>
      <c r="J62" s="594"/>
      <c r="K62" s="594"/>
      <c r="L62" s="594"/>
      <c r="M62" s="594"/>
      <c r="N62" s="594"/>
      <c r="O62" s="594"/>
      <c r="P62" s="594"/>
    </row>
    <row r="63" spans="1:16" s="591" customFormat="1" ht="17.100000000000001" customHeight="1" x14ac:dyDescent="0.25">
      <c r="A63" s="594"/>
      <c r="B63" s="594"/>
      <c r="C63" s="594"/>
      <c r="D63" s="594"/>
      <c r="E63" s="594"/>
      <c r="F63" s="594"/>
      <c r="G63" s="594"/>
      <c r="H63" s="594"/>
      <c r="I63" s="594"/>
      <c r="J63" s="594"/>
      <c r="K63" s="594"/>
      <c r="L63" s="594"/>
      <c r="M63" s="594"/>
      <c r="N63" s="594"/>
      <c r="O63" s="594"/>
      <c r="P63" s="594"/>
    </row>
    <row r="64" spans="1:16" s="594" customFormat="1" ht="17.100000000000001" customHeight="1" x14ac:dyDescent="0.25">
      <c r="A64" s="591"/>
      <c r="P64" s="591"/>
    </row>
    <row r="65" spans="1:16" s="594" customFormat="1" ht="17.100000000000001" customHeight="1" x14ac:dyDescent="0.25">
      <c r="A65" s="597"/>
      <c r="P65" s="597"/>
    </row>
    <row r="66" spans="1:16" s="594" customFormat="1" ht="17.100000000000001" customHeight="1" x14ac:dyDescent="0.25">
      <c r="A66" s="591"/>
      <c r="P66" s="591"/>
    </row>
    <row r="67" spans="1:16" s="594" customFormat="1" ht="17.100000000000001" customHeight="1" x14ac:dyDescent="0.2">
      <c r="A67" s="589"/>
      <c r="B67" s="591"/>
      <c r="C67" s="591"/>
      <c r="P67" s="589"/>
    </row>
    <row r="68" spans="1:16" s="594" customFormat="1" ht="17.100000000000001" customHeight="1" x14ac:dyDescent="0.2">
      <c r="A68" s="589"/>
      <c r="B68" s="597"/>
      <c r="C68" s="597"/>
      <c r="P68" s="589"/>
    </row>
    <row r="69" spans="1:16" s="594" customFormat="1" ht="17.100000000000001" customHeight="1" x14ac:dyDescent="0.25">
      <c r="A69" s="591"/>
      <c r="B69" s="591"/>
      <c r="C69" s="591"/>
      <c r="D69" s="591"/>
      <c r="E69" s="591"/>
      <c r="F69" s="591"/>
      <c r="G69" s="591"/>
      <c r="H69" s="591"/>
      <c r="I69" s="591"/>
      <c r="J69" s="591"/>
      <c r="K69" s="591"/>
      <c r="L69" s="591"/>
      <c r="M69" s="591"/>
      <c r="N69" s="591"/>
      <c r="O69" s="591"/>
      <c r="P69" s="591"/>
    </row>
    <row r="70" spans="1:16" s="594" customFormat="1" ht="17.100000000000001" customHeight="1" x14ac:dyDescent="0.2">
      <c r="B70" s="589"/>
      <c r="C70" s="589"/>
      <c r="D70" s="597"/>
      <c r="E70" s="597"/>
      <c r="F70" s="597"/>
      <c r="G70" s="597"/>
      <c r="H70" s="597"/>
      <c r="I70" s="597"/>
      <c r="J70" s="597"/>
      <c r="K70" s="597"/>
      <c r="L70" s="597"/>
      <c r="M70" s="597"/>
      <c r="N70" s="597"/>
      <c r="O70" s="597"/>
    </row>
    <row r="71" spans="1:16" s="594" customFormat="1" ht="17.100000000000001" customHeight="1" x14ac:dyDescent="0.2">
      <c r="B71" s="589"/>
      <c r="C71" s="589"/>
      <c r="D71" s="591"/>
      <c r="E71" s="591"/>
      <c r="F71" s="591"/>
      <c r="G71" s="591"/>
      <c r="H71" s="591"/>
      <c r="I71" s="591"/>
      <c r="J71" s="591"/>
      <c r="K71" s="591"/>
      <c r="L71" s="591"/>
      <c r="M71" s="591"/>
      <c r="N71" s="591"/>
      <c r="O71" s="591"/>
    </row>
    <row r="72" spans="1:16" s="594" customFormat="1" ht="17.100000000000001" customHeight="1" x14ac:dyDescent="0.2">
      <c r="B72" s="591"/>
      <c r="C72" s="591"/>
      <c r="D72" s="589"/>
      <c r="E72" s="589"/>
      <c r="F72" s="589"/>
      <c r="G72" s="589"/>
      <c r="H72" s="589"/>
      <c r="I72" s="589"/>
      <c r="J72" s="589"/>
      <c r="K72" s="589"/>
      <c r="L72" s="589"/>
      <c r="M72" s="589"/>
      <c r="N72" s="589"/>
      <c r="O72" s="589"/>
    </row>
    <row r="73" spans="1:16" s="594" customFormat="1" ht="17.100000000000001" customHeight="1" x14ac:dyDescent="0.2">
      <c r="D73" s="589"/>
      <c r="E73" s="589"/>
      <c r="F73" s="589"/>
      <c r="G73" s="589"/>
      <c r="H73" s="589"/>
      <c r="I73" s="589"/>
      <c r="J73" s="589"/>
      <c r="K73" s="589"/>
      <c r="L73" s="589"/>
      <c r="M73" s="589"/>
      <c r="N73" s="589"/>
      <c r="O73" s="589"/>
    </row>
    <row r="74" spans="1:16" s="594" customFormat="1" ht="17.100000000000001" customHeight="1" x14ac:dyDescent="0.25">
      <c r="D74" s="591"/>
      <c r="E74" s="591"/>
      <c r="F74" s="591"/>
      <c r="G74" s="591"/>
      <c r="H74" s="591"/>
      <c r="I74" s="591"/>
      <c r="J74" s="591"/>
      <c r="K74" s="591"/>
      <c r="L74" s="591"/>
      <c r="M74" s="591"/>
      <c r="N74" s="591"/>
      <c r="O74" s="591"/>
    </row>
    <row r="75" spans="1:16" s="594" customFormat="1" ht="17.100000000000001" customHeight="1" x14ac:dyDescent="0.25"/>
    <row r="76" spans="1:16" s="594" customFormat="1" ht="17.100000000000001" customHeight="1" x14ac:dyDescent="0.25"/>
    <row r="77" spans="1:16" s="594" customFormat="1" ht="17.100000000000001" customHeight="1" x14ac:dyDescent="0.25"/>
    <row r="78" spans="1:16" s="591" customFormat="1" ht="15" customHeight="1" x14ac:dyDescent="0.25">
      <c r="A78" s="594"/>
      <c r="B78" s="594"/>
      <c r="C78" s="594"/>
      <c r="D78" s="594"/>
      <c r="E78" s="594"/>
      <c r="F78" s="594"/>
      <c r="G78" s="594"/>
      <c r="H78" s="594"/>
      <c r="I78" s="594"/>
      <c r="J78" s="594"/>
      <c r="K78" s="594"/>
      <c r="L78" s="594"/>
      <c r="M78" s="594"/>
      <c r="N78" s="594"/>
      <c r="O78" s="594"/>
      <c r="P78" s="594"/>
    </row>
    <row r="79" spans="1:16" s="597" customFormat="1" ht="5.0999999999999996" customHeight="1" x14ac:dyDescent="0.25">
      <c r="A79" s="594"/>
      <c r="B79" s="594"/>
      <c r="C79" s="594"/>
      <c r="D79" s="594"/>
      <c r="E79" s="594"/>
      <c r="F79" s="594"/>
      <c r="G79" s="594"/>
      <c r="H79" s="594"/>
      <c r="I79" s="594"/>
      <c r="J79" s="594"/>
      <c r="K79" s="594"/>
      <c r="L79" s="594"/>
      <c r="M79" s="594"/>
      <c r="N79" s="594"/>
      <c r="O79" s="594"/>
      <c r="P79" s="594"/>
    </row>
    <row r="80" spans="1:16" s="591" customFormat="1" ht="15" customHeight="1" x14ac:dyDescent="0.25">
      <c r="A80" s="594"/>
      <c r="B80" s="594"/>
      <c r="C80" s="594"/>
      <c r="D80" s="594"/>
      <c r="E80" s="594"/>
      <c r="F80" s="594"/>
      <c r="G80" s="594"/>
      <c r="H80" s="594"/>
      <c r="I80" s="594"/>
      <c r="J80" s="594"/>
      <c r="K80" s="594"/>
      <c r="L80" s="594"/>
      <c r="M80" s="594"/>
      <c r="N80" s="594"/>
      <c r="O80" s="594"/>
      <c r="P80" s="594"/>
    </row>
    <row r="81" spans="1:16" x14ac:dyDescent="0.2">
      <c r="A81" s="594"/>
      <c r="B81" s="594"/>
      <c r="C81" s="594"/>
      <c r="D81" s="594"/>
      <c r="E81" s="594"/>
      <c r="F81" s="594"/>
      <c r="G81" s="594"/>
      <c r="H81" s="594"/>
      <c r="I81" s="594"/>
      <c r="J81" s="594"/>
      <c r="K81" s="594"/>
      <c r="L81" s="594"/>
      <c r="M81" s="594"/>
      <c r="N81" s="594"/>
      <c r="O81" s="594"/>
      <c r="P81" s="594"/>
    </row>
    <row r="82" spans="1:16" ht="24" customHeight="1" x14ac:dyDescent="0.2">
      <c r="A82" s="594"/>
      <c r="B82" s="594"/>
      <c r="C82" s="594"/>
      <c r="D82" s="594"/>
      <c r="E82" s="594"/>
      <c r="F82" s="594"/>
      <c r="G82" s="594"/>
      <c r="H82" s="594"/>
      <c r="I82" s="594"/>
      <c r="J82" s="594"/>
      <c r="K82" s="594"/>
      <c r="L82" s="594"/>
      <c r="M82" s="594"/>
      <c r="N82" s="594"/>
      <c r="O82" s="594"/>
      <c r="P82" s="594"/>
    </row>
    <row r="83" spans="1:16" s="591" customFormat="1" ht="17.100000000000001" customHeight="1" x14ac:dyDescent="0.25">
      <c r="A83" s="594"/>
      <c r="B83" s="594"/>
      <c r="C83" s="594"/>
      <c r="D83" s="594"/>
      <c r="E83" s="594"/>
      <c r="F83" s="594"/>
      <c r="G83" s="594"/>
      <c r="H83" s="594"/>
      <c r="I83" s="594"/>
      <c r="J83" s="594"/>
      <c r="K83" s="594"/>
      <c r="L83" s="594"/>
      <c r="M83" s="594"/>
      <c r="N83" s="594"/>
      <c r="O83" s="594"/>
      <c r="P83" s="594"/>
    </row>
    <row r="84" spans="1:16" s="594" customFormat="1" ht="17.100000000000001" customHeight="1" x14ac:dyDescent="0.25">
      <c r="A84" s="591"/>
      <c r="P84" s="591"/>
    </row>
    <row r="85" spans="1:16" s="594" customFormat="1" ht="17.100000000000001" customHeight="1" x14ac:dyDescent="0.25">
      <c r="A85" s="597"/>
      <c r="P85" s="597"/>
    </row>
    <row r="86" spans="1:16" s="594" customFormat="1" ht="17.100000000000001" customHeight="1" x14ac:dyDescent="0.25">
      <c r="A86" s="591"/>
      <c r="P86" s="591"/>
    </row>
    <row r="87" spans="1:16" s="594" customFormat="1" ht="17.100000000000001" customHeight="1" x14ac:dyDescent="0.2">
      <c r="A87" s="589"/>
      <c r="B87" s="591"/>
      <c r="C87" s="591"/>
      <c r="P87" s="589"/>
    </row>
    <row r="88" spans="1:16" s="594" customFormat="1" ht="17.100000000000001" customHeight="1" x14ac:dyDescent="0.2">
      <c r="A88" s="589"/>
      <c r="B88" s="597"/>
      <c r="C88" s="597"/>
      <c r="P88" s="589"/>
    </row>
    <row r="89" spans="1:16" s="594" customFormat="1" ht="17.100000000000001" customHeight="1" x14ac:dyDescent="0.25">
      <c r="A89" s="591"/>
      <c r="B89" s="591"/>
      <c r="C89" s="591"/>
      <c r="D89" s="591"/>
      <c r="E89" s="591"/>
      <c r="F89" s="591"/>
      <c r="G89" s="591"/>
      <c r="H89" s="591"/>
      <c r="I89" s="591"/>
      <c r="J89" s="591"/>
      <c r="K89" s="591"/>
      <c r="L89" s="591"/>
      <c r="M89" s="591"/>
      <c r="N89" s="591"/>
      <c r="O89" s="591"/>
      <c r="P89" s="591"/>
    </row>
    <row r="90" spans="1:16" s="594" customFormat="1" ht="17.100000000000001" customHeight="1" x14ac:dyDescent="0.2">
      <c r="B90" s="589"/>
      <c r="C90" s="589"/>
      <c r="D90" s="597"/>
      <c r="E90" s="597"/>
      <c r="F90" s="597"/>
      <c r="G90" s="597"/>
      <c r="H90" s="597"/>
      <c r="I90" s="597"/>
      <c r="J90" s="597"/>
      <c r="K90" s="597"/>
      <c r="L90" s="597"/>
      <c r="M90" s="597"/>
      <c r="N90" s="597"/>
      <c r="O90" s="597"/>
    </row>
    <row r="91" spans="1:16" s="594" customFormat="1" ht="17.100000000000001" customHeight="1" x14ac:dyDescent="0.2">
      <c r="B91" s="589"/>
      <c r="C91" s="589"/>
      <c r="D91" s="591"/>
      <c r="E91" s="591"/>
      <c r="F91" s="591"/>
      <c r="G91" s="591"/>
      <c r="H91" s="591"/>
      <c r="I91" s="591"/>
      <c r="J91" s="591"/>
      <c r="K91" s="591"/>
      <c r="L91" s="591"/>
      <c r="M91" s="591"/>
      <c r="N91" s="591"/>
      <c r="O91" s="591"/>
    </row>
    <row r="92" spans="1:16" s="594" customFormat="1" ht="17.100000000000001" customHeight="1" x14ac:dyDescent="0.2">
      <c r="B92" s="591"/>
      <c r="C92" s="591"/>
      <c r="D92" s="589"/>
      <c r="E92" s="589"/>
      <c r="F92" s="589"/>
      <c r="G92" s="589"/>
      <c r="H92" s="589"/>
      <c r="I92" s="589"/>
      <c r="J92" s="589"/>
      <c r="K92" s="589"/>
      <c r="L92" s="589"/>
      <c r="M92" s="589"/>
      <c r="N92" s="589"/>
      <c r="O92" s="589"/>
    </row>
    <row r="93" spans="1:16" s="594" customFormat="1" ht="17.100000000000001" customHeight="1" x14ac:dyDescent="0.2">
      <c r="D93" s="589"/>
      <c r="E93" s="589"/>
      <c r="F93" s="589"/>
      <c r="G93" s="589"/>
      <c r="H93" s="589"/>
      <c r="I93" s="589"/>
      <c r="J93" s="589"/>
      <c r="K93" s="589"/>
      <c r="L93" s="589"/>
      <c r="M93" s="589"/>
      <c r="N93" s="589"/>
      <c r="O93" s="589"/>
    </row>
    <row r="94" spans="1:16" s="594" customFormat="1" ht="17.100000000000001" customHeight="1" x14ac:dyDescent="0.25">
      <c r="D94" s="591"/>
      <c r="E94" s="591"/>
      <c r="F94" s="591"/>
      <c r="G94" s="591"/>
      <c r="H94" s="591"/>
      <c r="I94" s="591"/>
      <c r="J94" s="591"/>
      <c r="K94" s="591"/>
      <c r="L94" s="591"/>
      <c r="M94" s="591"/>
      <c r="N94" s="591"/>
      <c r="O94" s="591"/>
    </row>
    <row r="95" spans="1:16" s="594" customFormat="1" ht="17.100000000000001" customHeight="1" x14ac:dyDescent="0.25"/>
    <row r="96" spans="1:16" s="594" customFormat="1" ht="17.100000000000001" customHeight="1" x14ac:dyDescent="0.25"/>
    <row r="97" spans="1:16" s="594" customFormat="1" ht="17.100000000000001" customHeight="1" x14ac:dyDescent="0.25"/>
    <row r="98" spans="1:16" s="591" customFormat="1" ht="15" customHeight="1" x14ac:dyDescent="0.25">
      <c r="A98" s="594"/>
      <c r="B98" s="594"/>
      <c r="C98" s="594"/>
      <c r="D98" s="594"/>
      <c r="E98" s="594"/>
      <c r="F98" s="594"/>
      <c r="G98" s="594"/>
      <c r="H98" s="594"/>
      <c r="I98" s="594"/>
      <c r="J98" s="594"/>
      <c r="K98" s="594"/>
      <c r="L98" s="594"/>
      <c r="M98" s="594"/>
      <c r="N98" s="594"/>
      <c r="O98" s="594"/>
      <c r="P98" s="594"/>
    </row>
    <row r="99" spans="1:16" s="597" customFormat="1" ht="5.0999999999999996" customHeight="1" x14ac:dyDescent="0.25">
      <c r="A99" s="594"/>
      <c r="B99" s="594"/>
      <c r="C99" s="594"/>
      <c r="D99" s="594"/>
      <c r="E99" s="594"/>
      <c r="F99" s="594"/>
      <c r="G99" s="594"/>
      <c r="H99" s="594"/>
      <c r="I99" s="594"/>
      <c r="J99" s="594"/>
      <c r="K99" s="594"/>
      <c r="L99" s="594"/>
      <c r="M99" s="594"/>
      <c r="N99" s="594"/>
      <c r="O99" s="594"/>
      <c r="P99" s="594"/>
    </row>
    <row r="100" spans="1:16" s="591" customFormat="1" ht="15" customHeight="1" x14ac:dyDescent="0.25">
      <c r="A100" s="594"/>
      <c r="B100" s="594"/>
      <c r="C100" s="594"/>
      <c r="D100" s="594"/>
      <c r="E100" s="594"/>
      <c r="F100" s="594"/>
      <c r="G100" s="594"/>
      <c r="H100" s="594"/>
      <c r="I100" s="594"/>
      <c r="J100" s="594"/>
      <c r="K100" s="594"/>
      <c r="L100" s="594"/>
      <c r="M100" s="594"/>
      <c r="N100" s="594"/>
      <c r="O100" s="594"/>
      <c r="P100" s="594"/>
    </row>
    <row r="101" spans="1:16" x14ac:dyDescent="0.2">
      <c r="A101" s="594"/>
      <c r="B101" s="594"/>
      <c r="C101" s="594"/>
      <c r="D101" s="594"/>
      <c r="E101" s="594"/>
      <c r="F101" s="594"/>
      <c r="G101" s="594"/>
      <c r="H101" s="594"/>
      <c r="I101" s="594"/>
      <c r="J101" s="594"/>
      <c r="K101" s="594"/>
      <c r="L101" s="594"/>
      <c r="M101" s="594"/>
      <c r="N101" s="594"/>
      <c r="O101" s="594"/>
      <c r="P101" s="594"/>
    </row>
    <row r="102" spans="1:16" ht="21.75" customHeight="1" x14ac:dyDescent="0.2">
      <c r="A102" s="594"/>
      <c r="B102" s="594"/>
      <c r="C102" s="594"/>
      <c r="D102" s="594"/>
      <c r="E102" s="594"/>
      <c r="F102" s="594"/>
      <c r="G102" s="594"/>
      <c r="H102" s="594"/>
      <c r="I102" s="594"/>
      <c r="J102" s="594"/>
      <c r="K102" s="594"/>
      <c r="L102" s="594"/>
      <c r="M102" s="594"/>
      <c r="N102" s="594"/>
      <c r="O102" s="594"/>
      <c r="P102" s="594"/>
    </row>
    <row r="103" spans="1:16" x14ac:dyDescent="0.2">
      <c r="A103" s="594"/>
      <c r="B103" s="594"/>
      <c r="C103" s="594"/>
      <c r="D103" s="594"/>
      <c r="E103" s="594"/>
      <c r="F103" s="594"/>
      <c r="G103" s="594"/>
      <c r="H103" s="594"/>
      <c r="I103" s="594"/>
      <c r="J103" s="594"/>
      <c r="K103" s="594"/>
      <c r="L103" s="594"/>
      <c r="M103" s="594"/>
      <c r="N103" s="594"/>
      <c r="O103" s="594"/>
      <c r="P103" s="594"/>
    </row>
    <row r="104" spans="1:16" x14ac:dyDescent="0.2">
      <c r="A104" s="591"/>
      <c r="B104" s="594"/>
      <c r="C104" s="594"/>
      <c r="D104" s="594"/>
      <c r="E104" s="594"/>
      <c r="F104" s="594"/>
      <c r="G104" s="594"/>
      <c r="H104" s="594"/>
      <c r="I104" s="594"/>
      <c r="J104" s="594"/>
      <c r="K104" s="594"/>
      <c r="L104" s="594"/>
      <c r="M104" s="594"/>
      <c r="N104" s="594"/>
      <c r="O104" s="594"/>
      <c r="P104" s="591"/>
    </row>
    <row r="105" spans="1:16" x14ac:dyDescent="0.2">
      <c r="A105" s="597"/>
      <c r="B105" s="594"/>
      <c r="C105" s="594"/>
      <c r="D105" s="594"/>
      <c r="E105" s="594"/>
      <c r="F105" s="594"/>
      <c r="G105" s="594"/>
      <c r="H105" s="594"/>
      <c r="I105" s="594"/>
      <c r="J105" s="594"/>
      <c r="K105" s="594"/>
      <c r="L105" s="594"/>
      <c r="M105" s="594"/>
      <c r="N105" s="594"/>
      <c r="O105" s="594"/>
      <c r="P105" s="597"/>
    </row>
    <row r="106" spans="1:16" x14ac:dyDescent="0.2">
      <c r="A106" s="591"/>
      <c r="B106" s="594"/>
      <c r="C106" s="594"/>
      <c r="D106" s="594"/>
      <c r="E106" s="594"/>
      <c r="F106" s="594"/>
      <c r="G106" s="594"/>
      <c r="H106" s="594"/>
      <c r="I106" s="594"/>
      <c r="J106" s="594"/>
      <c r="K106" s="594"/>
      <c r="L106" s="594"/>
      <c r="M106" s="594"/>
      <c r="N106" s="594"/>
      <c r="O106" s="594"/>
      <c r="P106" s="591"/>
    </row>
    <row r="107" spans="1:16" x14ac:dyDescent="0.2">
      <c r="B107" s="591"/>
      <c r="C107" s="591"/>
      <c r="D107" s="594"/>
      <c r="E107" s="594"/>
      <c r="F107" s="594"/>
      <c r="G107" s="594"/>
      <c r="H107" s="594"/>
      <c r="I107" s="594"/>
      <c r="J107" s="594"/>
      <c r="K107" s="594"/>
      <c r="L107" s="594"/>
      <c r="M107" s="594"/>
      <c r="N107" s="594"/>
      <c r="O107" s="594"/>
    </row>
    <row r="108" spans="1:16" x14ac:dyDescent="0.2">
      <c r="B108" s="597"/>
      <c r="C108" s="597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</row>
    <row r="109" spans="1:16" x14ac:dyDescent="0.2">
      <c r="B109" s="591"/>
      <c r="C109" s="591"/>
      <c r="D109" s="591"/>
      <c r="E109" s="591"/>
      <c r="F109" s="591"/>
      <c r="G109" s="591"/>
      <c r="H109" s="591"/>
      <c r="I109" s="591"/>
      <c r="J109" s="591"/>
      <c r="K109" s="591"/>
      <c r="L109" s="591"/>
      <c r="M109" s="591"/>
      <c r="N109" s="591"/>
      <c r="O109" s="591"/>
    </row>
    <row r="110" spans="1:16" x14ac:dyDescent="0.2">
      <c r="D110" s="597"/>
      <c r="E110" s="597"/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</row>
    <row r="111" spans="1:16" x14ac:dyDescent="0.2">
      <c r="D111" s="591"/>
      <c r="E111" s="591"/>
      <c r="F111" s="591"/>
      <c r="G111" s="591"/>
      <c r="H111" s="591"/>
      <c r="I111" s="591"/>
      <c r="J111" s="591"/>
      <c r="K111" s="591"/>
      <c r="L111" s="591"/>
      <c r="M111" s="591"/>
      <c r="N111" s="591"/>
      <c r="O111" s="591"/>
    </row>
  </sheetData>
  <mergeCells count="30">
    <mergeCell ref="B43:C43"/>
    <mergeCell ref="B44:C44"/>
    <mergeCell ref="B36:B38"/>
    <mergeCell ref="P36:P38"/>
    <mergeCell ref="B39:B41"/>
    <mergeCell ref="P39:P41"/>
    <mergeCell ref="B27:B29"/>
    <mergeCell ref="P27:P29"/>
    <mergeCell ref="B30:B32"/>
    <mergeCell ref="P30:P32"/>
    <mergeCell ref="B33:B35"/>
    <mergeCell ref="P33:P35"/>
    <mergeCell ref="B24:B26"/>
    <mergeCell ref="P24:P26"/>
    <mergeCell ref="B15:B17"/>
    <mergeCell ref="P15:P17"/>
    <mergeCell ref="B18:B20"/>
    <mergeCell ref="P18:P20"/>
    <mergeCell ref="B9:B11"/>
    <mergeCell ref="P9:P11"/>
    <mergeCell ref="B12:B14"/>
    <mergeCell ref="P12:P14"/>
    <mergeCell ref="B21:B23"/>
    <mergeCell ref="P21:P23"/>
    <mergeCell ref="B1:P1"/>
    <mergeCell ref="B3:B5"/>
    <mergeCell ref="P3:P5"/>
    <mergeCell ref="B6:B8"/>
    <mergeCell ref="P6:P8"/>
    <mergeCell ref="B2:C2"/>
  </mergeCells>
  <printOptions horizontalCentered="1"/>
  <pageMargins left="0.11811023622047245" right="0.11811023622047245" top="0.55118110236220474" bottom="0.55118110236220474" header="0.31496062992125984" footer="0.31496062992125984"/>
  <pageSetup scale="68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9"/>
  <sheetViews>
    <sheetView tabSelected="1" workbookViewId="0">
      <selection activeCell="C3" sqref="C3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3213</v>
      </c>
      <c r="C1" s="10" t="s">
        <v>3214</v>
      </c>
      <c r="D1" s="11" t="s">
        <v>108</v>
      </c>
      <c r="E1" s="10" t="s">
        <v>113</v>
      </c>
      <c r="F1" s="10" t="s">
        <v>109</v>
      </c>
      <c r="G1" s="11" t="s">
        <v>110</v>
      </c>
      <c r="H1" s="10" t="s">
        <v>117</v>
      </c>
      <c r="I1" s="10" t="s">
        <v>111</v>
      </c>
      <c r="J1" s="11" t="s">
        <v>112</v>
      </c>
    </row>
    <row r="2" spans="1:10" x14ac:dyDescent="0.25">
      <c r="A2" s="9" t="s">
        <v>21</v>
      </c>
      <c r="B2" s="608" t="s">
        <v>3246</v>
      </c>
      <c r="C2" s="609">
        <v>859161</v>
      </c>
      <c r="D2" s="90" t="s">
        <v>3247</v>
      </c>
      <c r="E2" s="90">
        <v>8599161</v>
      </c>
      <c r="F2" s="610">
        <v>42037</v>
      </c>
      <c r="G2" s="90" t="s">
        <v>3248</v>
      </c>
      <c r="H2" s="90">
        <v>859161</v>
      </c>
      <c r="I2" s="610">
        <v>42126</v>
      </c>
      <c r="J2" s="9" t="s">
        <v>3249</v>
      </c>
    </row>
    <row r="3" spans="1:10" x14ac:dyDescent="0.25">
      <c r="A3" s="9" t="s">
        <v>33</v>
      </c>
      <c r="B3" s="90" t="s">
        <v>3246</v>
      </c>
      <c r="C3" s="609">
        <v>57097</v>
      </c>
      <c r="D3" s="90" t="s">
        <v>3247</v>
      </c>
      <c r="E3" s="90">
        <v>57097</v>
      </c>
      <c r="F3" s="90" t="s">
        <v>3250</v>
      </c>
      <c r="G3" s="90">
        <v>48798</v>
      </c>
      <c r="H3" s="90">
        <v>57097</v>
      </c>
      <c r="I3" s="90" t="s">
        <v>3251</v>
      </c>
      <c r="J3" s="9" t="s">
        <v>3252</v>
      </c>
    </row>
    <row r="4" spans="1:10" x14ac:dyDescent="0.25">
      <c r="A4" s="9"/>
      <c r="B4" s="90"/>
      <c r="C4" s="609"/>
      <c r="D4" s="90"/>
      <c r="E4" s="90"/>
      <c r="F4" s="90"/>
      <c r="G4" s="90"/>
      <c r="H4" s="90"/>
      <c r="I4" s="90"/>
      <c r="J4" s="9"/>
    </row>
    <row r="5" spans="1:10" x14ac:dyDescent="0.25">
      <c r="A5" s="9"/>
      <c r="B5" s="90"/>
      <c r="C5" s="90"/>
      <c r="D5" s="90"/>
      <c r="E5" s="90"/>
      <c r="F5" s="90"/>
      <c r="G5" s="90"/>
      <c r="H5" s="90"/>
      <c r="I5" s="90"/>
      <c r="J5" s="9"/>
    </row>
    <row r="6" spans="1:10" x14ac:dyDescent="0.25">
      <c r="A6" s="9"/>
      <c r="B6" s="90"/>
      <c r="C6" s="90"/>
      <c r="D6" s="90"/>
      <c r="E6" s="90"/>
      <c r="F6" s="90"/>
      <c r="G6" s="90"/>
      <c r="H6" s="90"/>
      <c r="I6" s="90"/>
      <c r="J6" s="9"/>
    </row>
    <row r="7" spans="1:10" x14ac:dyDescent="0.25">
      <c r="A7" s="9"/>
      <c r="B7" s="90"/>
      <c r="C7" s="90"/>
      <c r="D7" s="90"/>
      <c r="E7" s="90"/>
      <c r="F7" s="90"/>
      <c r="G7" s="90"/>
      <c r="H7" s="90"/>
      <c r="I7" s="90"/>
      <c r="J7" s="9"/>
    </row>
    <row r="8" spans="1:10" x14ac:dyDescent="0.25">
      <c r="A8" s="9"/>
      <c r="B8" s="90"/>
      <c r="C8" s="90"/>
      <c r="D8" s="90"/>
      <c r="E8" s="90"/>
      <c r="F8" s="90"/>
      <c r="G8" s="90"/>
      <c r="H8" s="90"/>
      <c r="I8" s="90"/>
      <c r="J8" s="9"/>
    </row>
    <row r="9" spans="1:10" x14ac:dyDescent="0.25">
      <c r="A9" s="9"/>
      <c r="B9" s="90"/>
      <c r="C9" s="90"/>
      <c r="D9" s="90"/>
      <c r="E9" s="90"/>
      <c r="F9" s="90"/>
      <c r="G9" s="90"/>
      <c r="H9" s="90"/>
      <c r="I9" s="90"/>
      <c r="J9" s="9"/>
    </row>
    <row r="10" spans="1:10" x14ac:dyDescent="0.25">
      <c r="A10" s="9"/>
      <c r="B10" s="90"/>
      <c r="C10" s="90"/>
      <c r="D10" s="90"/>
      <c r="E10" s="90"/>
      <c r="F10" s="689"/>
      <c r="G10" s="90"/>
      <c r="H10" s="90"/>
      <c r="I10" s="90"/>
      <c r="J10" s="9"/>
    </row>
    <row r="11" spans="1:10" x14ac:dyDescent="0.25">
      <c r="A11" s="9"/>
      <c r="B11" s="90"/>
      <c r="C11" s="90"/>
      <c r="D11" s="90"/>
      <c r="E11" s="90"/>
      <c r="F11" s="90"/>
      <c r="G11" s="90"/>
      <c r="H11" s="90"/>
      <c r="I11" s="90"/>
      <c r="J11" s="9"/>
    </row>
    <row r="12" spans="1:10" x14ac:dyDescent="0.25">
      <c r="A12" s="9"/>
      <c r="B12" s="90"/>
      <c r="C12" s="90"/>
      <c r="D12" s="90"/>
      <c r="E12" s="90"/>
      <c r="F12" s="90"/>
      <c r="G12" s="90"/>
      <c r="H12" s="90"/>
      <c r="I12" s="90"/>
      <c r="J12" s="9"/>
    </row>
    <row r="13" spans="1:10" x14ac:dyDescent="0.25">
      <c r="A13" s="9"/>
      <c r="B13" s="90"/>
      <c r="C13" s="90"/>
      <c r="D13" s="90"/>
      <c r="E13" s="90"/>
      <c r="F13" s="90"/>
      <c r="G13" s="90"/>
      <c r="H13" s="90"/>
      <c r="I13" s="90"/>
      <c r="J13" s="9"/>
    </row>
    <row r="14" spans="1:10" x14ac:dyDescent="0.25">
      <c r="A14" s="9"/>
      <c r="B14" s="90"/>
      <c r="C14" s="90"/>
      <c r="D14" s="90"/>
      <c r="E14" s="90"/>
      <c r="F14" s="90"/>
      <c r="G14" s="90"/>
      <c r="H14" s="90"/>
      <c r="I14" s="90"/>
      <c r="J14" s="9"/>
    </row>
    <row r="15" spans="1:10" x14ac:dyDescent="0.25">
      <c r="A15" s="9"/>
      <c r="B15" s="90"/>
      <c r="C15" s="90"/>
      <c r="D15" s="90"/>
      <c r="E15" s="90"/>
      <c r="F15" s="90"/>
      <c r="G15" s="90"/>
      <c r="H15" s="90"/>
      <c r="I15" s="90"/>
      <c r="J15" s="9"/>
    </row>
    <row r="16" spans="1:10" x14ac:dyDescent="0.25">
      <c r="A16" s="9"/>
      <c r="B16" s="90"/>
      <c r="C16" s="90"/>
      <c r="D16" s="90"/>
      <c r="E16" s="90"/>
      <c r="F16" s="90"/>
      <c r="G16" s="90"/>
      <c r="H16" s="90"/>
      <c r="I16" s="90"/>
      <c r="J16" s="9"/>
    </row>
    <row r="17" spans="1:10" x14ac:dyDescent="0.25">
      <c r="A17" s="9"/>
      <c r="B17" s="90"/>
      <c r="C17" s="90"/>
      <c r="D17" s="90"/>
      <c r="E17" s="90"/>
      <c r="F17" s="90"/>
      <c r="G17" s="90"/>
      <c r="H17" s="90"/>
      <c r="I17" s="90"/>
      <c r="J17" s="9"/>
    </row>
    <row r="18" spans="1:10" x14ac:dyDescent="0.25">
      <c r="A18" s="9"/>
      <c r="B18" s="90"/>
      <c r="C18" s="90"/>
      <c r="D18" s="90"/>
      <c r="E18" s="90"/>
      <c r="F18" s="90"/>
      <c r="G18" s="90"/>
      <c r="H18" s="90"/>
      <c r="I18" s="90"/>
      <c r="J18" s="9"/>
    </row>
    <row r="19" spans="1:10" x14ac:dyDescent="0.25">
      <c r="A19" s="9"/>
      <c r="B19" s="90"/>
      <c r="C19" s="90"/>
      <c r="D19" s="90"/>
      <c r="E19" s="90"/>
      <c r="F19" s="90"/>
      <c r="G19" s="90"/>
      <c r="H19" s="90"/>
      <c r="I19" s="90"/>
      <c r="J19" s="9"/>
    </row>
  </sheetData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37" workbookViewId="0">
      <selection activeCell="E37" sqref="E3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19" customWidth="1"/>
    <col min="5" max="5" width="38.85546875" customWidth="1"/>
    <col min="6" max="6" width="11.85546875" customWidth="1"/>
  </cols>
  <sheetData>
    <row r="1" spans="1:6" ht="24" x14ac:dyDescent="0.25">
      <c r="A1" s="17" t="s">
        <v>328</v>
      </c>
      <c r="B1" s="17" t="s">
        <v>329</v>
      </c>
      <c r="C1" s="17" t="s">
        <v>330</v>
      </c>
      <c r="D1" s="18" t="s">
        <v>331</v>
      </c>
      <c r="E1" s="17" t="s">
        <v>332</v>
      </c>
      <c r="F1" s="74" t="s">
        <v>362</v>
      </c>
    </row>
    <row r="2" spans="1:6" ht="22.5" x14ac:dyDescent="0.25">
      <c r="A2" s="16" t="s">
        <v>189</v>
      </c>
      <c r="B2" s="16" t="s">
        <v>241</v>
      </c>
      <c r="C2" s="16"/>
      <c r="D2" s="23"/>
      <c r="E2" s="25" t="s">
        <v>114</v>
      </c>
      <c r="F2" s="63">
        <v>33370.239999999998</v>
      </c>
    </row>
    <row r="3" spans="1:6" ht="22.5" x14ac:dyDescent="0.25">
      <c r="A3" s="16" t="s">
        <v>188</v>
      </c>
      <c r="B3" s="16" t="s">
        <v>241</v>
      </c>
      <c r="C3" s="16"/>
      <c r="D3" s="23"/>
      <c r="E3" s="25" t="s">
        <v>334</v>
      </c>
      <c r="F3" s="63">
        <v>29439.999999999996</v>
      </c>
    </row>
    <row r="4" spans="1:6" ht="33.75" x14ac:dyDescent="0.25">
      <c r="A4" s="16" t="s">
        <v>242</v>
      </c>
      <c r="B4" s="16" t="s">
        <v>241</v>
      </c>
      <c r="C4" s="16" t="s">
        <v>333</v>
      </c>
      <c r="D4" s="23"/>
      <c r="E4" s="25" t="s">
        <v>335</v>
      </c>
      <c r="F4" s="63">
        <v>51627.64</v>
      </c>
    </row>
    <row r="5" spans="1:6" ht="22.5" x14ac:dyDescent="0.25">
      <c r="A5" s="16" t="s">
        <v>243</v>
      </c>
      <c r="B5" s="16" t="s">
        <v>241</v>
      </c>
      <c r="C5" s="24" t="s">
        <v>336</v>
      </c>
      <c r="D5" s="23"/>
      <c r="E5" s="25" t="s">
        <v>337</v>
      </c>
      <c r="F5" s="63">
        <v>7100.56</v>
      </c>
    </row>
    <row r="6" spans="1:6" x14ac:dyDescent="0.25">
      <c r="A6" s="22" t="s">
        <v>191</v>
      </c>
      <c r="B6" s="22" t="s">
        <v>244</v>
      </c>
      <c r="C6" s="26"/>
      <c r="D6" s="27"/>
      <c r="E6" s="28" t="s">
        <v>190</v>
      </c>
      <c r="F6" s="64">
        <v>57959.999999999993</v>
      </c>
    </row>
    <row r="7" spans="1:6" ht="22.5" x14ac:dyDescent="0.25">
      <c r="A7" s="22" t="s">
        <v>229</v>
      </c>
      <c r="B7" s="22" t="s">
        <v>244</v>
      </c>
      <c r="C7" s="26" t="s">
        <v>325</v>
      </c>
      <c r="D7" s="27"/>
      <c r="E7" s="28" t="s">
        <v>338</v>
      </c>
      <c r="F7" s="64">
        <v>57959.999999999993</v>
      </c>
    </row>
    <row r="8" spans="1:6" x14ac:dyDescent="0.25">
      <c r="A8" s="22" t="s">
        <v>181</v>
      </c>
      <c r="B8" s="22" t="s">
        <v>244</v>
      </c>
      <c r="C8" s="26"/>
      <c r="D8" s="27"/>
      <c r="E8" s="28" t="s">
        <v>180</v>
      </c>
      <c r="F8" s="64">
        <v>55061.999999999993</v>
      </c>
    </row>
    <row r="9" spans="1:6" x14ac:dyDescent="0.25">
      <c r="A9" s="22" t="s">
        <v>206</v>
      </c>
      <c r="B9" s="22" t="s">
        <v>244</v>
      </c>
      <c r="C9" s="26"/>
      <c r="D9" s="27"/>
      <c r="E9" s="28" t="s">
        <v>205</v>
      </c>
      <c r="F9" s="64">
        <v>55061.999999999993</v>
      </c>
    </row>
    <row r="10" spans="1:6" x14ac:dyDescent="0.25">
      <c r="A10" s="22" t="s">
        <v>245</v>
      </c>
      <c r="B10" s="22" t="s">
        <v>244</v>
      </c>
      <c r="C10" s="26"/>
      <c r="D10" s="27"/>
      <c r="E10" s="28" t="s">
        <v>339</v>
      </c>
      <c r="F10" s="64">
        <v>115919.99999999999</v>
      </c>
    </row>
    <row r="11" spans="1:6" x14ac:dyDescent="0.25">
      <c r="A11" s="22" t="s">
        <v>185</v>
      </c>
      <c r="B11" s="22" t="s">
        <v>244</v>
      </c>
      <c r="C11" s="26"/>
      <c r="D11" s="27"/>
      <c r="E11" s="28" t="s">
        <v>184</v>
      </c>
      <c r="F11" s="64">
        <v>149730</v>
      </c>
    </row>
    <row r="12" spans="1:6" x14ac:dyDescent="0.25">
      <c r="A12" s="22" t="s">
        <v>246</v>
      </c>
      <c r="B12" s="22" t="s">
        <v>244</v>
      </c>
      <c r="C12" s="26" t="s">
        <v>325</v>
      </c>
      <c r="D12" s="27"/>
      <c r="E12" s="28" t="s">
        <v>340</v>
      </c>
      <c r="F12" s="64">
        <v>57959.999999999993</v>
      </c>
    </row>
    <row r="13" spans="1:6" x14ac:dyDescent="0.25">
      <c r="A13" s="29" t="s">
        <v>201</v>
      </c>
      <c r="B13" s="29" t="s">
        <v>247</v>
      </c>
      <c r="C13" s="30"/>
      <c r="D13" s="31"/>
      <c r="E13" s="32" t="s">
        <v>574</v>
      </c>
      <c r="F13" s="65">
        <v>49701.159999999996</v>
      </c>
    </row>
    <row r="14" spans="1:6" x14ac:dyDescent="0.25">
      <c r="A14" s="29" t="s">
        <v>178</v>
      </c>
      <c r="B14" s="29" t="s">
        <v>247</v>
      </c>
      <c r="C14" s="30"/>
      <c r="D14" s="31"/>
      <c r="E14" s="32" t="s">
        <v>3144</v>
      </c>
      <c r="F14" s="65">
        <v>49701.159999999996</v>
      </c>
    </row>
    <row r="15" spans="1:6" x14ac:dyDescent="0.25">
      <c r="A15" s="37" t="s">
        <v>174</v>
      </c>
      <c r="B15" s="37" t="s">
        <v>248</v>
      </c>
      <c r="C15" s="38"/>
      <c r="D15" s="39"/>
      <c r="E15" s="40" t="s">
        <v>115</v>
      </c>
      <c r="F15" s="66">
        <v>5274.3600000000006</v>
      </c>
    </row>
    <row r="16" spans="1:6" x14ac:dyDescent="0.25">
      <c r="A16" s="37" t="s">
        <v>173</v>
      </c>
      <c r="B16" s="37" t="s">
        <v>248</v>
      </c>
      <c r="C16" s="38"/>
      <c r="D16" s="39"/>
      <c r="E16" s="40" t="s">
        <v>173</v>
      </c>
      <c r="F16" s="66">
        <v>5274.3600000000006</v>
      </c>
    </row>
    <row r="17" spans="1:6" x14ac:dyDescent="0.25">
      <c r="A17" s="37" t="s">
        <v>249</v>
      </c>
      <c r="B17" s="37" t="s">
        <v>248</v>
      </c>
      <c r="C17" s="38"/>
      <c r="D17" s="39"/>
      <c r="E17" s="40"/>
      <c r="F17" s="66">
        <v>0</v>
      </c>
    </row>
    <row r="18" spans="1:6" x14ac:dyDescent="0.25">
      <c r="A18" s="37" t="s">
        <v>250</v>
      </c>
      <c r="B18" s="37" t="s">
        <v>248</v>
      </c>
      <c r="C18" s="38"/>
      <c r="D18" s="39"/>
      <c r="E18" s="40"/>
      <c r="F18" s="66">
        <v>0</v>
      </c>
    </row>
    <row r="19" spans="1:6" x14ac:dyDescent="0.25">
      <c r="A19" s="33" t="s">
        <v>204</v>
      </c>
      <c r="B19" s="33" t="s">
        <v>251</v>
      </c>
      <c r="C19" s="34"/>
      <c r="D19" s="35"/>
      <c r="E19" s="36" t="s">
        <v>534</v>
      </c>
      <c r="F19" s="67">
        <v>30428.999999999996</v>
      </c>
    </row>
    <row r="20" spans="1:6" x14ac:dyDescent="0.25">
      <c r="A20" s="33" t="s">
        <v>179</v>
      </c>
      <c r="B20" s="33" t="s">
        <v>251</v>
      </c>
      <c r="C20" s="34"/>
      <c r="D20" s="35"/>
      <c r="E20" s="36"/>
      <c r="F20" s="67">
        <v>30428.999999999996</v>
      </c>
    </row>
    <row r="21" spans="1:6" x14ac:dyDescent="0.25">
      <c r="A21" s="33" t="s">
        <v>252</v>
      </c>
      <c r="B21" s="33" t="s">
        <v>251</v>
      </c>
      <c r="C21" s="34"/>
      <c r="D21" s="35"/>
      <c r="E21" s="36"/>
      <c r="F21" s="67">
        <v>33472.36</v>
      </c>
    </row>
    <row r="22" spans="1:6" x14ac:dyDescent="0.25">
      <c r="A22" s="33" t="s">
        <v>253</v>
      </c>
      <c r="B22" s="33" t="s">
        <v>251</v>
      </c>
      <c r="C22" s="34"/>
      <c r="D22" s="35"/>
      <c r="E22" s="36"/>
      <c r="F22" s="67">
        <v>15214.960000000001</v>
      </c>
    </row>
    <row r="23" spans="1:6" x14ac:dyDescent="0.25">
      <c r="A23" s="33" t="s">
        <v>254</v>
      </c>
      <c r="B23" s="33" t="s">
        <v>251</v>
      </c>
      <c r="C23" s="34" t="s">
        <v>341</v>
      </c>
      <c r="D23" s="35"/>
      <c r="E23" s="36"/>
      <c r="F23" s="67">
        <v>9129.16</v>
      </c>
    </row>
    <row r="24" spans="1:6" x14ac:dyDescent="0.25">
      <c r="A24" s="41" t="s">
        <v>256</v>
      </c>
      <c r="B24" s="41" t="s">
        <v>255</v>
      </c>
      <c r="C24" s="42"/>
      <c r="D24" s="43"/>
      <c r="E24" s="44" t="s">
        <v>351</v>
      </c>
      <c r="F24" s="68">
        <v>9129.16</v>
      </c>
    </row>
    <row r="25" spans="1:6" x14ac:dyDescent="0.25">
      <c r="A25" s="41" t="s">
        <v>257</v>
      </c>
      <c r="B25" s="41" t="s">
        <v>255</v>
      </c>
      <c r="C25" s="42"/>
      <c r="D25" s="43"/>
      <c r="E25" s="44"/>
      <c r="F25" s="68">
        <v>13186.36</v>
      </c>
    </row>
    <row r="26" spans="1:6" x14ac:dyDescent="0.25">
      <c r="A26" s="41" t="s">
        <v>258</v>
      </c>
      <c r="B26" s="41" t="s">
        <v>255</v>
      </c>
      <c r="C26" s="42"/>
      <c r="D26" s="43"/>
      <c r="E26" s="44" t="s">
        <v>352</v>
      </c>
      <c r="F26" s="68">
        <v>24343.199999999997</v>
      </c>
    </row>
    <row r="27" spans="1:6" x14ac:dyDescent="0.25">
      <c r="A27" s="41" t="s">
        <v>259</v>
      </c>
      <c r="B27" s="41" t="s">
        <v>255</v>
      </c>
      <c r="C27" s="42"/>
      <c r="D27" s="43"/>
      <c r="E27" s="44"/>
      <c r="F27" s="68">
        <v>45643.96</v>
      </c>
    </row>
    <row r="28" spans="1:6" x14ac:dyDescent="0.25">
      <c r="A28" s="41" t="s">
        <v>203</v>
      </c>
      <c r="B28" s="41" t="s">
        <v>255</v>
      </c>
      <c r="C28" s="42"/>
      <c r="D28" s="43"/>
      <c r="E28" s="44" t="s">
        <v>202</v>
      </c>
      <c r="F28" s="68">
        <v>17243.560000000001</v>
      </c>
    </row>
    <row r="29" spans="1:6" x14ac:dyDescent="0.25">
      <c r="A29" s="41" t="s">
        <v>209</v>
      </c>
      <c r="B29" s="41" t="s">
        <v>255</v>
      </c>
      <c r="C29" s="42"/>
      <c r="D29" s="43"/>
      <c r="E29" s="44" t="s">
        <v>208</v>
      </c>
      <c r="F29" s="68">
        <v>14098.999999999998</v>
      </c>
    </row>
    <row r="30" spans="1:6" x14ac:dyDescent="0.25">
      <c r="A30" s="41" t="s">
        <v>210</v>
      </c>
      <c r="B30" s="41" t="s">
        <v>255</v>
      </c>
      <c r="C30" s="42"/>
      <c r="D30" s="43"/>
      <c r="E30" s="44" t="s">
        <v>350</v>
      </c>
      <c r="F30" s="68">
        <v>23836.28</v>
      </c>
    </row>
    <row r="31" spans="1:6" x14ac:dyDescent="0.25">
      <c r="A31" s="41" t="s">
        <v>228</v>
      </c>
      <c r="B31" s="41" t="s">
        <v>255</v>
      </c>
      <c r="C31" s="42"/>
      <c r="D31" s="43"/>
      <c r="E31" s="44" t="s">
        <v>1539</v>
      </c>
      <c r="F31" s="68">
        <v>3651.48</v>
      </c>
    </row>
    <row r="32" spans="1:6" x14ac:dyDescent="0.25">
      <c r="A32" s="45" t="s">
        <v>261</v>
      </c>
      <c r="B32" s="45" t="s">
        <v>260</v>
      </c>
      <c r="C32" s="46"/>
      <c r="D32" s="47"/>
      <c r="E32" s="48"/>
      <c r="F32" s="69">
        <v>14098.999999999998</v>
      </c>
    </row>
    <row r="33" spans="1:6" ht="22.5" x14ac:dyDescent="0.25">
      <c r="A33" s="45" t="s">
        <v>326</v>
      </c>
      <c r="B33" s="45" t="s">
        <v>260</v>
      </c>
      <c r="C33" s="46" t="s">
        <v>262</v>
      </c>
      <c r="D33" s="47"/>
      <c r="E33" s="48"/>
      <c r="F33" s="69">
        <v>83071.399999999994</v>
      </c>
    </row>
    <row r="34" spans="1:6" x14ac:dyDescent="0.25">
      <c r="A34" s="45" t="s">
        <v>219</v>
      </c>
      <c r="B34" s="45" t="s">
        <v>260</v>
      </c>
      <c r="C34" s="46"/>
      <c r="D34" s="47"/>
      <c r="E34" s="48" t="s">
        <v>353</v>
      </c>
      <c r="F34" s="69">
        <v>55057.687499999993</v>
      </c>
    </row>
    <row r="35" spans="1:6" x14ac:dyDescent="0.25">
      <c r="A35" s="45" t="s">
        <v>192</v>
      </c>
      <c r="B35" s="45" t="s">
        <v>260</v>
      </c>
      <c r="C35" s="46"/>
      <c r="D35" s="47"/>
      <c r="E35" s="48" t="s">
        <v>354</v>
      </c>
      <c r="F35" s="69">
        <v>9129.16</v>
      </c>
    </row>
    <row r="36" spans="1:6" ht="22.5" x14ac:dyDescent="0.25">
      <c r="A36" s="45" t="s">
        <v>213</v>
      </c>
      <c r="B36" s="45" t="s">
        <v>260</v>
      </c>
      <c r="C36" s="46" t="s">
        <v>263</v>
      </c>
      <c r="D36" s="47"/>
      <c r="E36" s="48" t="s">
        <v>355</v>
      </c>
      <c r="F36" s="69">
        <v>25800.249999999996</v>
      </c>
    </row>
    <row r="37" spans="1:6" x14ac:dyDescent="0.25">
      <c r="A37" s="45" t="s">
        <v>214</v>
      </c>
      <c r="B37" s="45" t="s">
        <v>260</v>
      </c>
      <c r="C37" s="46"/>
      <c r="D37" s="47"/>
      <c r="E37" s="48" t="s">
        <v>3232</v>
      </c>
      <c r="F37" s="69">
        <v>35500.959999999999</v>
      </c>
    </row>
    <row r="38" spans="1:6" x14ac:dyDescent="0.25">
      <c r="A38" s="45" t="s">
        <v>264</v>
      </c>
      <c r="B38" s="45" t="s">
        <v>260</v>
      </c>
      <c r="C38" s="46"/>
      <c r="D38" s="47"/>
      <c r="E38" s="48"/>
      <c r="F38" s="69">
        <v>42600.6</v>
      </c>
    </row>
    <row r="39" spans="1:6" x14ac:dyDescent="0.25">
      <c r="A39" s="45" t="s">
        <v>239</v>
      </c>
      <c r="B39" s="45" t="s">
        <v>260</v>
      </c>
      <c r="C39" s="46"/>
      <c r="D39" s="47"/>
      <c r="E39" s="48" t="s">
        <v>356</v>
      </c>
      <c r="F39" s="69">
        <v>53758.36</v>
      </c>
    </row>
    <row r="40" spans="1:6" x14ac:dyDescent="0.25">
      <c r="A40" s="45" t="s">
        <v>216</v>
      </c>
      <c r="B40" s="45" t="s">
        <v>260</v>
      </c>
      <c r="C40" s="46"/>
      <c r="D40" s="47"/>
      <c r="E40" s="48" t="s">
        <v>215</v>
      </c>
      <c r="F40" s="69">
        <v>44597.287499999999</v>
      </c>
    </row>
    <row r="41" spans="1:6" x14ac:dyDescent="0.25">
      <c r="A41" s="45" t="s">
        <v>327</v>
      </c>
      <c r="B41" s="45" t="s">
        <v>260</v>
      </c>
      <c r="C41" s="46"/>
      <c r="D41" s="47"/>
      <c r="E41" s="48" t="s">
        <v>217</v>
      </c>
      <c r="F41" s="69">
        <v>22299.074999999997</v>
      </c>
    </row>
    <row r="42" spans="1:6" x14ac:dyDescent="0.25">
      <c r="A42" s="45" t="s">
        <v>265</v>
      </c>
      <c r="B42" s="45" t="s">
        <v>260</v>
      </c>
      <c r="C42" s="46"/>
      <c r="D42" s="47"/>
      <c r="E42" s="48"/>
      <c r="F42" s="69">
        <v>17250</v>
      </c>
    </row>
    <row r="43" spans="1:6" x14ac:dyDescent="0.25">
      <c r="A43" s="45" t="s">
        <v>231</v>
      </c>
      <c r="B43" s="45" t="s">
        <v>260</v>
      </c>
      <c r="C43" s="46"/>
      <c r="D43" s="47"/>
      <c r="E43" s="48" t="s">
        <v>230</v>
      </c>
      <c r="F43" s="69">
        <v>17243.560000000001</v>
      </c>
    </row>
    <row r="44" spans="1:6" x14ac:dyDescent="0.25">
      <c r="A44" s="45" t="s">
        <v>266</v>
      </c>
      <c r="B44" s="45" t="s">
        <v>260</v>
      </c>
      <c r="C44" s="46"/>
      <c r="D44" s="47"/>
      <c r="E44" s="48"/>
      <c r="F44" s="69">
        <v>31443.759999999998</v>
      </c>
    </row>
    <row r="45" spans="1:6" ht="22.5" x14ac:dyDescent="0.25">
      <c r="A45" s="45" t="s">
        <v>232</v>
      </c>
      <c r="B45" s="45" t="s">
        <v>260</v>
      </c>
      <c r="C45" s="46"/>
      <c r="D45" s="47"/>
      <c r="E45" s="48" t="s">
        <v>357</v>
      </c>
      <c r="F45" s="69">
        <v>10143</v>
      </c>
    </row>
    <row r="46" spans="1:6" ht="22.5" x14ac:dyDescent="0.25">
      <c r="A46" s="45" t="s">
        <v>234</v>
      </c>
      <c r="B46" s="45" t="s">
        <v>260</v>
      </c>
      <c r="C46" s="46"/>
      <c r="D46" s="47"/>
      <c r="E46" s="48" t="s">
        <v>233</v>
      </c>
      <c r="F46" s="69">
        <v>12499.349999999999</v>
      </c>
    </row>
    <row r="47" spans="1:6" x14ac:dyDescent="0.25">
      <c r="A47" s="45" t="s">
        <v>236</v>
      </c>
      <c r="B47" s="45" t="s">
        <v>260</v>
      </c>
      <c r="C47" s="46"/>
      <c r="D47" s="47"/>
      <c r="E47" s="48" t="s">
        <v>235</v>
      </c>
      <c r="F47" s="69">
        <v>10400.599999999999</v>
      </c>
    </row>
    <row r="48" spans="1:6" x14ac:dyDescent="0.25">
      <c r="A48" s="45" t="s">
        <v>267</v>
      </c>
      <c r="B48" s="45" t="s">
        <v>260</v>
      </c>
      <c r="C48" s="46"/>
      <c r="D48" s="47"/>
      <c r="E48" s="48"/>
      <c r="F48" s="69">
        <v>5071.96</v>
      </c>
    </row>
    <row r="49" spans="1:6" x14ac:dyDescent="0.25">
      <c r="A49" s="49" t="s">
        <v>220</v>
      </c>
      <c r="B49" s="49" t="s">
        <v>268</v>
      </c>
      <c r="C49" s="50"/>
      <c r="D49" s="51"/>
      <c r="E49" s="52" t="s">
        <v>116</v>
      </c>
      <c r="F49" s="70">
        <v>65929.959999999992</v>
      </c>
    </row>
    <row r="50" spans="1:6" x14ac:dyDescent="0.25">
      <c r="A50" s="49" t="s">
        <v>269</v>
      </c>
      <c r="B50" s="49" t="s">
        <v>268</v>
      </c>
      <c r="C50" s="50"/>
      <c r="D50" s="51"/>
      <c r="E50" s="52" t="s">
        <v>358</v>
      </c>
      <c r="F50" s="70">
        <v>87229.799999999988</v>
      </c>
    </row>
    <row r="51" spans="1:6" x14ac:dyDescent="0.25">
      <c r="A51" s="49" t="s">
        <v>222</v>
      </c>
      <c r="B51" s="49" t="s">
        <v>268</v>
      </c>
      <c r="C51" s="50"/>
      <c r="D51" s="51"/>
      <c r="E51" s="52" t="s">
        <v>221</v>
      </c>
      <c r="F51" s="70">
        <v>40572</v>
      </c>
    </row>
    <row r="52" spans="1:6" x14ac:dyDescent="0.25">
      <c r="A52" s="49" t="s">
        <v>238</v>
      </c>
      <c r="B52" s="49" t="s">
        <v>268</v>
      </c>
      <c r="C52" s="50"/>
      <c r="D52" s="51"/>
      <c r="E52" s="52" t="s">
        <v>237</v>
      </c>
      <c r="F52" s="70">
        <v>19272.16</v>
      </c>
    </row>
    <row r="53" spans="1:6" x14ac:dyDescent="0.25">
      <c r="A53" s="49" t="s">
        <v>270</v>
      </c>
      <c r="B53" s="49" t="s">
        <v>268</v>
      </c>
      <c r="C53" s="50"/>
      <c r="D53" s="51"/>
      <c r="E53" s="52"/>
      <c r="F53" s="70">
        <v>23329.360000000001</v>
      </c>
    </row>
    <row r="54" spans="1:6" ht="45" x14ac:dyDescent="0.25">
      <c r="A54" s="21" t="s">
        <v>194</v>
      </c>
      <c r="B54" s="21" t="s">
        <v>342</v>
      </c>
      <c r="C54" s="53" t="s">
        <v>271</v>
      </c>
      <c r="D54" s="54"/>
      <c r="E54" s="55"/>
      <c r="F54" s="71">
        <v>110519.59999999999</v>
      </c>
    </row>
    <row r="55" spans="1:6" ht="45" x14ac:dyDescent="0.25">
      <c r="A55" s="21" t="s">
        <v>343</v>
      </c>
      <c r="B55" s="21" t="s">
        <v>342</v>
      </c>
      <c r="C55" s="53" t="s">
        <v>271</v>
      </c>
      <c r="D55" s="54"/>
      <c r="E55" s="55"/>
      <c r="F55" s="71">
        <v>204520.59999999998</v>
      </c>
    </row>
    <row r="56" spans="1:6" ht="22.5" x14ac:dyDescent="0.25">
      <c r="A56" s="21" t="s">
        <v>218</v>
      </c>
      <c r="B56" s="21" t="s">
        <v>342</v>
      </c>
      <c r="C56" s="53" t="s">
        <v>272</v>
      </c>
      <c r="D56" s="54"/>
      <c r="E56" s="55" t="s">
        <v>843</v>
      </c>
      <c r="F56" s="71">
        <v>334719</v>
      </c>
    </row>
    <row r="57" spans="1:6" ht="22.5" x14ac:dyDescent="0.25">
      <c r="A57" s="21" t="s">
        <v>183</v>
      </c>
      <c r="B57" s="21" t="s">
        <v>342</v>
      </c>
      <c r="C57" s="53" t="s">
        <v>273</v>
      </c>
      <c r="D57" s="54"/>
      <c r="E57" s="55" t="s">
        <v>182</v>
      </c>
      <c r="F57" s="71">
        <v>45643.96</v>
      </c>
    </row>
    <row r="58" spans="1:6" ht="22.5" x14ac:dyDescent="0.25">
      <c r="A58" s="21" t="s">
        <v>187</v>
      </c>
      <c r="B58" s="21" t="s">
        <v>342</v>
      </c>
      <c r="C58" s="53" t="s">
        <v>274</v>
      </c>
      <c r="D58" s="54"/>
      <c r="E58" s="55" t="s">
        <v>186</v>
      </c>
      <c r="F58" s="71">
        <v>42600.6</v>
      </c>
    </row>
    <row r="59" spans="1:6" ht="22.5" x14ac:dyDescent="0.25">
      <c r="A59" s="21" t="s">
        <v>211</v>
      </c>
      <c r="B59" s="21" t="s">
        <v>342</v>
      </c>
      <c r="C59" s="53" t="s">
        <v>275</v>
      </c>
      <c r="D59" s="54"/>
      <c r="E59" s="55" t="s">
        <v>359</v>
      </c>
      <c r="F59" s="71">
        <v>22314.6</v>
      </c>
    </row>
    <row r="60" spans="1:6" x14ac:dyDescent="0.25">
      <c r="A60" s="21" t="s">
        <v>276</v>
      </c>
      <c r="B60" s="21" t="s">
        <v>342</v>
      </c>
      <c r="C60" s="53" t="s">
        <v>344</v>
      </c>
      <c r="D60" s="54"/>
      <c r="E60" s="55" t="s">
        <v>360</v>
      </c>
      <c r="F60" s="71">
        <v>0</v>
      </c>
    </row>
    <row r="61" spans="1:6" ht="22.5" x14ac:dyDescent="0.25">
      <c r="A61" s="21" t="s">
        <v>277</v>
      </c>
      <c r="B61" s="21" t="s">
        <v>342</v>
      </c>
      <c r="C61" s="53" t="s">
        <v>345</v>
      </c>
      <c r="D61" s="54"/>
      <c r="E61" s="55"/>
      <c r="F61" s="71">
        <v>84000.599999999991</v>
      </c>
    </row>
    <row r="62" spans="1:6" ht="33.75" x14ac:dyDescent="0.25">
      <c r="A62" s="21" t="s">
        <v>278</v>
      </c>
      <c r="B62" s="21" t="s">
        <v>342</v>
      </c>
      <c r="C62" s="53" t="s">
        <v>346</v>
      </c>
      <c r="D62" s="54"/>
      <c r="E62" s="55"/>
      <c r="F62" s="71">
        <v>60519.899999999994</v>
      </c>
    </row>
    <row r="63" spans="1:6" x14ac:dyDescent="0.25">
      <c r="A63" s="21" t="s">
        <v>196</v>
      </c>
      <c r="B63" s="21" t="s">
        <v>342</v>
      </c>
      <c r="C63" s="53" t="s">
        <v>325</v>
      </c>
      <c r="D63" s="54"/>
      <c r="E63" s="55" t="s">
        <v>195</v>
      </c>
      <c r="F63" s="71">
        <v>2738.8399999999997</v>
      </c>
    </row>
    <row r="64" spans="1:6" x14ac:dyDescent="0.25">
      <c r="A64" s="21" t="s">
        <v>279</v>
      </c>
      <c r="B64" s="21" t="s">
        <v>342</v>
      </c>
      <c r="C64" s="53" t="s">
        <v>325</v>
      </c>
      <c r="D64" s="54"/>
      <c r="E64" s="55"/>
      <c r="F64" s="71">
        <v>5274.3600000000006</v>
      </c>
    </row>
    <row r="65" spans="1:6" x14ac:dyDescent="0.25">
      <c r="A65" s="21" t="s">
        <v>280</v>
      </c>
      <c r="B65" s="21" t="s">
        <v>342</v>
      </c>
      <c r="C65" s="53" t="s">
        <v>325</v>
      </c>
      <c r="D65" s="54"/>
      <c r="E65" s="55"/>
      <c r="F65" s="71">
        <v>0</v>
      </c>
    </row>
    <row r="66" spans="1:6" x14ac:dyDescent="0.25">
      <c r="A66" s="21" t="s">
        <v>281</v>
      </c>
      <c r="B66" s="21" t="s">
        <v>342</v>
      </c>
      <c r="C66" s="53" t="s">
        <v>325</v>
      </c>
      <c r="D66" s="54"/>
      <c r="E66" s="55"/>
      <c r="F66" s="71">
        <v>7100.56</v>
      </c>
    </row>
    <row r="67" spans="1:6" ht="33.75" x14ac:dyDescent="0.25">
      <c r="A67" s="21" t="s">
        <v>282</v>
      </c>
      <c r="B67" s="21" t="s">
        <v>342</v>
      </c>
      <c r="C67" s="53" t="s">
        <v>283</v>
      </c>
      <c r="D67" s="54"/>
      <c r="E67" s="55"/>
      <c r="F67" s="71">
        <v>632923.19999999995</v>
      </c>
    </row>
    <row r="68" spans="1:6" ht="33.75" x14ac:dyDescent="0.25">
      <c r="A68" s="21" t="s">
        <v>284</v>
      </c>
      <c r="B68" s="21" t="s">
        <v>342</v>
      </c>
      <c r="C68" s="53" t="s">
        <v>285</v>
      </c>
      <c r="D68" s="54"/>
      <c r="E68" s="55"/>
      <c r="F68" s="71">
        <v>547722</v>
      </c>
    </row>
    <row r="69" spans="1:6" ht="22.5" x14ac:dyDescent="0.25">
      <c r="A69" s="21" t="s">
        <v>198</v>
      </c>
      <c r="B69" s="21" t="s">
        <v>342</v>
      </c>
      <c r="C69" s="53"/>
      <c r="D69" s="54"/>
      <c r="E69" s="55" t="s">
        <v>197</v>
      </c>
      <c r="F69" s="71">
        <v>13997.8</v>
      </c>
    </row>
    <row r="70" spans="1:6" ht="22.5" x14ac:dyDescent="0.25">
      <c r="A70" s="21" t="s">
        <v>200</v>
      </c>
      <c r="B70" s="21" t="s">
        <v>342</v>
      </c>
      <c r="C70" s="53" t="s">
        <v>286</v>
      </c>
      <c r="D70" s="54"/>
      <c r="E70" s="55" t="s">
        <v>3120</v>
      </c>
      <c r="F70" s="71">
        <v>15721.88</v>
      </c>
    </row>
    <row r="71" spans="1:6" ht="33.75" x14ac:dyDescent="0.25">
      <c r="A71" s="21" t="s">
        <v>199</v>
      </c>
      <c r="B71" s="21" t="s">
        <v>342</v>
      </c>
      <c r="C71" s="53" t="s">
        <v>287</v>
      </c>
      <c r="D71" s="54"/>
      <c r="E71" s="55"/>
      <c r="F71" s="71">
        <v>16735.72</v>
      </c>
    </row>
    <row r="72" spans="1:6" ht="22.5" x14ac:dyDescent="0.25">
      <c r="A72" s="21" t="s">
        <v>288</v>
      </c>
      <c r="B72" s="21" t="s">
        <v>342</v>
      </c>
      <c r="C72" s="53"/>
      <c r="D72" s="54"/>
      <c r="E72" s="55"/>
      <c r="F72" s="71">
        <v>0</v>
      </c>
    </row>
    <row r="73" spans="1:6" x14ac:dyDescent="0.25">
      <c r="A73" s="21" t="s">
        <v>224</v>
      </c>
      <c r="B73" s="21" t="s">
        <v>342</v>
      </c>
      <c r="C73" s="53"/>
      <c r="D73" s="54"/>
      <c r="E73" s="55" t="s">
        <v>223</v>
      </c>
      <c r="F73" s="71">
        <v>8520.119999999999</v>
      </c>
    </row>
    <row r="74" spans="1:6" x14ac:dyDescent="0.25">
      <c r="A74" s="21" t="s">
        <v>227</v>
      </c>
      <c r="B74" s="21" t="s">
        <v>342</v>
      </c>
      <c r="C74" s="53"/>
      <c r="D74" s="54"/>
      <c r="E74" s="55" t="s">
        <v>226</v>
      </c>
      <c r="F74" s="71">
        <v>5274.3600000000006</v>
      </c>
    </row>
    <row r="75" spans="1:6" ht="22.5" x14ac:dyDescent="0.25">
      <c r="A75" s="21" t="s">
        <v>289</v>
      </c>
      <c r="B75" s="21" t="s">
        <v>342</v>
      </c>
      <c r="C75" s="53"/>
      <c r="D75" s="54"/>
      <c r="E75" s="55"/>
      <c r="F75" s="71">
        <v>0</v>
      </c>
    </row>
    <row r="76" spans="1:6" x14ac:dyDescent="0.25">
      <c r="A76" s="21" t="s">
        <v>290</v>
      </c>
      <c r="B76" s="21" t="s">
        <v>342</v>
      </c>
      <c r="C76" s="53"/>
      <c r="D76" s="54"/>
      <c r="E76" s="55"/>
      <c r="F76" s="71">
        <v>0</v>
      </c>
    </row>
    <row r="77" spans="1:6" x14ac:dyDescent="0.25">
      <c r="A77" s="21" t="s">
        <v>291</v>
      </c>
      <c r="B77" s="21" t="s">
        <v>342</v>
      </c>
      <c r="C77" s="53"/>
      <c r="D77" s="54"/>
      <c r="E77" s="55"/>
      <c r="F77" s="71">
        <v>32457.599999999999</v>
      </c>
    </row>
    <row r="78" spans="1:6" ht="33.75" x14ac:dyDescent="0.25">
      <c r="A78" s="75" t="s">
        <v>292</v>
      </c>
      <c r="B78" s="75" t="s">
        <v>348</v>
      </c>
      <c r="C78" s="76" t="s">
        <v>347</v>
      </c>
      <c r="D78" s="77"/>
      <c r="E78" s="78"/>
      <c r="F78" s="79">
        <v>17243.560000000001</v>
      </c>
    </row>
    <row r="79" spans="1:6" ht="33.75" x14ac:dyDescent="0.25">
      <c r="A79" s="75" t="s">
        <v>293</v>
      </c>
      <c r="B79" s="75" t="s">
        <v>348</v>
      </c>
      <c r="C79" s="76" t="s">
        <v>347</v>
      </c>
      <c r="D79" s="77"/>
      <c r="E79" s="78"/>
      <c r="F79" s="79">
        <v>14200.199999999999</v>
      </c>
    </row>
    <row r="80" spans="1:6" ht="33.75" x14ac:dyDescent="0.25">
      <c r="A80" s="75" t="s">
        <v>294</v>
      </c>
      <c r="B80" s="75" t="s">
        <v>348</v>
      </c>
      <c r="C80" s="76" t="s">
        <v>347</v>
      </c>
      <c r="D80" s="77"/>
      <c r="E80" s="78"/>
      <c r="F80" s="79">
        <v>17243.560000000001</v>
      </c>
    </row>
    <row r="81" spans="1:6" ht="33.75" x14ac:dyDescent="0.25">
      <c r="A81" s="75" t="s">
        <v>295</v>
      </c>
      <c r="B81" s="75" t="s">
        <v>348</v>
      </c>
      <c r="C81" s="76" t="s">
        <v>347</v>
      </c>
      <c r="D81" s="77"/>
      <c r="E81" s="78"/>
      <c r="F81" s="79">
        <v>12171.599999999999</v>
      </c>
    </row>
    <row r="82" spans="1:6" ht="33.75" x14ac:dyDescent="0.25">
      <c r="A82" s="75" t="s">
        <v>296</v>
      </c>
      <c r="B82" s="75" t="s">
        <v>348</v>
      </c>
      <c r="C82" s="76" t="s">
        <v>347</v>
      </c>
      <c r="D82" s="77"/>
      <c r="E82" s="78"/>
      <c r="F82" s="79">
        <v>8621.32</v>
      </c>
    </row>
    <row r="83" spans="1:6" ht="33.75" x14ac:dyDescent="0.25">
      <c r="A83" s="75" t="s">
        <v>297</v>
      </c>
      <c r="B83" s="75" t="s">
        <v>348</v>
      </c>
      <c r="C83" s="76" t="s">
        <v>347</v>
      </c>
      <c r="D83" s="77"/>
      <c r="E83" s="78"/>
      <c r="F83" s="79">
        <v>20286</v>
      </c>
    </row>
    <row r="84" spans="1:6" ht="33.75" x14ac:dyDescent="0.25">
      <c r="A84" s="75" t="s">
        <v>298</v>
      </c>
      <c r="B84" s="75" t="s">
        <v>348</v>
      </c>
      <c r="C84" s="76" t="s">
        <v>347</v>
      </c>
      <c r="D84" s="77"/>
      <c r="E84" s="78"/>
      <c r="F84" s="79">
        <v>20286</v>
      </c>
    </row>
    <row r="85" spans="1:6" x14ac:dyDescent="0.25">
      <c r="A85" s="59" t="s">
        <v>299</v>
      </c>
      <c r="B85" s="59" t="s">
        <v>349</v>
      </c>
      <c r="C85" s="60"/>
      <c r="D85" s="61"/>
      <c r="E85" s="62"/>
      <c r="F85" s="72">
        <v>35500.959999999999</v>
      </c>
    </row>
    <row r="86" spans="1:6" x14ac:dyDescent="0.25">
      <c r="A86" s="59" t="s">
        <v>300</v>
      </c>
      <c r="B86" s="59" t="s">
        <v>349</v>
      </c>
      <c r="C86" s="60"/>
      <c r="D86" s="61"/>
      <c r="E86" s="62"/>
      <c r="F86" s="72">
        <v>50714.999999999993</v>
      </c>
    </row>
    <row r="87" spans="1:6" x14ac:dyDescent="0.25">
      <c r="A87" s="59" t="s">
        <v>301</v>
      </c>
      <c r="B87" s="59" t="s">
        <v>349</v>
      </c>
      <c r="C87" s="60"/>
      <c r="D87" s="61"/>
      <c r="E87" s="62"/>
      <c r="F87" s="72">
        <v>15214.960000000001</v>
      </c>
    </row>
    <row r="88" spans="1:6" x14ac:dyDescent="0.25">
      <c r="A88" s="59" t="s">
        <v>302</v>
      </c>
      <c r="B88" s="59" t="s">
        <v>349</v>
      </c>
      <c r="C88" s="60"/>
      <c r="D88" s="61"/>
      <c r="E88" s="62"/>
      <c r="F88" s="72">
        <v>55786.96</v>
      </c>
    </row>
    <row r="89" spans="1:6" x14ac:dyDescent="0.25">
      <c r="A89" s="59" t="s">
        <v>303</v>
      </c>
      <c r="B89" s="59" t="s">
        <v>349</v>
      </c>
      <c r="C89" s="60"/>
      <c r="D89" s="61"/>
      <c r="E89" s="62"/>
      <c r="F89" s="72">
        <v>65929.959999999992</v>
      </c>
    </row>
    <row r="90" spans="1:6" x14ac:dyDescent="0.25">
      <c r="A90" s="59" t="s">
        <v>304</v>
      </c>
      <c r="B90" s="59" t="s">
        <v>349</v>
      </c>
      <c r="C90" s="60"/>
      <c r="D90" s="61"/>
      <c r="E90" s="62"/>
      <c r="F90" s="72">
        <v>65929.959999999992</v>
      </c>
    </row>
    <row r="91" spans="1:6" x14ac:dyDescent="0.25">
      <c r="A91" s="59" t="s">
        <v>305</v>
      </c>
      <c r="B91" s="59" t="s">
        <v>349</v>
      </c>
      <c r="C91" s="60"/>
      <c r="D91" s="61"/>
      <c r="E91" s="62"/>
      <c r="F91" s="72">
        <v>65929.959999999992</v>
      </c>
    </row>
    <row r="92" spans="1:6" x14ac:dyDescent="0.25">
      <c r="A92" s="59" t="s">
        <v>306</v>
      </c>
      <c r="B92" s="59" t="s">
        <v>349</v>
      </c>
      <c r="C92" s="60"/>
      <c r="D92" s="61"/>
      <c r="E92" s="62"/>
      <c r="F92" s="72">
        <v>35500.959999999999</v>
      </c>
    </row>
    <row r="93" spans="1:6" x14ac:dyDescent="0.25">
      <c r="A93" s="59" t="s">
        <v>307</v>
      </c>
      <c r="B93" s="59" t="s">
        <v>349</v>
      </c>
      <c r="C93" s="60"/>
      <c r="D93" s="61"/>
      <c r="E93" s="62"/>
      <c r="F93" s="72">
        <v>35500.959999999999</v>
      </c>
    </row>
    <row r="94" spans="1:6" x14ac:dyDescent="0.25">
      <c r="A94" s="59" t="s">
        <v>308</v>
      </c>
      <c r="B94" s="59" t="s">
        <v>349</v>
      </c>
      <c r="C94" s="60"/>
      <c r="D94" s="61"/>
      <c r="E94" s="62"/>
      <c r="F94" s="72">
        <v>45643.96</v>
      </c>
    </row>
    <row r="95" spans="1:6" x14ac:dyDescent="0.25">
      <c r="A95" s="59" t="s">
        <v>309</v>
      </c>
      <c r="B95" s="59" t="s">
        <v>349</v>
      </c>
      <c r="C95" s="60"/>
      <c r="D95" s="61"/>
      <c r="E95" s="62"/>
      <c r="F95" s="72">
        <v>45643.96</v>
      </c>
    </row>
    <row r="96" spans="1:6" x14ac:dyDescent="0.25">
      <c r="A96" s="59" t="s">
        <v>310</v>
      </c>
      <c r="B96" s="59" t="s">
        <v>349</v>
      </c>
      <c r="C96" s="60"/>
      <c r="D96" s="61"/>
      <c r="E96" s="62"/>
      <c r="F96" s="72">
        <v>30428.999999999996</v>
      </c>
    </row>
    <row r="97" spans="1:6" x14ac:dyDescent="0.25">
      <c r="A97" s="59" t="s">
        <v>225</v>
      </c>
      <c r="B97" s="59" t="s">
        <v>349</v>
      </c>
      <c r="C97" s="60"/>
      <c r="D97" s="61"/>
      <c r="E97" s="62"/>
      <c r="F97" s="72">
        <v>8114.4</v>
      </c>
    </row>
    <row r="98" spans="1:6" x14ac:dyDescent="0.25">
      <c r="A98" s="59" t="s">
        <v>311</v>
      </c>
      <c r="B98" s="59" t="s">
        <v>349</v>
      </c>
      <c r="C98" s="60"/>
      <c r="D98" s="61"/>
      <c r="E98" s="62"/>
      <c r="F98" s="72">
        <v>35500.959999999999</v>
      </c>
    </row>
    <row r="99" spans="1:6" x14ac:dyDescent="0.25">
      <c r="A99" s="59" t="s">
        <v>312</v>
      </c>
      <c r="B99" s="59" t="s">
        <v>349</v>
      </c>
      <c r="C99" s="60" t="s">
        <v>341</v>
      </c>
      <c r="D99" s="61"/>
      <c r="E99" s="62" t="s">
        <v>361</v>
      </c>
      <c r="F99" s="72">
        <v>9129.16</v>
      </c>
    </row>
    <row r="100" spans="1:6" x14ac:dyDescent="0.25">
      <c r="A100" s="59" t="s">
        <v>313</v>
      </c>
      <c r="B100" s="59" t="s">
        <v>349</v>
      </c>
      <c r="C100" s="60"/>
      <c r="D100" s="61"/>
      <c r="E100" s="62"/>
      <c r="F100" s="72">
        <v>18764.32</v>
      </c>
    </row>
    <row r="101" spans="1:6" x14ac:dyDescent="0.25">
      <c r="A101" s="59" t="s">
        <v>314</v>
      </c>
      <c r="B101" s="59" t="s">
        <v>349</v>
      </c>
      <c r="C101" s="60"/>
      <c r="D101" s="61"/>
      <c r="E101" s="62"/>
      <c r="F101" s="72">
        <v>22314.6</v>
      </c>
    </row>
    <row r="102" spans="1:6" x14ac:dyDescent="0.25">
      <c r="A102" s="59" t="s">
        <v>315</v>
      </c>
      <c r="B102" s="59" t="s">
        <v>349</v>
      </c>
      <c r="C102" s="60"/>
      <c r="D102" s="61"/>
      <c r="E102" s="62"/>
      <c r="F102" s="72">
        <v>33472.36</v>
      </c>
    </row>
    <row r="103" spans="1:6" x14ac:dyDescent="0.25">
      <c r="A103" s="59" t="s">
        <v>316</v>
      </c>
      <c r="B103" s="59" t="s">
        <v>349</v>
      </c>
      <c r="C103" s="60"/>
      <c r="D103" s="61"/>
      <c r="E103" s="62"/>
      <c r="F103" s="72">
        <v>40572</v>
      </c>
    </row>
    <row r="104" spans="1:6" x14ac:dyDescent="0.25">
      <c r="A104" s="59" t="s">
        <v>317</v>
      </c>
      <c r="B104" s="59" t="s">
        <v>349</v>
      </c>
      <c r="C104" s="60"/>
      <c r="D104" s="61"/>
      <c r="E104" s="62"/>
      <c r="F104" s="72">
        <v>33472.36</v>
      </c>
    </row>
    <row r="105" spans="1:6" x14ac:dyDescent="0.25">
      <c r="A105" s="59" t="s">
        <v>318</v>
      </c>
      <c r="B105" s="59" t="s">
        <v>349</v>
      </c>
      <c r="C105" s="60"/>
      <c r="D105" s="61"/>
      <c r="E105" s="62"/>
      <c r="F105" s="72">
        <v>15214.960000000001</v>
      </c>
    </row>
    <row r="106" spans="1:6" x14ac:dyDescent="0.25">
      <c r="A106" s="59" t="s">
        <v>319</v>
      </c>
      <c r="B106" s="59" t="s">
        <v>349</v>
      </c>
      <c r="C106" s="60"/>
      <c r="D106" s="61"/>
      <c r="E106" s="62"/>
      <c r="F106" s="72">
        <v>22314.6</v>
      </c>
    </row>
    <row r="107" spans="1:6" x14ac:dyDescent="0.25">
      <c r="A107" s="59" t="s">
        <v>320</v>
      </c>
      <c r="B107" s="59" t="s">
        <v>349</v>
      </c>
      <c r="C107" s="60"/>
      <c r="D107" s="61"/>
      <c r="E107" s="62"/>
      <c r="F107" s="72">
        <v>15214.960000000001</v>
      </c>
    </row>
    <row r="108" spans="1:6" x14ac:dyDescent="0.25">
      <c r="A108" s="59" t="s">
        <v>321</v>
      </c>
      <c r="B108" s="59" t="s">
        <v>349</v>
      </c>
      <c r="C108" s="60"/>
      <c r="D108" s="61"/>
      <c r="E108" s="62"/>
      <c r="F108" s="72">
        <v>25357.96</v>
      </c>
    </row>
    <row r="109" spans="1:6" x14ac:dyDescent="0.25">
      <c r="A109" s="59" t="s">
        <v>322</v>
      </c>
      <c r="B109" s="59" t="s">
        <v>349</v>
      </c>
      <c r="C109" s="60"/>
      <c r="D109" s="61"/>
      <c r="E109" s="62"/>
      <c r="F109" s="72">
        <v>30428.999999999996</v>
      </c>
    </row>
    <row r="110" spans="1:6" x14ac:dyDescent="0.25">
      <c r="A110" s="59" t="s">
        <v>323</v>
      </c>
      <c r="B110" s="59" t="s">
        <v>349</v>
      </c>
      <c r="C110" s="60"/>
      <c r="D110" s="61"/>
      <c r="E110" s="62"/>
      <c r="F110" s="72">
        <v>35500.959999999999</v>
      </c>
    </row>
    <row r="111" spans="1:6" x14ac:dyDescent="0.25">
      <c r="A111" s="20" t="s">
        <v>207</v>
      </c>
      <c r="B111" s="20" t="s">
        <v>324</v>
      </c>
      <c r="C111" s="56"/>
      <c r="D111" s="57"/>
      <c r="E111" s="58" t="s">
        <v>207</v>
      </c>
      <c r="F111" s="73">
        <v>18764.32</v>
      </c>
    </row>
    <row r="112" spans="1:6" x14ac:dyDescent="0.25">
      <c r="A112" s="20" t="s">
        <v>212</v>
      </c>
      <c r="B112" s="20" t="s">
        <v>324</v>
      </c>
      <c r="C112" s="56"/>
      <c r="D112" s="57"/>
      <c r="E112" s="58" t="s">
        <v>212</v>
      </c>
      <c r="F112" s="73">
        <v>18764.32</v>
      </c>
    </row>
    <row r="113" spans="1:6" x14ac:dyDescent="0.25">
      <c r="A113" s="20" t="s">
        <v>240</v>
      </c>
      <c r="B113" s="20" t="s">
        <v>324</v>
      </c>
      <c r="C113" s="56"/>
      <c r="D113" s="57"/>
      <c r="E113" s="58" t="s">
        <v>240</v>
      </c>
      <c r="F113" s="73">
        <v>14200.199999999999</v>
      </c>
    </row>
    <row r="114" spans="1:6" x14ac:dyDescent="0.25">
      <c r="A114" s="20" t="s">
        <v>193</v>
      </c>
      <c r="B114" s="20" t="s">
        <v>324</v>
      </c>
      <c r="C114" s="56"/>
      <c r="D114" s="57"/>
      <c r="E114" s="58" t="s">
        <v>193</v>
      </c>
      <c r="F114" s="73">
        <v>36514.799999999996</v>
      </c>
    </row>
    <row r="115" spans="1:6" ht="33.75" x14ac:dyDescent="0.25">
      <c r="A115" s="20" t="s">
        <v>167</v>
      </c>
      <c r="B115" s="20" t="s">
        <v>324</v>
      </c>
      <c r="C115" s="56" t="s">
        <v>168</v>
      </c>
      <c r="D115" s="57"/>
      <c r="E115" s="58" t="s">
        <v>167</v>
      </c>
      <c r="F115" s="73">
        <v>22310</v>
      </c>
    </row>
    <row r="116" spans="1:6" ht="90" x14ac:dyDescent="0.25">
      <c r="A116" s="20" t="s">
        <v>169</v>
      </c>
      <c r="B116" s="20" t="s">
        <v>324</v>
      </c>
      <c r="C116" s="56" t="s">
        <v>170</v>
      </c>
      <c r="D116" s="57"/>
      <c r="E116" s="58" t="s">
        <v>169</v>
      </c>
      <c r="F116" s="73">
        <v>18764</v>
      </c>
    </row>
    <row r="117" spans="1:6" ht="67.5" x14ac:dyDescent="0.25">
      <c r="A117" s="20" t="s">
        <v>171</v>
      </c>
      <c r="B117" s="20" t="s">
        <v>324</v>
      </c>
      <c r="C117" s="56" t="s">
        <v>172</v>
      </c>
      <c r="D117" s="57"/>
      <c r="E117" s="58" t="s">
        <v>171</v>
      </c>
      <c r="F117" s="73">
        <v>18764</v>
      </c>
    </row>
    <row r="118" spans="1:6" x14ac:dyDescent="0.25">
      <c r="A118" s="20" t="s">
        <v>175</v>
      </c>
      <c r="B118" s="20" t="s">
        <v>324</v>
      </c>
      <c r="C118" s="56"/>
      <c r="D118" s="57"/>
      <c r="E118" s="58" t="s">
        <v>175</v>
      </c>
      <c r="F118" s="73">
        <v>4521</v>
      </c>
    </row>
    <row r="119" spans="1:6" x14ac:dyDescent="0.25">
      <c r="A119" s="20" t="s">
        <v>176</v>
      </c>
      <c r="B119" s="20" t="s">
        <v>324</v>
      </c>
      <c r="C119" s="56"/>
      <c r="D119" s="57"/>
      <c r="E119" s="58" t="s">
        <v>176</v>
      </c>
      <c r="F119" s="73">
        <v>12374</v>
      </c>
    </row>
    <row r="120" spans="1:6" x14ac:dyDescent="0.25">
      <c r="A120" s="20" t="s">
        <v>207</v>
      </c>
      <c r="B120" s="20" t="s">
        <v>324</v>
      </c>
      <c r="C120" s="56"/>
      <c r="D120" s="57"/>
      <c r="E120" s="58" t="s">
        <v>207</v>
      </c>
      <c r="F120" s="73">
        <v>18764.32</v>
      </c>
    </row>
    <row r="121" spans="1:6" x14ac:dyDescent="0.25">
      <c r="A121" s="20" t="s">
        <v>240</v>
      </c>
      <c r="B121" s="20" t="s">
        <v>324</v>
      </c>
      <c r="C121" s="56"/>
      <c r="D121" s="57"/>
      <c r="E121" s="58" t="s">
        <v>240</v>
      </c>
      <c r="F121" s="73">
        <v>14200.199999999999</v>
      </c>
    </row>
    <row r="122" spans="1:6" x14ac:dyDescent="0.25">
      <c r="A122" s="20" t="s">
        <v>177</v>
      </c>
      <c r="B122" s="20" t="s">
        <v>324</v>
      </c>
      <c r="C122" s="56"/>
      <c r="D122" s="57"/>
      <c r="E122" s="58" t="s">
        <v>177</v>
      </c>
      <c r="F122" s="73">
        <v>18764</v>
      </c>
    </row>
    <row r="123" spans="1:6" x14ac:dyDescent="0.25">
      <c r="A123" s="20" t="s">
        <v>193</v>
      </c>
      <c r="B123" s="20" t="s">
        <v>324</v>
      </c>
      <c r="C123" s="56"/>
      <c r="D123" s="57"/>
      <c r="E123" s="58" t="s">
        <v>193</v>
      </c>
      <c r="F123" s="73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21"/>
  <sheetViews>
    <sheetView zoomScale="90" zoomScaleNormal="90" workbookViewId="0">
      <pane ySplit="1" topLeftCell="A2" activePane="bottomLeft" state="frozen"/>
      <selection pane="bottomLeft" activeCell="E5" sqref="E5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145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146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118</v>
      </c>
      <c r="C4" s="3" t="s">
        <v>30</v>
      </c>
      <c r="D4" s="2" t="s">
        <v>124</v>
      </c>
      <c r="E4" s="2" t="s">
        <v>11</v>
      </c>
      <c r="F4" s="2" t="s">
        <v>133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147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408</v>
      </c>
      <c r="B5" s="2" t="s">
        <v>119</v>
      </c>
      <c r="C5" s="3" t="s">
        <v>43</v>
      </c>
      <c r="D5" s="2" t="s">
        <v>125</v>
      </c>
      <c r="E5" s="2" t="s">
        <v>11</v>
      </c>
      <c r="F5" s="2" t="s">
        <v>134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144</v>
      </c>
      <c r="L5" s="4"/>
      <c r="M5" s="3"/>
      <c r="N5" s="4"/>
    </row>
    <row r="6" spans="1:14" ht="33" customHeight="1" x14ac:dyDescent="0.25">
      <c r="A6" s="8" t="s">
        <v>35</v>
      </c>
      <c r="B6" s="2" t="s">
        <v>120</v>
      </c>
      <c r="C6" s="3" t="s">
        <v>49</v>
      </c>
      <c r="D6" s="2" t="s">
        <v>126</v>
      </c>
      <c r="E6" s="2" t="s">
        <v>50</v>
      </c>
      <c r="F6" s="2" t="s">
        <v>136</v>
      </c>
      <c r="G6" s="2"/>
      <c r="H6" s="1" t="s">
        <v>142</v>
      </c>
      <c r="I6" s="4" t="s">
        <v>51</v>
      </c>
      <c r="J6" s="3" t="s">
        <v>52</v>
      </c>
      <c r="K6" s="2" t="s">
        <v>53</v>
      </c>
      <c r="L6" s="4"/>
      <c r="M6" s="3"/>
      <c r="N6" s="4"/>
    </row>
    <row r="7" spans="1:14" ht="33" customHeight="1" x14ac:dyDescent="0.25">
      <c r="A7" s="8" t="s">
        <v>34</v>
      </c>
      <c r="B7" s="2" t="s">
        <v>44</v>
      </c>
      <c r="C7" s="3" t="s">
        <v>45</v>
      </c>
      <c r="D7" s="2" t="s">
        <v>46</v>
      </c>
      <c r="E7" s="2" t="s">
        <v>11</v>
      </c>
      <c r="F7" s="2" t="s">
        <v>135</v>
      </c>
      <c r="G7" s="2"/>
      <c r="H7" s="1" t="s">
        <v>141</v>
      </c>
      <c r="I7" s="4" t="s">
        <v>47</v>
      </c>
      <c r="J7" s="3"/>
      <c r="K7" s="2" t="s">
        <v>148</v>
      </c>
      <c r="L7" s="4"/>
      <c r="M7" s="5" t="s">
        <v>66</v>
      </c>
      <c r="N7" s="4" t="s">
        <v>48</v>
      </c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149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121</v>
      </c>
      <c r="C9" s="3" t="s">
        <v>61</v>
      </c>
      <c r="D9" s="2" t="s">
        <v>127</v>
      </c>
      <c r="E9" s="2" t="s">
        <v>132</v>
      </c>
      <c r="F9" s="2" t="s">
        <v>137</v>
      </c>
      <c r="G9" s="2"/>
      <c r="H9" s="1" t="s">
        <v>143</v>
      </c>
      <c r="I9" s="4" t="s">
        <v>62</v>
      </c>
      <c r="J9" s="3"/>
      <c r="K9" s="2" t="s">
        <v>150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122</v>
      </c>
      <c r="C10" s="3" t="s">
        <v>68</v>
      </c>
      <c r="D10" s="2" t="s">
        <v>128</v>
      </c>
      <c r="E10" s="2" t="s">
        <v>11</v>
      </c>
      <c r="F10" s="2" t="s">
        <v>138</v>
      </c>
      <c r="G10" s="2"/>
      <c r="H10" s="1" t="s">
        <v>369</v>
      </c>
      <c r="I10" s="4" t="s">
        <v>69</v>
      </c>
      <c r="J10" s="96"/>
      <c r="K10" s="2" t="s">
        <v>151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123</v>
      </c>
      <c r="C11" s="3" t="s">
        <v>72</v>
      </c>
      <c r="D11" s="2" t="s">
        <v>129</v>
      </c>
      <c r="E11" s="2" t="s">
        <v>11</v>
      </c>
      <c r="F11" s="2" t="s">
        <v>139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152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130</v>
      </c>
      <c r="E12" s="2" t="s">
        <v>11</v>
      </c>
      <c r="F12" s="2" t="s">
        <v>140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131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153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154</v>
      </c>
      <c r="L14" s="4"/>
      <c r="M14" s="5" t="s">
        <v>94</v>
      </c>
      <c r="N14" s="4" t="s">
        <v>95</v>
      </c>
    </row>
    <row r="15" spans="1:14" ht="33" customHeight="1" x14ac:dyDescent="0.25">
      <c r="A15" s="8"/>
      <c r="B15" s="2"/>
      <c r="C15" s="3"/>
      <c r="D15" s="2"/>
      <c r="E15" s="2"/>
      <c r="F15" s="2"/>
      <c r="G15" s="2"/>
      <c r="H15" s="1"/>
      <c r="I15" s="4"/>
      <c r="J15" s="3"/>
      <c r="K15" s="2"/>
      <c r="L15" s="4"/>
      <c r="M15" s="5"/>
      <c r="N15" s="4"/>
    </row>
    <row r="16" spans="1:14" ht="33" customHeight="1" x14ac:dyDescent="0.25">
      <c r="A16" s="8"/>
      <c r="B16" s="2"/>
      <c r="C16" s="3"/>
      <c r="D16" s="2"/>
      <c r="E16" s="2"/>
      <c r="F16" s="2"/>
      <c r="G16" s="2"/>
      <c r="H16" s="1"/>
      <c r="I16" s="4"/>
      <c r="J16" s="3"/>
      <c r="K16" s="2"/>
      <c r="L16" s="4"/>
      <c r="M16" s="5"/>
      <c r="N16" s="4"/>
    </row>
    <row r="17" spans="1:14" ht="33" customHeight="1" x14ac:dyDescent="0.25">
      <c r="A17" s="8"/>
      <c r="B17" s="2"/>
      <c r="C17" s="3"/>
      <c r="D17" s="2"/>
      <c r="E17" s="2"/>
      <c r="F17" s="2"/>
      <c r="G17" s="2"/>
      <c r="H17" s="1"/>
      <c r="I17" s="4"/>
      <c r="J17" s="3"/>
      <c r="K17" s="2"/>
      <c r="L17" s="4"/>
      <c r="M17" s="5"/>
      <c r="N17" s="4"/>
    </row>
    <row r="18" spans="1:14" ht="33" customHeight="1" x14ac:dyDescent="0.25">
      <c r="A18" s="8"/>
      <c r="B18" s="2"/>
      <c r="C18" s="3"/>
      <c r="D18" s="2"/>
      <c r="E18" s="2"/>
      <c r="F18" s="2"/>
      <c r="G18" s="2"/>
      <c r="H18" s="1"/>
      <c r="I18" s="4"/>
      <c r="J18" s="3"/>
      <c r="K18" s="2"/>
      <c r="L18" s="4"/>
      <c r="M18" s="5"/>
      <c r="N18" s="4"/>
    </row>
    <row r="19" spans="1:14" ht="33" customHeight="1" x14ac:dyDescent="0.25">
      <c r="A19" s="8"/>
      <c r="B19" s="2"/>
      <c r="C19" s="3"/>
      <c r="D19" s="2"/>
      <c r="E19" s="2"/>
      <c r="F19" s="2"/>
      <c r="G19" s="2"/>
      <c r="H19" s="1"/>
      <c r="I19" s="4"/>
      <c r="J19" s="3"/>
      <c r="K19" s="2"/>
      <c r="L19" s="4"/>
      <c r="M19" s="5"/>
      <c r="N19" s="4"/>
    </row>
    <row r="20" spans="1:14" ht="33" customHeight="1" x14ac:dyDescent="0.25">
      <c r="A20" s="8"/>
      <c r="B20" s="2"/>
      <c r="C20" s="3"/>
      <c r="D20" s="2"/>
      <c r="E20" s="2"/>
      <c r="F20" s="2"/>
      <c r="G20" s="2"/>
      <c r="H20" s="1"/>
      <c r="I20" s="4"/>
      <c r="J20" s="3"/>
      <c r="K20" s="2"/>
      <c r="L20" s="4"/>
      <c r="M20" s="5"/>
      <c r="N20" s="4"/>
    </row>
    <row r="21" spans="1:14" ht="33" customHeight="1" x14ac:dyDescent="0.25">
      <c r="A21" s="8"/>
      <c r="B21" s="2"/>
      <c r="C21" s="3"/>
      <c r="D21" s="2"/>
      <c r="E21" s="2"/>
      <c r="F21" s="2"/>
      <c r="G21" s="2"/>
      <c r="H21" s="1"/>
      <c r="I21" s="4"/>
      <c r="J21" s="3"/>
      <c r="K21" s="2"/>
      <c r="L21" s="4"/>
      <c r="M21" s="5"/>
      <c r="N21" s="4"/>
    </row>
  </sheetData>
  <autoFilter ref="A1:N1">
    <sortState ref="A2:N14">
      <sortCondition ref="A1"/>
    </sortState>
  </autoFilter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</hyperlinks>
  <pageMargins left="0.7" right="0.7" top="0.75" bottom="0.75" header="0.3" footer="0.3"/>
  <pageSetup orientation="portrait" horizontalDpi="0" verticalDpi="0" r:id="rId1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251" activePane="bottomLeft" state="frozen"/>
      <selection activeCell="E23" sqref="E23"/>
      <selection pane="bottomLeft" activeCell="F251" sqref="F251"/>
    </sheetView>
  </sheetViews>
  <sheetFormatPr baseColWidth="10" defaultRowHeight="12.75" outlineLevelRow="1" x14ac:dyDescent="0.2"/>
  <cols>
    <col min="1" max="1" width="5" style="216" customWidth="1"/>
    <col min="2" max="2" width="13.28515625" style="216" customWidth="1"/>
    <col min="3" max="3" width="15" style="217" customWidth="1"/>
    <col min="4" max="4" width="23.28515625" style="216" customWidth="1"/>
    <col min="5" max="5" width="13" style="216" customWidth="1"/>
    <col min="6" max="6" width="29.28515625" style="216" customWidth="1"/>
    <col min="7" max="7" width="13.85546875" style="217" customWidth="1"/>
    <col min="8" max="8" width="10.7109375" style="217" hidden="1" customWidth="1"/>
    <col min="9" max="9" width="12.42578125" style="216" customWidth="1"/>
    <col min="10" max="10" width="13.5703125" style="216" customWidth="1"/>
    <col min="11" max="11" width="13.85546875" style="216" customWidth="1"/>
    <col min="12" max="12" width="16.7109375" style="218" customWidth="1"/>
    <col min="13" max="13" width="13" style="216" customWidth="1"/>
    <col min="14" max="14" width="10.42578125" style="131" customWidth="1"/>
    <col min="15" max="15" width="53.140625" style="132" customWidth="1"/>
    <col min="16" max="16" width="11.140625" style="132" customWidth="1"/>
    <col min="17" max="17" width="9.7109375" style="132" customWidth="1"/>
    <col min="18" max="18" width="12.85546875" style="132" customWidth="1"/>
    <col min="19" max="19" width="12.140625" style="132" customWidth="1"/>
    <col min="20" max="20" width="11.42578125" style="132"/>
    <col min="21" max="21" width="12.28515625" style="132" customWidth="1"/>
    <col min="22" max="22" width="43.5703125" style="132" customWidth="1"/>
    <col min="23" max="28" width="11.42578125" style="132"/>
    <col min="29" max="16384" width="11.42578125" style="216"/>
  </cols>
  <sheetData>
    <row r="1" spans="1:28" s="133" customFormat="1" ht="18.75" customHeight="1" outlineLevel="1" x14ac:dyDescent="0.2">
      <c r="A1" s="121">
        <v>1</v>
      </c>
      <c r="B1" s="121">
        <v>89909</v>
      </c>
      <c r="C1" s="122">
        <v>41659</v>
      </c>
      <c r="D1" s="123" t="s">
        <v>550</v>
      </c>
      <c r="E1" s="121"/>
      <c r="F1" s="124" t="s">
        <v>116</v>
      </c>
      <c r="G1" s="125" t="s">
        <v>368</v>
      </c>
      <c r="H1" s="126" t="s">
        <v>551</v>
      </c>
      <c r="I1" s="127">
        <v>1</v>
      </c>
      <c r="J1" s="128">
        <v>65930</v>
      </c>
      <c r="K1" s="128">
        <v>65930</v>
      </c>
      <c r="L1" s="129" t="s">
        <v>552</v>
      </c>
      <c r="M1" s="130" t="s">
        <v>7</v>
      </c>
      <c r="N1" s="131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</row>
    <row r="2" spans="1:28" s="144" customFormat="1" ht="15" customHeight="1" outlineLevel="1" x14ac:dyDescent="0.2">
      <c r="A2" s="134">
        <v>18</v>
      </c>
      <c r="B2" s="134">
        <v>95867</v>
      </c>
      <c r="C2" s="135">
        <v>41684</v>
      </c>
      <c r="D2" s="136" t="s">
        <v>553</v>
      </c>
      <c r="E2" s="134" t="s">
        <v>378</v>
      </c>
      <c r="F2" s="137" t="s">
        <v>115</v>
      </c>
      <c r="G2" s="138" t="s">
        <v>404</v>
      </c>
      <c r="H2" s="139" t="s">
        <v>554</v>
      </c>
      <c r="I2" s="140">
        <v>1</v>
      </c>
      <c r="J2" s="141">
        <v>5274</v>
      </c>
      <c r="K2" s="141">
        <v>5274</v>
      </c>
      <c r="L2" s="129" t="s">
        <v>555</v>
      </c>
      <c r="M2" s="130" t="s">
        <v>7</v>
      </c>
      <c r="N2" s="142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</row>
    <row r="3" spans="1:28" s="144" customFormat="1" ht="15" customHeight="1" outlineLevel="1" x14ac:dyDescent="0.2">
      <c r="A3" s="134">
        <v>19</v>
      </c>
      <c r="B3" s="134">
        <v>97661</v>
      </c>
      <c r="C3" s="135">
        <v>41690</v>
      </c>
      <c r="D3" s="136" t="s">
        <v>556</v>
      </c>
      <c r="E3" s="134" t="s">
        <v>378</v>
      </c>
      <c r="F3" s="137" t="s">
        <v>534</v>
      </c>
      <c r="G3" s="138" t="s">
        <v>401</v>
      </c>
      <c r="H3" s="139" t="s">
        <v>557</v>
      </c>
      <c r="I3" s="140">
        <v>1</v>
      </c>
      <c r="J3" s="141">
        <v>30429</v>
      </c>
      <c r="K3" s="141">
        <v>30429</v>
      </c>
      <c r="L3" s="129" t="s">
        <v>555</v>
      </c>
      <c r="M3" s="130" t="s">
        <v>7</v>
      </c>
      <c r="N3" s="142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</row>
    <row r="4" spans="1:28" s="144" customFormat="1" ht="15" customHeight="1" outlineLevel="1" x14ac:dyDescent="0.2">
      <c r="A4" s="134">
        <v>20</v>
      </c>
      <c r="B4" s="134">
        <v>97364</v>
      </c>
      <c r="C4" s="135">
        <v>41689</v>
      </c>
      <c r="D4" s="136" t="s">
        <v>558</v>
      </c>
      <c r="E4" s="134" t="s">
        <v>378</v>
      </c>
      <c r="F4" s="137" t="s">
        <v>534</v>
      </c>
      <c r="G4" s="138" t="s">
        <v>559</v>
      </c>
      <c r="H4" s="139" t="s">
        <v>560</v>
      </c>
      <c r="I4" s="140">
        <v>1</v>
      </c>
      <c r="J4" s="141">
        <v>30429</v>
      </c>
      <c r="K4" s="141">
        <v>30429</v>
      </c>
      <c r="L4" s="129" t="s">
        <v>555</v>
      </c>
      <c r="M4" s="130" t="s">
        <v>7</v>
      </c>
      <c r="N4" s="142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</row>
    <row r="5" spans="1:28" s="144" customFormat="1" ht="15" customHeight="1" outlineLevel="1" x14ac:dyDescent="0.2">
      <c r="A5" s="134">
        <v>21</v>
      </c>
      <c r="B5" s="134">
        <v>98310</v>
      </c>
      <c r="C5" s="135">
        <v>41695</v>
      </c>
      <c r="D5" s="136" t="s">
        <v>561</v>
      </c>
      <c r="E5" s="134" t="s">
        <v>562</v>
      </c>
      <c r="F5" s="137" t="s">
        <v>180</v>
      </c>
      <c r="G5" s="138" t="s">
        <v>397</v>
      </c>
      <c r="H5" s="139" t="s">
        <v>563</v>
      </c>
      <c r="I5" s="140">
        <v>2</v>
      </c>
      <c r="J5" s="141">
        <v>55062</v>
      </c>
      <c r="K5" s="141">
        <v>110124</v>
      </c>
      <c r="L5" s="129" t="s">
        <v>555</v>
      </c>
      <c r="M5" s="130" t="s">
        <v>7</v>
      </c>
      <c r="N5" s="142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</row>
    <row r="6" spans="1:28" s="144" customFormat="1" ht="15" customHeight="1" outlineLevel="1" x14ac:dyDescent="0.2">
      <c r="A6" s="134">
        <v>22</v>
      </c>
      <c r="B6" s="134">
        <v>96659</v>
      </c>
      <c r="C6" s="135">
        <v>41691</v>
      </c>
      <c r="D6" s="136" t="s">
        <v>564</v>
      </c>
      <c r="E6" s="134" t="s">
        <v>562</v>
      </c>
      <c r="F6" s="137" t="s">
        <v>205</v>
      </c>
      <c r="G6" s="138" t="s">
        <v>565</v>
      </c>
      <c r="H6" s="139" t="s">
        <v>566</v>
      </c>
      <c r="I6" s="140">
        <v>1</v>
      </c>
      <c r="J6" s="141">
        <v>55062</v>
      </c>
      <c r="K6" s="141">
        <v>55062</v>
      </c>
      <c r="L6" s="129" t="s">
        <v>555</v>
      </c>
      <c r="M6" s="130" t="s">
        <v>7</v>
      </c>
      <c r="N6" s="142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</row>
    <row r="7" spans="1:28" s="144" customFormat="1" ht="15" customHeight="1" outlineLevel="1" x14ac:dyDescent="0.2">
      <c r="A7" s="134">
        <v>23</v>
      </c>
      <c r="B7" s="134">
        <v>96590</v>
      </c>
      <c r="C7" s="135">
        <v>41687</v>
      </c>
      <c r="D7" s="136" t="s">
        <v>567</v>
      </c>
      <c r="E7" s="134" t="s">
        <v>562</v>
      </c>
      <c r="F7" s="137" t="s">
        <v>115</v>
      </c>
      <c r="G7" s="138" t="s">
        <v>397</v>
      </c>
      <c r="H7" s="139" t="s">
        <v>566</v>
      </c>
      <c r="I7" s="140">
        <v>2</v>
      </c>
      <c r="J7" s="141">
        <v>5274</v>
      </c>
      <c r="K7" s="141">
        <v>10548</v>
      </c>
      <c r="L7" s="129" t="s">
        <v>555</v>
      </c>
      <c r="M7" s="130" t="s">
        <v>7</v>
      </c>
      <c r="N7" s="142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</row>
    <row r="8" spans="1:28" s="144" customFormat="1" ht="15" customHeight="1" outlineLevel="1" x14ac:dyDescent="0.2">
      <c r="A8" s="134">
        <v>24</v>
      </c>
      <c r="B8" s="134">
        <v>97159</v>
      </c>
      <c r="C8" s="135">
        <v>41689</v>
      </c>
      <c r="D8" s="136" t="s">
        <v>568</v>
      </c>
      <c r="E8" s="134" t="s">
        <v>569</v>
      </c>
      <c r="F8" s="137" t="s">
        <v>115</v>
      </c>
      <c r="G8" s="138" t="s">
        <v>412</v>
      </c>
      <c r="H8" s="139" t="s">
        <v>570</v>
      </c>
      <c r="I8" s="140">
        <v>1</v>
      </c>
      <c r="J8" s="141">
        <v>5274</v>
      </c>
      <c r="K8" s="141">
        <v>5274</v>
      </c>
      <c r="L8" s="129" t="s">
        <v>555</v>
      </c>
      <c r="M8" s="130" t="s">
        <v>7</v>
      </c>
      <c r="N8" s="142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</row>
    <row r="9" spans="1:28" s="144" customFormat="1" ht="15" customHeight="1" outlineLevel="1" x14ac:dyDescent="0.2">
      <c r="A9" s="134">
        <v>25</v>
      </c>
      <c r="B9" s="134">
        <v>96300</v>
      </c>
      <c r="C9" s="135">
        <v>41684</v>
      </c>
      <c r="D9" s="136" t="s">
        <v>571</v>
      </c>
      <c r="E9" s="134" t="s">
        <v>378</v>
      </c>
      <c r="F9" s="137" t="s">
        <v>114</v>
      </c>
      <c r="G9" s="138" t="s">
        <v>524</v>
      </c>
      <c r="H9" s="139" t="s">
        <v>572</v>
      </c>
      <c r="I9" s="140">
        <v>1</v>
      </c>
      <c r="J9" s="141">
        <v>33370</v>
      </c>
      <c r="K9" s="141">
        <v>33370</v>
      </c>
      <c r="L9" s="129" t="s">
        <v>555</v>
      </c>
      <c r="M9" s="130" t="s">
        <v>7</v>
      </c>
      <c r="N9" s="142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</row>
    <row r="10" spans="1:28" s="144" customFormat="1" ht="15" customHeight="1" outlineLevel="1" x14ac:dyDescent="0.2">
      <c r="A10" s="134">
        <v>26</v>
      </c>
      <c r="B10" s="134">
        <v>98350</v>
      </c>
      <c r="C10" s="135">
        <v>41695</v>
      </c>
      <c r="D10" s="136" t="s">
        <v>573</v>
      </c>
      <c r="E10" s="134" t="s">
        <v>562</v>
      </c>
      <c r="F10" s="137" t="s">
        <v>574</v>
      </c>
      <c r="G10" s="138" t="s">
        <v>565</v>
      </c>
      <c r="H10" s="139" t="s">
        <v>551</v>
      </c>
      <c r="I10" s="140">
        <v>1</v>
      </c>
      <c r="J10" s="141">
        <v>49701</v>
      </c>
      <c r="K10" s="141">
        <v>49701</v>
      </c>
      <c r="L10" s="129" t="s">
        <v>555</v>
      </c>
      <c r="M10" s="130" t="s">
        <v>7</v>
      </c>
      <c r="N10" s="142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</row>
    <row r="11" spans="1:28" s="133" customFormat="1" ht="15" customHeight="1" outlineLevel="1" x14ac:dyDescent="0.2">
      <c r="A11" s="134">
        <v>10</v>
      </c>
      <c r="B11" s="134">
        <v>96530</v>
      </c>
      <c r="C11" s="135">
        <v>41687</v>
      </c>
      <c r="D11" s="136" t="s">
        <v>575</v>
      </c>
      <c r="E11" s="134" t="s">
        <v>576</v>
      </c>
      <c r="F11" s="137" t="s">
        <v>577</v>
      </c>
      <c r="G11" s="138" t="s">
        <v>368</v>
      </c>
      <c r="H11" s="139"/>
      <c r="I11" s="140">
        <v>1</v>
      </c>
      <c r="J11" s="141">
        <v>25800</v>
      </c>
      <c r="K11" s="145">
        <v>25800</v>
      </c>
      <c r="L11" s="146" t="s">
        <v>578</v>
      </c>
      <c r="M11" s="130" t="s">
        <v>7</v>
      </c>
      <c r="N11" s="131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</row>
    <row r="12" spans="1:28" s="133" customFormat="1" ht="15" customHeight="1" outlineLevel="1" x14ac:dyDescent="0.2">
      <c r="A12" s="134">
        <v>11</v>
      </c>
      <c r="B12" s="134">
        <v>98367</v>
      </c>
      <c r="C12" s="135">
        <v>41695</v>
      </c>
      <c r="D12" s="136" t="s">
        <v>579</v>
      </c>
      <c r="E12" s="134" t="s">
        <v>562</v>
      </c>
      <c r="F12" s="137" t="s">
        <v>534</v>
      </c>
      <c r="G12" s="138" t="s">
        <v>414</v>
      </c>
      <c r="H12" s="139" t="s">
        <v>580</v>
      </c>
      <c r="I12" s="140">
        <v>1</v>
      </c>
      <c r="J12" s="141">
        <v>30429</v>
      </c>
      <c r="K12" s="145">
        <v>30429</v>
      </c>
      <c r="L12" s="146" t="s">
        <v>578</v>
      </c>
      <c r="M12" s="130" t="s">
        <v>7</v>
      </c>
      <c r="N12" s="131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</row>
    <row r="13" spans="1:28" s="133" customFormat="1" ht="15" customHeight="1" outlineLevel="1" x14ac:dyDescent="0.2">
      <c r="A13" s="134">
        <v>12</v>
      </c>
      <c r="B13" s="134">
        <v>94817</v>
      </c>
      <c r="C13" s="135">
        <v>41676</v>
      </c>
      <c r="D13" s="136" t="s">
        <v>581</v>
      </c>
      <c r="E13" s="134" t="s">
        <v>502</v>
      </c>
      <c r="F13" s="137" t="s">
        <v>577</v>
      </c>
      <c r="G13" s="138" t="s">
        <v>368</v>
      </c>
      <c r="H13" s="139"/>
      <c r="I13" s="140">
        <v>1</v>
      </c>
      <c r="J13" s="141">
        <v>25800</v>
      </c>
      <c r="K13" s="145">
        <v>25800</v>
      </c>
      <c r="L13" s="146" t="s">
        <v>578</v>
      </c>
      <c r="M13" s="130" t="s">
        <v>7</v>
      </c>
      <c r="N13" s="131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</row>
    <row r="14" spans="1:28" s="133" customFormat="1" ht="15" customHeight="1" outlineLevel="1" x14ac:dyDescent="0.2">
      <c r="A14" s="134">
        <v>13</v>
      </c>
      <c r="B14" s="134">
        <v>2950</v>
      </c>
      <c r="C14" s="135">
        <v>41717</v>
      </c>
      <c r="D14" s="136" t="s">
        <v>582</v>
      </c>
      <c r="E14" s="134" t="s">
        <v>583</v>
      </c>
      <c r="F14" s="137" t="s">
        <v>221</v>
      </c>
      <c r="G14" s="138" t="s">
        <v>368</v>
      </c>
      <c r="H14" s="139" t="s">
        <v>551</v>
      </c>
      <c r="I14" s="140">
        <v>1</v>
      </c>
      <c r="J14" s="141">
        <v>40572</v>
      </c>
      <c r="K14" s="141">
        <v>40572</v>
      </c>
      <c r="L14" s="146" t="s">
        <v>578</v>
      </c>
      <c r="M14" s="130" t="s">
        <v>7</v>
      </c>
      <c r="N14" s="131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</row>
    <row r="15" spans="1:28" s="133" customFormat="1" ht="15" customHeight="1" outlineLevel="1" x14ac:dyDescent="0.2">
      <c r="A15" s="134">
        <v>14</v>
      </c>
      <c r="B15" s="134">
        <v>96844</v>
      </c>
      <c r="C15" s="135">
        <v>41688</v>
      </c>
      <c r="D15" s="136" t="s">
        <v>584</v>
      </c>
      <c r="E15" s="134" t="s">
        <v>378</v>
      </c>
      <c r="F15" s="137" t="s">
        <v>115</v>
      </c>
      <c r="G15" s="138" t="s">
        <v>524</v>
      </c>
      <c r="H15" s="139" t="s">
        <v>486</v>
      </c>
      <c r="I15" s="140">
        <v>1</v>
      </c>
      <c r="J15" s="141">
        <v>5274</v>
      </c>
      <c r="K15" s="145">
        <v>5274</v>
      </c>
      <c r="L15" s="146" t="s">
        <v>578</v>
      </c>
      <c r="M15" s="130" t="s">
        <v>7</v>
      </c>
      <c r="N15" s="131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</row>
    <row r="16" spans="1:28" s="133" customFormat="1" ht="15" customHeight="1" outlineLevel="1" x14ac:dyDescent="0.2">
      <c r="A16" s="134">
        <v>15</v>
      </c>
      <c r="B16" s="134">
        <v>95692</v>
      </c>
      <c r="C16" s="135">
        <v>41682</v>
      </c>
      <c r="D16" s="136" t="s">
        <v>585</v>
      </c>
      <c r="E16" s="134" t="s">
        <v>378</v>
      </c>
      <c r="F16" s="137" t="s">
        <v>534</v>
      </c>
      <c r="G16" s="138" t="s">
        <v>469</v>
      </c>
      <c r="H16" s="139" t="s">
        <v>580</v>
      </c>
      <c r="I16" s="140">
        <v>1</v>
      </c>
      <c r="J16" s="141">
        <v>30429</v>
      </c>
      <c r="K16" s="145">
        <v>30429</v>
      </c>
      <c r="L16" s="146" t="s">
        <v>578</v>
      </c>
      <c r="M16" s="130" t="s">
        <v>7</v>
      </c>
      <c r="N16" s="131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</row>
    <row r="17" spans="1:28" s="133" customFormat="1" ht="15" customHeight="1" outlineLevel="1" x14ac:dyDescent="0.2">
      <c r="A17" s="134">
        <v>16</v>
      </c>
      <c r="B17" s="134">
        <v>98784</v>
      </c>
      <c r="C17" s="135">
        <v>41698</v>
      </c>
      <c r="D17" s="136" t="s">
        <v>586</v>
      </c>
      <c r="E17" s="134" t="s">
        <v>587</v>
      </c>
      <c r="F17" s="137" t="s">
        <v>577</v>
      </c>
      <c r="G17" s="138" t="s">
        <v>368</v>
      </c>
      <c r="H17" s="139"/>
      <c r="I17" s="140">
        <v>1</v>
      </c>
      <c r="J17" s="141">
        <v>25800</v>
      </c>
      <c r="K17" s="145">
        <v>25800</v>
      </c>
      <c r="L17" s="146" t="s">
        <v>578</v>
      </c>
      <c r="M17" s="130" t="s">
        <v>7</v>
      </c>
      <c r="N17" s="131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</row>
    <row r="18" spans="1:28" s="133" customFormat="1" ht="15" customHeight="1" outlineLevel="1" x14ac:dyDescent="0.2">
      <c r="A18" s="134">
        <v>17</v>
      </c>
      <c r="B18" s="134">
        <v>95561</v>
      </c>
      <c r="C18" s="135">
        <v>41682</v>
      </c>
      <c r="D18" s="136" t="s">
        <v>588</v>
      </c>
      <c r="E18" s="134" t="s">
        <v>378</v>
      </c>
      <c r="F18" s="137" t="s">
        <v>115</v>
      </c>
      <c r="G18" s="138" t="s">
        <v>589</v>
      </c>
      <c r="H18" s="139" t="s">
        <v>486</v>
      </c>
      <c r="I18" s="140">
        <v>2</v>
      </c>
      <c r="J18" s="141">
        <v>5274</v>
      </c>
      <c r="K18" s="145">
        <v>10548</v>
      </c>
      <c r="L18" s="146" t="s">
        <v>578</v>
      </c>
      <c r="M18" s="130" t="s">
        <v>7</v>
      </c>
      <c r="N18" s="131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</row>
    <row r="19" spans="1:28" s="133" customFormat="1" ht="15" customHeight="1" outlineLevel="1" x14ac:dyDescent="0.2">
      <c r="A19" s="134">
        <v>18</v>
      </c>
      <c r="B19" s="134">
        <v>94866</v>
      </c>
      <c r="C19" s="135">
        <v>41677</v>
      </c>
      <c r="D19" s="136" t="s">
        <v>590</v>
      </c>
      <c r="E19" s="134" t="s">
        <v>378</v>
      </c>
      <c r="F19" s="137" t="s">
        <v>115</v>
      </c>
      <c r="G19" s="138" t="s">
        <v>591</v>
      </c>
      <c r="H19" s="139" t="s">
        <v>486</v>
      </c>
      <c r="I19" s="140">
        <v>1</v>
      </c>
      <c r="J19" s="141">
        <v>5274</v>
      </c>
      <c r="K19" s="145">
        <v>5274</v>
      </c>
      <c r="L19" s="146" t="s">
        <v>578</v>
      </c>
      <c r="M19" s="130" t="s">
        <v>7</v>
      </c>
      <c r="N19" s="131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</row>
    <row r="20" spans="1:28" s="133" customFormat="1" ht="15" customHeight="1" outlineLevel="1" x14ac:dyDescent="0.2">
      <c r="A20" s="134">
        <v>19</v>
      </c>
      <c r="B20" s="134">
        <v>959</v>
      </c>
      <c r="C20" s="135">
        <v>41710</v>
      </c>
      <c r="D20" s="136" t="s">
        <v>592</v>
      </c>
      <c r="E20" s="134" t="s">
        <v>378</v>
      </c>
      <c r="F20" s="137" t="s">
        <v>114</v>
      </c>
      <c r="G20" s="138" t="s">
        <v>593</v>
      </c>
      <c r="H20" s="139" t="s">
        <v>594</v>
      </c>
      <c r="I20" s="140">
        <v>2</v>
      </c>
      <c r="J20" s="141">
        <v>33370</v>
      </c>
      <c r="K20" s="141">
        <v>66740</v>
      </c>
      <c r="L20" s="146" t="s">
        <v>578</v>
      </c>
      <c r="M20" s="130" t="s">
        <v>7</v>
      </c>
      <c r="N20" s="131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</row>
    <row r="21" spans="1:28" s="133" customFormat="1" ht="15" customHeight="1" outlineLevel="1" x14ac:dyDescent="0.2">
      <c r="A21" s="147">
        <v>2</v>
      </c>
      <c r="B21" s="147">
        <v>96008</v>
      </c>
      <c r="C21" s="148">
        <v>41682</v>
      </c>
      <c r="D21" s="149" t="s">
        <v>595</v>
      </c>
      <c r="E21" s="147" t="s">
        <v>596</v>
      </c>
      <c r="F21" s="150" t="s">
        <v>215</v>
      </c>
      <c r="G21" s="151" t="s">
        <v>368</v>
      </c>
      <c r="H21" s="152" t="s">
        <v>570</v>
      </c>
      <c r="I21" s="153">
        <v>1</v>
      </c>
      <c r="J21" s="128">
        <v>44597</v>
      </c>
      <c r="K21" s="128">
        <v>44597</v>
      </c>
      <c r="L21" s="154" t="s">
        <v>597</v>
      </c>
      <c r="M21" s="130" t="s">
        <v>7</v>
      </c>
      <c r="N21" s="131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</row>
    <row r="22" spans="1:28" s="133" customFormat="1" ht="15" customHeight="1" outlineLevel="1" x14ac:dyDescent="0.2">
      <c r="A22" s="147">
        <v>4</v>
      </c>
      <c r="B22" s="147">
        <v>94891</v>
      </c>
      <c r="C22" s="148">
        <v>41677</v>
      </c>
      <c r="D22" s="149" t="s">
        <v>598</v>
      </c>
      <c r="E22" s="147" t="s">
        <v>502</v>
      </c>
      <c r="F22" s="150" t="s">
        <v>577</v>
      </c>
      <c r="G22" s="151" t="s">
        <v>368</v>
      </c>
      <c r="H22" s="152"/>
      <c r="I22" s="153">
        <v>1</v>
      </c>
      <c r="J22" s="128">
        <v>25800</v>
      </c>
      <c r="K22" s="128">
        <v>25800</v>
      </c>
      <c r="L22" s="154" t="s">
        <v>597</v>
      </c>
      <c r="M22" s="130" t="s">
        <v>7</v>
      </c>
      <c r="N22" s="131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</row>
    <row r="23" spans="1:28" s="133" customFormat="1" ht="15" customHeight="1" outlineLevel="1" x14ac:dyDescent="0.2">
      <c r="A23" s="147">
        <v>5</v>
      </c>
      <c r="B23" s="121">
        <v>7883</v>
      </c>
      <c r="C23" s="122">
        <v>41732</v>
      </c>
      <c r="D23" s="123" t="s">
        <v>599</v>
      </c>
      <c r="E23" s="121" t="s">
        <v>576</v>
      </c>
      <c r="F23" s="124" t="s">
        <v>577</v>
      </c>
      <c r="G23" s="125" t="s">
        <v>368</v>
      </c>
      <c r="H23" s="126"/>
      <c r="I23" s="127">
        <v>1</v>
      </c>
      <c r="J23" s="128">
        <v>25800</v>
      </c>
      <c r="K23" s="128">
        <v>25800</v>
      </c>
      <c r="L23" s="154" t="s">
        <v>597</v>
      </c>
      <c r="M23" s="130" t="s">
        <v>7</v>
      </c>
      <c r="N23" s="131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</row>
    <row r="24" spans="1:28" s="133" customFormat="1" ht="15" customHeight="1" outlineLevel="1" x14ac:dyDescent="0.2">
      <c r="A24" s="147">
        <v>8</v>
      </c>
      <c r="B24" s="147">
        <v>95561</v>
      </c>
      <c r="C24" s="148">
        <v>41682</v>
      </c>
      <c r="D24" s="149" t="s">
        <v>588</v>
      </c>
      <c r="E24" s="147" t="s">
        <v>378</v>
      </c>
      <c r="F24" s="150" t="s">
        <v>208</v>
      </c>
      <c r="G24" s="151" t="s">
        <v>589</v>
      </c>
      <c r="H24" s="152" t="s">
        <v>486</v>
      </c>
      <c r="I24" s="153">
        <v>2</v>
      </c>
      <c r="J24" s="128">
        <v>14099</v>
      </c>
      <c r="K24" s="128">
        <v>28198</v>
      </c>
      <c r="L24" s="154" t="s">
        <v>597</v>
      </c>
      <c r="M24" s="130" t="s">
        <v>7</v>
      </c>
      <c r="N24" s="131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</row>
    <row r="25" spans="1:28" s="133" customFormat="1" ht="15" customHeight="1" outlineLevel="1" x14ac:dyDescent="0.2">
      <c r="A25" s="147">
        <v>9</v>
      </c>
      <c r="B25" s="121">
        <v>8593</v>
      </c>
      <c r="C25" s="122">
        <v>41736</v>
      </c>
      <c r="D25" s="123" t="s">
        <v>600</v>
      </c>
      <c r="E25" s="121" t="s">
        <v>587</v>
      </c>
      <c r="F25" s="124" t="s">
        <v>577</v>
      </c>
      <c r="G25" s="125" t="s">
        <v>368</v>
      </c>
      <c r="H25" s="126"/>
      <c r="I25" s="127">
        <v>1</v>
      </c>
      <c r="J25" s="128">
        <v>25800</v>
      </c>
      <c r="K25" s="128">
        <v>25800</v>
      </c>
      <c r="L25" s="154" t="s">
        <v>597</v>
      </c>
      <c r="M25" s="130" t="s">
        <v>7</v>
      </c>
      <c r="N25" s="131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</row>
    <row r="26" spans="1:28" s="133" customFormat="1" ht="15" customHeight="1" outlineLevel="1" x14ac:dyDescent="0.2">
      <c r="A26" s="121">
        <v>10</v>
      </c>
      <c r="B26" s="147">
        <v>94782</v>
      </c>
      <c r="C26" s="148">
        <v>41676</v>
      </c>
      <c r="D26" s="149" t="s">
        <v>601</v>
      </c>
      <c r="E26" s="147" t="s">
        <v>378</v>
      </c>
      <c r="F26" s="150" t="s">
        <v>534</v>
      </c>
      <c r="G26" s="151" t="s">
        <v>416</v>
      </c>
      <c r="H26" s="152" t="s">
        <v>563</v>
      </c>
      <c r="I26" s="153">
        <v>1</v>
      </c>
      <c r="J26" s="128">
        <v>30429</v>
      </c>
      <c r="K26" s="128">
        <v>30429</v>
      </c>
      <c r="L26" s="154" t="s">
        <v>597</v>
      </c>
      <c r="M26" s="130" t="s">
        <v>7</v>
      </c>
      <c r="N26" s="131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</row>
    <row r="27" spans="1:28" s="133" customFormat="1" ht="15" customHeight="1" outlineLevel="1" x14ac:dyDescent="0.2">
      <c r="A27" s="121">
        <v>11</v>
      </c>
      <c r="B27" s="147">
        <v>94866</v>
      </c>
      <c r="C27" s="148">
        <v>41677</v>
      </c>
      <c r="D27" s="149" t="s">
        <v>590</v>
      </c>
      <c r="E27" s="147" t="s">
        <v>378</v>
      </c>
      <c r="F27" s="150" t="s">
        <v>208</v>
      </c>
      <c r="G27" s="151" t="s">
        <v>591</v>
      </c>
      <c r="H27" s="152" t="s">
        <v>486</v>
      </c>
      <c r="I27" s="153">
        <v>1</v>
      </c>
      <c r="J27" s="128">
        <v>14099</v>
      </c>
      <c r="K27" s="128">
        <v>14099</v>
      </c>
      <c r="L27" s="154" t="s">
        <v>597</v>
      </c>
      <c r="M27" s="130" t="s">
        <v>7</v>
      </c>
      <c r="N27" s="131"/>
      <c r="O27" s="132"/>
      <c r="P27" s="132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</row>
    <row r="28" spans="1:28" s="133" customFormat="1" ht="18.75" customHeight="1" outlineLevel="1" x14ac:dyDescent="0.2">
      <c r="A28" s="121">
        <v>1</v>
      </c>
      <c r="B28" s="121">
        <v>17473</v>
      </c>
      <c r="C28" s="122">
        <v>41771</v>
      </c>
      <c r="D28" s="123" t="s">
        <v>602</v>
      </c>
      <c r="E28" s="121" t="s">
        <v>583</v>
      </c>
      <c r="F28" s="124" t="s">
        <v>116</v>
      </c>
      <c r="G28" s="125" t="s">
        <v>368</v>
      </c>
      <c r="H28" s="126" t="s">
        <v>551</v>
      </c>
      <c r="I28" s="127">
        <v>1</v>
      </c>
      <c r="J28" s="128">
        <v>65930</v>
      </c>
      <c r="K28" s="128">
        <v>65930</v>
      </c>
      <c r="L28" s="155" t="s">
        <v>603</v>
      </c>
      <c r="M28" s="130" t="s">
        <v>7</v>
      </c>
      <c r="N28" s="131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</row>
    <row r="29" spans="1:28" s="133" customFormat="1" ht="15" customHeight="1" outlineLevel="1" x14ac:dyDescent="0.2">
      <c r="A29" s="147">
        <v>1</v>
      </c>
      <c r="B29" s="147">
        <v>97359</v>
      </c>
      <c r="C29" s="148">
        <v>41690</v>
      </c>
      <c r="D29" s="149" t="s">
        <v>604</v>
      </c>
      <c r="E29" s="147" t="s">
        <v>378</v>
      </c>
      <c r="F29" s="150" t="s">
        <v>534</v>
      </c>
      <c r="G29" s="151" t="s">
        <v>508</v>
      </c>
      <c r="H29" s="152" t="s">
        <v>594</v>
      </c>
      <c r="I29" s="153">
        <v>1</v>
      </c>
      <c r="J29" s="128">
        <v>30429</v>
      </c>
      <c r="K29" s="128">
        <v>30429</v>
      </c>
      <c r="L29" s="155" t="s">
        <v>605</v>
      </c>
      <c r="M29" s="130" t="s">
        <v>7</v>
      </c>
      <c r="N29" s="131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</row>
    <row r="30" spans="1:28" s="133" customFormat="1" ht="21" customHeight="1" outlineLevel="1" x14ac:dyDescent="0.2">
      <c r="A30" s="147">
        <v>2</v>
      </c>
      <c r="B30" s="147">
        <v>95309</v>
      </c>
      <c r="C30" s="148">
        <v>41680</v>
      </c>
      <c r="D30" s="149" t="s">
        <v>606</v>
      </c>
      <c r="E30" s="147" t="s">
        <v>502</v>
      </c>
      <c r="F30" s="150" t="s">
        <v>577</v>
      </c>
      <c r="G30" s="151" t="s">
        <v>368</v>
      </c>
      <c r="H30" s="152"/>
      <c r="I30" s="153">
        <v>1</v>
      </c>
      <c r="J30" s="128">
        <v>25800</v>
      </c>
      <c r="K30" s="128">
        <v>25800</v>
      </c>
      <c r="L30" s="155" t="s">
        <v>605</v>
      </c>
      <c r="M30" s="130" t="s">
        <v>7</v>
      </c>
      <c r="N30" s="131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</row>
    <row r="31" spans="1:28" s="133" customFormat="1" ht="15" customHeight="1" outlineLevel="1" x14ac:dyDescent="0.2">
      <c r="A31" s="147">
        <v>2</v>
      </c>
      <c r="B31" s="147">
        <v>95391</v>
      </c>
      <c r="C31" s="148">
        <v>41680</v>
      </c>
      <c r="D31" s="149" t="s">
        <v>607</v>
      </c>
      <c r="E31" s="147" t="s">
        <v>502</v>
      </c>
      <c r="F31" s="150" t="s">
        <v>577</v>
      </c>
      <c r="G31" s="151" t="s">
        <v>368</v>
      </c>
      <c r="H31" s="152"/>
      <c r="I31" s="153">
        <v>1</v>
      </c>
      <c r="J31" s="128">
        <v>25800</v>
      </c>
      <c r="K31" s="128">
        <v>25800</v>
      </c>
      <c r="L31" s="155" t="s">
        <v>605</v>
      </c>
      <c r="M31" s="130" t="s">
        <v>7</v>
      </c>
      <c r="N31" s="131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</row>
    <row r="32" spans="1:28" s="133" customFormat="1" ht="15" customHeight="1" outlineLevel="1" x14ac:dyDescent="0.2">
      <c r="A32" s="147">
        <v>4</v>
      </c>
      <c r="B32" s="121">
        <v>27078</v>
      </c>
      <c r="C32" s="122">
        <v>41806</v>
      </c>
      <c r="D32" s="123" t="s">
        <v>608</v>
      </c>
      <c r="E32" s="121" t="s">
        <v>583</v>
      </c>
      <c r="F32" s="124" t="s">
        <v>221</v>
      </c>
      <c r="G32" s="125" t="s">
        <v>368</v>
      </c>
      <c r="H32" s="126"/>
      <c r="I32" s="127">
        <v>1</v>
      </c>
      <c r="J32" s="128">
        <v>40572</v>
      </c>
      <c r="K32" s="128">
        <v>40572</v>
      </c>
      <c r="L32" s="155" t="s">
        <v>605</v>
      </c>
      <c r="M32" s="130" t="s">
        <v>7</v>
      </c>
      <c r="N32" s="131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</row>
    <row r="33" spans="1:28" s="133" customFormat="1" ht="15" customHeight="1" outlineLevel="1" x14ac:dyDescent="0.2">
      <c r="A33" s="121">
        <v>5</v>
      </c>
      <c r="B33" s="147">
        <v>95002</v>
      </c>
      <c r="C33" s="148">
        <v>41677</v>
      </c>
      <c r="D33" s="149" t="s">
        <v>609</v>
      </c>
      <c r="E33" s="147" t="s">
        <v>576</v>
      </c>
      <c r="F33" s="150" t="s">
        <v>577</v>
      </c>
      <c r="G33" s="151" t="s">
        <v>368</v>
      </c>
      <c r="H33" s="152"/>
      <c r="I33" s="153">
        <v>1</v>
      </c>
      <c r="J33" s="128">
        <v>25800</v>
      </c>
      <c r="K33" s="128">
        <v>25800</v>
      </c>
      <c r="L33" s="155" t="s">
        <v>605</v>
      </c>
      <c r="M33" s="130" t="s">
        <v>7</v>
      </c>
      <c r="N33" s="131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</row>
    <row r="34" spans="1:28" s="133" customFormat="1" ht="15" customHeight="1" outlineLevel="1" x14ac:dyDescent="0.2">
      <c r="A34" s="121">
        <v>1</v>
      </c>
      <c r="B34" s="121">
        <v>32333</v>
      </c>
      <c r="C34" s="122">
        <v>41823</v>
      </c>
      <c r="D34" s="123" t="s">
        <v>610</v>
      </c>
      <c r="E34" s="121" t="s">
        <v>611</v>
      </c>
      <c r="F34" s="124" t="s">
        <v>221</v>
      </c>
      <c r="G34" s="125" t="s">
        <v>368</v>
      </c>
      <c r="H34" s="126"/>
      <c r="I34" s="127">
        <v>1</v>
      </c>
      <c r="J34" s="128">
        <v>40572</v>
      </c>
      <c r="K34" s="128">
        <v>40572</v>
      </c>
      <c r="L34" s="155" t="s">
        <v>605</v>
      </c>
      <c r="M34" s="130" t="s">
        <v>7</v>
      </c>
      <c r="N34" s="131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</row>
    <row r="35" spans="1:28" s="133" customFormat="1" ht="15" customHeight="1" outlineLevel="1" x14ac:dyDescent="0.2">
      <c r="A35" s="121">
        <v>2</v>
      </c>
      <c r="B35" s="121">
        <v>36672</v>
      </c>
      <c r="C35" s="122">
        <v>41838</v>
      </c>
      <c r="D35" s="123" t="s">
        <v>612</v>
      </c>
      <c r="E35" s="121" t="s">
        <v>587</v>
      </c>
      <c r="F35" s="124" t="s">
        <v>116</v>
      </c>
      <c r="G35" s="125" t="s">
        <v>368</v>
      </c>
      <c r="H35" s="126"/>
      <c r="I35" s="127">
        <v>1</v>
      </c>
      <c r="J35" s="128">
        <v>65930</v>
      </c>
      <c r="K35" s="128">
        <v>65930</v>
      </c>
      <c r="L35" s="155" t="s">
        <v>605</v>
      </c>
      <c r="M35" s="130" t="s">
        <v>7</v>
      </c>
      <c r="N35" s="131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</row>
    <row r="36" spans="1:28" s="133" customFormat="1" ht="15" customHeight="1" outlineLevel="1" x14ac:dyDescent="0.2">
      <c r="A36" s="121">
        <v>3</v>
      </c>
      <c r="B36" s="121">
        <v>36672</v>
      </c>
      <c r="C36" s="122">
        <v>41838</v>
      </c>
      <c r="D36" s="123" t="s">
        <v>612</v>
      </c>
      <c r="E36" s="121" t="s">
        <v>587</v>
      </c>
      <c r="F36" s="124" t="s">
        <v>221</v>
      </c>
      <c r="G36" s="125" t="s">
        <v>366</v>
      </c>
      <c r="H36" s="126"/>
      <c r="I36" s="127">
        <v>1</v>
      </c>
      <c r="J36" s="128">
        <v>40572</v>
      </c>
      <c r="K36" s="128">
        <v>40572</v>
      </c>
      <c r="L36" s="155" t="s">
        <v>605</v>
      </c>
      <c r="M36" s="130" t="s">
        <v>7</v>
      </c>
      <c r="N36" s="131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</row>
    <row r="37" spans="1:28" s="133" customFormat="1" ht="15" customHeight="1" outlineLevel="1" x14ac:dyDescent="0.2">
      <c r="A37" s="121">
        <v>1</v>
      </c>
      <c r="B37" s="121">
        <v>50080</v>
      </c>
      <c r="C37" s="122">
        <v>41886</v>
      </c>
      <c r="D37" s="123" t="s">
        <v>613</v>
      </c>
      <c r="E37" s="121" t="s">
        <v>587</v>
      </c>
      <c r="F37" s="124" t="s">
        <v>215</v>
      </c>
      <c r="G37" s="125" t="s">
        <v>366</v>
      </c>
      <c r="H37" s="126"/>
      <c r="I37" s="127">
        <v>1</v>
      </c>
      <c r="J37" s="128">
        <v>44597</v>
      </c>
      <c r="K37" s="128">
        <v>44597</v>
      </c>
      <c r="L37" s="155" t="s">
        <v>614</v>
      </c>
      <c r="M37" s="130" t="s">
        <v>7</v>
      </c>
      <c r="N37" s="131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</row>
    <row r="38" spans="1:28" s="133" customFormat="1" ht="15.75" customHeight="1" outlineLevel="1" x14ac:dyDescent="0.2">
      <c r="A38" s="121">
        <v>2</v>
      </c>
      <c r="B38" s="121">
        <v>55788</v>
      </c>
      <c r="C38" s="122">
        <v>41912</v>
      </c>
      <c r="D38" s="123" t="s">
        <v>615</v>
      </c>
      <c r="E38" s="121" t="s">
        <v>611</v>
      </c>
      <c r="F38" s="124" t="s">
        <v>221</v>
      </c>
      <c r="G38" s="125" t="s">
        <v>368</v>
      </c>
      <c r="H38" s="126"/>
      <c r="I38" s="127">
        <v>1</v>
      </c>
      <c r="J38" s="128">
        <v>40572</v>
      </c>
      <c r="K38" s="128">
        <v>40572</v>
      </c>
      <c r="L38" s="155" t="s">
        <v>614</v>
      </c>
      <c r="M38" s="130" t="s">
        <v>7</v>
      </c>
      <c r="N38" s="131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</row>
    <row r="39" spans="1:28" s="133" customFormat="1" ht="15" customHeight="1" outlineLevel="1" x14ac:dyDescent="0.2">
      <c r="A39" s="121">
        <v>1</v>
      </c>
      <c r="B39" s="121">
        <v>58899</v>
      </c>
      <c r="C39" s="122">
        <v>41922</v>
      </c>
      <c r="D39" s="123" t="s">
        <v>616</v>
      </c>
      <c r="E39" s="121" t="s">
        <v>583</v>
      </c>
      <c r="F39" s="124" t="s">
        <v>221</v>
      </c>
      <c r="G39" s="125" t="s">
        <v>368</v>
      </c>
      <c r="H39" s="126"/>
      <c r="I39" s="127">
        <v>1</v>
      </c>
      <c r="J39" s="128">
        <v>40572</v>
      </c>
      <c r="K39" s="128">
        <v>40572</v>
      </c>
      <c r="L39" s="129" t="s">
        <v>617</v>
      </c>
      <c r="M39" s="130" t="s">
        <v>7</v>
      </c>
      <c r="N39" s="131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</row>
    <row r="40" spans="1:28" s="133" customFormat="1" ht="4.5" hidden="1" customHeight="1" outlineLevel="1" x14ac:dyDescent="0.2">
      <c r="A40" s="156"/>
      <c r="B40" s="156"/>
      <c r="C40" s="157"/>
      <c r="D40" s="158"/>
      <c r="E40" s="156"/>
      <c r="F40" s="158"/>
      <c r="G40" s="157"/>
      <c r="H40" s="157"/>
      <c r="I40" s="156"/>
      <c r="J40" s="159"/>
      <c r="K40" s="160"/>
      <c r="L40" s="161"/>
      <c r="M40" s="130" t="s">
        <v>7</v>
      </c>
      <c r="N40" s="131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</row>
    <row r="41" spans="1:28" s="133" customFormat="1" ht="15" customHeight="1" outlineLevel="1" x14ac:dyDescent="0.2">
      <c r="A41" s="121">
        <v>1</v>
      </c>
      <c r="B41" s="121">
        <v>73439</v>
      </c>
      <c r="C41" s="122">
        <v>41978</v>
      </c>
      <c r="D41" s="123" t="s">
        <v>618</v>
      </c>
      <c r="E41" s="121" t="s">
        <v>587</v>
      </c>
      <c r="F41" s="124" t="s">
        <v>619</v>
      </c>
      <c r="G41" s="125" t="s">
        <v>384</v>
      </c>
      <c r="H41" s="126"/>
      <c r="I41" s="127">
        <v>2</v>
      </c>
      <c r="J41" s="128">
        <v>15722</v>
      </c>
      <c r="K41" s="128">
        <v>31444</v>
      </c>
      <c r="L41" s="155" t="s">
        <v>620</v>
      </c>
      <c r="M41" s="130" t="s">
        <v>7</v>
      </c>
      <c r="N41" s="131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</row>
    <row r="42" spans="1:28" s="133" customFormat="1" ht="15" customHeight="1" outlineLevel="1" x14ac:dyDescent="0.2">
      <c r="A42" s="121">
        <v>2</v>
      </c>
      <c r="B42" s="121">
        <v>74744</v>
      </c>
      <c r="C42" s="122">
        <v>41983</v>
      </c>
      <c r="D42" s="123" t="s">
        <v>618</v>
      </c>
      <c r="E42" s="121" t="s">
        <v>587</v>
      </c>
      <c r="F42" s="124" t="s">
        <v>215</v>
      </c>
      <c r="G42" s="125" t="s">
        <v>384</v>
      </c>
      <c r="H42" s="126"/>
      <c r="I42" s="127">
        <v>2</v>
      </c>
      <c r="J42" s="128">
        <v>44597</v>
      </c>
      <c r="K42" s="128">
        <v>89194</v>
      </c>
      <c r="L42" s="155" t="s">
        <v>620</v>
      </c>
      <c r="M42" s="130" t="s">
        <v>7</v>
      </c>
      <c r="N42" s="131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</row>
    <row r="43" spans="1:28" s="133" customFormat="1" ht="15" customHeight="1" outlineLevel="1" x14ac:dyDescent="0.2">
      <c r="A43" s="121">
        <v>3</v>
      </c>
      <c r="B43" s="121">
        <v>74744</v>
      </c>
      <c r="C43" s="122">
        <v>41983</v>
      </c>
      <c r="D43" s="123" t="s">
        <v>618</v>
      </c>
      <c r="E43" s="121" t="s">
        <v>587</v>
      </c>
      <c r="F43" s="124" t="s">
        <v>621</v>
      </c>
      <c r="G43" s="125" t="s">
        <v>519</v>
      </c>
      <c r="H43" s="126"/>
      <c r="I43" s="127">
        <v>6</v>
      </c>
      <c r="J43" s="128">
        <v>45147</v>
      </c>
      <c r="K43" s="128">
        <v>270882</v>
      </c>
      <c r="L43" s="155" t="s">
        <v>620</v>
      </c>
      <c r="M43" s="130" t="s">
        <v>7</v>
      </c>
      <c r="N43" s="131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</row>
    <row r="44" spans="1:28" s="133" customFormat="1" ht="15" customHeight="1" outlineLevel="1" x14ac:dyDescent="0.2">
      <c r="A44" s="121">
        <v>4</v>
      </c>
      <c r="B44" s="121">
        <v>83773</v>
      </c>
      <c r="C44" s="122">
        <v>41634</v>
      </c>
      <c r="D44" s="123" t="s">
        <v>622</v>
      </c>
      <c r="E44" s="121" t="s">
        <v>623</v>
      </c>
      <c r="F44" s="124" t="s">
        <v>534</v>
      </c>
      <c r="G44" s="125" t="s">
        <v>508</v>
      </c>
      <c r="H44" s="126" t="s">
        <v>560</v>
      </c>
      <c r="I44" s="127">
        <v>1</v>
      </c>
      <c r="J44" s="128">
        <v>30429</v>
      </c>
      <c r="K44" s="128">
        <v>30429</v>
      </c>
      <c r="L44" s="162" t="s">
        <v>552</v>
      </c>
      <c r="M44" s="163" t="s">
        <v>21</v>
      </c>
      <c r="N44" s="131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</row>
    <row r="45" spans="1:28" s="133" customFormat="1" ht="15" customHeight="1" outlineLevel="1" x14ac:dyDescent="0.2">
      <c r="A45" s="121">
        <v>5</v>
      </c>
      <c r="B45" s="121">
        <v>87934</v>
      </c>
      <c r="C45" s="122">
        <v>41652</v>
      </c>
      <c r="D45" s="123" t="s">
        <v>624</v>
      </c>
      <c r="E45" s="121" t="s">
        <v>373</v>
      </c>
      <c r="F45" s="124" t="s">
        <v>215</v>
      </c>
      <c r="G45" s="125" t="s">
        <v>368</v>
      </c>
      <c r="H45" s="126" t="s">
        <v>486</v>
      </c>
      <c r="I45" s="127">
        <v>1</v>
      </c>
      <c r="J45" s="128">
        <v>44597</v>
      </c>
      <c r="K45" s="128">
        <v>44597</v>
      </c>
      <c r="L45" s="162" t="s">
        <v>552</v>
      </c>
      <c r="M45" s="163" t="s">
        <v>21</v>
      </c>
      <c r="N45" s="131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</row>
    <row r="46" spans="1:28" s="133" customFormat="1" ht="15" customHeight="1" outlineLevel="1" x14ac:dyDescent="0.2">
      <c r="A46" s="121">
        <v>6</v>
      </c>
      <c r="B46" s="121">
        <v>90208</v>
      </c>
      <c r="C46" s="122">
        <v>41660</v>
      </c>
      <c r="D46" s="164" t="s">
        <v>625</v>
      </c>
      <c r="E46" s="121" t="s">
        <v>542</v>
      </c>
      <c r="F46" s="124" t="s">
        <v>534</v>
      </c>
      <c r="G46" s="125" t="s">
        <v>412</v>
      </c>
      <c r="H46" s="126" t="s">
        <v>626</v>
      </c>
      <c r="I46" s="127">
        <v>1</v>
      </c>
      <c r="J46" s="128">
        <v>30429</v>
      </c>
      <c r="K46" s="128">
        <v>30429</v>
      </c>
      <c r="L46" s="162" t="s">
        <v>552</v>
      </c>
      <c r="M46" s="163" t="s">
        <v>21</v>
      </c>
      <c r="N46" s="131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</row>
    <row r="47" spans="1:28" s="133" customFormat="1" ht="15" customHeight="1" outlineLevel="1" x14ac:dyDescent="0.2">
      <c r="A47" s="121">
        <v>7</v>
      </c>
      <c r="B47" s="121">
        <v>92756</v>
      </c>
      <c r="C47" s="122">
        <v>41669</v>
      </c>
      <c r="D47" s="123" t="s">
        <v>627</v>
      </c>
      <c r="E47" s="121" t="s">
        <v>542</v>
      </c>
      <c r="F47" s="124" t="s">
        <v>114</v>
      </c>
      <c r="G47" s="125" t="s">
        <v>469</v>
      </c>
      <c r="H47" s="126" t="s">
        <v>626</v>
      </c>
      <c r="I47" s="127">
        <v>1</v>
      </c>
      <c r="J47" s="128">
        <v>33370</v>
      </c>
      <c r="K47" s="128">
        <v>33370</v>
      </c>
      <c r="L47" s="162" t="s">
        <v>552</v>
      </c>
      <c r="M47" s="163" t="s">
        <v>21</v>
      </c>
      <c r="N47" s="131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</row>
    <row r="48" spans="1:28" s="133" customFormat="1" ht="15" customHeight="1" outlineLevel="1" x14ac:dyDescent="0.2">
      <c r="A48" s="121">
        <v>9</v>
      </c>
      <c r="B48" s="121">
        <v>90948</v>
      </c>
      <c r="C48" s="122">
        <v>41662</v>
      </c>
      <c r="D48" s="123" t="s">
        <v>628</v>
      </c>
      <c r="E48" s="121" t="s">
        <v>542</v>
      </c>
      <c r="F48" s="124" t="s">
        <v>534</v>
      </c>
      <c r="G48" s="125" t="s">
        <v>559</v>
      </c>
      <c r="H48" s="126" t="s">
        <v>626</v>
      </c>
      <c r="I48" s="127">
        <v>1</v>
      </c>
      <c r="J48" s="128">
        <v>30429</v>
      </c>
      <c r="K48" s="128">
        <v>30429</v>
      </c>
      <c r="L48" s="162" t="s">
        <v>552</v>
      </c>
      <c r="M48" s="163" t="s">
        <v>21</v>
      </c>
      <c r="N48" s="131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</row>
    <row r="49" spans="1:28" s="133" customFormat="1" ht="15" customHeight="1" outlineLevel="1" x14ac:dyDescent="0.2">
      <c r="A49" s="121">
        <v>10</v>
      </c>
      <c r="B49" s="121">
        <v>86066</v>
      </c>
      <c r="C49" s="122">
        <v>41645</v>
      </c>
      <c r="D49" s="123" t="s">
        <v>629</v>
      </c>
      <c r="E49" s="121" t="s">
        <v>542</v>
      </c>
      <c r="F49" s="124" t="s">
        <v>115</v>
      </c>
      <c r="G49" s="125" t="s">
        <v>414</v>
      </c>
      <c r="H49" s="126" t="s">
        <v>570</v>
      </c>
      <c r="I49" s="127">
        <v>1</v>
      </c>
      <c r="J49" s="128">
        <v>5274</v>
      </c>
      <c r="K49" s="128">
        <v>5274</v>
      </c>
      <c r="L49" s="162" t="s">
        <v>552</v>
      </c>
      <c r="M49" s="163" t="s">
        <v>21</v>
      </c>
      <c r="N49" s="131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</row>
    <row r="50" spans="1:28" s="133" customFormat="1" ht="15" customHeight="1" outlineLevel="1" x14ac:dyDescent="0.2">
      <c r="A50" s="121">
        <v>11</v>
      </c>
      <c r="B50" s="121">
        <v>85483</v>
      </c>
      <c r="C50" s="122">
        <v>41646</v>
      </c>
      <c r="D50" s="123" t="s">
        <v>630</v>
      </c>
      <c r="E50" s="121" t="s">
        <v>542</v>
      </c>
      <c r="F50" s="124" t="s">
        <v>215</v>
      </c>
      <c r="G50" s="125" t="s">
        <v>368</v>
      </c>
      <c r="H50" s="126" t="s">
        <v>570</v>
      </c>
      <c r="I50" s="127">
        <v>1</v>
      </c>
      <c r="J50" s="128">
        <v>44597</v>
      </c>
      <c r="K50" s="128">
        <v>44597</v>
      </c>
      <c r="L50" s="162" t="s">
        <v>552</v>
      </c>
      <c r="M50" s="163" t="s">
        <v>21</v>
      </c>
      <c r="N50" s="131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</row>
    <row r="51" spans="1:28" s="133" customFormat="1" ht="15" customHeight="1" outlineLevel="1" x14ac:dyDescent="0.2">
      <c r="A51" s="121">
        <v>12</v>
      </c>
      <c r="B51" s="121">
        <v>90950</v>
      </c>
      <c r="C51" s="122">
        <v>41662</v>
      </c>
      <c r="D51" s="123" t="s">
        <v>631</v>
      </c>
      <c r="E51" s="121" t="s">
        <v>542</v>
      </c>
      <c r="F51" s="124" t="s">
        <v>534</v>
      </c>
      <c r="G51" s="125" t="s">
        <v>559</v>
      </c>
      <c r="H51" s="126" t="s">
        <v>626</v>
      </c>
      <c r="I51" s="127">
        <v>1</v>
      </c>
      <c r="J51" s="128">
        <v>30429</v>
      </c>
      <c r="K51" s="128">
        <v>30429</v>
      </c>
      <c r="L51" s="162" t="s">
        <v>552</v>
      </c>
      <c r="M51" s="163" t="s">
        <v>21</v>
      </c>
      <c r="N51" s="131"/>
      <c r="O51" s="132"/>
      <c r="P51" s="132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</row>
    <row r="52" spans="1:28" s="133" customFormat="1" ht="15" customHeight="1" outlineLevel="1" x14ac:dyDescent="0.2">
      <c r="A52" s="121">
        <v>13</v>
      </c>
      <c r="B52" s="121">
        <v>85863</v>
      </c>
      <c r="C52" s="122">
        <v>41641</v>
      </c>
      <c r="D52" s="123" t="s">
        <v>632</v>
      </c>
      <c r="E52" s="121" t="s">
        <v>475</v>
      </c>
      <c r="F52" s="124" t="s">
        <v>215</v>
      </c>
      <c r="G52" s="125" t="s">
        <v>368</v>
      </c>
      <c r="H52" s="126" t="s">
        <v>486</v>
      </c>
      <c r="I52" s="127">
        <v>1</v>
      </c>
      <c r="J52" s="128">
        <v>44597</v>
      </c>
      <c r="K52" s="128">
        <v>44597</v>
      </c>
      <c r="L52" s="162" t="s">
        <v>552</v>
      </c>
      <c r="M52" s="163" t="s">
        <v>21</v>
      </c>
      <c r="N52" s="131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</row>
    <row r="53" spans="1:28" s="133" customFormat="1" ht="15" customHeight="1" outlineLevel="1" x14ac:dyDescent="0.2">
      <c r="A53" s="121">
        <v>14</v>
      </c>
      <c r="B53" s="121">
        <v>89858</v>
      </c>
      <c r="C53" s="122">
        <v>41659</v>
      </c>
      <c r="D53" s="123" t="s">
        <v>633</v>
      </c>
      <c r="E53" s="121" t="s">
        <v>542</v>
      </c>
      <c r="F53" s="124" t="s">
        <v>215</v>
      </c>
      <c r="G53" s="125" t="s">
        <v>368</v>
      </c>
      <c r="H53" s="126" t="s">
        <v>483</v>
      </c>
      <c r="I53" s="127">
        <v>1</v>
      </c>
      <c r="J53" s="128">
        <v>44597</v>
      </c>
      <c r="K53" s="128">
        <v>44597</v>
      </c>
      <c r="L53" s="162" t="s">
        <v>552</v>
      </c>
      <c r="M53" s="163" t="s">
        <v>21</v>
      </c>
      <c r="N53" s="131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</row>
    <row r="54" spans="1:28" s="133" customFormat="1" ht="15" customHeight="1" outlineLevel="1" x14ac:dyDescent="0.2">
      <c r="A54" s="121">
        <v>15</v>
      </c>
      <c r="B54" s="121">
        <v>90559</v>
      </c>
      <c r="C54" s="122">
        <v>41661</v>
      </c>
      <c r="D54" s="123" t="s">
        <v>634</v>
      </c>
      <c r="E54" s="121" t="s">
        <v>542</v>
      </c>
      <c r="F54" s="124" t="s">
        <v>534</v>
      </c>
      <c r="G54" s="125" t="s">
        <v>401</v>
      </c>
      <c r="H54" s="126" t="s">
        <v>560</v>
      </c>
      <c r="I54" s="127">
        <v>1</v>
      </c>
      <c r="J54" s="128">
        <v>30429</v>
      </c>
      <c r="K54" s="128">
        <v>30429</v>
      </c>
      <c r="L54" s="162" t="s">
        <v>552</v>
      </c>
      <c r="M54" s="163" t="s">
        <v>21</v>
      </c>
      <c r="N54" s="131"/>
      <c r="O54" s="132"/>
      <c r="P54" s="132"/>
      <c r="Q54" s="132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</row>
    <row r="55" spans="1:28" s="133" customFormat="1" ht="15" customHeight="1" outlineLevel="1" x14ac:dyDescent="0.2">
      <c r="A55" s="121">
        <v>16</v>
      </c>
      <c r="B55" s="121">
        <v>89631</v>
      </c>
      <c r="C55" s="122">
        <v>41659</v>
      </c>
      <c r="D55" s="123" t="s">
        <v>635</v>
      </c>
      <c r="E55" s="121" t="s">
        <v>542</v>
      </c>
      <c r="F55" s="124" t="s">
        <v>534</v>
      </c>
      <c r="G55" s="125" t="s">
        <v>412</v>
      </c>
      <c r="H55" s="126" t="s">
        <v>626</v>
      </c>
      <c r="I55" s="127">
        <v>1</v>
      </c>
      <c r="J55" s="128">
        <v>30429</v>
      </c>
      <c r="K55" s="128">
        <v>30429</v>
      </c>
      <c r="L55" s="162" t="s">
        <v>552</v>
      </c>
      <c r="M55" s="163" t="s">
        <v>21</v>
      </c>
      <c r="N55" s="131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</row>
    <row r="56" spans="1:28" s="133" customFormat="1" ht="15" customHeight="1" outlineLevel="1" x14ac:dyDescent="0.2">
      <c r="A56" s="121">
        <v>17</v>
      </c>
      <c r="B56" s="121">
        <v>88299</v>
      </c>
      <c r="C56" s="122">
        <v>41653</v>
      </c>
      <c r="D56" s="123" t="s">
        <v>636</v>
      </c>
      <c r="E56" s="121" t="s">
        <v>542</v>
      </c>
      <c r="F56" s="124" t="s">
        <v>534</v>
      </c>
      <c r="G56" s="125" t="s">
        <v>559</v>
      </c>
      <c r="H56" s="126" t="s">
        <v>560</v>
      </c>
      <c r="I56" s="127">
        <v>1</v>
      </c>
      <c r="J56" s="128">
        <v>30429</v>
      </c>
      <c r="K56" s="128">
        <v>30429</v>
      </c>
      <c r="L56" s="162" t="s">
        <v>552</v>
      </c>
      <c r="M56" s="163" t="s">
        <v>21</v>
      </c>
      <c r="N56" s="131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</row>
    <row r="57" spans="1:28" s="133" customFormat="1" ht="15" customHeight="1" outlineLevel="1" x14ac:dyDescent="0.2">
      <c r="A57" s="121">
        <v>18</v>
      </c>
      <c r="B57" s="121">
        <v>92776</v>
      </c>
      <c r="C57" s="122">
        <v>41669</v>
      </c>
      <c r="D57" s="123" t="s">
        <v>637</v>
      </c>
      <c r="E57" s="121" t="s">
        <v>542</v>
      </c>
      <c r="F57" s="124" t="s">
        <v>534</v>
      </c>
      <c r="G57" s="125" t="s">
        <v>428</v>
      </c>
      <c r="H57" s="126" t="s">
        <v>626</v>
      </c>
      <c r="I57" s="127">
        <v>1</v>
      </c>
      <c r="J57" s="128">
        <v>30429</v>
      </c>
      <c r="K57" s="128">
        <v>30429</v>
      </c>
      <c r="L57" s="162" t="s">
        <v>552</v>
      </c>
      <c r="M57" s="163" t="s">
        <v>21</v>
      </c>
      <c r="N57" s="131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</row>
    <row r="58" spans="1:28" s="133" customFormat="1" ht="15" customHeight="1" outlineLevel="1" x14ac:dyDescent="0.2">
      <c r="A58" s="121">
        <v>19</v>
      </c>
      <c r="B58" s="121">
        <v>87628</v>
      </c>
      <c r="C58" s="122">
        <v>41652</v>
      </c>
      <c r="D58" s="123" t="s">
        <v>638</v>
      </c>
      <c r="E58" s="121" t="s">
        <v>542</v>
      </c>
      <c r="F58" s="124" t="s">
        <v>114</v>
      </c>
      <c r="G58" s="125" t="s">
        <v>414</v>
      </c>
      <c r="H58" s="126" t="s">
        <v>639</v>
      </c>
      <c r="I58" s="127">
        <v>1</v>
      </c>
      <c r="J58" s="128">
        <v>33370</v>
      </c>
      <c r="K58" s="128">
        <v>33370</v>
      </c>
      <c r="L58" s="162" t="s">
        <v>552</v>
      </c>
      <c r="M58" s="163" t="s">
        <v>21</v>
      </c>
      <c r="N58" s="131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133" customFormat="1" ht="15" customHeight="1" outlineLevel="1" x14ac:dyDescent="0.2">
      <c r="A59" s="121">
        <v>20</v>
      </c>
      <c r="B59" s="121">
        <v>89082</v>
      </c>
      <c r="C59" s="122">
        <v>41655</v>
      </c>
      <c r="D59" s="123" t="s">
        <v>640</v>
      </c>
      <c r="E59" s="121" t="s">
        <v>542</v>
      </c>
      <c r="F59" s="124" t="s">
        <v>641</v>
      </c>
      <c r="G59" s="125" t="s">
        <v>642</v>
      </c>
      <c r="H59" s="126" t="s">
        <v>626</v>
      </c>
      <c r="I59" s="127">
        <v>1</v>
      </c>
      <c r="J59" s="128">
        <v>29440</v>
      </c>
      <c r="K59" s="128">
        <v>29440</v>
      </c>
      <c r="L59" s="162" t="s">
        <v>552</v>
      </c>
      <c r="M59" s="163" t="s">
        <v>21</v>
      </c>
      <c r="N59" s="131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</row>
    <row r="60" spans="1:28" s="133" customFormat="1" ht="15" customHeight="1" outlineLevel="1" x14ac:dyDescent="0.2">
      <c r="A60" s="121">
        <v>21</v>
      </c>
      <c r="B60" s="121">
        <v>86188</v>
      </c>
      <c r="C60" s="122">
        <v>41645</v>
      </c>
      <c r="D60" s="123" t="s">
        <v>643</v>
      </c>
      <c r="E60" s="121" t="s">
        <v>542</v>
      </c>
      <c r="F60" s="124" t="s">
        <v>534</v>
      </c>
      <c r="G60" s="125" t="s">
        <v>508</v>
      </c>
      <c r="H60" s="126" t="s">
        <v>626</v>
      </c>
      <c r="I60" s="127">
        <v>1</v>
      </c>
      <c r="J60" s="128">
        <v>30429</v>
      </c>
      <c r="K60" s="128">
        <v>30429</v>
      </c>
      <c r="L60" s="162" t="s">
        <v>552</v>
      </c>
      <c r="M60" s="163" t="s">
        <v>21</v>
      </c>
      <c r="N60" s="131"/>
      <c r="O60" s="132"/>
      <c r="P60" s="132"/>
      <c r="Q60" s="132"/>
      <c r="R60" s="132"/>
      <c r="S60" s="132"/>
      <c r="T60" s="132"/>
      <c r="U60" s="132"/>
      <c r="V60" s="132"/>
      <c r="W60" s="132"/>
      <c r="X60" s="132"/>
      <c r="Y60" s="132"/>
      <c r="Z60" s="132"/>
      <c r="AA60" s="132"/>
      <c r="AB60" s="132"/>
    </row>
    <row r="61" spans="1:28" s="133" customFormat="1" ht="15" customHeight="1" outlineLevel="1" x14ac:dyDescent="0.2">
      <c r="A61" s="121">
        <v>22</v>
      </c>
      <c r="B61" s="121">
        <v>87157</v>
      </c>
      <c r="C61" s="122">
        <v>41652</v>
      </c>
      <c r="D61" s="123" t="s">
        <v>644</v>
      </c>
      <c r="E61" s="121" t="s">
        <v>542</v>
      </c>
      <c r="F61" s="124" t="s">
        <v>534</v>
      </c>
      <c r="G61" s="125" t="s">
        <v>401</v>
      </c>
      <c r="H61" s="126" t="s">
        <v>560</v>
      </c>
      <c r="I61" s="127">
        <v>1</v>
      </c>
      <c r="J61" s="128">
        <v>30429</v>
      </c>
      <c r="K61" s="128">
        <v>30429</v>
      </c>
      <c r="L61" s="162" t="s">
        <v>552</v>
      </c>
      <c r="M61" s="163" t="s">
        <v>21</v>
      </c>
      <c r="N61" s="131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</row>
    <row r="62" spans="1:28" s="133" customFormat="1" ht="15" customHeight="1" outlineLevel="1" x14ac:dyDescent="0.2">
      <c r="A62" s="121">
        <v>23</v>
      </c>
      <c r="B62" s="121">
        <v>80142</v>
      </c>
      <c r="C62" s="122">
        <v>41663</v>
      </c>
      <c r="D62" s="123" t="s">
        <v>645</v>
      </c>
      <c r="E62" s="121" t="s">
        <v>373</v>
      </c>
      <c r="F62" s="124" t="s">
        <v>114</v>
      </c>
      <c r="G62" s="125" t="s">
        <v>535</v>
      </c>
      <c r="H62" s="126" t="s">
        <v>626</v>
      </c>
      <c r="I62" s="127">
        <v>1</v>
      </c>
      <c r="J62" s="128">
        <v>33370</v>
      </c>
      <c r="K62" s="128">
        <v>33370</v>
      </c>
      <c r="L62" s="162" t="s">
        <v>552</v>
      </c>
      <c r="M62" s="163" t="s">
        <v>21</v>
      </c>
      <c r="N62" s="131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</row>
    <row r="63" spans="1:28" s="133" customFormat="1" ht="15" customHeight="1" outlineLevel="1" x14ac:dyDescent="0.2">
      <c r="A63" s="121">
        <v>24</v>
      </c>
      <c r="B63" s="121">
        <v>80970</v>
      </c>
      <c r="C63" s="122">
        <v>41622</v>
      </c>
      <c r="D63" s="123" t="s">
        <v>646</v>
      </c>
      <c r="E63" s="121" t="s">
        <v>373</v>
      </c>
      <c r="F63" s="124" t="s">
        <v>534</v>
      </c>
      <c r="G63" s="125" t="s">
        <v>428</v>
      </c>
      <c r="H63" s="126" t="s">
        <v>647</v>
      </c>
      <c r="I63" s="127">
        <v>1</v>
      </c>
      <c r="J63" s="128">
        <v>30429</v>
      </c>
      <c r="K63" s="128">
        <v>30429</v>
      </c>
      <c r="L63" s="162" t="s">
        <v>552</v>
      </c>
      <c r="M63" s="163" t="s">
        <v>21</v>
      </c>
      <c r="N63" s="131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</row>
    <row r="64" spans="1:28" s="133" customFormat="1" ht="15" customHeight="1" outlineLevel="1" x14ac:dyDescent="0.2">
      <c r="A64" s="121">
        <v>25</v>
      </c>
      <c r="B64" s="121">
        <v>92055</v>
      </c>
      <c r="C64" s="122">
        <v>41667</v>
      </c>
      <c r="D64" s="123" t="s">
        <v>648</v>
      </c>
      <c r="E64" s="121" t="s">
        <v>542</v>
      </c>
      <c r="F64" s="124" t="s">
        <v>534</v>
      </c>
      <c r="G64" s="125" t="s">
        <v>469</v>
      </c>
      <c r="H64" s="126" t="s">
        <v>626</v>
      </c>
      <c r="I64" s="127">
        <v>1</v>
      </c>
      <c r="J64" s="128">
        <v>30429</v>
      </c>
      <c r="K64" s="128">
        <v>30429</v>
      </c>
      <c r="L64" s="162" t="s">
        <v>552</v>
      </c>
      <c r="M64" s="163" t="s">
        <v>21</v>
      </c>
      <c r="N64" s="131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</row>
    <row r="65" spans="1:28" s="133" customFormat="1" ht="15" customHeight="1" outlineLevel="1" x14ac:dyDescent="0.2">
      <c r="A65" s="121">
        <v>26</v>
      </c>
      <c r="B65" s="121">
        <v>92789</v>
      </c>
      <c r="C65" s="122">
        <v>41668</v>
      </c>
      <c r="D65" s="123" t="s">
        <v>649</v>
      </c>
      <c r="E65" s="121" t="s">
        <v>542</v>
      </c>
      <c r="F65" s="124" t="s">
        <v>215</v>
      </c>
      <c r="G65" s="125" t="s">
        <v>366</v>
      </c>
      <c r="H65" s="126" t="s">
        <v>486</v>
      </c>
      <c r="I65" s="127">
        <v>1</v>
      </c>
      <c r="J65" s="128">
        <v>44597</v>
      </c>
      <c r="K65" s="128">
        <v>44597</v>
      </c>
      <c r="L65" s="162" t="s">
        <v>552</v>
      </c>
      <c r="M65" s="163" t="s">
        <v>21</v>
      </c>
      <c r="N65" s="131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</row>
    <row r="66" spans="1:28" s="133" customFormat="1" ht="15" customHeight="1" outlineLevel="1" x14ac:dyDescent="0.2">
      <c r="A66" s="121">
        <v>27</v>
      </c>
      <c r="B66" s="121">
        <v>87627</v>
      </c>
      <c r="C66" s="122">
        <v>41652</v>
      </c>
      <c r="D66" s="123" t="s">
        <v>650</v>
      </c>
      <c r="E66" s="121" t="s">
        <v>542</v>
      </c>
      <c r="F66" s="124" t="s">
        <v>114</v>
      </c>
      <c r="G66" s="125" t="s">
        <v>389</v>
      </c>
      <c r="H66" s="126" t="s">
        <v>626</v>
      </c>
      <c r="I66" s="127">
        <v>1</v>
      </c>
      <c r="J66" s="128">
        <v>33370</v>
      </c>
      <c r="K66" s="128">
        <v>33370</v>
      </c>
      <c r="L66" s="162" t="s">
        <v>552</v>
      </c>
      <c r="M66" s="163" t="s">
        <v>21</v>
      </c>
      <c r="N66" s="131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</row>
    <row r="67" spans="1:28" s="133" customFormat="1" ht="15" customHeight="1" outlineLevel="1" x14ac:dyDescent="0.2">
      <c r="A67" s="121">
        <v>28</v>
      </c>
      <c r="B67" s="121">
        <v>85878</v>
      </c>
      <c r="C67" s="122">
        <v>41641</v>
      </c>
      <c r="D67" s="123" t="s">
        <v>651</v>
      </c>
      <c r="E67" s="121" t="s">
        <v>475</v>
      </c>
      <c r="F67" s="124" t="s">
        <v>186</v>
      </c>
      <c r="G67" s="125" t="s">
        <v>439</v>
      </c>
      <c r="H67" s="126" t="s">
        <v>639</v>
      </c>
      <c r="I67" s="127">
        <v>1</v>
      </c>
      <c r="J67" s="128">
        <v>42601</v>
      </c>
      <c r="K67" s="128">
        <v>42601</v>
      </c>
      <c r="L67" s="162" t="s">
        <v>552</v>
      </c>
      <c r="M67" s="163" t="s">
        <v>21</v>
      </c>
      <c r="N67" s="131"/>
      <c r="O67" s="132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</row>
    <row r="68" spans="1:28" s="133" customFormat="1" ht="15" customHeight="1" outlineLevel="1" x14ac:dyDescent="0.2">
      <c r="A68" s="121">
        <v>29</v>
      </c>
      <c r="B68" s="121">
        <v>92480</v>
      </c>
      <c r="C68" s="122">
        <v>41669</v>
      </c>
      <c r="D68" s="123" t="s">
        <v>652</v>
      </c>
      <c r="E68" s="121" t="s">
        <v>542</v>
      </c>
      <c r="F68" s="124" t="s">
        <v>202</v>
      </c>
      <c r="G68" s="125" t="s">
        <v>469</v>
      </c>
      <c r="H68" s="126"/>
      <c r="I68" s="127">
        <v>1</v>
      </c>
      <c r="J68" s="128">
        <v>17244</v>
      </c>
      <c r="K68" s="128">
        <v>17244</v>
      </c>
      <c r="L68" s="162" t="s">
        <v>552</v>
      </c>
      <c r="M68" s="163" t="s">
        <v>21</v>
      </c>
      <c r="N68" s="131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</row>
    <row r="69" spans="1:28" s="133" customFormat="1" ht="15" customHeight="1" outlineLevel="1" x14ac:dyDescent="0.2">
      <c r="A69" s="121">
        <v>30</v>
      </c>
      <c r="B69" s="121">
        <v>89625</v>
      </c>
      <c r="C69" s="122">
        <v>41659</v>
      </c>
      <c r="D69" s="123" t="s">
        <v>653</v>
      </c>
      <c r="E69" s="121" t="s">
        <v>542</v>
      </c>
      <c r="F69" s="124" t="s">
        <v>534</v>
      </c>
      <c r="G69" s="125" t="s">
        <v>559</v>
      </c>
      <c r="H69" s="126" t="s">
        <v>626</v>
      </c>
      <c r="I69" s="127">
        <v>1</v>
      </c>
      <c r="J69" s="128">
        <v>30429</v>
      </c>
      <c r="K69" s="128">
        <v>30429</v>
      </c>
      <c r="L69" s="162" t="s">
        <v>552</v>
      </c>
      <c r="M69" s="163" t="s">
        <v>21</v>
      </c>
      <c r="N69" s="131"/>
      <c r="O69" s="132"/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</row>
    <row r="70" spans="1:28" s="133" customFormat="1" ht="15" customHeight="1" outlineLevel="1" x14ac:dyDescent="0.2">
      <c r="A70" s="121">
        <v>31</v>
      </c>
      <c r="B70" s="121">
        <v>92771</v>
      </c>
      <c r="C70" s="122">
        <v>41669</v>
      </c>
      <c r="D70" s="123" t="s">
        <v>654</v>
      </c>
      <c r="E70" s="121" t="s">
        <v>542</v>
      </c>
      <c r="F70" s="124" t="s">
        <v>534</v>
      </c>
      <c r="G70" s="125" t="s">
        <v>591</v>
      </c>
      <c r="H70" s="126" t="s">
        <v>655</v>
      </c>
      <c r="I70" s="127">
        <v>1</v>
      </c>
      <c r="J70" s="128">
        <v>30429</v>
      </c>
      <c r="K70" s="128">
        <v>30429</v>
      </c>
      <c r="L70" s="162" t="s">
        <v>552</v>
      </c>
      <c r="M70" s="163" t="s">
        <v>21</v>
      </c>
      <c r="N70" s="131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  <c r="AB70" s="132"/>
    </row>
    <row r="71" spans="1:28" s="133" customFormat="1" ht="15" customHeight="1" outlineLevel="1" x14ac:dyDescent="0.2">
      <c r="A71" s="121">
        <v>32</v>
      </c>
      <c r="B71" s="121">
        <v>86232</v>
      </c>
      <c r="C71" s="122">
        <v>41645</v>
      </c>
      <c r="D71" s="123" t="s">
        <v>656</v>
      </c>
      <c r="E71" s="121" t="s">
        <v>542</v>
      </c>
      <c r="F71" s="124" t="s">
        <v>534</v>
      </c>
      <c r="G71" s="125" t="s">
        <v>416</v>
      </c>
      <c r="H71" s="126" t="s">
        <v>626</v>
      </c>
      <c r="I71" s="127">
        <v>1</v>
      </c>
      <c r="J71" s="128">
        <v>30429</v>
      </c>
      <c r="K71" s="128">
        <v>30429</v>
      </c>
      <c r="L71" s="162" t="s">
        <v>552</v>
      </c>
      <c r="M71" s="163" t="s">
        <v>21</v>
      </c>
      <c r="N71" s="131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</row>
    <row r="72" spans="1:28" s="133" customFormat="1" ht="15" customHeight="1" outlineLevel="1" x14ac:dyDescent="0.2">
      <c r="A72" s="121">
        <v>33</v>
      </c>
      <c r="B72" s="121">
        <v>88330</v>
      </c>
      <c r="C72" s="122">
        <v>41654</v>
      </c>
      <c r="D72" s="123" t="s">
        <v>657</v>
      </c>
      <c r="E72" s="121" t="s">
        <v>542</v>
      </c>
      <c r="F72" s="124" t="s">
        <v>115</v>
      </c>
      <c r="G72" s="125" t="s">
        <v>380</v>
      </c>
      <c r="H72" s="126"/>
      <c r="I72" s="127">
        <v>1</v>
      </c>
      <c r="J72" s="128">
        <v>5274</v>
      </c>
      <c r="K72" s="128">
        <v>5274</v>
      </c>
      <c r="L72" s="162" t="s">
        <v>552</v>
      </c>
      <c r="M72" s="163" t="s">
        <v>21</v>
      </c>
      <c r="N72" s="131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</row>
    <row r="73" spans="1:28" s="133" customFormat="1" ht="15" customHeight="1" outlineLevel="1" x14ac:dyDescent="0.2">
      <c r="A73" s="121">
        <v>34</v>
      </c>
      <c r="B73" s="121">
        <v>88330</v>
      </c>
      <c r="C73" s="122">
        <v>41654</v>
      </c>
      <c r="D73" s="123" t="s">
        <v>657</v>
      </c>
      <c r="E73" s="121" t="s">
        <v>542</v>
      </c>
      <c r="F73" s="124" t="s">
        <v>208</v>
      </c>
      <c r="G73" s="125" t="s">
        <v>380</v>
      </c>
      <c r="H73" s="126"/>
      <c r="I73" s="127">
        <v>1</v>
      </c>
      <c r="J73" s="128">
        <v>14099</v>
      </c>
      <c r="K73" s="128">
        <v>14099</v>
      </c>
      <c r="L73" s="162" t="s">
        <v>552</v>
      </c>
      <c r="M73" s="163" t="s">
        <v>21</v>
      </c>
      <c r="N73" s="131"/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</row>
    <row r="74" spans="1:28" s="133" customFormat="1" ht="15" customHeight="1" outlineLevel="1" x14ac:dyDescent="0.2">
      <c r="A74" s="165">
        <v>35</v>
      </c>
      <c r="B74" s="121">
        <v>91881</v>
      </c>
      <c r="C74" s="122">
        <v>41669</v>
      </c>
      <c r="D74" s="123" t="s">
        <v>657</v>
      </c>
      <c r="E74" s="121" t="s">
        <v>542</v>
      </c>
      <c r="F74" s="124" t="s">
        <v>114</v>
      </c>
      <c r="G74" s="125" t="s">
        <v>380</v>
      </c>
      <c r="H74" s="126" t="s">
        <v>560</v>
      </c>
      <c r="I74" s="127">
        <v>1</v>
      </c>
      <c r="J74" s="128">
        <v>33370</v>
      </c>
      <c r="K74" s="128">
        <v>33370</v>
      </c>
      <c r="L74" s="162" t="s">
        <v>552</v>
      </c>
      <c r="M74" s="163" t="s">
        <v>21</v>
      </c>
      <c r="N74" s="131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</row>
    <row r="75" spans="1:28" s="133" customFormat="1" ht="15" customHeight="1" outlineLevel="1" x14ac:dyDescent="0.2">
      <c r="A75" s="121">
        <v>36</v>
      </c>
      <c r="B75" s="121">
        <v>92287</v>
      </c>
      <c r="C75" s="122">
        <v>41669</v>
      </c>
      <c r="D75" s="123" t="s">
        <v>657</v>
      </c>
      <c r="E75" s="121" t="s">
        <v>542</v>
      </c>
      <c r="F75" s="124" t="s">
        <v>115</v>
      </c>
      <c r="G75" s="125" t="s">
        <v>439</v>
      </c>
      <c r="H75" s="126" t="s">
        <v>486</v>
      </c>
      <c r="I75" s="127">
        <v>1</v>
      </c>
      <c r="J75" s="128">
        <v>5274</v>
      </c>
      <c r="K75" s="128">
        <v>5274</v>
      </c>
      <c r="L75" s="162" t="s">
        <v>552</v>
      </c>
      <c r="M75" s="163" t="s">
        <v>21</v>
      </c>
      <c r="N75" s="131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</row>
    <row r="76" spans="1:28" s="133" customFormat="1" ht="15" customHeight="1" outlineLevel="1" x14ac:dyDescent="0.2">
      <c r="A76" s="121">
        <v>37</v>
      </c>
      <c r="B76" s="121">
        <v>89929</v>
      </c>
      <c r="C76" s="122">
        <v>41660</v>
      </c>
      <c r="D76" s="123" t="s">
        <v>658</v>
      </c>
      <c r="E76" s="121" t="s">
        <v>542</v>
      </c>
      <c r="F76" s="124" t="s">
        <v>534</v>
      </c>
      <c r="G76" s="125" t="s">
        <v>414</v>
      </c>
      <c r="H76" s="126" t="s">
        <v>560</v>
      </c>
      <c r="I76" s="127">
        <v>1</v>
      </c>
      <c r="J76" s="128">
        <v>30429</v>
      </c>
      <c r="K76" s="128">
        <v>30429</v>
      </c>
      <c r="L76" s="162" t="s">
        <v>552</v>
      </c>
      <c r="M76" s="163" t="s">
        <v>21</v>
      </c>
      <c r="N76" s="131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</row>
    <row r="77" spans="1:28" s="133" customFormat="1" ht="15" customHeight="1" outlineLevel="1" x14ac:dyDescent="0.2">
      <c r="A77" s="121">
        <v>38</v>
      </c>
      <c r="B77" s="121">
        <v>85656</v>
      </c>
      <c r="C77" s="122">
        <v>41641</v>
      </c>
      <c r="D77" s="123" t="s">
        <v>659</v>
      </c>
      <c r="E77" s="121" t="s">
        <v>542</v>
      </c>
      <c r="F77" s="124" t="s">
        <v>195</v>
      </c>
      <c r="G77" s="125" t="s">
        <v>660</v>
      </c>
      <c r="H77" s="126"/>
      <c r="I77" s="127">
        <v>5</v>
      </c>
      <c r="J77" s="128">
        <v>2739</v>
      </c>
      <c r="K77" s="128">
        <v>13695</v>
      </c>
      <c r="L77" s="162" t="s">
        <v>552</v>
      </c>
      <c r="M77" s="163" t="s">
        <v>21</v>
      </c>
      <c r="N77" s="131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</row>
    <row r="78" spans="1:28" s="133" customFormat="1" ht="15" customHeight="1" outlineLevel="1" x14ac:dyDescent="0.2">
      <c r="A78" s="121">
        <v>39</v>
      </c>
      <c r="B78" s="121">
        <v>88467</v>
      </c>
      <c r="C78" s="122">
        <v>41654</v>
      </c>
      <c r="D78" s="123" t="s">
        <v>661</v>
      </c>
      <c r="E78" s="121" t="s">
        <v>662</v>
      </c>
      <c r="F78" s="124" t="s">
        <v>577</v>
      </c>
      <c r="G78" s="125" t="s">
        <v>368</v>
      </c>
      <c r="H78" s="126"/>
      <c r="I78" s="127">
        <v>1</v>
      </c>
      <c r="J78" s="128">
        <v>25800</v>
      </c>
      <c r="K78" s="128">
        <v>25800</v>
      </c>
      <c r="L78" s="162" t="s">
        <v>552</v>
      </c>
      <c r="M78" s="163" t="s">
        <v>21</v>
      </c>
      <c r="N78" s="131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</row>
    <row r="79" spans="1:28" s="133" customFormat="1" ht="15" customHeight="1" outlineLevel="1" x14ac:dyDescent="0.2">
      <c r="A79" s="121">
        <v>40</v>
      </c>
      <c r="B79" s="121">
        <v>90928</v>
      </c>
      <c r="C79" s="122">
        <v>41662</v>
      </c>
      <c r="D79" s="123" t="s">
        <v>663</v>
      </c>
      <c r="E79" s="121" t="s">
        <v>542</v>
      </c>
      <c r="F79" s="124" t="s">
        <v>577</v>
      </c>
      <c r="G79" s="125" t="s">
        <v>368</v>
      </c>
      <c r="H79" s="126"/>
      <c r="I79" s="127">
        <v>1</v>
      </c>
      <c r="J79" s="128">
        <v>25800</v>
      </c>
      <c r="K79" s="128">
        <v>25800</v>
      </c>
      <c r="L79" s="162" t="s">
        <v>552</v>
      </c>
      <c r="M79" s="163" t="s">
        <v>21</v>
      </c>
      <c r="N79" s="131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  <c r="AB79" s="132"/>
    </row>
    <row r="80" spans="1:28" s="144" customFormat="1" ht="18" customHeight="1" outlineLevel="1" x14ac:dyDescent="0.2">
      <c r="A80" s="134">
        <v>1</v>
      </c>
      <c r="B80" s="134">
        <v>83041</v>
      </c>
      <c r="C80" s="135">
        <v>41681</v>
      </c>
      <c r="D80" s="136" t="s">
        <v>664</v>
      </c>
      <c r="E80" s="134" t="s">
        <v>542</v>
      </c>
      <c r="F80" s="137" t="s">
        <v>115</v>
      </c>
      <c r="G80" s="138" t="s">
        <v>559</v>
      </c>
      <c r="H80" s="139" t="s">
        <v>486</v>
      </c>
      <c r="I80" s="140">
        <v>1</v>
      </c>
      <c r="J80" s="141">
        <v>5274</v>
      </c>
      <c r="K80" s="141">
        <v>5274</v>
      </c>
      <c r="L80" s="166" t="s">
        <v>555</v>
      </c>
      <c r="M80" s="167" t="s">
        <v>21</v>
      </c>
      <c r="N80" s="142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</row>
    <row r="81" spans="1:28" s="144" customFormat="1" ht="15" customHeight="1" outlineLevel="1" x14ac:dyDescent="0.2">
      <c r="A81" s="134">
        <v>2</v>
      </c>
      <c r="B81" s="134">
        <v>88674</v>
      </c>
      <c r="C81" s="135">
        <v>41681</v>
      </c>
      <c r="D81" s="136" t="s">
        <v>664</v>
      </c>
      <c r="E81" s="134" t="s">
        <v>542</v>
      </c>
      <c r="F81" s="137" t="s">
        <v>208</v>
      </c>
      <c r="G81" s="138" t="s">
        <v>559</v>
      </c>
      <c r="H81" s="139" t="s">
        <v>486</v>
      </c>
      <c r="I81" s="140">
        <v>1</v>
      </c>
      <c r="J81" s="141">
        <v>14099</v>
      </c>
      <c r="K81" s="141">
        <v>14099</v>
      </c>
      <c r="L81" s="166" t="s">
        <v>555</v>
      </c>
      <c r="M81" s="167" t="s">
        <v>21</v>
      </c>
      <c r="N81" s="142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</row>
    <row r="82" spans="1:28" s="144" customFormat="1" ht="15" customHeight="1" outlineLevel="1" x14ac:dyDescent="0.2">
      <c r="A82" s="134">
        <v>3</v>
      </c>
      <c r="B82" s="134">
        <v>78054</v>
      </c>
      <c r="C82" s="135">
        <v>41628</v>
      </c>
      <c r="D82" s="136" t="s">
        <v>665</v>
      </c>
      <c r="E82" s="134" t="s">
        <v>623</v>
      </c>
      <c r="F82" s="137" t="s">
        <v>534</v>
      </c>
      <c r="G82" s="138" t="s">
        <v>428</v>
      </c>
      <c r="H82" s="139" t="s">
        <v>626</v>
      </c>
      <c r="I82" s="140">
        <v>1</v>
      </c>
      <c r="J82" s="141">
        <v>30429</v>
      </c>
      <c r="K82" s="168">
        <v>30429</v>
      </c>
      <c r="L82" s="166" t="s">
        <v>555</v>
      </c>
      <c r="M82" s="167" t="s">
        <v>21</v>
      </c>
      <c r="N82" s="142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</row>
    <row r="83" spans="1:28" s="144" customFormat="1" ht="15" customHeight="1" outlineLevel="1" x14ac:dyDescent="0.2">
      <c r="A83" s="134">
        <v>4</v>
      </c>
      <c r="B83" s="134">
        <v>95518</v>
      </c>
      <c r="C83" s="135">
        <v>41689</v>
      </c>
      <c r="D83" s="136" t="s">
        <v>666</v>
      </c>
      <c r="E83" s="134" t="s">
        <v>542</v>
      </c>
      <c r="F83" s="137" t="s">
        <v>190</v>
      </c>
      <c r="G83" s="138" t="s">
        <v>428</v>
      </c>
      <c r="H83" s="139"/>
      <c r="I83" s="140">
        <v>1</v>
      </c>
      <c r="J83" s="141">
        <v>57960</v>
      </c>
      <c r="K83" s="141">
        <v>57960</v>
      </c>
      <c r="L83" s="166" t="s">
        <v>555</v>
      </c>
      <c r="M83" s="167" t="s">
        <v>21</v>
      </c>
      <c r="N83" s="142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</row>
    <row r="84" spans="1:28" s="144" customFormat="1" ht="15" customHeight="1" outlineLevel="1" x14ac:dyDescent="0.2">
      <c r="A84" s="134">
        <v>5</v>
      </c>
      <c r="B84" s="134">
        <v>93986</v>
      </c>
      <c r="C84" s="135">
        <v>41687</v>
      </c>
      <c r="D84" s="136" t="s">
        <v>667</v>
      </c>
      <c r="E84" s="134" t="s">
        <v>542</v>
      </c>
      <c r="F84" s="137" t="s">
        <v>534</v>
      </c>
      <c r="G84" s="138" t="s">
        <v>416</v>
      </c>
      <c r="H84" s="139" t="s">
        <v>626</v>
      </c>
      <c r="I84" s="140">
        <v>1</v>
      </c>
      <c r="J84" s="141">
        <v>30429</v>
      </c>
      <c r="K84" s="141">
        <v>30429</v>
      </c>
      <c r="L84" s="166" t="s">
        <v>555</v>
      </c>
      <c r="M84" s="167" t="s">
        <v>21</v>
      </c>
      <c r="N84" s="142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</row>
    <row r="85" spans="1:28" s="144" customFormat="1" ht="15" customHeight="1" outlineLevel="1" x14ac:dyDescent="0.2">
      <c r="A85" s="134">
        <v>6</v>
      </c>
      <c r="B85" s="134">
        <v>93986</v>
      </c>
      <c r="C85" s="135">
        <v>41675</v>
      </c>
      <c r="D85" s="136" t="s">
        <v>668</v>
      </c>
      <c r="E85" s="134" t="s">
        <v>475</v>
      </c>
      <c r="F85" s="137" t="s">
        <v>619</v>
      </c>
      <c r="G85" s="138" t="s">
        <v>368</v>
      </c>
      <c r="H85" s="139"/>
      <c r="I85" s="140">
        <v>1</v>
      </c>
      <c r="J85" s="141">
        <v>15722</v>
      </c>
      <c r="K85" s="141">
        <v>15722</v>
      </c>
      <c r="L85" s="166" t="s">
        <v>555</v>
      </c>
      <c r="M85" s="167" t="s">
        <v>21</v>
      </c>
      <c r="N85" s="142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</row>
    <row r="86" spans="1:28" s="144" customFormat="1" ht="15" customHeight="1" outlineLevel="1" x14ac:dyDescent="0.2">
      <c r="A86" s="134">
        <v>7</v>
      </c>
      <c r="B86" s="134">
        <v>93986</v>
      </c>
      <c r="C86" s="135">
        <v>41687</v>
      </c>
      <c r="D86" s="136" t="s">
        <v>669</v>
      </c>
      <c r="E86" s="134" t="s">
        <v>373</v>
      </c>
      <c r="F86" s="137" t="s">
        <v>195</v>
      </c>
      <c r="G86" s="138" t="s">
        <v>397</v>
      </c>
      <c r="H86" s="139"/>
      <c r="I86" s="140">
        <v>2</v>
      </c>
      <c r="J86" s="141">
        <v>2739</v>
      </c>
      <c r="K86" s="141">
        <v>5478</v>
      </c>
      <c r="L86" s="166" t="s">
        <v>555</v>
      </c>
      <c r="M86" s="167" t="s">
        <v>21</v>
      </c>
      <c r="N86" s="142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</row>
    <row r="87" spans="1:28" s="144" customFormat="1" ht="15" customHeight="1" outlineLevel="1" x14ac:dyDescent="0.2">
      <c r="A87" s="134">
        <v>8</v>
      </c>
      <c r="B87" s="134">
        <v>94373</v>
      </c>
      <c r="C87" s="135">
        <v>41684</v>
      </c>
      <c r="D87" s="136" t="s">
        <v>670</v>
      </c>
      <c r="E87" s="134" t="s">
        <v>475</v>
      </c>
      <c r="F87" s="137" t="s">
        <v>235</v>
      </c>
      <c r="G87" s="138" t="s">
        <v>366</v>
      </c>
      <c r="H87" s="139"/>
      <c r="I87" s="140">
        <v>1</v>
      </c>
      <c r="J87" s="141">
        <v>10401</v>
      </c>
      <c r="K87" s="141">
        <v>10401</v>
      </c>
      <c r="L87" s="166" t="s">
        <v>555</v>
      </c>
      <c r="M87" s="167" t="s">
        <v>21</v>
      </c>
      <c r="N87" s="142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</row>
    <row r="88" spans="1:28" s="144" customFormat="1" ht="15" customHeight="1" outlineLevel="1" x14ac:dyDescent="0.2">
      <c r="A88" s="134">
        <v>9</v>
      </c>
      <c r="B88" s="134">
        <v>94390</v>
      </c>
      <c r="C88" s="135">
        <v>41681</v>
      </c>
      <c r="D88" s="136" t="s">
        <v>671</v>
      </c>
      <c r="E88" s="134" t="s">
        <v>373</v>
      </c>
      <c r="F88" s="137" t="s">
        <v>534</v>
      </c>
      <c r="G88" s="138" t="s">
        <v>389</v>
      </c>
      <c r="H88" s="139" t="s">
        <v>560</v>
      </c>
      <c r="I88" s="140">
        <v>1</v>
      </c>
      <c r="J88" s="141">
        <v>30429</v>
      </c>
      <c r="K88" s="141">
        <v>30429</v>
      </c>
      <c r="L88" s="166" t="s">
        <v>555</v>
      </c>
      <c r="M88" s="167" t="s">
        <v>21</v>
      </c>
      <c r="N88" s="142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</row>
    <row r="89" spans="1:28" s="144" customFormat="1" ht="15" customHeight="1" outlineLevel="1" x14ac:dyDescent="0.2">
      <c r="A89" s="134">
        <v>10</v>
      </c>
      <c r="B89" s="134">
        <v>94694</v>
      </c>
      <c r="C89" s="135">
        <v>41689</v>
      </c>
      <c r="D89" s="136" t="s">
        <v>672</v>
      </c>
      <c r="E89" s="134" t="s">
        <v>542</v>
      </c>
      <c r="F89" s="137" t="s">
        <v>534</v>
      </c>
      <c r="G89" s="138" t="s">
        <v>414</v>
      </c>
      <c r="H89" s="139" t="s">
        <v>560</v>
      </c>
      <c r="I89" s="140">
        <v>1</v>
      </c>
      <c r="J89" s="141">
        <v>30429</v>
      </c>
      <c r="K89" s="141">
        <v>30429</v>
      </c>
      <c r="L89" s="166" t="s">
        <v>555</v>
      </c>
      <c r="M89" s="167" t="s">
        <v>21</v>
      </c>
      <c r="N89" s="142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</row>
    <row r="90" spans="1:28" s="144" customFormat="1" ht="15" customHeight="1" outlineLevel="1" x14ac:dyDescent="0.2">
      <c r="A90" s="134">
        <v>11</v>
      </c>
      <c r="B90" s="134">
        <v>94729</v>
      </c>
      <c r="C90" s="135">
        <v>41654</v>
      </c>
      <c r="D90" s="136" t="s">
        <v>673</v>
      </c>
      <c r="E90" s="134" t="s">
        <v>475</v>
      </c>
      <c r="F90" s="137" t="s">
        <v>215</v>
      </c>
      <c r="G90" s="138" t="s">
        <v>368</v>
      </c>
      <c r="H90" s="139" t="s">
        <v>486</v>
      </c>
      <c r="I90" s="140">
        <v>1</v>
      </c>
      <c r="J90" s="141">
        <v>44597</v>
      </c>
      <c r="K90" s="168">
        <v>44597</v>
      </c>
      <c r="L90" s="166" t="s">
        <v>555</v>
      </c>
      <c r="M90" s="167" t="s">
        <v>21</v>
      </c>
      <c r="N90" s="142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</row>
    <row r="91" spans="1:28" s="144" customFormat="1" ht="15" customHeight="1" outlineLevel="1" x14ac:dyDescent="0.2">
      <c r="A91" s="134">
        <v>12</v>
      </c>
      <c r="B91" s="134">
        <v>94729</v>
      </c>
      <c r="C91" s="135">
        <v>41676</v>
      </c>
      <c r="D91" s="136" t="s">
        <v>674</v>
      </c>
      <c r="E91" s="134" t="s">
        <v>542</v>
      </c>
      <c r="F91" s="137" t="s">
        <v>208</v>
      </c>
      <c r="G91" s="138" t="s">
        <v>531</v>
      </c>
      <c r="H91" s="139"/>
      <c r="I91" s="140">
        <v>1</v>
      </c>
      <c r="J91" s="141">
        <v>14099</v>
      </c>
      <c r="K91" s="141">
        <v>14099</v>
      </c>
      <c r="L91" s="166" t="s">
        <v>555</v>
      </c>
      <c r="M91" s="167" t="s">
        <v>21</v>
      </c>
      <c r="N91" s="142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</row>
    <row r="92" spans="1:28" s="144" customFormat="1" ht="15" customHeight="1" outlineLevel="1" x14ac:dyDescent="0.2">
      <c r="A92" s="134">
        <v>13</v>
      </c>
      <c r="B92" s="134">
        <v>95106</v>
      </c>
      <c r="C92" s="135">
        <v>41687</v>
      </c>
      <c r="D92" s="136" t="s">
        <v>674</v>
      </c>
      <c r="E92" s="134" t="s">
        <v>542</v>
      </c>
      <c r="F92" s="137" t="s">
        <v>114</v>
      </c>
      <c r="G92" s="138" t="s">
        <v>531</v>
      </c>
      <c r="H92" s="139" t="s">
        <v>675</v>
      </c>
      <c r="I92" s="140">
        <v>1</v>
      </c>
      <c r="J92" s="141">
        <v>33370</v>
      </c>
      <c r="K92" s="141">
        <v>33370</v>
      </c>
      <c r="L92" s="166" t="s">
        <v>555</v>
      </c>
      <c r="M92" s="167" t="s">
        <v>21</v>
      </c>
      <c r="N92" s="142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</row>
    <row r="93" spans="1:28" s="144" customFormat="1" ht="15" customHeight="1" outlineLevel="1" x14ac:dyDescent="0.2">
      <c r="A93" s="134">
        <v>14</v>
      </c>
      <c r="B93" s="134">
        <v>95106</v>
      </c>
      <c r="C93" s="135">
        <v>41678</v>
      </c>
      <c r="D93" s="136" t="s">
        <v>676</v>
      </c>
      <c r="E93" s="134" t="s">
        <v>373</v>
      </c>
      <c r="F93" s="137" t="s">
        <v>215</v>
      </c>
      <c r="G93" s="138" t="s">
        <v>368</v>
      </c>
      <c r="H93" s="139" t="s">
        <v>486</v>
      </c>
      <c r="I93" s="140">
        <v>1</v>
      </c>
      <c r="J93" s="141">
        <v>44597</v>
      </c>
      <c r="K93" s="141">
        <v>44597</v>
      </c>
      <c r="L93" s="166" t="s">
        <v>555</v>
      </c>
      <c r="M93" s="167" t="s">
        <v>21</v>
      </c>
      <c r="N93" s="142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</row>
    <row r="94" spans="1:28" s="144" customFormat="1" ht="15" customHeight="1" outlineLevel="1" x14ac:dyDescent="0.2">
      <c r="A94" s="134">
        <v>15</v>
      </c>
      <c r="B94" s="134">
        <v>95218</v>
      </c>
      <c r="C94" s="135">
        <v>41691</v>
      </c>
      <c r="D94" s="136" t="s">
        <v>676</v>
      </c>
      <c r="E94" s="134" t="s">
        <v>475</v>
      </c>
      <c r="F94" s="137" t="s">
        <v>619</v>
      </c>
      <c r="G94" s="138" t="s">
        <v>368</v>
      </c>
      <c r="H94" s="139" t="s">
        <v>486</v>
      </c>
      <c r="I94" s="140">
        <v>1</v>
      </c>
      <c r="J94" s="141">
        <v>15722</v>
      </c>
      <c r="K94" s="141">
        <v>15722</v>
      </c>
      <c r="L94" s="166" t="s">
        <v>555</v>
      </c>
      <c r="M94" s="167" t="s">
        <v>21</v>
      </c>
      <c r="N94" s="142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</row>
    <row r="95" spans="1:28" s="144" customFormat="1" ht="15" customHeight="1" outlineLevel="1" x14ac:dyDescent="0.2">
      <c r="A95" s="134">
        <v>16</v>
      </c>
      <c r="B95" s="134">
        <v>95288</v>
      </c>
      <c r="C95" s="135">
        <v>41674</v>
      </c>
      <c r="D95" s="136" t="s">
        <v>677</v>
      </c>
      <c r="E95" s="134" t="s">
        <v>542</v>
      </c>
      <c r="F95" s="137" t="s">
        <v>115</v>
      </c>
      <c r="G95" s="138" t="s">
        <v>559</v>
      </c>
      <c r="H95" s="139" t="s">
        <v>570</v>
      </c>
      <c r="I95" s="140">
        <v>1</v>
      </c>
      <c r="J95" s="141">
        <v>5274</v>
      </c>
      <c r="K95" s="141">
        <v>5274</v>
      </c>
      <c r="L95" s="166" t="s">
        <v>555</v>
      </c>
      <c r="M95" s="167" t="s">
        <v>21</v>
      </c>
      <c r="N95" s="142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</row>
    <row r="96" spans="1:28" s="144" customFormat="1" ht="15" customHeight="1" outlineLevel="1" x14ac:dyDescent="0.2">
      <c r="A96" s="134">
        <v>17</v>
      </c>
      <c r="B96" s="134">
        <v>95449</v>
      </c>
      <c r="C96" s="135">
        <v>41674</v>
      </c>
      <c r="D96" s="136" t="s">
        <v>677</v>
      </c>
      <c r="E96" s="134" t="s">
        <v>542</v>
      </c>
      <c r="F96" s="137" t="s">
        <v>208</v>
      </c>
      <c r="G96" s="138" t="s">
        <v>559</v>
      </c>
      <c r="H96" s="139" t="s">
        <v>560</v>
      </c>
      <c r="I96" s="140">
        <v>1</v>
      </c>
      <c r="J96" s="141">
        <v>14099</v>
      </c>
      <c r="K96" s="141">
        <v>14099</v>
      </c>
      <c r="L96" s="166" t="s">
        <v>555</v>
      </c>
      <c r="M96" s="167" t="s">
        <v>21</v>
      </c>
      <c r="N96" s="142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</row>
    <row r="97" spans="1:28" s="144" customFormat="1" ht="15" customHeight="1" outlineLevel="1" x14ac:dyDescent="0.2">
      <c r="A97" s="134">
        <v>18</v>
      </c>
      <c r="B97" s="134">
        <v>96588</v>
      </c>
      <c r="C97" s="135">
        <v>41674</v>
      </c>
      <c r="D97" s="136" t="s">
        <v>677</v>
      </c>
      <c r="E97" s="134" t="s">
        <v>542</v>
      </c>
      <c r="F97" s="137" t="s">
        <v>534</v>
      </c>
      <c r="G97" s="138" t="s">
        <v>414</v>
      </c>
      <c r="H97" s="139" t="s">
        <v>560</v>
      </c>
      <c r="I97" s="140">
        <v>1</v>
      </c>
      <c r="J97" s="141">
        <v>30429</v>
      </c>
      <c r="K97" s="141">
        <v>30429</v>
      </c>
      <c r="L97" s="166" t="s">
        <v>555</v>
      </c>
      <c r="M97" s="167" t="s">
        <v>21</v>
      </c>
      <c r="N97" s="142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</row>
    <row r="98" spans="1:28" s="144" customFormat="1" ht="15" customHeight="1" outlineLevel="1" x14ac:dyDescent="0.2">
      <c r="A98" s="134">
        <v>19</v>
      </c>
      <c r="B98" s="134">
        <v>95864</v>
      </c>
      <c r="C98" s="135">
        <v>41689</v>
      </c>
      <c r="D98" s="136" t="s">
        <v>678</v>
      </c>
      <c r="E98" s="134" t="s">
        <v>542</v>
      </c>
      <c r="F98" s="137" t="s">
        <v>679</v>
      </c>
      <c r="G98" s="138" t="s">
        <v>368</v>
      </c>
      <c r="H98" s="139" t="s">
        <v>483</v>
      </c>
      <c r="I98" s="140">
        <v>1</v>
      </c>
      <c r="J98" s="141">
        <v>55058</v>
      </c>
      <c r="K98" s="141">
        <v>55058</v>
      </c>
      <c r="L98" s="166" t="s">
        <v>555</v>
      </c>
      <c r="M98" s="167" t="s">
        <v>21</v>
      </c>
      <c r="N98" s="142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</row>
    <row r="99" spans="1:28" s="144" customFormat="1" ht="15" customHeight="1" outlineLevel="1" x14ac:dyDescent="0.2">
      <c r="A99" s="134">
        <v>20</v>
      </c>
      <c r="B99" s="134">
        <v>86375</v>
      </c>
      <c r="C99" s="135">
        <v>41680</v>
      </c>
      <c r="D99" s="136" t="s">
        <v>680</v>
      </c>
      <c r="E99" s="134" t="s">
        <v>542</v>
      </c>
      <c r="F99" s="137" t="s">
        <v>577</v>
      </c>
      <c r="G99" s="138" t="s">
        <v>368</v>
      </c>
      <c r="H99" s="139"/>
      <c r="I99" s="140">
        <v>1</v>
      </c>
      <c r="J99" s="141">
        <v>25800</v>
      </c>
      <c r="K99" s="141">
        <v>25800</v>
      </c>
      <c r="L99" s="166" t="s">
        <v>555</v>
      </c>
      <c r="M99" s="167" t="s">
        <v>21</v>
      </c>
      <c r="N99" s="142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</row>
    <row r="100" spans="1:28" s="144" customFormat="1" ht="15" customHeight="1" outlineLevel="1" x14ac:dyDescent="0.2">
      <c r="A100" s="134">
        <v>22</v>
      </c>
      <c r="B100" s="134">
        <v>96709</v>
      </c>
      <c r="C100" s="135">
        <v>41680</v>
      </c>
      <c r="D100" s="136" t="s">
        <v>657</v>
      </c>
      <c r="E100" s="134" t="s">
        <v>542</v>
      </c>
      <c r="F100" s="137" t="s">
        <v>115</v>
      </c>
      <c r="G100" s="138" t="s">
        <v>439</v>
      </c>
      <c r="H100" s="139" t="s">
        <v>486</v>
      </c>
      <c r="I100" s="140">
        <v>1</v>
      </c>
      <c r="J100" s="141">
        <v>5274</v>
      </c>
      <c r="K100" s="141">
        <v>5274</v>
      </c>
      <c r="L100" s="166" t="s">
        <v>555</v>
      </c>
      <c r="M100" s="167" t="s">
        <v>21</v>
      </c>
      <c r="N100" s="142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</row>
    <row r="101" spans="1:28" s="144" customFormat="1" ht="15" customHeight="1" outlineLevel="1" x14ac:dyDescent="0.2">
      <c r="A101" s="134">
        <v>23</v>
      </c>
      <c r="B101" s="134">
        <v>96698</v>
      </c>
      <c r="C101" s="135">
        <v>41680</v>
      </c>
      <c r="D101" s="136" t="s">
        <v>657</v>
      </c>
      <c r="E101" s="134" t="s">
        <v>542</v>
      </c>
      <c r="F101" s="137" t="s">
        <v>208</v>
      </c>
      <c r="G101" s="138" t="s">
        <v>439</v>
      </c>
      <c r="H101" s="139" t="s">
        <v>486</v>
      </c>
      <c r="I101" s="140">
        <v>1</v>
      </c>
      <c r="J101" s="141">
        <v>14099</v>
      </c>
      <c r="K101" s="141">
        <v>14099</v>
      </c>
      <c r="L101" s="166" t="s">
        <v>555</v>
      </c>
      <c r="M101" s="167" t="s">
        <v>21</v>
      </c>
      <c r="N101" s="142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</row>
    <row r="102" spans="1:28" s="144" customFormat="1" ht="15" customHeight="1" outlineLevel="1" x14ac:dyDescent="0.2">
      <c r="A102" s="134">
        <v>24</v>
      </c>
      <c r="B102" s="134">
        <v>97011</v>
      </c>
      <c r="C102" s="135">
        <v>41687</v>
      </c>
      <c r="D102" s="136" t="s">
        <v>657</v>
      </c>
      <c r="E102" s="134" t="s">
        <v>542</v>
      </c>
      <c r="F102" s="137" t="s">
        <v>114</v>
      </c>
      <c r="G102" s="138" t="s">
        <v>439</v>
      </c>
      <c r="H102" s="139" t="s">
        <v>626</v>
      </c>
      <c r="I102" s="140">
        <v>1</v>
      </c>
      <c r="J102" s="141">
        <v>33370</v>
      </c>
      <c r="K102" s="141">
        <v>33370</v>
      </c>
      <c r="L102" s="166" t="s">
        <v>555</v>
      </c>
      <c r="M102" s="167" t="s">
        <v>21</v>
      </c>
      <c r="N102" s="142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</row>
    <row r="103" spans="1:28" s="144" customFormat="1" ht="15" customHeight="1" outlineLevel="1" x14ac:dyDescent="0.2">
      <c r="A103" s="134">
        <v>25</v>
      </c>
      <c r="B103" s="134">
        <v>97113</v>
      </c>
      <c r="C103" s="135">
        <v>41688</v>
      </c>
      <c r="D103" s="136" t="s">
        <v>681</v>
      </c>
      <c r="E103" s="134" t="s">
        <v>542</v>
      </c>
      <c r="F103" s="137" t="s">
        <v>534</v>
      </c>
      <c r="G103" s="138" t="s">
        <v>469</v>
      </c>
      <c r="H103" s="139" t="s">
        <v>560</v>
      </c>
      <c r="I103" s="140">
        <v>1</v>
      </c>
      <c r="J103" s="141">
        <v>30429</v>
      </c>
      <c r="K103" s="141">
        <v>30429</v>
      </c>
      <c r="L103" s="166" t="s">
        <v>555</v>
      </c>
      <c r="M103" s="167" t="s">
        <v>21</v>
      </c>
      <c r="N103" s="142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</row>
    <row r="104" spans="1:28" s="144" customFormat="1" ht="15" customHeight="1" outlineLevel="1" x14ac:dyDescent="0.2">
      <c r="A104" s="134">
        <v>26</v>
      </c>
      <c r="B104" s="134">
        <v>96901</v>
      </c>
      <c r="C104" s="135">
        <v>41675</v>
      </c>
      <c r="D104" s="136" t="s">
        <v>682</v>
      </c>
      <c r="E104" s="134" t="s">
        <v>542</v>
      </c>
      <c r="F104" s="137" t="s">
        <v>534</v>
      </c>
      <c r="G104" s="138" t="s">
        <v>642</v>
      </c>
      <c r="H104" s="139" t="s">
        <v>626</v>
      </c>
      <c r="I104" s="140">
        <v>1</v>
      </c>
      <c r="J104" s="141">
        <v>30429</v>
      </c>
      <c r="K104" s="141">
        <v>30429</v>
      </c>
      <c r="L104" s="166" t="s">
        <v>555</v>
      </c>
      <c r="M104" s="167" t="s">
        <v>21</v>
      </c>
      <c r="N104" s="142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</row>
    <row r="105" spans="1:28" s="144" customFormat="1" ht="15" customHeight="1" outlineLevel="1" x14ac:dyDescent="0.2">
      <c r="A105" s="134">
        <v>27</v>
      </c>
      <c r="B105" s="134">
        <v>96860</v>
      </c>
      <c r="C105" s="135">
        <v>41680</v>
      </c>
      <c r="D105" s="136" t="s">
        <v>683</v>
      </c>
      <c r="E105" s="134" t="s">
        <v>542</v>
      </c>
      <c r="F105" s="137" t="s">
        <v>577</v>
      </c>
      <c r="G105" s="138" t="s">
        <v>368</v>
      </c>
      <c r="H105" s="139"/>
      <c r="I105" s="140">
        <v>1</v>
      </c>
      <c r="J105" s="141">
        <v>25800</v>
      </c>
      <c r="K105" s="141">
        <v>25800</v>
      </c>
      <c r="L105" s="166" t="s">
        <v>555</v>
      </c>
      <c r="M105" s="167" t="s">
        <v>21</v>
      </c>
      <c r="N105" s="142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</row>
    <row r="106" spans="1:28" s="144" customFormat="1" ht="15" customHeight="1" outlineLevel="1" x14ac:dyDescent="0.2">
      <c r="A106" s="134">
        <v>28</v>
      </c>
      <c r="B106" s="134">
        <v>97398</v>
      </c>
      <c r="C106" s="135">
        <v>41683</v>
      </c>
      <c r="D106" s="136" t="s">
        <v>684</v>
      </c>
      <c r="E106" s="134" t="s">
        <v>373</v>
      </c>
      <c r="F106" s="137" t="s">
        <v>215</v>
      </c>
      <c r="G106" s="138" t="s">
        <v>368</v>
      </c>
      <c r="H106" s="139" t="s">
        <v>570</v>
      </c>
      <c r="I106" s="140">
        <v>1</v>
      </c>
      <c r="J106" s="141">
        <v>44597</v>
      </c>
      <c r="K106" s="141">
        <v>44597</v>
      </c>
      <c r="L106" s="166" t="s">
        <v>555</v>
      </c>
      <c r="M106" s="167" t="s">
        <v>21</v>
      </c>
      <c r="N106" s="142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</row>
    <row r="107" spans="1:28" s="144" customFormat="1" ht="15" customHeight="1" outlineLevel="1" x14ac:dyDescent="0.2">
      <c r="A107" s="134">
        <v>29</v>
      </c>
      <c r="B107" s="134">
        <v>99064</v>
      </c>
      <c r="C107" s="135">
        <v>41698</v>
      </c>
      <c r="D107" s="136" t="s">
        <v>685</v>
      </c>
      <c r="E107" s="134" t="s">
        <v>386</v>
      </c>
      <c r="F107" s="137" t="s">
        <v>114</v>
      </c>
      <c r="G107" s="138" t="s">
        <v>401</v>
      </c>
      <c r="H107" s="139"/>
      <c r="I107" s="140">
        <v>1</v>
      </c>
      <c r="J107" s="141">
        <v>33370</v>
      </c>
      <c r="K107" s="141">
        <v>33370</v>
      </c>
      <c r="L107" s="166" t="s">
        <v>555</v>
      </c>
      <c r="M107" s="167" t="s">
        <v>21</v>
      </c>
      <c r="N107" s="142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</row>
    <row r="108" spans="1:28" s="133" customFormat="1" ht="15" customHeight="1" outlineLevel="1" x14ac:dyDescent="0.2">
      <c r="A108" s="134">
        <v>1</v>
      </c>
      <c r="B108" s="134">
        <v>100136</v>
      </c>
      <c r="C108" s="135">
        <v>41703</v>
      </c>
      <c r="D108" s="136" t="s">
        <v>622</v>
      </c>
      <c r="E108" s="134" t="s">
        <v>686</v>
      </c>
      <c r="F108" s="137" t="s">
        <v>115</v>
      </c>
      <c r="G108" s="138" t="s">
        <v>559</v>
      </c>
      <c r="H108" s="139" t="s">
        <v>570</v>
      </c>
      <c r="I108" s="140">
        <v>1</v>
      </c>
      <c r="J108" s="141">
        <v>5274</v>
      </c>
      <c r="K108" s="141">
        <v>5274</v>
      </c>
      <c r="L108" s="169" t="s">
        <v>578</v>
      </c>
      <c r="M108" s="167" t="s">
        <v>21</v>
      </c>
      <c r="N108" s="131"/>
      <c r="O108" s="132"/>
      <c r="P108" s="132"/>
      <c r="Q108" s="132"/>
      <c r="R108" s="132"/>
      <c r="S108" s="132"/>
      <c r="T108" s="132"/>
      <c r="U108" s="132"/>
      <c r="V108" s="132"/>
      <c r="W108" s="132"/>
      <c r="X108" s="132"/>
      <c r="Y108" s="132"/>
      <c r="Z108" s="132"/>
      <c r="AA108" s="132"/>
      <c r="AB108" s="132"/>
    </row>
    <row r="109" spans="1:28" s="133" customFormat="1" ht="15" customHeight="1" outlineLevel="1" x14ac:dyDescent="0.2">
      <c r="A109" s="134">
        <v>2</v>
      </c>
      <c r="B109" s="134">
        <v>3803</v>
      </c>
      <c r="C109" s="135">
        <v>41718</v>
      </c>
      <c r="D109" s="136" t="s">
        <v>622</v>
      </c>
      <c r="E109" s="134" t="s">
        <v>686</v>
      </c>
      <c r="F109" s="137" t="s">
        <v>114</v>
      </c>
      <c r="G109" s="138" t="s">
        <v>559</v>
      </c>
      <c r="H109" s="139" t="s">
        <v>687</v>
      </c>
      <c r="I109" s="140">
        <v>1</v>
      </c>
      <c r="J109" s="141">
        <v>33370</v>
      </c>
      <c r="K109" s="141">
        <v>33370</v>
      </c>
      <c r="L109" s="169" t="s">
        <v>578</v>
      </c>
      <c r="M109" s="167" t="s">
        <v>21</v>
      </c>
      <c r="N109" s="131"/>
      <c r="O109" s="132"/>
      <c r="P109" s="132"/>
      <c r="Q109" s="132"/>
      <c r="R109" s="132"/>
      <c r="S109" s="132"/>
      <c r="T109" s="132"/>
      <c r="U109" s="132"/>
      <c r="V109" s="132"/>
      <c r="W109" s="132"/>
      <c r="X109" s="132"/>
      <c r="Y109" s="132"/>
      <c r="Z109" s="132"/>
      <c r="AA109" s="132"/>
      <c r="AB109" s="132"/>
    </row>
    <row r="110" spans="1:28" s="133" customFormat="1" ht="15" customHeight="1" outlineLevel="1" x14ac:dyDescent="0.2">
      <c r="A110" s="134">
        <v>3</v>
      </c>
      <c r="B110" s="134">
        <v>5606</v>
      </c>
      <c r="C110" s="135">
        <v>41725</v>
      </c>
      <c r="D110" s="136" t="s">
        <v>688</v>
      </c>
      <c r="E110" s="134" t="s">
        <v>378</v>
      </c>
      <c r="F110" s="137" t="s">
        <v>534</v>
      </c>
      <c r="G110" s="138" t="s">
        <v>416</v>
      </c>
      <c r="H110" s="139" t="s">
        <v>560</v>
      </c>
      <c r="I110" s="140">
        <v>1</v>
      </c>
      <c r="J110" s="141">
        <v>30429</v>
      </c>
      <c r="K110" s="141">
        <v>30429</v>
      </c>
      <c r="L110" s="169" t="s">
        <v>578</v>
      </c>
      <c r="M110" s="167" t="s">
        <v>21</v>
      </c>
      <c r="N110" s="131"/>
      <c r="O110" s="132"/>
      <c r="P110" s="132"/>
      <c r="Q110" s="132"/>
      <c r="R110" s="132"/>
      <c r="S110" s="132"/>
      <c r="T110" s="132"/>
      <c r="U110" s="132"/>
      <c r="V110" s="132"/>
      <c r="W110" s="132"/>
      <c r="X110" s="132"/>
      <c r="Y110" s="132"/>
      <c r="Z110" s="132"/>
      <c r="AA110" s="132"/>
      <c r="AB110" s="132"/>
    </row>
    <row r="111" spans="1:28" s="133" customFormat="1" ht="15" customHeight="1" outlineLevel="1" x14ac:dyDescent="0.2">
      <c r="A111" s="134">
        <v>4</v>
      </c>
      <c r="B111" s="134">
        <v>3072</v>
      </c>
      <c r="C111" s="135">
        <v>41715</v>
      </c>
      <c r="D111" s="136" t="s">
        <v>689</v>
      </c>
      <c r="E111" s="134" t="s">
        <v>475</v>
      </c>
      <c r="F111" s="137" t="s">
        <v>115</v>
      </c>
      <c r="G111" s="138" t="s">
        <v>407</v>
      </c>
      <c r="H111" s="139" t="s">
        <v>483</v>
      </c>
      <c r="I111" s="140">
        <v>1</v>
      </c>
      <c r="J111" s="141">
        <v>5274</v>
      </c>
      <c r="K111" s="141">
        <v>5274</v>
      </c>
      <c r="L111" s="169" t="s">
        <v>578</v>
      </c>
      <c r="M111" s="167" t="s">
        <v>21</v>
      </c>
      <c r="N111" s="131"/>
      <c r="O111" s="132"/>
      <c r="P111" s="132"/>
      <c r="Q111" s="132"/>
      <c r="R111" s="132"/>
      <c r="S111" s="132"/>
      <c r="T111" s="132"/>
      <c r="U111" s="132"/>
      <c r="V111" s="132"/>
      <c r="W111" s="132"/>
      <c r="X111" s="132"/>
      <c r="Y111" s="132"/>
      <c r="Z111" s="132"/>
      <c r="AA111" s="132"/>
      <c r="AB111" s="132"/>
    </row>
    <row r="112" spans="1:28" s="133" customFormat="1" ht="15" customHeight="1" outlineLevel="1" x14ac:dyDescent="0.2">
      <c r="A112" s="134">
        <v>5</v>
      </c>
      <c r="B112" s="134">
        <v>100037</v>
      </c>
      <c r="C112" s="135">
        <v>41704</v>
      </c>
      <c r="D112" s="136" t="s">
        <v>372</v>
      </c>
      <c r="E112" s="134" t="s">
        <v>686</v>
      </c>
      <c r="F112" s="137" t="s">
        <v>115</v>
      </c>
      <c r="G112" s="138" t="s">
        <v>442</v>
      </c>
      <c r="H112" s="139" t="s">
        <v>690</v>
      </c>
      <c r="I112" s="140">
        <v>1</v>
      </c>
      <c r="J112" s="141">
        <v>5274</v>
      </c>
      <c r="K112" s="141">
        <v>5274</v>
      </c>
      <c r="L112" s="169" t="s">
        <v>578</v>
      </c>
      <c r="M112" s="167" t="s">
        <v>21</v>
      </c>
      <c r="N112" s="131"/>
      <c r="O112" s="132"/>
      <c r="P112" s="132"/>
      <c r="Q112" s="132"/>
      <c r="R112" s="132"/>
      <c r="S112" s="132"/>
      <c r="T112" s="132"/>
      <c r="U112" s="132"/>
      <c r="V112" s="132"/>
      <c r="W112" s="132"/>
      <c r="X112" s="132"/>
      <c r="Y112" s="132"/>
      <c r="Z112" s="132"/>
      <c r="AA112" s="132"/>
      <c r="AB112" s="132"/>
    </row>
    <row r="113" spans="1:28" s="133" customFormat="1" ht="15" customHeight="1" outlineLevel="1" x14ac:dyDescent="0.2">
      <c r="A113" s="134">
        <v>6</v>
      </c>
      <c r="B113" s="134">
        <v>7061</v>
      </c>
      <c r="C113" s="135">
        <v>41729</v>
      </c>
      <c r="D113" s="136" t="s">
        <v>691</v>
      </c>
      <c r="E113" s="134" t="s">
        <v>373</v>
      </c>
      <c r="F113" s="137" t="s">
        <v>215</v>
      </c>
      <c r="G113" s="138" t="s">
        <v>368</v>
      </c>
      <c r="H113" s="139" t="s">
        <v>483</v>
      </c>
      <c r="I113" s="140">
        <v>1</v>
      </c>
      <c r="J113" s="141">
        <v>44597</v>
      </c>
      <c r="K113" s="141">
        <v>44597</v>
      </c>
      <c r="L113" s="169" t="s">
        <v>578</v>
      </c>
      <c r="M113" s="167" t="s">
        <v>21</v>
      </c>
      <c r="N113" s="131"/>
      <c r="O113" s="132"/>
      <c r="P113" s="132"/>
      <c r="Q113" s="132"/>
      <c r="R113" s="132"/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</row>
    <row r="114" spans="1:28" s="133" customFormat="1" ht="15" customHeight="1" outlineLevel="1" x14ac:dyDescent="0.2">
      <c r="A114" s="134">
        <v>7</v>
      </c>
      <c r="B114" s="134">
        <v>1986</v>
      </c>
      <c r="C114" s="135">
        <v>41711</v>
      </c>
      <c r="D114" s="136" t="s">
        <v>692</v>
      </c>
      <c r="E114" s="134" t="s">
        <v>686</v>
      </c>
      <c r="F114" s="137" t="s">
        <v>577</v>
      </c>
      <c r="G114" s="138" t="s">
        <v>368</v>
      </c>
      <c r="H114" s="139"/>
      <c r="I114" s="140">
        <v>1</v>
      </c>
      <c r="J114" s="141">
        <v>25800</v>
      </c>
      <c r="K114" s="141">
        <v>25800</v>
      </c>
      <c r="L114" s="169" t="s">
        <v>578</v>
      </c>
      <c r="M114" s="167" t="s">
        <v>21</v>
      </c>
      <c r="N114" s="131"/>
      <c r="O114" s="132"/>
      <c r="P114" s="132"/>
      <c r="Q114" s="132"/>
      <c r="R114" s="132"/>
      <c r="S114" s="132"/>
      <c r="T114" s="132"/>
      <c r="U114" s="132"/>
      <c r="V114" s="132"/>
      <c r="W114" s="132"/>
      <c r="X114" s="132"/>
      <c r="Y114" s="132"/>
      <c r="Z114" s="132"/>
      <c r="AA114" s="132"/>
      <c r="AB114" s="132"/>
    </row>
    <row r="115" spans="1:28" s="133" customFormat="1" ht="15" customHeight="1" outlineLevel="1" x14ac:dyDescent="0.2">
      <c r="A115" s="134">
        <v>9</v>
      </c>
      <c r="B115" s="134">
        <v>3908</v>
      </c>
      <c r="C115" s="135">
        <v>41718</v>
      </c>
      <c r="D115" s="136" t="s">
        <v>625</v>
      </c>
      <c r="E115" s="134" t="s">
        <v>386</v>
      </c>
      <c r="F115" s="137" t="s">
        <v>679</v>
      </c>
      <c r="G115" s="138" t="s">
        <v>482</v>
      </c>
      <c r="H115" s="139" t="s">
        <v>486</v>
      </c>
      <c r="I115" s="140">
        <v>2</v>
      </c>
      <c r="J115" s="141">
        <v>55058</v>
      </c>
      <c r="K115" s="141">
        <v>110116</v>
      </c>
      <c r="L115" s="169" t="s">
        <v>578</v>
      </c>
      <c r="M115" s="167" t="s">
        <v>21</v>
      </c>
      <c r="N115" s="131"/>
      <c r="O115" s="132"/>
      <c r="P115" s="132"/>
      <c r="Q115" s="132"/>
      <c r="R115" s="132"/>
      <c r="S115" s="132"/>
      <c r="T115" s="132"/>
      <c r="U115" s="132"/>
      <c r="V115" s="132"/>
      <c r="W115" s="132"/>
      <c r="X115" s="132"/>
      <c r="Y115" s="132"/>
      <c r="Z115" s="132"/>
      <c r="AA115" s="132"/>
      <c r="AB115" s="132"/>
    </row>
    <row r="116" spans="1:28" s="133" customFormat="1" ht="15" customHeight="1" outlineLevel="1" x14ac:dyDescent="0.2">
      <c r="A116" s="134">
        <v>10</v>
      </c>
      <c r="B116" s="134">
        <v>859</v>
      </c>
      <c r="C116" s="135">
        <v>41709</v>
      </c>
      <c r="D116" s="136" t="s">
        <v>693</v>
      </c>
      <c r="E116" s="134" t="s">
        <v>694</v>
      </c>
      <c r="F116" s="137" t="s">
        <v>577</v>
      </c>
      <c r="G116" s="138" t="s">
        <v>368</v>
      </c>
      <c r="H116" s="139"/>
      <c r="I116" s="140">
        <v>1</v>
      </c>
      <c r="J116" s="141">
        <v>25800</v>
      </c>
      <c r="K116" s="141">
        <v>25800</v>
      </c>
      <c r="L116" s="169" t="s">
        <v>578</v>
      </c>
      <c r="M116" s="167" t="s">
        <v>21</v>
      </c>
      <c r="N116" s="131"/>
      <c r="O116" s="132"/>
      <c r="P116" s="132"/>
      <c r="Q116" s="132"/>
      <c r="R116" s="132"/>
      <c r="S116" s="132"/>
      <c r="T116" s="132"/>
      <c r="U116" s="132"/>
      <c r="V116" s="132"/>
      <c r="W116" s="132"/>
      <c r="X116" s="132"/>
      <c r="Y116" s="132"/>
      <c r="Z116" s="132"/>
      <c r="AA116" s="132"/>
      <c r="AB116" s="132"/>
    </row>
    <row r="117" spans="1:28" s="133" customFormat="1" ht="15" customHeight="1" outlineLevel="1" x14ac:dyDescent="0.2">
      <c r="A117" s="134">
        <v>11</v>
      </c>
      <c r="B117" s="134">
        <v>778</v>
      </c>
      <c r="C117" s="135">
        <v>41708</v>
      </c>
      <c r="D117" s="136" t="s">
        <v>695</v>
      </c>
      <c r="E117" s="134" t="s">
        <v>686</v>
      </c>
      <c r="F117" s="137" t="s">
        <v>534</v>
      </c>
      <c r="G117" s="138" t="s">
        <v>524</v>
      </c>
      <c r="H117" s="139" t="s">
        <v>566</v>
      </c>
      <c r="I117" s="140">
        <v>1</v>
      </c>
      <c r="J117" s="141">
        <v>30429</v>
      </c>
      <c r="K117" s="141">
        <v>30429</v>
      </c>
      <c r="L117" s="169" t="s">
        <v>578</v>
      </c>
      <c r="M117" s="167" t="s">
        <v>21</v>
      </c>
      <c r="N117" s="131"/>
      <c r="O117" s="132"/>
      <c r="P117" s="132"/>
      <c r="Q117" s="132"/>
      <c r="R117" s="132"/>
      <c r="S117" s="132"/>
      <c r="T117" s="132"/>
      <c r="U117" s="132"/>
      <c r="V117" s="132"/>
      <c r="W117" s="132"/>
      <c r="X117" s="132"/>
      <c r="Y117" s="132"/>
      <c r="Z117" s="132"/>
      <c r="AA117" s="132"/>
      <c r="AB117" s="132"/>
    </row>
    <row r="118" spans="1:28" s="133" customFormat="1" ht="15" customHeight="1" outlineLevel="1" x14ac:dyDescent="0.2">
      <c r="A118" s="134">
        <v>12</v>
      </c>
      <c r="B118" s="134">
        <v>3883</v>
      </c>
      <c r="C118" s="135">
        <v>41717</v>
      </c>
      <c r="D118" s="136" t="s">
        <v>696</v>
      </c>
      <c r="E118" s="134" t="s">
        <v>386</v>
      </c>
      <c r="F118" s="137" t="s">
        <v>215</v>
      </c>
      <c r="G118" s="138" t="s">
        <v>482</v>
      </c>
      <c r="H118" s="139" t="s">
        <v>486</v>
      </c>
      <c r="I118" s="140">
        <v>2</v>
      </c>
      <c r="J118" s="141">
        <v>44597</v>
      </c>
      <c r="K118" s="141">
        <v>89194</v>
      </c>
      <c r="L118" s="169" t="s">
        <v>578</v>
      </c>
      <c r="M118" s="167" t="s">
        <v>21</v>
      </c>
      <c r="N118" s="131"/>
      <c r="O118" s="132"/>
      <c r="P118" s="132"/>
      <c r="Q118" s="132"/>
      <c r="R118" s="132"/>
      <c r="S118" s="132"/>
      <c r="T118" s="132"/>
      <c r="U118" s="132"/>
      <c r="V118" s="132"/>
      <c r="W118" s="132"/>
      <c r="X118" s="132"/>
      <c r="Y118" s="132"/>
      <c r="Z118" s="132"/>
      <c r="AA118" s="132"/>
      <c r="AB118" s="132"/>
    </row>
    <row r="119" spans="1:28" s="133" customFormat="1" ht="15" customHeight="1" outlineLevel="1" x14ac:dyDescent="0.2">
      <c r="A119" s="134">
        <v>13</v>
      </c>
      <c r="B119" s="134">
        <v>3482</v>
      </c>
      <c r="C119" s="135">
        <v>41717</v>
      </c>
      <c r="D119" s="136" t="s">
        <v>697</v>
      </c>
      <c r="E119" s="134" t="s">
        <v>386</v>
      </c>
      <c r="F119" s="137" t="s">
        <v>215</v>
      </c>
      <c r="G119" s="138" t="s">
        <v>384</v>
      </c>
      <c r="H119" s="139" t="s">
        <v>486</v>
      </c>
      <c r="I119" s="140">
        <v>2</v>
      </c>
      <c r="J119" s="141">
        <v>44597</v>
      </c>
      <c r="K119" s="141">
        <v>89194</v>
      </c>
      <c r="L119" s="169" t="s">
        <v>578</v>
      </c>
      <c r="M119" s="167" t="s">
        <v>21</v>
      </c>
      <c r="N119" s="131"/>
      <c r="O119" s="132"/>
      <c r="P119" s="132"/>
      <c r="Q119" s="132"/>
      <c r="R119" s="132"/>
      <c r="S119" s="132"/>
      <c r="T119" s="132"/>
      <c r="U119" s="132"/>
      <c r="V119" s="132"/>
      <c r="W119" s="132"/>
      <c r="X119" s="132"/>
      <c r="Y119" s="132"/>
      <c r="Z119" s="132"/>
      <c r="AA119" s="132"/>
      <c r="AB119" s="132"/>
    </row>
    <row r="120" spans="1:28" s="133" customFormat="1" ht="15" customHeight="1" outlineLevel="1" x14ac:dyDescent="0.2">
      <c r="A120" s="134">
        <v>14</v>
      </c>
      <c r="B120" s="134">
        <v>99961</v>
      </c>
      <c r="C120" s="135">
        <v>41702</v>
      </c>
      <c r="D120" s="136" t="s">
        <v>698</v>
      </c>
      <c r="E120" s="134" t="s">
        <v>686</v>
      </c>
      <c r="F120" s="137" t="s">
        <v>235</v>
      </c>
      <c r="G120" s="138" t="s">
        <v>366</v>
      </c>
      <c r="H120" s="139"/>
      <c r="I120" s="140">
        <v>1</v>
      </c>
      <c r="J120" s="141">
        <v>10401</v>
      </c>
      <c r="K120" s="141">
        <v>10401</v>
      </c>
      <c r="L120" s="169" t="s">
        <v>578</v>
      </c>
      <c r="M120" s="167" t="s">
        <v>21</v>
      </c>
      <c r="N120" s="131"/>
      <c r="O120" s="132"/>
      <c r="P120" s="132"/>
      <c r="Q120" s="132"/>
      <c r="R120" s="132"/>
      <c r="S120" s="132"/>
      <c r="T120" s="132"/>
      <c r="U120" s="132"/>
      <c r="V120" s="132"/>
      <c r="W120" s="132"/>
      <c r="X120" s="132"/>
      <c r="Y120" s="132"/>
      <c r="Z120" s="132"/>
      <c r="AA120" s="132"/>
      <c r="AB120" s="132"/>
    </row>
    <row r="121" spans="1:28" s="133" customFormat="1" ht="15" customHeight="1" outlineLevel="1" x14ac:dyDescent="0.2">
      <c r="A121" s="134">
        <v>16</v>
      </c>
      <c r="B121" s="134">
        <v>5851</v>
      </c>
      <c r="C121" s="135">
        <v>41725</v>
      </c>
      <c r="D121" s="136" t="s">
        <v>699</v>
      </c>
      <c r="E121" s="134" t="s">
        <v>386</v>
      </c>
      <c r="F121" s="137" t="s">
        <v>215</v>
      </c>
      <c r="G121" s="138" t="s">
        <v>482</v>
      </c>
      <c r="H121" s="139" t="s">
        <v>700</v>
      </c>
      <c r="I121" s="140">
        <v>2</v>
      </c>
      <c r="J121" s="141">
        <v>44597</v>
      </c>
      <c r="K121" s="141">
        <v>89194</v>
      </c>
      <c r="L121" s="169" t="s">
        <v>578</v>
      </c>
      <c r="M121" s="167" t="s">
        <v>21</v>
      </c>
      <c r="N121" s="131"/>
      <c r="O121" s="132"/>
      <c r="P121" s="132"/>
      <c r="Q121" s="132"/>
      <c r="R121" s="132"/>
      <c r="S121" s="132"/>
      <c r="T121" s="132"/>
      <c r="U121" s="132"/>
      <c r="V121" s="132"/>
      <c r="W121" s="132"/>
      <c r="X121" s="132"/>
      <c r="Y121" s="132"/>
      <c r="Z121" s="132"/>
      <c r="AA121" s="132"/>
      <c r="AB121" s="132"/>
    </row>
    <row r="122" spans="1:28" s="133" customFormat="1" ht="15" customHeight="1" outlineLevel="1" x14ac:dyDescent="0.2">
      <c r="A122" s="134">
        <v>17</v>
      </c>
      <c r="B122" s="134">
        <v>99552</v>
      </c>
      <c r="C122" s="135">
        <v>41703</v>
      </c>
      <c r="D122" s="136" t="s">
        <v>701</v>
      </c>
      <c r="E122" s="134" t="s">
        <v>686</v>
      </c>
      <c r="F122" s="137" t="s">
        <v>215</v>
      </c>
      <c r="G122" s="138" t="s">
        <v>482</v>
      </c>
      <c r="H122" s="139"/>
      <c r="I122" s="140">
        <v>1</v>
      </c>
      <c r="J122" s="141">
        <v>44597</v>
      </c>
      <c r="K122" s="141">
        <v>44597</v>
      </c>
      <c r="L122" s="169" t="s">
        <v>578</v>
      </c>
      <c r="M122" s="167" t="s">
        <v>21</v>
      </c>
      <c r="N122" s="131"/>
      <c r="O122" s="132"/>
      <c r="P122" s="132"/>
      <c r="Q122" s="132"/>
      <c r="R122" s="132"/>
      <c r="S122" s="132"/>
      <c r="T122" s="132"/>
      <c r="U122" s="132"/>
      <c r="V122" s="132"/>
      <c r="W122" s="132"/>
      <c r="X122" s="132"/>
      <c r="Y122" s="132"/>
      <c r="Z122" s="132"/>
      <c r="AA122" s="132"/>
      <c r="AB122" s="132"/>
    </row>
    <row r="123" spans="1:28" s="133" customFormat="1" ht="15" customHeight="1" outlineLevel="1" x14ac:dyDescent="0.2">
      <c r="A123" s="134">
        <v>18</v>
      </c>
      <c r="B123" s="134">
        <v>2261</v>
      </c>
      <c r="C123" s="135">
        <v>41712</v>
      </c>
      <c r="D123" s="136" t="s">
        <v>702</v>
      </c>
      <c r="E123" s="134" t="s">
        <v>386</v>
      </c>
      <c r="F123" s="137" t="s">
        <v>534</v>
      </c>
      <c r="G123" s="138" t="s">
        <v>524</v>
      </c>
      <c r="H123" s="139" t="s">
        <v>626</v>
      </c>
      <c r="I123" s="140">
        <v>1</v>
      </c>
      <c r="J123" s="141">
        <v>30429</v>
      </c>
      <c r="K123" s="141">
        <v>30429</v>
      </c>
      <c r="L123" s="169" t="s">
        <v>578</v>
      </c>
      <c r="M123" s="167" t="s">
        <v>21</v>
      </c>
      <c r="N123" s="131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</row>
    <row r="124" spans="1:28" s="133" customFormat="1" ht="15" customHeight="1" outlineLevel="1" x14ac:dyDescent="0.2">
      <c r="A124" s="134">
        <v>19</v>
      </c>
      <c r="B124" s="134">
        <v>3356</v>
      </c>
      <c r="C124" s="135">
        <v>41717</v>
      </c>
      <c r="D124" s="136" t="s">
        <v>703</v>
      </c>
      <c r="E124" s="134" t="s">
        <v>475</v>
      </c>
      <c r="F124" s="137" t="s">
        <v>215</v>
      </c>
      <c r="G124" s="138" t="s">
        <v>384</v>
      </c>
      <c r="H124" s="139" t="s">
        <v>486</v>
      </c>
      <c r="I124" s="140">
        <v>2</v>
      </c>
      <c r="J124" s="141">
        <v>44597</v>
      </c>
      <c r="K124" s="141">
        <v>89194</v>
      </c>
      <c r="L124" s="169" t="s">
        <v>578</v>
      </c>
      <c r="M124" s="167" t="s">
        <v>21</v>
      </c>
      <c r="N124" s="131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</row>
    <row r="125" spans="1:28" s="133" customFormat="1" ht="15" customHeight="1" outlineLevel="1" x14ac:dyDescent="0.2">
      <c r="A125" s="134">
        <v>20</v>
      </c>
      <c r="B125" s="134">
        <v>3099</v>
      </c>
      <c r="C125" s="135">
        <v>41716</v>
      </c>
      <c r="D125" s="136" t="s">
        <v>704</v>
      </c>
      <c r="E125" s="134" t="s">
        <v>686</v>
      </c>
      <c r="F125" s="137" t="s">
        <v>534</v>
      </c>
      <c r="G125" s="138" t="s">
        <v>508</v>
      </c>
      <c r="H125" s="139" t="s">
        <v>566</v>
      </c>
      <c r="I125" s="140">
        <v>1</v>
      </c>
      <c r="J125" s="170">
        <v>30429</v>
      </c>
      <c r="K125" s="141">
        <v>30429</v>
      </c>
      <c r="L125" s="169" t="s">
        <v>578</v>
      </c>
      <c r="M125" s="167" t="s">
        <v>21</v>
      </c>
      <c r="N125" s="131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</row>
    <row r="126" spans="1:28" s="133" customFormat="1" ht="15" customHeight="1" outlineLevel="1" x14ac:dyDescent="0.2">
      <c r="A126" s="134">
        <v>21</v>
      </c>
      <c r="B126" s="134">
        <v>3928</v>
      </c>
      <c r="C126" s="135">
        <v>41719</v>
      </c>
      <c r="D126" s="136" t="s">
        <v>704</v>
      </c>
      <c r="E126" s="134" t="s">
        <v>373</v>
      </c>
      <c r="F126" s="137" t="s">
        <v>186</v>
      </c>
      <c r="G126" s="138" t="s">
        <v>705</v>
      </c>
      <c r="H126" s="139" t="s">
        <v>626</v>
      </c>
      <c r="I126" s="140">
        <v>2</v>
      </c>
      <c r="J126" s="141">
        <v>42601</v>
      </c>
      <c r="K126" s="141">
        <v>85202</v>
      </c>
      <c r="L126" s="169" t="s">
        <v>578</v>
      </c>
      <c r="M126" s="167" t="s">
        <v>21</v>
      </c>
      <c r="N126" s="131"/>
      <c r="O126" s="132"/>
      <c r="P126" s="132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</row>
    <row r="127" spans="1:28" s="133" customFormat="1" ht="15" customHeight="1" outlineLevel="1" x14ac:dyDescent="0.2">
      <c r="A127" s="134">
        <v>22</v>
      </c>
      <c r="B127" s="134">
        <v>154</v>
      </c>
      <c r="C127" s="135">
        <v>41704</v>
      </c>
      <c r="D127" s="136" t="s">
        <v>677</v>
      </c>
      <c r="E127" s="134" t="s">
        <v>386</v>
      </c>
      <c r="F127" s="137" t="s">
        <v>114</v>
      </c>
      <c r="G127" s="138" t="s">
        <v>559</v>
      </c>
      <c r="H127" s="139" t="s">
        <v>560</v>
      </c>
      <c r="I127" s="140">
        <v>1</v>
      </c>
      <c r="J127" s="141">
        <v>33370</v>
      </c>
      <c r="K127" s="141">
        <v>33370</v>
      </c>
      <c r="L127" s="169" t="s">
        <v>578</v>
      </c>
      <c r="M127" s="167" t="s">
        <v>21</v>
      </c>
      <c r="N127" s="131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</row>
    <row r="128" spans="1:28" s="133" customFormat="1" ht="15" customHeight="1" outlineLevel="1" x14ac:dyDescent="0.2">
      <c r="A128" s="134">
        <v>23</v>
      </c>
      <c r="B128" s="134">
        <v>4254</v>
      </c>
      <c r="C128" s="135">
        <v>41718</v>
      </c>
      <c r="D128" s="136" t="s">
        <v>706</v>
      </c>
      <c r="E128" s="134" t="s">
        <v>386</v>
      </c>
      <c r="F128" s="137" t="s">
        <v>215</v>
      </c>
      <c r="G128" s="138" t="s">
        <v>366</v>
      </c>
      <c r="H128" s="139" t="s">
        <v>486</v>
      </c>
      <c r="I128" s="140">
        <v>1</v>
      </c>
      <c r="J128" s="141">
        <v>44597</v>
      </c>
      <c r="K128" s="141">
        <v>44597</v>
      </c>
      <c r="L128" s="169" t="s">
        <v>578</v>
      </c>
      <c r="M128" s="167" t="s">
        <v>21</v>
      </c>
      <c r="N128" s="131"/>
      <c r="O128" s="132"/>
      <c r="P128" s="132"/>
      <c r="Q128" s="132"/>
      <c r="R128" s="132"/>
      <c r="S128" s="132"/>
      <c r="T128" s="132"/>
      <c r="U128" s="132"/>
      <c r="V128" s="132"/>
      <c r="W128" s="132"/>
      <c r="X128" s="132"/>
      <c r="Y128" s="132"/>
      <c r="Z128" s="132"/>
      <c r="AA128" s="132"/>
      <c r="AB128" s="132"/>
    </row>
    <row r="129" spans="1:28" s="133" customFormat="1" ht="15" customHeight="1" outlineLevel="1" x14ac:dyDescent="0.2">
      <c r="A129" s="134">
        <v>24</v>
      </c>
      <c r="B129" s="134">
        <v>773</v>
      </c>
      <c r="C129" s="135">
        <v>41708</v>
      </c>
      <c r="D129" s="136" t="s">
        <v>707</v>
      </c>
      <c r="E129" s="134" t="s">
        <v>686</v>
      </c>
      <c r="F129" s="137" t="s">
        <v>577</v>
      </c>
      <c r="G129" s="138" t="s">
        <v>368</v>
      </c>
      <c r="H129" s="139"/>
      <c r="I129" s="140">
        <v>1</v>
      </c>
      <c r="J129" s="141">
        <v>25800</v>
      </c>
      <c r="K129" s="141">
        <v>25800</v>
      </c>
      <c r="L129" s="169" t="s">
        <v>578</v>
      </c>
      <c r="M129" s="167" t="s">
        <v>21</v>
      </c>
      <c r="N129" s="131"/>
      <c r="O129" s="132"/>
      <c r="P129" s="132"/>
      <c r="Q129" s="132"/>
      <c r="R129" s="132"/>
      <c r="S129" s="132"/>
      <c r="T129" s="132"/>
      <c r="U129" s="132"/>
      <c r="V129" s="132"/>
      <c r="W129" s="132"/>
      <c r="X129" s="132"/>
      <c r="Y129" s="132"/>
      <c r="Z129" s="132"/>
      <c r="AA129" s="132"/>
      <c r="AB129" s="132"/>
    </row>
    <row r="130" spans="1:28" s="133" customFormat="1" ht="15" customHeight="1" outlineLevel="1" x14ac:dyDescent="0.2">
      <c r="A130" s="134">
        <v>26</v>
      </c>
      <c r="B130" s="134">
        <v>1870</v>
      </c>
      <c r="C130" s="135">
        <v>41711</v>
      </c>
      <c r="D130" s="136" t="s">
        <v>708</v>
      </c>
      <c r="E130" s="134" t="s">
        <v>475</v>
      </c>
      <c r="F130" s="137" t="s">
        <v>235</v>
      </c>
      <c r="G130" s="138" t="s">
        <v>366</v>
      </c>
      <c r="H130" s="139"/>
      <c r="I130" s="140">
        <v>1</v>
      </c>
      <c r="J130" s="141">
        <v>10401</v>
      </c>
      <c r="K130" s="141">
        <v>10401</v>
      </c>
      <c r="L130" s="169" t="s">
        <v>578</v>
      </c>
      <c r="M130" s="167" t="s">
        <v>21</v>
      </c>
      <c r="N130" s="131"/>
      <c r="O130" s="132"/>
      <c r="P130" s="132"/>
      <c r="Q130" s="132"/>
      <c r="R130" s="132"/>
      <c r="S130" s="132"/>
      <c r="T130" s="132"/>
      <c r="U130" s="132"/>
      <c r="V130" s="132"/>
      <c r="W130" s="132"/>
      <c r="X130" s="132"/>
      <c r="Y130" s="132"/>
      <c r="Z130" s="132"/>
      <c r="AA130" s="132"/>
      <c r="AB130" s="132"/>
    </row>
    <row r="131" spans="1:28" s="133" customFormat="1" ht="15" customHeight="1" outlineLevel="1" x14ac:dyDescent="0.2">
      <c r="A131" s="134">
        <v>27</v>
      </c>
      <c r="B131" s="134">
        <v>2071</v>
      </c>
      <c r="C131" s="135">
        <v>41711</v>
      </c>
      <c r="D131" s="136" t="s">
        <v>709</v>
      </c>
      <c r="E131" s="134" t="s">
        <v>686</v>
      </c>
      <c r="F131" s="137" t="s">
        <v>114</v>
      </c>
      <c r="G131" s="138" t="s">
        <v>416</v>
      </c>
      <c r="H131" s="139" t="s">
        <v>626</v>
      </c>
      <c r="I131" s="140">
        <v>1</v>
      </c>
      <c r="J131" s="141">
        <v>33370</v>
      </c>
      <c r="K131" s="141">
        <v>33370</v>
      </c>
      <c r="L131" s="169" t="s">
        <v>578</v>
      </c>
      <c r="M131" s="167" t="s">
        <v>21</v>
      </c>
      <c r="N131" s="131"/>
      <c r="O131" s="132"/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</row>
    <row r="132" spans="1:28" s="133" customFormat="1" ht="15" customHeight="1" outlineLevel="1" x14ac:dyDescent="0.2">
      <c r="A132" s="134">
        <v>28</v>
      </c>
      <c r="B132" s="134">
        <v>99967</v>
      </c>
      <c r="C132" s="135">
        <v>41703</v>
      </c>
      <c r="D132" s="136" t="s">
        <v>710</v>
      </c>
      <c r="E132" s="134" t="s">
        <v>686</v>
      </c>
      <c r="F132" s="137" t="s">
        <v>534</v>
      </c>
      <c r="G132" s="138" t="s">
        <v>412</v>
      </c>
      <c r="H132" s="139" t="s">
        <v>566</v>
      </c>
      <c r="I132" s="140">
        <v>1</v>
      </c>
      <c r="J132" s="141">
        <v>30429</v>
      </c>
      <c r="K132" s="141">
        <v>30429</v>
      </c>
      <c r="L132" s="169" t="s">
        <v>578</v>
      </c>
      <c r="M132" s="167" t="s">
        <v>21</v>
      </c>
      <c r="N132" s="131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</row>
    <row r="133" spans="1:28" s="133" customFormat="1" ht="15" customHeight="1" outlineLevel="1" x14ac:dyDescent="0.2">
      <c r="A133" s="134">
        <v>29</v>
      </c>
      <c r="B133" s="134">
        <v>5941</v>
      </c>
      <c r="C133" s="135">
        <v>41725</v>
      </c>
      <c r="D133" s="136" t="s">
        <v>711</v>
      </c>
      <c r="E133" s="134" t="s">
        <v>378</v>
      </c>
      <c r="F133" s="137" t="s">
        <v>534</v>
      </c>
      <c r="G133" s="138" t="s">
        <v>428</v>
      </c>
      <c r="H133" s="139" t="s">
        <v>580</v>
      </c>
      <c r="I133" s="140">
        <v>1</v>
      </c>
      <c r="J133" s="141">
        <v>30429</v>
      </c>
      <c r="K133" s="141">
        <v>30429</v>
      </c>
      <c r="L133" s="169" t="s">
        <v>578</v>
      </c>
      <c r="M133" s="167" t="s">
        <v>21</v>
      </c>
      <c r="N133" s="131"/>
      <c r="O133" s="132"/>
      <c r="P133" s="132"/>
      <c r="Q133" s="132"/>
      <c r="R133" s="132"/>
      <c r="S133" s="132"/>
      <c r="T133" s="132"/>
      <c r="U133" s="132"/>
      <c r="V133" s="132"/>
      <c r="W133" s="132"/>
      <c r="X133" s="132"/>
      <c r="Y133" s="132"/>
      <c r="Z133" s="132"/>
      <c r="AA133" s="132"/>
      <c r="AB133" s="132"/>
    </row>
    <row r="134" spans="1:28" s="133" customFormat="1" ht="15" customHeight="1" outlineLevel="1" x14ac:dyDescent="0.2">
      <c r="A134" s="121">
        <v>1</v>
      </c>
      <c r="B134" s="134">
        <v>15073</v>
      </c>
      <c r="C134" s="135">
        <v>41759</v>
      </c>
      <c r="D134" s="171" t="s">
        <v>712</v>
      </c>
      <c r="E134" s="134" t="s">
        <v>373</v>
      </c>
      <c r="F134" s="137" t="s">
        <v>217</v>
      </c>
      <c r="G134" s="138" t="s">
        <v>368</v>
      </c>
      <c r="H134" s="139" t="s">
        <v>483</v>
      </c>
      <c r="I134" s="140">
        <v>1</v>
      </c>
      <c r="J134" s="141">
        <v>22299</v>
      </c>
      <c r="K134" s="141">
        <v>22299</v>
      </c>
      <c r="L134" s="172" t="s">
        <v>597</v>
      </c>
      <c r="M134" s="167" t="s">
        <v>21</v>
      </c>
      <c r="N134" s="131"/>
      <c r="O134" s="132"/>
      <c r="P134" s="132"/>
      <c r="Q134" s="132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</row>
    <row r="135" spans="1:28" s="133" customFormat="1" ht="15" customHeight="1" outlineLevel="1" x14ac:dyDescent="0.2">
      <c r="A135" s="121">
        <v>2</v>
      </c>
      <c r="B135" s="134">
        <v>9676</v>
      </c>
      <c r="C135" s="135">
        <v>41739</v>
      </c>
      <c r="D135" s="171" t="s">
        <v>713</v>
      </c>
      <c r="E135" s="134" t="s">
        <v>373</v>
      </c>
      <c r="F135" s="137" t="s">
        <v>215</v>
      </c>
      <c r="G135" s="138" t="s">
        <v>368</v>
      </c>
      <c r="H135" s="139" t="s">
        <v>486</v>
      </c>
      <c r="I135" s="140">
        <v>1</v>
      </c>
      <c r="J135" s="141">
        <v>44597</v>
      </c>
      <c r="K135" s="141">
        <v>44597</v>
      </c>
      <c r="L135" s="172" t="s">
        <v>597</v>
      </c>
      <c r="M135" s="167" t="s">
        <v>21</v>
      </c>
      <c r="N135" s="131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</row>
    <row r="136" spans="1:28" s="133" customFormat="1" ht="15" customHeight="1" outlineLevel="1" x14ac:dyDescent="0.2">
      <c r="A136" s="121">
        <v>5</v>
      </c>
      <c r="B136" s="173">
        <v>2272</v>
      </c>
      <c r="C136" s="174">
        <v>41712</v>
      </c>
      <c r="D136" s="171" t="s">
        <v>714</v>
      </c>
      <c r="E136" s="173" t="s">
        <v>386</v>
      </c>
      <c r="F136" s="175" t="s">
        <v>235</v>
      </c>
      <c r="G136" s="176" t="s">
        <v>366</v>
      </c>
      <c r="H136" s="177"/>
      <c r="I136" s="178">
        <v>1</v>
      </c>
      <c r="J136" s="141">
        <v>10401</v>
      </c>
      <c r="K136" s="141">
        <v>10401</v>
      </c>
      <c r="L136" s="172" t="s">
        <v>597</v>
      </c>
      <c r="M136" s="167" t="s">
        <v>21</v>
      </c>
      <c r="N136" s="131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</row>
    <row r="137" spans="1:28" s="133" customFormat="1" ht="15" customHeight="1" outlineLevel="1" x14ac:dyDescent="0.2">
      <c r="A137" s="121">
        <v>6</v>
      </c>
      <c r="B137" s="134">
        <v>13196</v>
      </c>
      <c r="C137" s="135">
        <v>41752</v>
      </c>
      <c r="D137" s="171" t="s">
        <v>714</v>
      </c>
      <c r="E137" s="134" t="s">
        <v>386</v>
      </c>
      <c r="F137" s="137" t="s">
        <v>679</v>
      </c>
      <c r="G137" s="138" t="s">
        <v>366</v>
      </c>
      <c r="H137" s="139" t="s">
        <v>715</v>
      </c>
      <c r="I137" s="140">
        <v>1</v>
      </c>
      <c r="J137" s="141">
        <v>55058</v>
      </c>
      <c r="K137" s="141">
        <v>55058</v>
      </c>
      <c r="L137" s="172" t="s">
        <v>597</v>
      </c>
      <c r="M137" s="167" t="s">
        <v>21</v>
      </c>
      <c r="N137" s="131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</row>
    <row r="138" spans="1:28" s="133" customFormat="1" ht="15" customHeight="1" outlineLevel="1" x14ac:dyDescent="0.2">
      <c r="A138" s="121">
        <v>7</v>
      </c>
      <c r="B138" s="134">
        <v>11962</v>
      </c>
      <c r="C138" s="135">
        <v>41746</v>
      </c>
      <c r="D138" s="171" t="s">
        <v>716</v>
      </c>
      <c r="E138" s="134" t="s">
        <v>373</v>
      </c>
      <c r="F138" s="137" t="s">
        <v>577</v>
      </c>
      <c r="G138" s="138" t="s">
        <v>368</v>
      </c>
      <c r="H138" s="139" t="s">
        <v>626</v>
      </c>
      <c r="I138" s="140">
        <v>1</v>
      </c>
      <c r="J138" s="141">
        <v>25800</v>
      </c>
      <c r="K138" s="141">
        <v>25800</v>
      </c>
      <c r="L138" s="172" t="s">
        <v>597</v>
      </c>
      <c r="M138" s="167" t="s">
        <v>21</v>
      </c>
      <c r="N138" s="131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</row>
    <row r="139" spans="1:28" s="133" customFormat="1" ht="15" customHeight="1" outlineLevel="1" x14ac:dyDescent="0.2">
      <c r="A139" s="121">
        <v>8</v>
      </c>
      <c r="B139" s="134">
        <v>14526</v>
      </c>
      <c r="C139" s="135">
        <v>41758</v>
      </c>
      <c r="D139" s="171" t="s">
        <v>717</v>
      </c>
      <c r="E139" s="134" t="s">
        <v>378</v>
      </c>
      <c r="F139" s="137" t="s">
        <v>215</v>
      </c>
      <c r="G139" s="138" t="s">
        <v>366</v>
      </c>
      <c r="H139" s="139" t="s">
        <v>718</v>
      </c>
      <c r="I139" s="140">
        <v>1</v>
      </c>
      <c r="J139" s="141">
        <v>44597</v>
      </c>
      <c r="K139" s="141">
        <v>44597</v>
      </c>
      <c r="L139" s="172" t="s">
        <v>597</v>
      </c>
      <c r="M139" s="167" t="s">
        <v>21</v>
      </c>
      <c r="N139" s="131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</row>
    <row r="140" spans="1:28" s="133" customFormat="1" ht="15" customHeight="1" outlineLevel="1" x14ac:dyDescent="0.2">
      <c r="A140" s="121">
        <v>9</v>
      </c>
      <c r="B140" s="134">
        <v>8907</v>
      </c>
      <c r="C140" s="135">
        <v>41743</v>
      </c>
      <c r="D140" s="171" t="s">
        <v>719</v>
      </c>
      <c r="E140" s="134" t="s">
        <v>373</v>
      </c>
      <c r="F140" s="137" t="s">
        <v>679</v>
      </c>
      <c r="G140" s="138" t="s">
        <v>368</v>
      </c>
      <c r="H140" s="139" t="s">
        <v>486</v>
      </c>
      <c r="I140" s="140">
        <v>1</v>
      </c>
      <c r="J140" s="141">
        <v>55058</v>
      </c>
      <c r="K140" s="141">
        <v>55058</v>
      </c>
      <c r="L140" s="172" t="s">
        <v>597</v>
      </c>
      <c r="M140" s="167" t="s">
        <v>21</v>
      </c>
      <c r="N140" s="131"/>
      <c r="O140" s="132"/>
      <c r="P140" s="132"/>
      <c r="Q140" s="132"/>
      <c r="R140" s="132"/>
      <c r="S140" s="132"/>
      <c r="T140" s="132"/>
      <c r="U140" s="132"/>
      <c r="V140" s="132"/>
      <c r="W140" s="132"/>
      <c r="X140" s="132"/>
      <c r="Y140" s="132"/>
      <c r="Z140" s="132"/>
      <c r="AA140" s="132"/>
      <c r="AB140" s="132"/>
    </row>
    <row r="141" spans="1:28" s="133" customFormat="1" ht="15" customHeight="1" outlineLevel="1" x14ac:dyDescent="0.2">
      <c r="A141" s="121">
        <v>10</v>
      </c>
      <c r="B141" s="134">
        <v>68889</v>
      </c>
      <c r="C141" s="135">
        <v>41583</v>
      </c>
      <c r="D141" s="136" t="s">
        <v>720</v>
      </c>
      <c r="E141" s="134" t="s">
        <v>721</v>
      </c>
      <c r="F141" s="137" t="s">
        <v>114</v>
      </c>
      <c r="G141" s="138" t="s">
        <v>722</v>
      </c>
      <c r="H141" s="139"/>
      <c r="I141" s="140">
        <v>3</v>
      </c>
      <c r="J141" s="141">
        <v>33370</v>
      </c>
      <c r="K141" s="141">
        <v>100110</v>
      </c>
      <c r="L141" s="172" t="s">
        <v>597</v>
      </c>
      <c r="M141" s="167" t="s">
        <v>21</v>
      </c>
      <c r="N141" s="131"/>
      <c r="O141" s="132"/>
      <c r="P141" s="132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</row>
    <row r="142" spans="1:28" s="133" customFormat="1" ht="15" customHeight="1" outlineLevel="1" x14ac:dyDescent="0.2">
      <c r="A142" s="121">
        <v>11</v>
      </c>
      <c r="B142" s="134">
        <v>12758</v>
      </c>
      <c r="C142" s="135">
        <v>41751</v>
      </c>
      <c r="D142" s="171" t="s">
        <v>723</v>
      </c>
      <c r="E142" s="134" t="s">
        <v>373</v>
      </c>
      <c r="F142" s="137" t="s">
        <v>215</v>
      </c>
      <c r="G142" s="138" t="s">
        <v>482</v>
      </c>
      <c r="H142" s="139" t="s">
        <v>486</v>
      </c>
      <c r="I142" s="140">
        <v>2</v>
      </c>
      <c r="J142" s="141">
        <v>44597</v>
      </c>
      <c r="K142" s="141">
        <v>89194</v>
      </c>
      <c r="L142" s="172" t="s">
        <v>597</v>
      </c>
      <c r="M142" s="167" t="s">
        <v>21</v>
      </c>
      <c r="N142" s="131"/>
      <c r="O142" s="132"/>
      <c r="P142" s="132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</row>
    <row r="143" spans="1:28" s="133" customFormat="1" ht="15" customHeight="1" outlineLevel="1" x14ac:dyDescent="0.2">
      <c r="A143" s="121">
        <v>15</v>
      </c>
      <c r="B143" s="134">
        <v>10281</v>
      </c>
      <c r="C143" s="135">
        <v>41740</v>
      </c>
      <c r="D143" s="171" t="s">
        <v>724</v>
      </c>
      <c r="E143" s="134" t="s">
        <v>373</v>
      </c>
      <c r="F143" s="137" t="s">
        <v>679</v>
      </c>
      <c r="G143" s="138" t="s">
        <v>368</v>
      </c>
      <c r="H143" s="139" t="s">
        <v>715</v>
      </c>
      <c r="I143" s="140">
        <v>1</v>
      </c>
      <c r="J143" s="141">
        <v>55058</v>
      </c>
      <c r="K143" s="141">
        <v>55058</v>
      </c>
      <c r="L143" s="172" t="s">
        <v>597</v>
      </c>
      <c r="M143" s="167" t="s">
        <v>21</v>
      </c>
      <c r="N143" s="131"/>
      <c r="O143" s="132"/>
      <c r="P143" s="132"/>
      <c r="Q143" s="132"/>
      <c r="R143" s="132"/>
      <c r="S143" s="132"/>
      <c r="T143" s="132"/>
      <c r="U143" s="132"/>
      <c r="V143" s="132"/>
      <c r="W143" s="132"/>
      <c r="X143" s="132"/>
      <c r="Y143" s="132"/>
      <c r="Z143" s="132"/>
      <c r="AA143" s="132"/>
      <c r="AB143" s="132"/>
    </row>
    <row r="144" spans="1:28" s="133" customFormat="1" ht="15" customHeight="1" outlineLevel="1" x14ac:dyDescent="0.2">
      <c r="A144" s="121">
        <v>1</v>
      </c>
      <c r="B144" s="134">
        <v>22714</v>
      </c>
      <c r="C144" s="135">
        <v>41788</v>
      </c>
      <c r="D144" s="136" t="s">
        <v>725</v>
      </c>
      <c r="E144" s="134" t="s">
        <v>386</v>
      </c>
      <c r="F144" s="137" t="s">
        <v>534</v>
      </c>
      <c r="G144" s="138" t="s">
        <v>469</v>
      </c>
      <c r="H144" s="139" t="s">
        <v>726</v>
      </c>
      <c r="I144" s="140">
        <v>1</v>
      </c>
      <c r="J144" s="141">
        <v>30429</v>
      </c>
      <c r="K144" s="141">
        <v>30429</v>
      </c>
      <c r="L144" s="172" t="s">
        <v>603</v>
      </c>
      <c r="M144" s="167" t="s">
        <v>21</v>
      </c>
      <c r="N144" s="131"/>
      <c r="O144" s="132"/>
      <c r="P144" s="132"/>
      <c r="Q144" s="132"/>
      <c r="R144" s="132"/>
      <c r="S144" s="132"/>
      <c r="T144" s="132"/>
      <c r="U144" s="132"/>
      <c r="V144" s="132"/>
      <c r="W144" s="132"/>
      <c r="X144" s="132"/>
      <c r="Y144" s="132"/>
      <c r="Z144" s="132"/>
      <c r="AA144" s="132"/>
      <c r="AB144" s="132"/>
    </row>
    <row r="145" spans="1:28" s="133" customFormat="1" ht="15" customHeight="1" outlineLevel="1" x14ac:dyDescent="0.2">
      <c r="A145" s="121">
        <v>2</v>
      </c>
      <c r="B145" s="134">
        <v>15328</v>
      </c>
      <c r="C145" s="135">
        <v>41761</v>
      </c>
      <c r="D145" s="136" t="s">
        <v>727</v>
      </c>
      <c r="E145" s="134" t="s">
        <v>378</v>
      </c>
      <c r="F145" s="137" t="s">
        <v>577</v>
      </c>
      <c r="G145" s="138" t="s">
        <v>368</v>
      </c>
      <c r="H145" s="139"/>
      <c r="I145" s="140">
        <v>1</v>
      </c>
      <c r="J145" s="141">
        <v>25800</v>
      </c>
      <c r="K145" s="141">
        <v>25800</v>
      </c>
      <c r="L145" s="172" t="s">
        <v>603</v>
      </c>
      <c r="M145" s="167" t="s">
        <v>21</v>
      </c>
      <c r="N145" s="131"/>
      <c r="O145" s="132"/>
      <c r="P145" s="132"/>
      <c r="Q145" s="132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</row>
    <row r="146" spans="1:28" s="133" customFormat="1" ht="15" customHeight="1" outlineLevel="1" x14ac:dyDescent="0.2">
      <c r="A146" s="121">
        <v>3</v>
      </c>
      <c r="B146" s="134">
        <v>16585</v>
      </c>
      <c r="C146" s="135">
        <v>41766</v>
      </c>
      <c r="D146" s="136" t="s">
        <v>390</v>
      </c>
      <c r="E146" s="134" t="s">
        <v>378</v>
      </c>
      <c r="F146" s="137" t="s">
        <v>215</v>
      </c>
      <c r="G146" s="138" t="s">
        <v>368</v>
      </c>
      <c r="H146" s="139" t="s">
        <v>486</v>
      </c>
      <c r="I146" s="140">
        <v>1</v>
      </c>
      <c r="J146" s="141">
        <v>44597</v>
      </c>
      <c r="K146" s="141">
        <v>44597</v>
      </c>
      <c r="L146" s="172" t="s">
        <v>603</v>
      </c>
      <c r="M146" s="167" t="s">
        <v>21</v>
      </c>
      <c r="N146" s="131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</row>
    <row r="147" spans="1:28" s="133" customFormat="1" ht="15" customHeight="1" outlineLevel="1" x14ac:dyDescent="0.2">
      <c r="A147" s="121">
        <v>4</v>
      </c>
      <c r="B147" s="134">
        <v>23073</v>
      </c>
      <c r="C147" s="135">
        <v>41789</v>
      </c>
      <c r="D147" s="136" t="s">
        <v>728</v>
      </c>
      <c r="E147" s="134" t="s">
        <v>373</v>
      </c>
      <c r="F147" s="137" t="s">
        <v>215</v>
      </c>
      <c r="G147" s="138" t="s">
        <v>368</v>
      </c>
      <c r="H147" s="139"/>
      <c r="I147" s="140">
        <v>1</v>
      </c>
      <c r="J147" s="141">
        <v>44597</v>
      </c>
      <c r="K147" s="141">
        <v>44597</v>
      </c>
      <c r="L147" s="172" t="s">
        <v>603</v>
      </c>
      <c r="M147" s="167" t="s">
        <v>21</v>
      </c>
      <c r="N147" s="131"/>
      <c r="O147" s="132"/>
      <c r="P147" s="132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</row>
    <row r="148" spans="1:28" s="133" customFormat="1" ht="15" customHeight="1" outlineLevel="1" x14ac:dyDescent="0.2">
      <c r="A148" s="121">
        <v>5</v>
      </c>
      <c r="B148" s="134">
        <v>15171</v>
      </c>
      <c r="C148" s="135">
        <v>41761</v>
      </c>
      <c r="D148" s="171" t="s">
        <v>729</v>
      </c>
      <c r="E148" s="134" t="s">
        <v>386</v>
      </c>
      <c r="F148" s="137" t="s">
        <v>115</v>
      </c>
      <c r="G148" s="138" t="s">
        <v>416</v>
      </c>
      <c r="H148" s="139" t="s">
        <v>715</v>
      </c>
      <c r="I148" s="140">
        <v>1</v>
      </c>
      <c r="J148" s="141">
        <v>5274</v>
      </c>
      <c r="K148" s="141">
        <v>5274</v>
      </c>
      <c r="L148" s="172" t="s">
        <v>603</v>
      </c>
      <c r="M148" s="167" t="s">
        <v>21</v>
      </c>
      <c r="N148" s="131"/>
      <c r="O148" s="132"/>
      <c r="P148" s="132"/>
      <c r="Q148" s="132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</row>
    <row r="149" spans="1:28" s="133" customFormat="1" ht="15" customHeight="1" outlineLevel="1" x14ac:dyDescent="0.2">
      <c r="A149" s="121">
        <v>6</v>
      </c>
      <c r="B149" s="134">
        <v>15171</v>
      </c>
      <c r="C149" s="135">
        <v>41761</v>
      </c>
      <c r="D149" s="171" t="s">
        <v>729</v>
      </c>
      <c r="E149" s="134" t="s">
        <v>386</v>
      </c>
      <c r="F149" s="137" t="s">
        <v>208</v>
      </c>
      <c r="G149" s="138" t="s">
        <v>416</v>
      </c>
      <c r="H149" s="139"/>
      <c r="I149" s="140">
        <v>1</v>
      </c>
      <c r="J149" s="141">
        <v>14099</v>
      </c>
      <c r="K149" s="141">
        <v>14099</v>
      </c>
      <c r="L149" s="172" t="s">
        <v>603</v>
      </c>
      <c r="M149" s="167" t="s">
        <v>21</v>
      </c>
      <c r="N149" s="131"/>
      <c r="O149" s="132"/>
      <c r="P149" s="132"/>
      <c r="Q149" s="132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</row>
    <row r="150" spans="1:28" s="133" customFormat="1" ht="15" customHeight="1" outlineLevel="1" x14ac:dyDescent="0.2">
      <c r="A150" s="121">
        <v>7</v>
      </c>
      <c r="B150" s="134">
        <v>21511</v>
      </c>
      <c r="C150" s="135">
        <v>41785</v>
      </c>
      <c r="D150" s="136" t="s">
        <v>730</v>
      </c>
      <c r="E150" s="134" t="s">
        <v>373</v>
      </c>
      <c r="F150" s="137" t="s">
        <v>215</v>
      </c>
      <c r="G150" s="138" t="s">
        <v>368</v>
      </c>
      <c r="H150" s="139" t="s">
        <v>570</v>
      </c>
      <c r="I150" s="140">
        <v>1</v>
      </c>
      <c r="J150" s="141">
        <v>44597</v>
      </c>
      <c r="K150" s="141">
        <v>44597</v>
      </c>
      <c r="L150" s="172" t="s">
        <v>603</v>
      </c>
      <c r="M150" s="167" t="s">
        <v>21</v>
      </c>
      <c r="N150" s="131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</row>
    <row r="151" spans="1:28" s="133" customFormat="1" ht="15" customHeight="1" outlineLevel="1" x14ac:dyDescent="0.2">
      <c r="A151" s="121">
        <v>8</v>
      </c>
      <c r="B151" s="134">
        <v>16226</v>
      </c>
      <c r="C151" s="135">
        <v>41766</v>
      </c>
      <c r="D151" s="136" t="s">
        <v>632</v>
      </c>
      <c r="E151" s="134" t="s">
        <v>475</v>
      </c>
      <c r="F151" s="137" t="s">
        <v>215</v>
      </c>
      <c r="G151" s="138" t="s">
        <v>366</v>
      </c>
      <c r="H151" s="139" t="s">
        <v>486</v>
      </c>
      <c r="I151" s="140">
        <v>1</v>
      </c>
      <c r="J151" s="141">
        <v>44597</v>
      </c>
      <c r="K151" s="141">
        <v>44597</v>
      </c>
      <c r="L151" s="172" t="s">
        <v>603</v>
      </c>
      <c r="M151" s="167" t="s">
        <v>21</v>
      </c>
      <c r="N151" s="131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</row>
    <row r="152" spans="1:28" s="133" customFormat="1" ht="15" customHeight="1" outlineLevel="1" x14ac:dyDescent="0.2">
      <c r="A152" s="121">
        <v>9</v>
      </c>
      <c r="B152" s="134">
        <v>22495</v>
      </c>
      <c r="C152" s="135">
        <v>41788</v>
      </c>
      <c r="D152" s="136" t="s">
        <v>731</v>
      </c>
      <c r="E152" s="134" t="s">
        <v>386</v>
      </c>
      <c r="F152" s="137" t="s">
        <v>534</v>
      </c>
      <c r="G152" s="138" t="s">
        <v>469</v>
      </c>
      <c r="H152" s="139" t="s">
        <v>732</v>
      </c>
      <c r="I152" s="140">
        <v>1</v>
      </c>
      <c r="J152" s="141">
        <v>30429</v>
      </c>
      <c r="K152" s="141">
        <v>30429</v>
      </c>
      <c r="L152" s="172" t="s">
        <v>603</v>
      </c>
      <c r="M152" s="167" t="s">
        <v>21</v>
      </c>
      <c r="N152" s="131"/>
      <c r="O152" s="132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</row>
    <row r="153" spans="1:28" s="133" customFormat="1" ht="15" customHeight="1" outlineLevel="1" x14ac:dyDescent="0.2">
      <c r="A153" s="121">
        <v>10</v>
      </c>
      <c r="B153" s="134">
        <v>22549</v>
      </c>
      <c r="C153" s="135">
        <v>41788</v>
      </c>
      <c r="D153" s="136" t="s">
        <v>733</v>
      </c>
      <c r="E153" s="134" t="s">
        <v>386</v>
      </c>
      <c r="F153" s="137" t="s">
        <v>534</v>
      </c>
      <c r="G153" s="138" t="s">
        <v>428</v>
      </c>
      <c r="H153" s="139" t="s">
        <v>734</v>
      </c>
      <c r="I153" s="140">
        <v>1</v>
      </c>
      <c r="J153" s="141">
        <v>30429</v>
      </c>
      <c r="K153" s="141">
        <v>30429</v>
      </c>
      <c r="L153" s="172" t="s">
        <v>603</v>
      </c>
      <c r="M153" s="167" t="s">
        <v>21</v>
      </c>
      <c r="N153" s="131"/>
      <c r="O153" s="132"/>
      <c r="P153" s="132"/>
      <c r="Q153" s="132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</row>
    <row r="154" spans="1:28" s="133" customFormat="1" ht="15" customHeight="1" outlineLevel="1" x14ac:dyDescent="0.2">
      <c r="A154" s="121">
        <v>11</v>
      </c>
      <c r="B154" s="134">
        <v>19288</v>
      </c>
      <c r="C154" s="135">
        <v>41775</v>
      </c>
      <c r="D154" s="136" t="s">
        <v>735</v>
      </c>
      <c r="E154" s="134" t="s">
        <v>378</v>
      </c>
      <c r="F154" s="137" t="s">
        <v>679</v>
      </c>
      <c r="G154" s="138" t="s">
        <v>368</v>
      </c>
      <c r="H154" s="139" t="s">
        <v>486</v>
      </c>
      <c r="I154" s="140">
        <v>1</v>
      </c>
      <c r="J154" s="141">
        <v>55058</v>
      </c>
      <c r="K154" s="141">
        <v>55058</v>
      </c>
      <c r="L154" s="172" t="s">
        <v>603</v>
      </c>
      <c r="M154" s="167" t="s">
        <v>21</v>
      </c>
      <c r="N154" s="131"/>
      <c r="O154" s="132"/>
      <c r="P154" s="132"/>
      <c r="Q154" s="132"/>
      <c r="R154" s="132"/>
      <c r="S154" s="132"/>
      <c r="T154" s="132"/>
      <c r="U154" s="132"/>
      <c r="V154" s="132"/>
      <c r="W154" s="132"/>
      <c r="X154" s="132"/>
      <c r="Y154" s="132"/>
      <c r="Z154" s="132"/>
      <c r="AA154" s="132"/>
      <c r="AB154" s="132"/>
    </row>
    <row r="155" spans="1:28" s="133" customFormat="1" ht="15" customHeight="1" outlineLevel="1" x14ac:dyDescent="0.2">
      <c r="A155" s="121">
        <v>12</v>
      </c>
      <c r="B155" s="134">
        <v>21035</v>
      </c>
      <c r="C155" s="135">
        <v>41782</v>
      </c>
      <c r="D155" s="136" t="s">
        <v>736</v>
      </c>
      <c r="E155" s="134" t="s">
        <v>378</v>
      </c>
      <c r="F155" s="137" t="s">
        <v>534</v>
      </c>
      <c r="G155" s="138" t="s">
        <v>469</v>
      </c>
      <c r="H155" s="139" t="s">
        <v>639</v>
      </c>
      <c r="I155" s="140">
        <v>1</v>
      </c>
      <c r="J155" s="141">
        <v>30429</v>
      </c>
      <c r="K155" s="141">
        <v>30429</v>
      </c>
      <c r="L155" s="172" t="s">
        <v>603</v>
      </c>
      <c r="M155" s="167" t="s">
        <v>21</v>
      </c>
      <c r="N155" s="131"/>
      <c r="O155" s="132"/>
      <c r="P155" s="132"/>
      <c r="Q155" s="132"/>
      <c r="R155" s="132"/>
      <c r="S155" s="132"/>
      <c r="T155" s="132"/>
      <c r="U155" s="132"/>
      <c r="V155" s="132"/>
      <c r="W155" s="132"/>
      <c r="X155" s="132"/>
      <c r="Y155" s="132"/>
      <c r="Z155" s="132"/>
      <c r="AA155" s="132"/>
      <c r="AB155" s="132"/>
    </row>
    <row r="156" spans="1:28" s="133" customFormat="1" ht="15" customHeight="1" outlineLevel="1" x14ac:dyDescent="0.2">
      <c r="A156" s="121">
        <v>13</v>
      </c>
      <c r="B156" s="134">
        <v>16713</v>
      </c>
      <c r="C156" s="135">
        <v>41767</v>
      </c>
      <c r="D156" s="136" t="s">
        <v>737</v>
      </c>
      <c r="E156" s="134" t="s">
        <v>373</v>
      </c>
      <c r="F156" s="137" t="s">
        <v>679</v>
      </c>
      <c r="G156" s="138" t="s">
        <v>368</v>
      </c>
      <c r="H156" s="139" t="s">
        <v>570</v>
      </c>
      <c r="I156" s="140">
        <v>1</v>
      </c>
      <c r="J156" s="141">
        <v>55058</v>
      </c>
      <c r="K156" s="141">
        <v>55058</v>
      </c>
      <c r="L156" s="172" t="s">
        <v>603</v>
      </c>
      <c r="M156" s="167" t="s">
        <v>21</v>
      </c>
      <c r="N156" s="131"/>
      <c r="O156" s="132"/>
      <c r="P156" s="132"/>
      <c r="Q156" s="132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</row>
    <row r="157" spans="1:28" s="133" customFormat="1" ht="15" customHeight="1" outlineLevel="1" x14ac:dyDescent="0.2">
      <c r="A157" s="121">
        <v>14</v>
      </c>
      <c r="B157" s="134">
        <v>14125</v>
      </c>
      <c r="C157" s="135">
        <v>41755</v>
      </c>
      <c r="D157" s="171" t="s">
        <v>738</v>
      </c>
      <c r="E157" s="134" t="s">
        <v>373</v>
      </c>
      <c r="F157" s="137" t="s">
        <v>215</v>
      </c>
      <c r="G157" s="138" t="s">
        <v>368</v>
      </c>
      <c r="H157" s="139" t="s">
        <v>570</v>
      </c>
      <c r="I157" s="140">
        <v>1</v>
      </c>
      <c r="J157" s="141">
        <v>44597</v>
      </c>
      <c r="K157" s="141">
        <v>44597</v>
      </c>
      <c r="L157" s="172" t="s">
        <v>603</v>
      </c>
      <c r="M157" s="167" t="s">
        <v>21</v>
      </c>
      <c r="N157" s="131"/>
      <c r="O157" s="132"/>
      <c r="P157" s="132"/>
      <c r="Q157" s="132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</row>
    <row r="158" spans="1:28" s="133" customFormat="1" ht="15" customHeight="1" outlineLevel="1" x14ac:dyDescent="0.2">
      <c r="A158" s="121">
        <v>15</v>
      </c>
      <c r="B158" s="173">
        <v>96589</v>
      </c>
      <c r="C158" s="174">
        <v>41613</v>
      </c>
      <c r="D158" s="171" t="s">
        <v>739</v>
      </c>
      <c r="E158" s="173" t="s">
        <v>542</v>
      </c>
      <c r="F158" s="175" t="s">
        <v>215</v>
      </c>
      <c r="G158" s="176" t="s">
        <v>482</v>
      </c>
      <c r="H158" s="177" t="s">
        <v>740</v>
      </c>
      <c r="I158" s="178">
        <v>2</v>
      </c>
      <c r="J158" s="141">
        <v>44597</v>
      </c>
      <c r="K158" s="179" t="s">
        <v>741</v>
      </c>
      <c r="L158" s="172" t="s">
        <v>603</v>
      </c>
      <c r="M158" s="167" t="s">
        <v>21</v>
      </c>
      <c r="N158" s="131"/>
      <c r="O158" s="132"/>
      <c r="P158" s="132"/>
      <c r="Q158" s="132"/>
      <c r="R158" s="132"/>
      <c r="S158" s="132"/>
      <c r="T158" s="132"/>
      <c r="U158" s="132"/>
      <c r="V158" s="132"/>
      <c r="W158" s="132"/>
      <c r="X158" s="132"/>
      <c r="Y158" s="132"/>
      <c r="Z158" s="132"/>
      <c r="AA158" s="132"/>
      <c r="AB158" s="132"/>
    </row>
    <row r="159" spans="1:28" s="133" customFormat="1" ht="15" customHeight="1" outlineLevel="1" x14ac:dyDescent="0.2">
      <c r="A159" s="121">
        <v>16</v>
      </c>
      <c r="B159" s="134">
        <v>14944</v>
      </c>
      <c r="C159" s="135">
        <v>41758</v>
      </c>
      <c r="D159" s="171" t="s">
        <v>742</v>
      </c>
      <c r="E159" s="134" t="s">
        <v>743</v>
      </c>
      <c r="F159" s="137" t="s">
        <v>215</v>
      </c>
      <c r="G159" s="138" t="s">
        <v>368</v>
      </c>
      <c r="H159" s="139"/>
      <c r="I159" s="140">
        <v>1</v>
      </c>
      <c r="J159" s="141">
        <v>44597</v>
      </c>
      <c r="K159" s="141">
        <v>44597</v>
      </c>
      <c r="L159" s="172" t="s">
        <v>603</v>
      </c>
      <c r="M159" s="167" t="s">
        <v>21</v>
      </c>
      <c r="N159" s="131"/>
      <c r="O159" s="132"/>
      <c r="P159" s="132"/>
      <c r="Q159" s="132"/>
      <c r="R159" s="132"/>
      <c r="S159" s="132"/>
      <c r="T159" s="132"/>
      <c r="U159" s="132"/>
      <c r="V159" s="132"/>
      <c r="W159" s="132"/>
      <c r="X159" s="132"/>
      <c r="Y159" s="132"/>
      <c r="Z159" s="132"/>
      <c r="AA159" s="132"/>
      <c r="AB159" s="132"/>
    </row>
    <row r="160" spans="1:28" s="133" customFormat="1" ht="15" customHeight="1" outlineLevel="1" x14ac:dyDescent="0.2">
      <c r="A160" s="121">
        <v>17</v>
      </c>
      <c r="B160" s="134">
        <v>21030</v>
      </c>
      <c r="C160" s="135">
        <v>41782</v>
      </c>
      <c r="D160" s="136" t="s">
        <v>744</v>
      </c>
      <c r="E160" s="134" t="s">
        <v>373</v>
      </c>
      <c r="F160" s="137" t="s">
        <v>534</v>
      </c>
      <c r="G160" s="138" t="s">
        <v>412</v>
      </c>
      <c r="H160" s="139" t="s">
        <v>551</v>
      </c>
      <c r="I160" s="140">
        <v>1</v>
      </c>
      <c r="J160" s="141">
        <v>30429</v>
      </c>
      <c r="K160" s="141">
        <v>30429</v>
      </c>
      <c r="L160" s="172" t="s">
        <v>603</v>
      </c>
      <c r="M160" s="167" t="s">
        <v>21</v>
      </c>
      <c r="N160" s="131"/>
      <c r="O160" s="132"/>
      <c r="P160" s="132"/>
      <c r="Q160" s="132"/>
      <c r="R160" s="132"/>
      <c r="S160" s="132"/>
      <c r="T160" s="132"/>
      <c r="U160" s="132"/>
      <c r="V160" s="132"/>
      <c r="W160" s="132"/>
      <c r="X160" s="132"/>
      <c r="Y160" s="132"/>
      <c r="Z160" s="132"/>
      <c r="AA160" s="132"/>
      <c r="AB160" s="132"/>
    </row>
    <row r="161" spans="1:28" s="133" customFormat="1" ht="15" customHeight="1" outlineLevel="1" x14ac:dyDescent="0.2">
      <c r="A161" s="121">
        <v>18</v>
      </c>
      <c r="B161" s="134">
        <v>19326</v>
      </c>
      <c r="C161" s="135">
        <v>41775</v>
      </c>
      <c r="D161" s="136" t="s">
        <v>745</v>
      </c>
      <c r="E161" s="134" t="s">
        <v>386</v>
      </c>
      <c r="F161" s="137" t="s">
        <v>534</v>
      </c>
      <c r="G161" s="138" t="s">
        <v>524</v>
      </c>
      <c r="H161" s="139" t="s">
        <v>551</v>
      </c>
      <c r="I161" s="140">
        <v>1</v>
      </c>
      <c r="J161" s="141">
        <v>30429</v>
      </c>
      <c r="K161" s="141">
        <v>30429</v>
      </c>
      <c r="L161" s="172" t="s">
        <v>603</v>
      </c>
      <c r="M161" s="167" t="s">
        <v>21</v>
      </c>
      <c r="N161" s="131"/>
      <c r="O161" s="132"/>
      <c r="P161" s="132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</row>
    <row r="162" spans="1:28" s="133" customFormat="1" ht="15" customHeight="1" outlineLevel="1" x14ac:dyDescent="0.2">
      <c r="A162" s="121">
        <v>1</v>
      </c>
      <c r="B162" s="134">
        <v>31404</v>
      </c>
      <c r="C162" s="135">
        <v>41820</v>
      </c>
      <c r="D162" s="136" t="s">
        <v>746</v>
      </c>
      <c r="E162" s="134" t="s">
        <v>373</v>
      </c>
      <c r="F162" s="137" t="s">
        <v>215</v>
      </c>
      <c r="G162" s="138" t="s">
        <v>368</v>
      </c>
      <c r="H162" s="139"/>
      <c r="I162" s="140">
        <v>1</v>
      </c>
      <c r="J162" s="141">
        <v>44597</v>
      </c>
      <c r="K162" s="141">
        <v>44597</v>
      </c>
      <c r="L162" s="180" t="s">
        <v>605</v>
      </c>
      <c r="M162" s="167" t="s">
        <v>21</v>
      </c>
      <c r="N162" s="131"/>
      <c r="O162" s="132"/>
      <c r="P162" s="132"/>
      <c r="Q162" s="132"/>
      <c r="R162" s="132"/>
      <c r="S162" s="132"/>
      <c r="T162" s="132"/>
      <c r="U162" s="132"/>
      <c r="V162" s="132"/>
      <c r="W162" s="132"/>
      <c r="X162" s="132"/>
      <c r="Y162" s="132"/>
      <c r="Z162" s="132"/>
      <c r="AA162" s="132"/>
      <c r="AB162" s="132"/>
    </row>
    <row r="163" spans="1:28" s="133" customFormat="1" ht="15" customHeight="1" outlineLevel="1" x14ac:dyDescent="0.2">
      <c r="A163" s="121">
        <v>2</v>
      </c>
      <c r="B163" s="134">
        <v>23896</v>
      </c>
      <c r="C163" s="135">
        <v>41794</v>
      </c>
      <c r="D163" s="136" t="s">
        <v>747</v>
      </c>
      <c r="E163" s="134" t="s">
        <v>373</v>
      </c>
      <c r="F163" s="137" t="s">
        <v>217</v>
      </c>
      <c r="G163" s="138" t="s">
        <v>368</v>
      </c>
      <c r="H163" s="139"/>
      <c r="I163" s="140">
        <v>1</v>
      </c>
      <c r="J163" s="141">
        <v>22299</v>
      </c>
      <c r="K163" s="141">
        <v>22299</v>
      </c>
      <c r="L163" s="180" t="s">
        <v>605</v>
      </c>
      <c r="M163" s="167" t="s">
        <v>21</v>
      </c>
      <c r="N163" s="131"/>
      <c r="O163" s="132"/>
      <c r="P163" s="132"/>
      <c r="Q163" s="132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2"/>
      <c r="AB163" s="132"/>
    </row>
    <row r="164" spans="1:28" s="133" customFormat="1" ht="15" customHeight="1" outlineLevel="1" x14ac:dyDescent="0.2">
      <c r="A164" s="121">
        <v>3</v>
      </c>
      <c r="B164" s="134">
        <v>26663</v>
      </c>
      <c r="C164" s="135">
        <v>41802</v>
      </c>
      <c r="D164" s="136" t="s">
        <v>748</v>
      </c>
      <c r="E164" s="134" t="s">
        <v>373</v>
      </c>
      <c r="F164" s="137" t="s">
        <v>115</v>
      </c>
      <c r="G164" s="138" t="s">
        <v>559</v>
      </c>
      <c r="H164" s="139"/>
      <c r="I164" s="140">
        <v>1</v>
      </c>
      <c r="J164" s="141">
        <v>5274</v>
      </c>
      <c r="K164" s="141">
        <v>5274</v>
      </c>
      <c r="L164" s="180" t="s">
        <v>605</v>
      </c>
      <c r="M164" s="167" t="s">
        <v>21</v>
      </c>
      <c r="N164" s="131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</row>
    <row r="165" spans="1:28" s="133" customFormat="1" ht="15" customHeight="1" outlineLevel="1" x14ac:dyDescent="0.2">
      <c r="A165" s="121">
        <v>4</v>
      </c>
      <c r="B165" s="134">
        <v>28220</v>
      </c>
      <c r="C165" s="135">
        <v>41808</v>
      </c>
      <c r="D165" s="136" t="s">
        <v>749</v>
      </c>
      <c r="E165" s="134" t="s">
        <v>373</v>
      </c>
      <c r="F165" s="137" t="s">
        <v>215</v>
      </c>
      <c r="G165" s="138" t="s">
        <v>366</v>
      </c>
      <c r="H165" s="139"/>
      <c r="I165" s="140">
        <v>1</v>
      </c>
      <c r="J165" s="141">
        <v>44597</v>
      </c>
      <c r="K165" s="141">
        <v>44597</v>
      </c>
      <c r="L165" s="180" t="s">
        <v>605</v>
      </c>
      <c r="M165" s="167" t="s">
        <v>21</v>
      </c>
      <c r="N165" s="131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</row>
    <row r="166" spans="1:28" s="133" customFormat="1" ht="15" customHeight="1" outlineLevel="1" x14ac:dyDescent="0.2">
      <c r="A166" s="121">
        <v>5</v>
      </c>
      <c r="B166" s="134">
        <v>28028</v>
      </c>
      <c r="C166" s="135">
        <v>41807</v>
      </c>
      <c r="D166" s="136" t="s">
        <v>750</v>
      </c>
      <c r="E166" s="134" t="s">
        <v>373</v>
      </c>
      <c r="F166" s="137" t="s">
        <v>215</v>
      </c>
      <c r="G166" s="138" t="s">
        <v>368</v>
      </c>
      <c r="H166" s="139"/>
      <c r="I166" s="140">
        <v>1</v>
      </c>
      <c r="J166" s="141">
        <v>44597</v>
      </c>
      <c r="K166" s="141">
        <v>44597</v>
      </c>
      <c r="L166" s="180" t="s">
        <v>605</v>
      </c>
      <c r="M166" s="167" t="s">
        <v>21</v>
      </c>
      <c r="N166" s="131"/>
      <c r="O166" s="132"/>
      <c r="P166" s="132"/>
      <c r="Q166" s="132"/>
      <c r="R166" s="132"/>
      <c r="S166" s="132"/>
      <c r="T166" s="132"/>
      <c r="U166" s="132"/>
      <c r="V166" s="132"/>
      <c r="W166" s="132"/>
      <c r="X166" s="132"/>
      <c r="Y166" s="132"/>
      <c r="Z166" s="132"/>
      <c r="AA166" s="132"/>
      <c r="AB166" s="132"/>
    </row>
    <row r="167" spans="1:28" s="133" customFormat="1" ht="15" customHeight="1" outlineLevel="1" x14ac:dyDescent="0.2">
      <c r="A167" s="121">
        <v>6</v>
      </c>
      <c r="B167" s="134">
        <v>25110</v>
      </c>
      <c r="C167" s="135">
        <v>41801</v>
      </c>
      <c r="D167" s="136" t="s">
        <v>649</v>
      </c>
      <c r="E167" s="134" t="s">
        <v>373</v>
      </c>
      <c r="F167" s="137" t="s">
        <v>215</v>
      </c>
      <c r="G167" s="138" t="s">
        <v>368</v>
      </c>
      <c r="H167" s="139"/>
      <c r="I167" s="140">
        <v>1</v>
      </c>
      <c r="J167" s="141">
        <v>44597</v>
      </c>
      <c r="K167" s="141">
        <v>44597</v>
      </c>
      <c r="L167" s="180" t="s">
        <v>605</v>
      </c>
      <c r="M167" s="167" t="s">
        <v>21</v>
      </c>
      <c r="N167" s="131"/>
      <c r="O167" s="132"/>
      <c r="P167" s="132"/>
      <c r="Q167" s="132"/>
      <c r="R167" s="132"/>
      <c r="S167" s="132"/>
      <c r="T167" s="132"/>
      <c r="U167" s="132"/>
      <c r="V167" s="132"/>
      <c r="W167" s="132"/>
      <c r="X167" s="132"/>
      <c r="Y167" s="132"/>
      <c r="Z167" s="132"/>
      <c r="AA167" s="132"/>
      <c r="AB167" s="132"/>
    </row>
    <row r="168" spans="1:28" s="133" customFormat="1" ht="15" customHeight="1" outlineLevel="1" x14ac:dyDescent="0.2">
      <c r="A168" s="121">
        <v>7</v>
      </c>
      <c r="B168" s="134">
        <v>25881</v>
      </c>
      <c r="C168" s="135">
        <v>41808</v>
      </c>
      <c r="D168" s="136" t="s">
        <v>751</v>
      </c>
      <c r="E168" s="134" t="s">
        <v>378</v>
      </c>
      <c r="F168" s="137" t="s">
        <v>215</v>
      </c>
      <c r="G168" s="138" t="s">
        <v>366</v>
      </c>
      <c r="H168" s="139"/>
      <c r="I168" s="140">
        <v>1</v>
      </c>
      <c r="J168" s="141">
        <v>44597</v>
      </c>
      <c r="K168" s="141">
        <v>44597</v>
      </c>
      <c r="L168" s="180" t="s">
        <v>605</v>
      </c>
      <c r="M168" s="167" t="s">
        <v>21</v>
      </c>
      <c r="N168" s="131"/>
      <c r="O168" s="132"/>
      <c r="P168" s="132"/>
      <c r="Q168" s="132"/>
      <c r="R168" s="132"/>
      <c r="S168" s="132"/>
      <c r="T168" s="132"/>
      <c r="U168" s="132"/>
      <c r="V168" s="132"/>
      <c r="W168" s="132"/>
      <c r="X168" s="132"/>
      <c r="Y168" s="132"/>
      <c r="Z168" s="132"/>
      <c r="AA168" s="132"/>
      <c r="AB168" s="132"/>
    </row>
    <row r="169" spans="1:28" s="133" customFormat="1" ht="15" customHeight="1" outlineLevel="1" x14ac:dyDescent="0.2">
      <c r="A169" s="121">
        <v>8</v>
      </c>
      <c r="B169" s="134">
        <v>25466</v>
      </c>
      <c r="C169" s="135">
        <v>41799</v>
      </c>
      <c r="D169" s="136" t="s">
        <v>752</v>
      </c>
      <c r="E169" s="134" t="s">
        <v>373</v>
      </c>
      <c r="F169" s="137" t="s">
        <v>577</v>
      </c>
      <c r="G169" s="138" t="s">
        <v>368</v>
      </c>
      <c r="H169" s="139"/>
      <c r="I169" s="140">
        <v>1</v>
      </c>
      <c r="J169" s="141">
        <v>25800</v>
      </c>
      <c r="K169" s="141">
        <v>25800</v>
      </c>
      <c r="L169" s="180" t="s">
        <v>605</v>
      </c>
      <c r="M169" s="167" t="s">
        <v>21</v>
      </c>
      <c r="N169" s="131"/>
      <c r="O169" s="132"/>
      <c r="P169" s="132"/>
      <c r="Q169" s="132"/>
      <c r="R169" s="132"/>
      <c r="S169" s="132"/>
      <c r="T169" s="132"/>
      <c r="U169" s="132"/>
      <c r="V169" s="132"/>
      <c r="W169" s="132"/>
      <c r="X169" s="132"/>
      <c r="Y169" s="132"/>
      <c r="Z169" s="132"/>
      <c r="AA169" s="132"/>
      <c r="AB169" s="132"/>
    </row>
    <row r="170" spans="1:28" s="133" customFormat="1" ht="15" customHeight="1" outlineLevel="1" x14ac:dyDescent="0.2">
      <c r="A170" s="121">
        <v>9</v>
      </c>
      <c r="B170" s="134">
        <v>30869</v>
      </c>
      <c r="C170" s="135">
        <v>41810</v>
      </c>
      <c r="D170" s="136" t="s">
        <v>753</v>
      </c>
      <c r="E170" s="134" t="s">
        <v>378</v>
      </c>
      <c r="F170" s="137" t="s">
        <v>577</v>
      </c>
      <c r="G170" s="138" t="s">
        <v>368</v>
      </c>
      <c r="H170" s="139"/>
      <c r="I170" s="140">
        <v>1</v>
      </c>
      <c r="J170" s="141">
        <v>25800</v>
      </c>
      <c r="K170" s="141">
        <v>25800</v>
      </c>
      <c r="L170" s="180" t="s">
        <v>605</v>
      </c>
      <c r="M170" s="167" t="s">
        <v>21</v>
      </c>
      <c r="N170" s="131"/>
      <c r="O170" s="132"/>
      <c r="P170" s="132"/>
      <c r="Q170" s="132"/>
      <c r="R170" s="132"/>
      <c r="S170" s="132"/>
      <c r="T170" s="132"/>
      <c r="U170" s="132"/>
      <c r="V170" s="132"/>
      <c r="W170" s="132"/>
      <c r="X170" s="132"/>
      <c r="Y170" s="132"/>
      <c r="Z170" s="132"/>
      <c r="AA170" s="132"/>
      <c r="AB170" s="132"/>
    </row>
    <row r="171" spans="1:28" s="133" customFormat="1" ht="15" customHeight="1" outlineLevel="1" x14ac:dyDescent="0.2">
      <c r="A171" s="121">
        <v>10</v>
      </c>
      <c r="B171" s="134">
        <v>27529</v>
      </c>
      <c r="C171" s="135">
        <v>41807</v>
      </c>
      <c r="D171" s="136" t="s">
        <v>754</v>
      </c>
      <c r="E171" s="134" t="s">
        <v>378</v>
      </c>
      <c r="F171" s="137" t="s">
        <v>215</v>
      </c>
      <c r="G171" s="138" t="s">
        <v>366</v>
      </c>
      <c r="H171" s="139"/>
      <c r="I171" s="140">
        <v>1</v>
      </c>
      <c r="J171" s="141">
        <v>44597</v>
      </c>
      <c r="K171" s="141">
        <v>44597</v>
      </c>
      <c r="L171" s="180" t="s">
        <v>605</v>
      </c>
      <c r="M171" s="167" t="s">
        <v>21</v>
      </c>
      <c r="N171" s="131"/>
      <c r="O171" s="132"/>
      <c r="P171" s="132"/>
      <c r="Q171" s="132"/>
      <c r="R171" s="132"/>
      <c r="S171" s="132"/>
      <c r="T171" s="132"/>
      <c r="U171" s="132"/>
      <c r="V171" s="132"/>
      <c r="W171" s="132"/>
      <c r="X171" s="132"/>
      <c r="Y171" s="132"/>
      <c r="Z171" s="132"/>
      <c r="AA171" s="132"/>
      <c r="AB171" s="132"/>
    </row>
    <row r="172" spans="1:28" s="133" customFormat="1" ht="15" customHeight="1" outlineLevel="1" x14ac:dyDescent="0.2">
      <c r="A172" s="121">
        <v>11</v>
      </c>
      <c r="B172" s="134">
        <v>31161</v>
      </c>
      <c r="C172" s="135">
        <v>41820</v>
      </c>
      <c r="D172" s="136" t="s">
        <v>755</v>
      </c>
      <c r="E172" s="134" t="s">
        <v>373</v>
      </c>
      <c r="F172" s="137" t="s">
        <v>215</v>
      </c>
      <c r="G172" s="138" t="s">
        <v>368</v>
      </c>
      <c r="H172" s="139"/>
      <c r="I172" s="140">
        <v>1</v>
      </c>
      <c r="J172" s="141">
        <v>44597</v>
      </c>
      <c r="K172" s="141">
        <v>44597</v>
      </c>
      <c r="L172" s="180" t="s">
        <v>605</v>
      </c>
      <c r="M172" s="167" t="s">
        <v>21</v>
      </c>
      <c r="N172" s="131"/>
      <c r="O172" s="132"/>
      <c r="P172" s="132"/>
      <c r="Q172" s="132"/>
      <c r="R172" s="132"/>
      <c r="S172" s="132"/>
      <c r="T172" s="132"/>
      <c r="U172" s="132"/>
      <c r="V172" s="132"/>
      <c r="W172" s="132"/>
      <c r="X172" s="132"/>
      <c r="Y172" s="132"/>
      <c r="Z172" s="132"/>
      <c r="AA172" s="132"/>
      <c r="AB172" s="132"/>
    </row>
    <row r="173" spans="1:28" s="133" customFormat="1" ht="15" customHeight="1" outlineLevel="1" x14ac:dyDescent="0.2">
      <c r="A173" s="121">
        <v>1</v>
      </c>
      <c r="B173" s="134">
        <v>35164</v>
      </c>
      <c r="C173" s="135">
        <v>41831</v>
      </c>
      <c r="D173" s="136" t="s">
        <v>756</v>
      </c>
      <c r="E173" s="134" t="s">
        <v>386</v>
      </c>
      <c r="F173" s="137" t="s">
        <v>215</v>
      </c>
      <c r="G173" s="138" t="s">
        <v>384</v>
      </c>
      <c r="H173" s="139"/>
      <c r="I173" s="140">
        <v>2</v>
      </c>
      <c r="J173" s="141">
        <v>44597</v>
      </c>
      <c r="K173" s="141">
        <v>89194</v>
      </c>
      <c r="L173" s="181" t="s">
        <v>757</v>
      </c>
      <c r="M173" s="166" t="s">
        <v>21</v>
      </c>
      <c r="N173" s="131"/>
      <c r="O173" s="132"/>
      <c r="P173" s="132"/>
      <c r="Q173" s="132"/>
      <c r="R173" s="132"/>
      <c r="S173" s="132"/>
      <c r="T173" s="132"/>
      <c r="U173" s="132"/>
      <c r="V173" s="132"/>
      <c r="W173" s="132"/>
      <c r="X173" s="132"/>
      <c r="Y173" s="132"/>
      <c r="Z173" s="132"/>
      <c r="AA173" s="132"/>
      <c r="AB173" s="132"/>
    </row>
    <row r="174" spans="1:28" s="133" customFormat="1" ht="15" customHeight="1" outlineLevel="1" x14ac:dyDescent="0.2">
      <c r="A174" s="121">
        <v>2</v>
      </c>
      <c r="B174" s="134">
        <v>38000</v>
      </c>
      <c r="C174" s="135">
        <v>41845</v>
      </c>
      <c r="D174" s="136" t="s">
        <v>758</v>
      </c>
      <c r="E174" s="134" t="s">
        <v>378</v>
      </c>
      <c r="F174" s="137" t="s">
        <v>215</v>
      </c>
      <c r="G174" s="138" t="s">
        <v>368</v>
      </c>
      <c r="H174" s="139"/>
      <c r="I174" s="140">
        <v>1</v>
      </c>
      <c r="J174" s="141">
        <v>44597</v>
      </c>
      <c r="K174" s="141">
        <v>44597</v>
      </c>
      <c r="L174" s="181" t="s">
        <v>757</v>
      </c>
      <c r="M174" s="166" t="s">
        <v>21</v>
      </c>
      <c r="N174" s="131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</row>
    <row r="175" spans="1:28" s="133" customFormat="1" ht="15" customHeight="1" outlineLevel="1" x14ac:dyDescent="0.2">
      <c r="A175" s="121">
        <v>3</v>
      </c>
      <c r="B175" s="134">
        <v>32800</v>
      </c>
      <c r="C175" s="135">
        <v>41824</v>
      </c>
      <c r="D175" s="136" t="s">
        <v>759</v>
      </c>
      <c r="E175" s="134" t="s">
        <v>378</v>
      </c>
      <c r="F175" s="137" t="s">
        <v>534</v>
      </c>
      <c r="G175" s="138" t="s">
        <v>559</v>
      </c>
      <c r="H175" s="139"/>
      <c r="I175" s="140">
        <v>1</v>
      </c>
      <c r="J175" s="141">
        <v>30429</v>
      </c>
      <c r="K175" s="141">
        <v>30429</v>
      </c>
      <c r="L175" s="181" t="s">
        <v>757</v>
      </c>
      <c r="M175" s="166" t="s">
        <v>21</v>
      </c>
      <c r="N175" s="131"/>
      <c r="O175" s="132"/>
      <c r="P175" s="132"/>
      <c r="Q175" s="132"/>
      <c r="R175" s="132"/>
      <c r="S175" s="132"/>
      <c r="T175" s="132"/>
      <c r="U175" s="132"/>
      <c r="V175" s="132"/>
      <c r="W175" s="132"/>
      <c r="X175" s="132"/>
      <c r="Y175" s="132"/>
      <c r="Z175" s="132"/>
      <c r="AA175" s="132"/>
      <c r="AB175" s="132"/>
    </row>
    <row r="176" spans="1:28" s="133" customFormat="1" ht="15" customHeight="1" outlineLevel="1" x14ac:dyDescent="0.2">
      <c r="A176" s="121">
        <v>4</v>
      </c>
      <c r="B176" s="134">
        <v>34210</v>
      </c>
      <c r="C176" s="135">
        <v>41829</v>
      </c>
      <c r="D176" s="136" t="s">
        <v>760</v>
      </c>
      <c r="E176" s="134" t="s">
        <v>373</v>
      </c>
      <c r="F176" s="137" t="s">
        <v>577</v>
      </c>
      <c r="G176" s="138" t="s">
        <v>368</v>
      </c>
      <c r="H176" s="139"/>
      <c r="I176" s="140">
        <v>1</v>
      </c>
      <c r="J176" s="141">
        <v>25800</v>
      </c>
      <c r="K176" s="141">
        <v>25800</v>
      </c>
      <c r="L176" s="181" t="s">
        <v>757</v>
      </c>
      <c r="M176" s="166" t="s">
        <v>21</v>
      </c>
      <c r="N176" s="131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</row>
    <row r="177" spans="1:28" s="133" customFormat="1" ht="15" customHeight="1" outlineLevel="1" x14ac:dyDescent="0.2">
      <c r="A177" s="121">
        <v>5</v>
      </c>
      <c r="B177" s="134">
        <v>39394</v>
      </c>
      <c r="C177" s="135">
        <v>41851</v>
      </c>
      <c r="D177" s="136" t="s">
        <v>761</v>
      </c>
      <c r="E177" s="134" t="s">
        <v>475</v>
      </c>
      <c r="F177" s="137" t="s">
        <v>217</v>
      </c>
      <c r="G177" s="138" t="s">
        <v>366</v>
      </c>
      <c r="H177" s="139"/>
      <c r="I177" s="140">
        <v>1</v>
      </c>
      <c r="J177" s="141">
        <v>22299</v>
      </c>
      <c r="K177" s="141">
        <v>22299</v>
      </c>
      <c r="L177" s="181" t="s">
        <v>757</v>
      </c>
      <c r="M177" s="166" t="s">
        <v>21</v>
      </c>
      <c r="N177" s="131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</row>
    <row r="178" spans="1:28" s="133" customFormat="1" ht="15" customHeight="1" outlineLevel="1" x14ac:dyDescent="0.2">
      <c r="A178" s="121">
        <v>6</v>
      </c>
      <c r="B178" s="134">
        <v>37592</v>
      </c>
      <c r="C178" s="135">
        <v>41844</v>
      </c>
      <c r="D178" s="136" t="s">
        <v>762</v>
      </c>
      <c r="E178" s="134" t="s">
        <v>386</v>
      </c>
      <c r="F178" s="137" t="s">
        <v>215</v>
      </c>
      <c r="G178" s="138" t="s">
        <v>368</v>
      </c>
      <c r="H178" s="139"/>
      <c r="I178" s="140">
        <v>1</v>
      </c>
      <c r="J178" s="141">
        <v>44597</v>
      </c>
      <c r="K178" s="141">
        <v>44597</v>
      </c>
      <c r="L178" s="181" t="s">
        <v>757</v>
      </c>
      <c r="M178" s="166" t="s">
        <v>21</v>
      </c>
      <c r="N178" s="131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</row>
    <row r="179" spans="1:28" s="133" customFormat="1" ht="15" customHeight="1" outlineLevel="1" x14ac:dyDescent="0.2">
      <c r="A179" s="121">
        <v>7</v>
      </c>
      <c r="B179" s="134">
        <v>39614</v>
      </c>
      <c r="C179" s="135">
        <v>41851</v>
      </c>
      <c r="D179" s="136" t="s">
        <v>763</v>
      </c>
      <c r="E179" s="134" t="s">
        <v>378</v>
      </c>
      <c r="F179" s="137" t="s">
        <v>534</v>
      </c>
      <c r="G179" s="138" t="s">
        <v>469</v>
      </c>
      <c r="H179" s="139"/>
      <c r="I179" s="140">
        <v>1</v>
      </c>
      <c r="J179" s="141">
        <v>30429</v>
      </c>
      <c r="K179" s="141">
        <v>30429</v>
      </c>
      <c r="L179" s="181" t="s">
        <v>757</v>
      </c>
      <c r="M179" s="166" t="s">
        <v>21</v>
      </c>
      <c r="N179" s="131"/>
      <c r="O179" s="132"/>
      <c r="P179" s="132"/>
      <c r="Q179" s="132"/>
      <c r="R179" s="132"/>
      <c r="S179" s="132"/>
      <c r="T179" s="132"/>
      <c r="U179" s="132"/>
      <c r="V179" s="132"/>
      <c r="W179" s="132"/>
      <c r="X179" s="132"/>
      <c r="Y179" s="132"/>
      <c r="Z179" s="132"/>
      <c r="AA179" s="132"/>
      <c r="AB179" s="132"/>
    </row>
    <row r="180" spans="1:28" s="133" customFormat="1" ht="15" customHeight="1" outlineLevel="1" x14ac:dyDescent="0.2">
      <c r="A180" s="121">
        <v>8</v>
      </c>
      <c r="B180" s="134">
        <v>33185</v>
      </c>
      <c r="C180" s="135">
        <v>41827</v>
      </c>
      <c r="D180" s="136" t="s">
        <v>764</v>
      </c>
      <c r="E180" s="134" t="s">
        <v>373</v>
      </c>
      <c r="F180" s="137" t="s">
        <v>215</v>
      </c>
      <c r="G180" s="138" t="s">
        <v>384</v>
      </c>
      <c r="H180" s="139"/>
      <c r="I180" s="140">
        <v>2</v>
      </c>
      <c r="J180" s="141">
        <v>44597</v>
      </c>
      <c r="K180" s="141">
        <v>89194</v>
      </c>
      <c r="L180" s="181" t="s">
        <v>757</v>
      </c>
      <c r="M180" s="166" t="s">
        <v>21</v>
      </c>
      <c r="N180" s="131"/>
      <c r="O180" s="132"/>
      <c r="P180" s="132"/>
      <c r="Q180" s="132"/>
      <c r="R180" s="132"/>
      <c r="S180" s="132"/>
      <c r="T180" s="132"/>
      <c r="U180" s="132"/>
      <c r="V180" s="132"/>
      <c r="W180" s="132"/>
      <c r="X180" s="132"/>
      <c r="Y180" s="132"/>
      <c r="Z180" s="132"/>
      <c r="AA180" s="132"/>
      <c r="AB180" s="132"/>
    </row>
    <row r="181" spans="1:28" s="133" customFormat="1" ht="15" customHeight="1" outlineLevel="1" x14ac:dyDescent="0.2">
      <c r="A181" s="121">
        <v>9</v>
      </c>
      <c r="B181" s="134">
        <v>32392</v>
      </c>
      <c r="C181" s="135">
        <v>41823</v>
      </c>
      <c r="D181" s="136" t="s">
        <v>765</v>
      </c>
      <c r="E181" s="134" t="s">
        <v>386</v>
      </c>
      <c r="F181" s="137" t="s">
        <v>235</v>
      </c>
      <c r="G181" s="138" t="s">
        <v>366</v>
      </c>
      <c r="H181" s="139"/>
      <c r="I181" s="140">
        <v>1</v>
      </c>
      <c r="J181" s="141">
        <v>10401</v>
      </c>
      <c r="K181" s="141">
        <v>10401</v>
      </c>
      <c r="L181" s="181" t="s">
        <v>757</v>
      </c>
      <c r="M181" s="166" t="s">
        <v>21</v>
      </c>
      <c r="N181" s="131"/>
      <c r="O181" s="132"/>
      <c r="P181" s="132"/>
      <c r="Q181" s="132"/>
      <c r="R181" s="132"/>
      <c r="S181" s="132"/>
      <c r="T181" s="132"/>
      <c r="U181" s="132"/>
      <c r="V181" s="132"/>
      <c r="W181" s="132"/>
      <c r="X181" s="132"/>
      <c r="Y181" s="132"/>
      <c r="Z181" s="132"/>
      <c r="AA181" s="132"/>
      <c r="AB181" s="132"/>
    </row>
    <row r="182" spans="1:28" s="133" customFormat="1" ht="15" customHeight="1" outlineLevel="1" x14ac:dyDescent="0.2">
      <c r="A182" s="121">
        <v>10</v>
      </c>
      <c r="B182" s="134">
        <v>39211</v>
      </c>
      <c r="C182" s="135">
        <v>41851</v>
      </c>
      <c r="D182" s="136" t="s">
        <v>766</v>
      </c>
      <c r="E182" s="134" t="s">
        <v>373</v>
      </c>
      <c r="F182" s="137" t="s">
        <v>679</v>
      </c>
      <c r="G182" s="138" t="s">
        <v>368</v>
      </c>
      <c r="H182" s="139"/>
      <c r="I182" s="140">
        <v>1</v>
      </c>
      <c r="J182" s="141">
        <v>55058</v>
      </c>
      <c r="K182" s="141">
        <v>55058</v>
      </c>
      <c r="L182" s="181" t="s">
        <v>757</v>
      </c>
      <c r="M182" s="166" t="s">
        <v>21</v>
      </c>
      <c r="N182" s="131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</row>
    <row r="183" spans="1:28" s="133" customFormat="1" ht="15" customHeight="1" outlineLevel="1" x14ac:dyDescent="0.2">
      <c r="A183" s="121">
        <v>11</v>
      </c>
      <c r="B183" s="134">
        <v>35241</v>
      </c>
      <c r="C183" s="135">
        <v>41834</v>
      </c>
      <c r="D183" s="136" t="s">
        <v>749</v>
      </c>
      <c r="E183" s="134" t="s">
        <v>373</v>
      </c>
      <c r="F183" s="137" t="s">
        <v>215</v>
      </c>
      <c r="G183" s="138" t="s">
        <v>368</v>
      </c>
      <c r="H183" s="139"/>
      <c r="I183" s="140">
        <v>1</v>
      </c>
      <c r="J183" s="141">
        <v>44597</v>
      </c>
      <c r="K183" s="141">
        <v>44597</v>
      </c>
      <c r="L183" s="181" t="s">
        <v>757</v>
      </c>
      <c r="M183" s="166" t="s">
        <v>21</v>
      </c>
      <c r="N183" s="131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</row>
    <row r="184" spans="1:28" s="133" customFormat="1" ht="15" customHeight="1" outlineLevel="1" x14ac:dyDescent="0.2">
      <c r="A184" s="121">
        <v>12</v>
      </c>
      <c r="B184" s="134">
        <v>31839</v>
      </c>
      <c r="C184" s="135">
        <v>41822</v>
      </c>
      <c r="D184" s="136" t="s">
        <v>767</v>
      </c>
      <c r="E184" s="134" t="s">
        <v>386</v>
      </c>
      <c r="F184" s="137" t="s">
        <v>577</v>
      </c>
      <c r="G184" s="138" t="s">
        <v>368</v>
      </c>
      <c r="H184" s="139"/>
      <c r="I184" s="140">
        <v>1</v>
      </c>
      <c r="J184" s="141">
        <v>25800</v>
      </c>
      <c r="K184" s="141">
        <v>25800</v>
      </c>
      <c r="L184" s="181" t="s">
        <v>757</v>
      </c>
      <c r="M184" s="166" t="s">
        <v>21</v>
      </c>
      <c r="N184" s="131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</row>
    <row r="185" spans="1:28" s="133" customFormat="1" ht="15" customHeight="1" outlineLevel="1" x14ac:dyDescent="0.2">
      <c r="A185" s="121">
        <v>13</v>
      </c>
      <c r="B185" s="134">
        <v>34948</v>
      </c>
      <c r="C185" s="135">
        <v>41834</v>
      </c>
      <c r="D185" s="136" t="s">
        <v>670</v>
      </c>
      <c r="E185" s="134" t="s">
        <v>378</v>
      </c>
      <c r="F185" s="137" t="s">
        <v>215</v>
      </c>
      <c r="G185" s="138" t="s">
        <v>366</v>
      </c>
      <c r="H185" s="139"/>
      <c r="I185" s="140">
        <v>1</v>
      </c>
      <c r="J185" s="141">
        <v>44597</v>
      </c>
      <c r="K185" s="141">
        <v>44597</v>
      </c>
      <c r="L185" s="181" t="s">
        <v>757</v>
      </c>
      <c r="M185" s="166" t="s">
        <v>21</v>
      </c>
      <c r="N185" s="131"/>
      <c r="O185" s="132"/>
      <c r="P185" s="132"/>
      <c r="Q185" s="132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</row>
    <row r="186" spans="1:28" s="133" customFormat="1" ht="15" customHeight="1" outlineLevel="1" x14ac:dyDescent="0.2">
      <c r="A186" s="121">
        <v>14</v>
      </c>
      <c r="B186" s="134">
        <v>38480</v>
      </c>
      <c r="C186" s="135">
        <v>41850</v>
      </c>
      <c r="D186" s="136" t="s">
        <v>768</v>
      </c>
      <c r="E186" s="134" t="s">
        <v>475</v>
      </c>
      <c r="F186" s="137" t="s">
        <v>215</v>
      </c>
      <c r="G186" s="138" t="s">
        <v>368</v>
      </c>
      <c r="H186" s="139"/>
      <c r="I186" s="140">
        <v>1</v>
      </c>
      <c r="J186" s="141">
        <v>44597</v>
      </c>
      <c r="K186" s="141">
        <v>44597</v>
      </c>
      <c r="L186" s="181" t="s">
        <v>757</v>
      </c>
      <c r="M186" s="166" t="s">
        <v>21</v>
      </c>
      <c r="N186" s="131"/>
      <c r="O186" s="132"/>
      <c r="P186" s="132"/>
      <c r="Q186" s="132"/>
      <c r="R186" s="132"/>
      <c r="S186" s="132"/>
      <c r="T186" s="132"/>
      <c r="U186" s="132"/>
      <c r="V186" s="132"/>
      <c r="W186" s="132"/>
      <c r="X186" s="132"/>
      <c r="Y186" s="132"/>
      <c r="Z186" s="132"/>
      <c r="AA186" s="132"/>
      <c r="AB186" s="132"/>
    </row>
    <row r="187" spans="1:28" s="133" customFormat="1" ht="18" customHeight="1" outlineLevel="1" x14ac:dyDescent="0.2">
      <c r="A187" s="121">
        <v>15</v>
      </c>
      <c r="B187" s="134">
        <v>31665</v>
      </c>
      <c r="C187" s="135">
        <v>41823</v>
      </c>
      <c r="D187" s="136" t="s">
        <v>701</v>
      </c>
      <c r="E187" s="134" t="s">
        <v>378</v>
      </c>
      <c r="F187" s="137" t="s">
        <v>679</v>
      </c>
      <c r="G187" s="138" t="s">
        <v>368</v>
      </c>
      <c r="H187" s="139"/>
      <c r="I187" s="140">
        <v>1</v>
      </c>
      <c r="J187" s="141">
        <v>55058</v>
      </c>
      <c r="K187" s="141">
        <v>55058</v>
      </c>
      <c r="L187" s="181" t="s">
        <v>757</v>
      </c>
      <c r="M187" s="166" t="s">
        <v>21</v>
      </c>
      <c r="N187" s="131"/>
      <c r="O187" s="132"/>
      <c r="P187" s="132"/>
      <c r="Q187" s="132"/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</row>
    <row r="188" spans="1:28" s="133" customFormat="1" ht="21.75" customHeight="1" outlineLevel="1" x14ac:dyDescent="0.2">
      <c r="A188" s="121">
        <v>16</v>
      </c>
      <c r="B188" s="134">
        <v>35427</v>
      </c>
      <c r="C188" s="135">
        <v>41837</v>
      </c>
      <c r="D188" s="136" t="s">
        <v>769</v>
      </c>
      <c r="E188" s="134" t="s">
        <v>475</v>
      </c>
      <c r="F188" s="137" t="s">
        <v>115</v>
      </c>
      <c r="G188" s="138" t="s">
        <v>442</v>
      </c>
      <c r="H188" s="139"/>
      <c r="I188" s="140">
        <v>1</v>
      </c>
      <c r="J188" s="141">
        <v>5274</v>
      </c>
      <c r="K188" s="141">
        <v>5274</v>
      </c>
      <c r="L188" s="181" t="s">
        <v>757</v>
      </c>
      <c r="M188" s="166" t="s">
        <v>21</v>
      </c>
      <c r="N188" s="131"/>
      <c r="O188" s="132"/>
      <c r="P188" s="132"/>
      <c r="Q188" s="132"/>
      <c r="R188" s="132"/>
      <c r="S188" s="132"/>
      <c r="T188" s="132"/>
      <c r="U188" s="132"/>
      <c r="V188" s="132"/>
      <c r="W188" s="132"/>
      <c r="X188" s="132"/>
      <c r="Y188" s="132"/>
      <c r="Z188" s="132"/>
      <c r="AA188" s="132"/>
      <c r="AB188" s="132"/>
    </row>
    <row r="189" spans="1:28" s="133" customFormat="1" ht="15" customHeight="1" outlineLevel="1" x14ac:dyDescent="0.2">
      <c r="A189" s="121">
        <v>17</v>
      </c>
      <c r="B189" s="134">
        <v>38438</v>
      </c>
      <c r="C189" s="135">
        <v>41848</v>
      </c>
      <c r="D189" s="136" t="s">
        <v>770</v>
      </c>
      <c r="E189" s="134" t="s">
        <v>373</v>
      </c>
      <c r="F189" s="137" t="s">
        <v>215</v>
      </c>
      <c r="G189" s="138" t="s">
        <v>368</v>
      </c>
      <c r="H189" s="139"/>
      <c r="I189" s="140">
        <v>1</v>
      </c>
      <c r="J189" s="141">
        <v>44597</v>
      </c>
      <c r="K189" s="141">
        <v>44597</v>
      </c>
      <c r="L189" s="181" t="s">
        <v>757</v>
      </c>
      <c r="M189" s="166" t="s">
        <v>21</v>
      </c>
      <c r="N189" s="131"/>
      <c r="O189" s="132"/>
      <c r="P189" s="132"/>
      <c r="Q189" s="132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</row>
    <row r="190" spans="1:28" s="133" customFormat="1" ht="15" customHeight="1" outlineLevel="1" x14ac:dyDescent="0.2">
      <c r="A190" s="121">
        <v>18</v>
      </c>
      <c r="B190" s="134">
        <v>34788</v>
      </c>
      <c r="C190" s="135">
        <v>41831</v>
      </c>
      <c r="D190" s="136" t="s">
        <v>771</v>
      </c>
      <c r="E190" s="134" t="s">
        <v>378</v>
      </c>
      <c r="F190" s="137" t="s">
        <v>114</v>
      </c>
      <c r="G190" s="138" t="s">
        <v>508</v>
      </c>
      <c r="H190" s="139"/>
      <c r="I190" s="140">
        <v>1</v>
      </c>
      <c r="J190" s="141">
        <v>33370</v>
      </c>
      <c r="K190" s="141">
        <v>33370</v>
      </c>
      <c r="L190" s="181" t="s">
        <v>757</v>
      </c>
      <c r="M190" s="166" t="s">
        <v>21</v>
      </c>
      <c r="N190" s="131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</row>
    <row r="191" spans="1:28" s="133" customFormat="1" ht="15" customHeight="1" outlineLevel="1" x14ac:dyDescent="0.2">
      <c r="A191" s="121">
        <v>19</v>
      </c>
      <c r="B191" s="134">
        <v>35220</v>
      </c>
      <c r="C191" s="135">
        <v>41834</v>
      </c>
      <c r="D191" s="136" t="s">
        <v>772</v>
      </c>
      <c r="E191" s="134" t="s">
        <v>378</v>
      </c>
      <c r="F191" s="137" t="s">
        <v>534</v>
      </c>
      <c r="G191" s="138" t="s">
        <v>428</v>
      </c>
      <c r="H191" s="139"/>
      <c r="I191" s="140">
        <v>1</v>
      </c>
      <c r="J191" s="141">
        <v>30429</v>
      </c>
      <c r="K191" s="141">
        <v>30429</v>
      </c>
      <c r="L191" s="181" t="s">
        <v>757</v>
      </c>
      <c r="M191" s="166" t="s">
        <v>21</v>
      </c>
      <c r="N191" s="131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</row>
    <row r="192" spans="1:28" s="133" customFormat="1" ht="15" customHeight="1" outlineLevel="1" x14ac:dyDescent="0.2">
      <c r="A192" s="121">
        <v>20</v>
      </c>
      <c r="B192" s="134">
        <v>36780</v>
      </c>
      <c r="C192" s="135">
        <v>41838</v>
      </c>
      <c r="D192" s="136" t="s">
        <v>773</v>
      </c>
      <c r="E192" s="134" t="s">
        <v>386</v>
      </c>
      <c r="F192" s="137" t="s">
        <v>534</v>
      </c>
      <c r="G192" s="138" t="s">
        <v>559</v>
      </c>
      <c r="H192" s="139"/>
      <c r="I192" s="140">
        <v>1</v>
      </c>
      <c r="J192" s="141">
        <v>30429</v>
      </c>
      <c r="K192" s="141">
        <v>30429</v>
      </c>
      <c r="L192" s="181" t="s">
        <v>757</v>
      </c>
      <c r="M192" s="166" t="s">
        <v>21</v>
      </c>
      <c r="N192" s="131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</row>
    <row r="193" spans="1:28" s="133" customFormat="1" ht="15" customHeight="1" outlineLevel="1" x14ac:dyDescent="0.2">
      <c r="A193" s="121">
        <v>21</v>
      </c>
      <c r="B193" s="134">
        <v>37589</v>
      </c>
      <c r="C193" s="135">
        <v>41844</v>
      </c>
      <c r="D193" s="136" t="s">
        <v>774</v>
      </c>
      <c r="E193" s="134" t="s">
        <v>378</v>
      </c>
      <c r="F193" s="137" t="s">
        <v>215</v>
      </c>
      <c r="G193" s="138" t="s">
        <v>368</v>
      </c>
      <c r="H193" s="139"/>
      <c r="I193" s="140">
        <v>1</v>
      </c>
      <c r="J193" s="141">
        <v>44597</v>
      </c>
      <c r="K193" s="141">
        <v>44597</v>
      </c>
      <c r="L193" s="181" t="s">
        <v>757</v>
      </c>
      <c r="M193" s="166" t="s">
        <v>21</v>
      </c>
      <c r="N193" s="131"/>
      <c r="O193" s="132"/>
      <c r="P193" s="132"/>
      <c r="Q193" s="132"/>
      <c r="R193" s="132"/>
      <c r="S193" s="132"/>
      <c r="T193" s="132"/>
      <c r="U193" s="132"/>
      <c r="V193" s="132"/>
      <c r="W193" s="132"/>
      <c r="X193" s="132"/>
      <c r="Y193" s="132"/>
      <c r="Z193" s="132"/>
      <c r="AA193" s="132"/>
      <c r="AB193" s="132"/>
    </row>
    <row r="194" spans="1:28" s="133" customFormat="1" ht="15" customHeight="1" outlineLevel="1" x14ac:dyDescent="0.2">
      <c r="A194" s="121">
        <v>22</v>
      </c>
      <c r="B194" s="134">
        <v>37640</v>
      </c>
      <c r="C194" s="135">
        <v>41845</v>
      </c>
      <c r="D194" s="136" t="s">
        <v>775</v>
      </c>
      <c r="E194" s="134" t="s">
        <v>518</v>
      </c>
      <c r="F194" s="137" t="s">
        <v>577</v>
      </c>
      <c r="G194" s="138" t="s">
        <v>368</v>
      </c>
      <c r="H194" s="139"/>
      <c r="I194" s="140">
        <v>1</v>
      </c>
      <c r="J194" s="141">
        <v>25800</v>
      </c>
      <c r="K194" s="141">
        <v>25800</v>
      </c>
      <c r="L194" s="181" t="s">
        <v>757</v>
      </c>
      <c r="M194" s="166" t="s">
        <v>21</v>
      </c>
      <c r="N194" s="131"/>
      <c r="O194" s="132"/>
      <c r="P194" s="132"/>
      <c r="Q194" s="132"/>
      <c r="R194" s="132"/>
      <c r="S194" s="132"/>
      <c r="T194" s="132"/>
      <c r="U194" s="132"/>
      <c r="V194" s="132"/>
      <c r="W194" s="132"/>
      <c r="X194" s="132"/>
      <c r="Y194" s="132"/>
      <c r="Z194" s="132"/>
      <c r="AA194" s="132"/>
      <c r="AB194" s="132"/>
    </row>
    <row r="195" spans="1:28" s="133" customFormat="1" ht="15" customHeight="1" outlineLevel="1" x14ac:dyDescent="0.2">
      <c r="A195" s="121">
        <v>23</v>
      </c>
      <c r="B195" s="134">
        <v>33616</v>
      </c>
      <c r="C195" s="135">
        <v>41828</v>
      </c>
      <c r="D195" s="136" t="s">
        <v>776</v>
      </c>
      <c r="E195" s="134" t="s">
        <v>373</v>
      </c>
      <c r="F195" s="137" t="s">
        <v>215</v>
      </c>
      <c r="G195" s="138" t="s">
        <v>366</v>
      </c>
      <c r="H195" s="139"/>
      <c r="I195" s="140">
        <v>1</v>
      </c>
      <c r="J195" s="141">
        <v>44597</v>
      </c>
      <c r="K195" s="141">
        <v>44597</v>
      </c>
      <c r="L195" s="181" t="s">
        <v>757</v>
      </c>
      <c r="M195" s="166" t="s">
        <v>21</v>
      </c>
      <c r="N195" s="131"/>
      <c r="O195" s="132"/>
      <c r="P195" s="132"/>
      <c r="Q195" s="132"/>
      <c r="R195" s="132"/>
      <c r="S195" s="132"/>
      <c r="T195" s="132"/>
      <c r="U195" s="132"/>
      <c r="V195" s="132"/>
      <c r="W195" s="132"/>
      <c r="X195" s="132"/>
      <c r="Y195" s="132"/>
      <c r="Z195" s="132"/>
      <c r="AA195" s="132"/>
      <c r="AB195" s="132"/>
    </row>
    <row r="196" spans="1:28" s="133" customFormat="1" ht="15" customHeight="1" outlineLevel="1" x14ac:dyDescent="0.2">
      <c r="A196" s="121">
        <v>24</v>
      </c>
      <c r="B196" s="134">
        <v>39306</v>
      </c>
      <c r="C196" s="135">
        <v>41851</v>
      </c>
      <c r="D196" s="136" t="s">
        <v>777</v>
      </c>
      <c r="E196" s="134" t="s">
        <v>386</v>
      </c>
      <c r="F196" s="137" t="s">
        <v>190</v>
      </c>
      <c r="G196" s="138" t="s">
        <v>407</v>
      </c>
      <c r="H196" s="139"/>
      <c r="I196" s="140">
        <v>1</v>
      </c>
      <c r="J196" s="141">
        <v>57960</v>
      </c>
      <c r="K196" s="141">
        <v>57960</v>
      </c>
      <c r="L196" s="181" t="s">
        <v>757</v>
      </c>
      <c r="M196" s="166" t="s">
        <v>21</v>
      </c>
      <c r="N196" s="131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</row>
    <row r="197" spans="1:28" s="133" customFormat="1" ht="15" customHeight="1" outlineLevel="1" x14ac:dyDescent="0.2">
      <c r="A197" s="121">
        <v>25</v>
      </c>
      <c r="B197" s="134">
        <v>31525</v>
      </c>
      <c r="C197" s="135">
        <v>41822</v>
      </c>
      <c r="D197" s="136" t="s">
        <v>778</v>
      </c>
      <c r="E197" s="134" t="s">
        <v>475</v>
      </c>
      <c r="F197" s="137" t="s">
        <v>215</v>
      </c>
      <c r="G197" s="138" t="s">
        <v>368</v>
      </c>
      <c r="H197" s="139"/>
      <c r="I197" s="140">
        <v>1</v>
      </c>
      <c r="J197" s="141">
        <v>44597</v>
      </c>
      <c r="K197" s="141">
        <v>44597</v>
      </c>
      <c r="L197" s="181" t="s">
        <v>757</v>
      </c>
      <c r="M197" s="166" t="s">
        <v>21</v>
      </c>
      <c r="N197" s="131"/>
      <c r="O197" s="132"/>
      <c r="P197" s="132"/>
      <c r="Q197" s="132"/>
      <c r="R197" s="132"/>
      <c r="S197" s="132"/>
      <c r="T197" s="132"/>
      <c r="U197" s="132"/>
      <c r="V197" s="132"/>
      <c r="W197" s="132"/>
      <c r="X197" s="132"/>
      <c r="Y197" s="132"/>
      <c r="Z197" s="132"/>
      <c r="AA197" s="132"/>
      <c r="AB197" s="132"/>
    </row>
    <row r="198" spans="1:28" s="133" customFormat="1" ht="15" customHeight="1" outlineLevel="1" x14ac:dyDescent="0.2">
      <c r="A198" s="121">
        <v>26</v>
      </c>
      <c r="B198" s="134">
        <v>35275</v>
      </c>
      <c r="C198" s="135">
        <v>41834</v>
      </c>
      <c r="D198" s="136" t="s">
        <v>739</v>
      </c>
      <c r="E198" s="134" t="s">
        <v>378</v>
      </c>
      <c r="F198" s="137" t="s">
        <v>679</v>
      </c>
      <c r="G198" s="138" t="s">
        <v>366</v>
      </c>
      <c r="H198" s="139"/>
      <c r="I198" s="140">
        <v>1</v>
      </c>
      <c r="J198" s="141">
        <v>55058</v>
      </c>
      <c r="K198" s="141">
        <v>55058</v>
      </c>
      <c r="L198" s="181" t="s">
        <v>757</v>
      </c>
      <c r="M198" s="166" t="s">
        <v>21</v>
      </c>
      <c r="N198" s="131"/>
      <c r="O198" s="132"/>
      <c r="P198" s="132"/>
      <c r="Q198" s="132"/>
      <c r="R198" s="132"/>
      <c r="S198" s="132"/>
      <c r="T198" s="132"/>
      <c r="U198" s="132"/>
      <c r="V198" s="132"/>
      <c r="W198" s="132"/>
      <c r="X198" s="132"/>
      <c r="Y198" s="132"/>
      <c r="Z198" s="132"/>
      <c r="AA198" s="132"/>
      <c r="AB198" s="132"/>
    </row>
    <row r="199" spans="1:28" s="133" customFormat="1" ht="15" customHeight="1" outlineLevel="1" x14ac:dyDescent="0.2">
      <c r="A199" s="121">
        <v>27</v>
      </c>
      <c r="B199" s="134">
        <v>32382</v>
      </c>
      <c r="C199" s="135">
        <v>41823</v>
      </c>
      <c r="D199" s="136" t="s">
        <v>779</v>
      </c>
      <c r="E199" s="134" t="s">
        <v>386</v>
      </c>
      <c r="F199" s="137" t="s">
        <v>679</v>
      </c>
      <c r="G199" s="138" t="s">
        <v>368</v>
      </c>
      <c r="H199" s="139"/>
      <c r="I199" s="140">
        <v>1</v>
      </c>
      <c r="J199" s="141">
        <v>55058</v>
      </c>
      <c r="K199" s="141">
        <v>55058</v>
      </c>
      <c r="L199" s="181" t="s">
        <v>757</v>
      </c>
      <c r="M199" s="166" t="s">
        <v>21</v>
      </c>
      <c r="N199" s="131"/>
      <c r="O199" s="132"/>
      <c r="P199" s="132"/>
      <c r="Q199" s="132"/>
      <c r="R199" s="132"/>
      <c r="S199" s="132"/>
      <c r="T199" s="132"/>
      <c r="U199" s="132"/>
      <c r="V199" s="132"/>
      <c r="W199" s="132"/>
      <c r="X199" s="132"/>
      <c r="Y199" s="132"/>
      <c r="Z199" s="132"/>
      <c r="AA199" s="132"/>
      <c r="AB199" s="132"/>
    </row>
    <row r="200" spans="1:28" s="133" customFormat="1" ht="15" customHeight="1" outlineLevel="1" x14ac:dyDescent="0.2">
      <c r="A200" s="121">
        <v>28</v>
      </c>
      <c r="B200" s="134">
        <v>31664</v>
      </c>
      <c r="C200" s="135">
        <v>41823</v>
      </c>
      <c r="D200" s="136" t="s">
        <v>780</v>
      </c>
      <c r="E200" s="134" t="s">
        <v>378</v>
      </c>
      <c r="F200" s="137" t="s">
        <v>679</v>
      </c>
      <c r="G200" s="138" t="s">
        <v>384</v>
      </c>
      <c r="H200" s="139"/>
      <c r="I200" s="140">
        <v>2</v>
      </c>
      <c r="J200" s="141">
        <v>55058</v>
      </c>
      <c r="K200" s="141">
        <v>110116</v>
      </c>
      <c r="L200" s="181" t="s">
        <v>757</v>
      </c>
      <c r="M200" s="166" t="s">
        <v>21</v>
      </c>
      <c r="N200" s="131"/>
      <c r="O200" s="132"/>
      <c r="P200" s="132"/>
      <c r="Q200" s="132"/>
      <c r="R200" s="132"/>
      <c r="S200" s="132"/>
      <c r="T200" s="132"/>
      <c r="U200" s="132"/>
      <c r="V200" s="132"/>
      <c r="W200" s="132"/>
      <c r="X200" s="132"/>
      <c r="Y200" s="132"/>
      <c r="Z200" s="132"/>
      <c r="AA200" s="132"/>
      <c r="AB200" s="132"/>
    </row>
    <row r="201" spans="1:28" s="133" customFormat="1" ht="15" customHeight="1" outlineLevel="1" x14ac:dyDescent="0.2">
      <c r="A201" s="121">
        <v>29</v>
      </c>
      <c r="B201" s="134">
        <v>36836</v>
      </c>
      <c r="C201" s="135">
        <v>41841</v>
      </c>
      <c r="D201" s="136" t="s">
        <v>781</v>
      </c>
      <c r="E201" s="134" t="s">
        <v>373</v>
      </c>
      <c r="F201" s="137" t="s">
        <v>215</v>
      </c>
      <c r="G201" s="138" t="s">
        <v>368</v>
      </c>
      <c r="H201" s="139"/>
      <c r="I201" s="140">
        <v>1</v>
      </c>
      <c r="J201" s="141">
        <v>44597</v>
      </c>
      <c r="K201" s="141">
        <v>44597</v>
      </c>
      <c r="L201" s="181" t="s">
        <v>757</v>
      </c>
      <c r="M201" s="166" t="s">
        <v>21</v>
      </c>
      <c r="N201" s="131"/>
      <c r="O201" s="132"/>
      <c r="P201" s="132"/>
      <c r="Q201" s="132"/>
      <c r="R201" s="132"/>
      <c r="S201" s="132"/>
      <c r="T201" s="132"/>
      <c r="U201" s="132"/>
      <c r="V201" s="132"/>
      <c r="W201" s="132"/>
      <c r="X201" s="132"/>
      <c r="Y201" s="132"/>
      <c r="Z201" s="132"/>
      <c r="AA201" s="132"/>
      <c r="AB201" s="132"/>
    </row>
    <row r="202" spans="1:28" s="133" customFormat="1" ht="15" customHeight="1" outlineLevel="1" x14ac:dyDescent="0.2">
      <c r="A202" s="121">
        <v>30</v>
      </c>
      <c r="B202" s="134">
        <v>37397</v>
      </c>
      <c r="C202" s="135">
        <v>41844</v>
      </c>
      <c r="D202" s="136" t="s">
        <v>782</v>
      </c>
      <c r="E202" s="134" t="s">
        <v>386</v>
      </c>
      <c r="F202" s="137" t="s">
        <v>115</v>
      </c>
      <c r="G202" s="138" t="s">
        <v>442</v>
      </c>
      <c r="H202" s="139"/>
      <c r="I202" s="140">
        <v>1</v>
      </c>
      <c r="J202" s="141">
        <v>5274</v>
      </c>
      <c r="K202" s="141">
        <v>5274</v>
      </c>
      <c r="L202" s="181" t="s">
        <v>757</v>
      </c>
      <c r="M202" s="166" t="s">
        <v>21</v>
      </c>
      <c r="N202" s="131"/>
      <c r="O202" s="132"/>
      <c r="P202" s="132"/>
      <c r="Q202" s="132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</row>
    <row r="203" spans="1:28" s="133" customFormat="1" ht="15" customHeight="1" outlineLevel="1" x14ac:dyDescent="0.2">
      <c r="A203" s="121">
        <v>31</v>
      </c>
      <c r="B203" s="134">
        <v>37397</v>
      </c>
      <c r="C203" s="135">
        <v>41844</v>
      </c>
      <c r="D203" s="136" t="s">
        <v>782</v>
      </c>
      <c r="E203" s="134" t="s">
        <v>386</v>
      </c>
      <c r="F203" s="137" t="s">
        <v>208</v>
      </c>
      <c r="G203" s="138" t="s">
        <v>442</v>
      </c>
      <c r="H203" s="139"/>
      <c r="I203" s="140">
        <v>1</v>
      </c>
      <c r="J203" s="141">
        <v>14099</v>
      </c>
      <c r="K203" s="141">
        <v>14099</v>
      </c>
      <c r="L203" s="181" t="s">
        <v>757</v>
      </c>
      <c r="M203" s="166" t="s">
        <v>21</v>
      </c>
      <c r="N203" s="131"/>
      <c r="O203" s="132"/>
      <c r="P203" s="132"/>
      <c r="Q203" s="132"/>
      <c r="R203" s="132"/>
      <c r="S203" s="132"/>
      <c r="T203" s="132"/>
      <c r="U203" s="132"/>
      <c r="V203" s="132"/>
      <c r="W203" s="132"/>
      <c r="X203" s="132"/>
      <c r="Y203" s="132"/>
      <c r="Z203" s="132"/>
      <c r="AA203" s="132"/>
      <c r="AB203" s="132"/>
    </row>
    <row r="204" spans="1:28" s="184" customFormat="1" ht="15" customHeight="1" outlineLevel="1" x14ac:dyDescent="0.2">
      <c r="A204" s="121">
        <v>32</v>
      </c>
      <c r="B204" s="134">
        <v>36439</v>
      </c>
      <c r="C204" s="135">
        <v>41838</v>
      </c>
      <c r="D204" s="136" t="s">
        <v>783</v>
      </c>
      <c r="E204" s="134" t="s">
        <v>373</v>
      </c>
      <c r="F204" s="137" t="s">
        <v>534</v>
      </c>
      <c r="G204" s="138" t="s">
        <v>469</v>
      </c>
      <c r="H204" s="139"/>
      <c r="I204" s="140">
        <v>1</v>
      </c>
      <c r="J204" s="141">
        <v>30429</v>
      </c>
      <c r="K204" s="141">
        <v>30429</v>
      </c>
      <c r="L204" s="181" t="s">
        <v>757</v>
      </c>
      <c r="M204" s="166" t="s">
        <v>21</v>
      </c>
      <c r="N204" s="182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</row>
    <row r="205" spans="1:28" s="133" customFormat="1" ht="15" customHeight="1" outlineLevel="1" x14ac:dyDescent="0.2">
      <c r="A205" s="121">
        <v>1</v>
      </c>
      <c r="B205" s="134">
        <v>46814</v>
      </c>
      <c r="C205" s="135">
        <v>41878</v>
      </c>
      <c r="D205" s="136" t="s">
        <v>784</v>
      </c>
      <c r="E205" s="134" t="s">
        <v>475</v>
      </c>
      <c r="F205" s="137" t="s">
        <v>115</v>
      </c>
      <c r="G205" s="138" t="s">
        <v>416</v>
      </c>
      <c r="H205" s="139"/>
      <c r="I205" s="140">
        <v>1</v>
      </c>
      <c r="J205" s="141">
        <v>5274</v>
      </c>
      <c r="K205" s="141">
        <v>5274</v>
      </c>
      <c r="L205" s="181" t="s">
        <v>785</v>
      </c>
      <c r="M205" s="166" t="s">
        <v>21</v>
      </c>
      <c r="N205" s="131"/>
      <c r="O205" s="132"/>
      <c r="P205" s="132"/>
      <c r="Q205" s="132"/>
      <c r="R205" s="132"/>
      <c r="S205" s="132"/>
      <c r="T205" s="132"/>
      <c r="U205" s="132"/>
      <c r="V205" s="132"/>
      <c r="W205" s="132"/>
      <c r="X205" s="132"/>
      <c r="Y205" s="132"/>
      <c r="Z205" s="132"/>
      <c r="AA205" s="132"/>
      <c r="AB205" s="132"/>
    </row>
    <row r="206" spans="1:28" s="133" customFormat="1" ht="15" customHeight="1" outlineLevel="1" x14ac:dyDescent="0.2">
      <c r="A206" s="121">
        <v>2</v>
      </c>
      <c r="B206" s="134">
        <v>42569</v>
      </c>
      <c r="C206" s="135">
        <v>41863</v>
      </c>
      <c r="D206" s="136" t="s">
        <v>786</v>
      </c>
      <c r="E206" s="134" t="s">
        <v>694</v>
      </c>
      <c r="F206" s="137" t="s">
        <v>215</v>
      </c>
      <c r="G206" s="138" t="s">
        <v>368</v>
      </c>
      <c r="H206" s="139"/>
      <c r="I206" s="140">
        <v>1</v>
      </c>
      <c r="J206" s="141">
        <v>44597</v>
      </c>
      <c r="K206" s="141">
        <v>44597</v>
      </c>
      <c r="L206" s="181" t="s">
        <v>785</v>
      </c>
      <c r="M206" s="166" t="s">
        <v>21</v>
      </c>
      <c r="N206" s="131"/>
      <c r="O206" s="132"/>
      <c r="P206" s="132"/>
      <c r="Q206" s="132"/>
      <c r="R206" s="132"/>
      <c r="S206" s="132"/>
      <c r="T206" s="132"/>
      <c r="U206" s="132"/>
      <c r="V206" s="132"/>
      <c r="W206" s="132"/>
      <c r="X206" s="132"/>
      <c r="Y206" s="132"/>
      <c r="Z206" s="132"/>
      <c r="AA206" s="132"/>
      <c r="AB206" s="132"/>
    </row>
    <row r="207" spans="1:28" s="133" customFormat="1" ht="15" customHeight="1" outlineLevel="1" x14ac:dyDescent="0.2">
      <c r="A207" s="121">
        <v>3</v>
      </c>
      <c r="B207" s="134">
        <v>47120</v>
      </c>
      <c r="C207" s="135">
        <v>41878</v>
      </c>
      <c r="D207" s="136" t="s">
        <v>787</v>
      </c>
      <c r="E207" s="134" t="s">
        <v>386</v>
      </c>
      <c r="F207" s="137" t="s">
        <v>534</v>
      </c>
      <c r="G207" s="138" t="s">
        <v>469</v>
      </c>
      <c r="H207" s="139"/>
      <c r="I207" s="140">
        <v>1</v>
      </c>
      <c r="J207" s="141">
        <v>30429</v>
      </c>
      <c r="K207" s="141">
        <v>30429</v>
      </c>
      <c r="L207" s="181" t="s">
        <v>785</v>
      </c>
      <c r="M207" s="166" t="s">
        <v>21</v>
      </c>
      <c r="N207" s="131"/>
      <c r="O207" s="132"/>
      <c r="P207" s="132"/>
      <c r="Q207" s="132"/>
      <c r="R207" s="132"/>
      <c r="S207" s="132"/>
      <c r="T207" s="132"/>
      <c r="U207" s="132"/>
      <c r="V207" s="132"/>
      <c r="W207" s="132"/>
      <c r="X207" s="132"/>
      <c r="Y207" s="132"/>
      <c r="Z207" s="132"/>
      <c r="AA207" s="132"/>
      <c r="AB207" s="132"/>
    </row>
    <row r="208" spans="1:28" s="133" customFormat="1" ht="15" customHeight="1" outlineLevel="1" x14ac:dyDescent="0.2">
      <c r="A208" s="121">
        <v>5</v>
      </c>
      <c r="B208" s="134">
        <v>41365</v>
      </c>
      <c r="C208" s="135">
        <v>41858</v>
      </c>
      <c r="D208" s="136" t="s">
        <v>788</v>
      </c>
      <c r="E208" s="134" t="s">
        <v>378</v>
      </c>
      <c r="F208" s="137" t="s">
        <v>215</v>
      </c>
      <c r="G208" s="138" t="s">
        <v>368</v>
      </c>
      <c r="H208" s="139"/>
      <c r="I208" s="140">
        <v>1</v>
      </c>
      <c r="J208" s="141">
        <v>44597</v>
      </c>
      <c r="K208" s="141">
        <v>44597</v>
      </c>
      <c r="L208" s="181" t="s">
        <v>785</v>
      </c>
      <c r="M208" s="166" t="s">
        <v>21</v>
      </c>
      <c r="N208" s="131"/>
      <c r="O208" s="132"/>
      <c r="P208" s="132"/>
      <c r="Q208" s="132"/>
      <c r="R208" s="132"/>
      <c r="S208" s="132"/>
      <c r="T208" s="132"/>
      <c r="U208" s="132"/>
      <c r="V208" s="132"/>
      <c r="W208" s="132"/>
      <c r="X208" s="132"/>
      <c r="Y208" s="132"/>
      <c r="Z208" s="132"/>
      <c r="AA208" s="132"/>
      <c r="AB208" s="132"/>
    </row>
    <row r="209" spans="1:28" s="133" customFormat="1" ht="15" customHeight="1" outlineLevel="1" x14ac:dyDescent="0.2">
      <c r="A209" s="121">
        <v>6</v>
      </c>
      <c r="B209" s="134">
        <v>45788</v>
      </c>
      <c r="C209" s="135">
        <v>41873</v>
      </c>
      <c r="D209" s="136" t="s">
        <v>789</v>
      </c>
      <c r="E209" s="134" t="s">
        <v>475</v>
      </c>
      <c r="F209" s="137" t="s">
        <v>115</v>
      </c>
      <c r="G209" s="138" t="s">
        <v>407</v>
      </c>
      <c r="H209" s="139"/>
      <c r="I209" s="140">
        <v>1</v>
      </c>
      <c r="J209" s="141">
        <v>5274</v>
      </c>
      <c r="K209" s="141">
        <v>5274</v>
      </c>
      <c r="L209" s="181" t="s">
        <v>785</v>
      </c>
      <c r="M209" s="166" t="s">
        <v>21</v>
      </c>
      <c r="N209" s="131"/>
      <c r="O209" s="132"/>
      <c r="P209" s="132"/>
      <c r="Q209" s="132"/>
      <c r="R209" s="132"/>
      <c r="S209" s="132"/>
      <c r="T209" s="132"/>
      <c r="U209" s="132"/>
      <c r="V209" s="132"/>
      <c r="W209" s="132"/>
      <c r="X209" s="132"/>
      <c r="Y209" s="132"/>
      <c r="Z209" s="132"/>
      <c r="AA209" s="132"/>
      <c r="AB209" s="132"/>
    </row>
    <row r="210" spans="1:28" s="133" customFormat="1" ht="15" customHeight="1" outlineLevel="1" x14ac:dyDescent="0.2">
      <c r="A210" s="121">
        <v>7</v>
      </c>
      <c r="B210" s="134">
        <v>47042</v>
      </c>
      <c r="C210" s="135">
        <v>41878</v>
      </c>
      <c r="D210" s="136" t="s">
        <v>790</v>
      </c>
      <c r="E210" s="134" t="s">
        <v>378</v>
      </c>
      <c r="F210" s="137" t="s">
        <v>215</v>
      </c>
      <c r="G210" s="138" t="s">
        <v>368</v>
      </c>
      <c r="H210" s="139"/>
      <c r="I210" s="140">
        <v>1</v>
      </c>
      <c r="J210" s="141">
        <v>44597</v>
      </c>
      <c r="K210" s="141">
        <v>44597</v>
      </c>
      <c r="L210" s="181" t="s">
        <v>785</v>
      </c>
      <c r="M210" s="166" t="s">
        <v>21</v>
      </c>
      <c r="N210" s="131"/>
      <c r="O210" s="132"/>
      <c r="P210" s="132"/>
      <c r="Q210" s="132"/>
      <c r="R210" s="132"/>
      <c r="S210" s="132"/>
      <c r="T210" s="132"/>
      <c r="U210" s="132"/>
      <c r="V210" s="132"/>
      <c r="W210" s="132"/>
      <c r="X210" s="132"/>
      <c r="Y210" s="132"/>
      <c r="Z210" s="132"/>
      <c r="AA210" s="132"/>
      <c r="AB210" s="132"/>
    </row>
    <row r="211" spans="1:28" s="133" customFormat="1" ht="15" customHeight="1" outlineLevel="1" x14ac:dyDescent="0.2">
      <c r="A211" s="121">
        <v>8</v>
      </c>
      <c r="B211" s="134">
        <v>47235</v>
      </c>
      <c r="C211" s="135">
        <v>41878</v>
      </c>
      <c r="D211" s="136" t="s">
        <v>791</v>
      </c>
      <c r="E211" s="134" t="s">
        <v>373</v>
      </c>
      <c r="F211" s="137" t="s">
        <v>115</v>
      </c>
      <c r="G211" s="138" t="s">
        <v>407</v>
      </c>
      <c r="H211" s="139"/>
      <c r="I211" s="140">
        <v>1</v>
      </c>
      <c r="J211" s="141">
        <v>5274</v>
      </c>
      <c r="K211" s="141">
        <v>5274</v>
      </c>
      <c r="L211" s="181" t="s">
        <v>785</v>
      </c>
      <c r="M211" s="166" t="s">
        <v>21</v>
      </c>
      <c r="N211" s="131"/>
      <c r="O211" s="132"/>
      <c r="P211" s="132"/>
      <c r="Q211" s="132"/>
      <c r="R211" s="132"/>
      <c r="S211" s="132"/>
      <c r="T211" s="132"/>
      <c r="U211" s="132"/>
      <c r="V211" s="132"/>
      <c r="W211" s="132"/>
      <c r="X211" s="132"/>
      <c r="Y211" s="132"/>
      <c r="Z211" s="132"/>
      <c r="AA211" s="132"/>
      <c r="AB211" s="132"/>
    </row>
    <row r="212" spans="1:28" s="133" customFormat="1" ht="15" customHeight="1" outlineLevel="1" x14ac:dyDescent="0.2">
      <c r="A212" s="121">
        <v>10</v>
      </c>
      <c r="B212" s="134">
        <v>41287</v>
      </c>
      <c r="C212" s="135">
        <v>41858</v>
      </c>
      <c r="D212" s="136" t="s">
        <v>792</v>
      </c>
      <c r="E212" s="134" t="s">
        <v>378</v>
      </c>
      <c r="F212" s="137" t="s">
        <v>679</v>
      </c>
      <c r="G212" s="138" t="s">
        <v>368</v>
      </c>
      <c r="H212" s="139"/>
      <c r="I212" s="140">
        <v>1</v>
      </c>
      <c r="J212" s="141">
        <v>55058</v>
      </c>
      <c r="K212" s="141">
        <v>55058</v>
      </c>
      <c r="L212" s="181" t="s">
        <v>785</v>
      </c>
      <c r="M212" s="166" t="s">
        <v>21</v>
      </c>
      <c r="N212" s="131"/>
      <c r="O212" s="132"/>
      <c r="P212" s="132"/>
      <c r="Q212" s="132"/>
      <c r="R212" s="132"/>
      <c r="S212" s="132"/>
      <c r="T212" s="132"/>
      <c r="U212" s="132"/>
      <c r="V212" s="132"/>
      <c r="W212" s="132"/>
      <c r="X212" s="132"/>
      <c r="Y212" s="132"/>
      <c r="Z212" s="132"/>
      <c r="AA212" s="132"/>
      <c r="AB212" s="132"/>
    </row>
    <row r="213" spans="1:28" s="133" customFormat="1" ht="15" customHeight="1" outlineLevel="1" x14ac:dyDescent="0.2">
      <c r="A213" s="121">
        <v>11</v>
      </c>
      <c r="B213" s="134">
        <v>48407</v>
      </c>
      <c r="C213" s="135">
        <v>41881</v>
      </c>
      <c r="D213" s="136" t="s">
        <v>793</v>
      </c>
      <c r="E213" s="134" t="s">
        <v>373</v>
      </c>
      <c r="F213" s="137" t="s">
        <v>577</v>
      </c>
      <c r="G213" s="138" t="s">
        <v>368</v>
      </c>
      <c r="H213" s="139"/>
      <c r="I213" s="140">
        <v>1</v>
      </c>
      <c r="J213" s="141">
        <v>25800</v>
      </c>
      <c r="K213" s="141">
        <v>25800</v>
      </c>
      <c r="L213" s="181" t="s">
        <v>785</v>
      </c>
      <c r="M213" s="166" t="s">
        <v>21</v>
      </c>
      <c r="N213" s="131"/>
      <c r="O213" s="132"/>
      <c r="P213" s="132"/>
      <c r="Q213" s="132"/>
      <c r="R213" s="132"/>
      <c r="S213" s="132"/>
      <c r="T213" s="132"/>
      <c r="U213" s="132"/>
      <c r="V213" s="132"/>
      <c r="W213" s="132"/>
      <c r="X213" s="132"/>
      <c r="Y213" s="132"/>
      <c r="Z213" s="132"/>
      <c r="AA213" s="132"/>
      <c r="AB213" s="132"/>
    </row>
    <row r="214" spans="1:28" s="133" customFormat="1" ht="15" customHeight="1" outlineLevel="1" x14ac:dyDescent="0.2">
      <c r="A214" s="121">
        <v>12</v>
      </c>
      <c r="B214" s="134">
        <v>46503</v>
      </c>
      <c r="C214" s="135">
        <v>41876</v>
      </c>
      <c r="D214" s="136" t="s">
        <v>794</v>
      </c>
      <c r="E214" s="134" t="s">
        <v>378</v>
      </c>
      <c r="F214" s="137" t="s">
        <v>679</v>
      </c>
      <c r="G214" s="138" t="s">
        <v>368</v>
      </c>
      <c r="H214" s="139"/>
      <c r="I214" s="140">
        <v>1</v>
      </c>
      <c r="J214" s="141">
        <v>55058</v>
      </c>
      <c r="K214" s="141">
        <v>55058</v>
      </c>
      <c r="L214" s="181" t="s">
        <v>785</v>
      </c>
      <c r="M214" s="166" t="s">
        <v>21</v>
      </c>
      <c r="N214" s="131"/>
      <c r="O214" s="132"/>
      <c r="P214" s="132"/>
      <c r="Q214" s="132"/>
      <c r="R214" s="132"/>
      <c r="S214" s="132"/>
      <c r="T214" s="132"/>
      <c r="U214" s="132"/>
      <c r="V214" s="132"/>
      <c r="W214" s="132"/>
      <c r="X214" s="132"/>
      <c r="Y214" s="132"/>
      <c r="Z214" s="132"/>
      <c r="AA214" s="132"/>
      <c r="AB214" s="132"/>
    </row>
    <row r="215" spans="1:28" s="133" customFormat="1" ht="15" customHeight="1" outlineLevel="1" x14ac:dyDescent="0.2">
      <c r="A215" s="121">
        <v>13</v>
      </c>
      <c r="B215" s="134">
        <v>41253</v>
      </c>
      <c r="C215" s="135">
        <v>41858</v>
      </c>
      <c r="D215" s="136" t="s">
        <v>795</v>
      </c>
      <c r="E215" s="134" t="s">
        <v>386</v>
      </c>
      <c r="F215" s="137" t="s">
        <v>534</v>
      </c>
      <c r="G215" s="138" t="s">
        <v>412</v>
      </c>
      <c r="H215" s="139"/>
      <c r="I215" s="140">
        <v>1</v>
      </c>
      <c r="J215" s="141">
        <v>30429</v>
      </c>
      <c r="K215" s="141">
        <v>30429</v>
      </c>
      <c r="L215" s="181" t="s">
        <v>785</v>
      </c>
      <c r="M215" s="166" t="s">
        <v>21</v>
      </c>
      <c r="N215" s="131"/>
      <c r="O215" s="132"/>
      <c r="P215" s="132"/>
      <c r="Q215" s="132"/>
      <c r="R215" s="132"/>
      <c r="S215" s="132"/>
      <c r="T215" s="132"/>
      <c r="U215" s="132"/>
      <c r="V215" s="132"/>
      <c r="W215" s="132"/>
      <c r="X215" s="132"/>
      <c r="Y215" s="132"/>
      <c r="Z215" s="132"/>
      <c r="AA215" s="132"/>
      <c r="AB215" s="132"/>
    </row>
    <row r="216" spans="1:28" s="133" customFormat="1" ht="15" customHeight="1" outlineLevel="1" x14ac:dyDescent="0.2">
      <c r="A216" s="121">
        <v>14</v>
      </c>
      <c r="B216" s="134">
        <v>45700</v>
      </c>
      <c r="C216" s="135">
        <v>41873</v>
      </c>
      <c r="D216" s="136" t="s">
        <v>796</v>
      </c>
      <c r="E216" s="134" t="s">
        <v>373</v>
      </c>
      <c r="F216" s="137" t="s">
        <v>679</v>
      </c>
      <c r="G216" s="138" t="s">
        <v>366</v>
      </c>
      <c r="H216" s="139"/>
      <c r="I216" s="140">
        <v>1</v>
      </c>
      <c r="J216" s="141">
        <v>55058</v>
      </c>
      <c r="K216" s="141">
        <v>55058</v>
      </c>
      <c r="L216" s="181" t="s">
        <v>785</v>
      </c>
      <c r="M216" s="166" t="s">
        <v>21</v>
      </c>
      <c r="N216" s="131"/>
      <c r="O216" s="132"/>
      <c r="P216" s="132"/>
      <c r="Q216" s="132"/>
      <c r="R216" s="132"/>
      <c r="S216" s="132"/>
      <c r="T216" s="132"/>
      <c r="U216" s="132"/>
      <c r="V216" s="132"/>
      <c r="W216" s="132"/>
      <c r="X216" s="132"/>
      <c r="Y216" s="132"/>
      <c r="Z216" s="132"/>
      <c r="AA216" s="132"/>
      <c r="AB216" s="132"/>
    </row>
    <row r="217" spans="1:28" s="133" customFormat="1" ht="15" customHeight="1" outlineLevel="1" x14ac:dyDescent="0.2">
      <c r="A217" s="121">
        <v>15</v>
      </c>
      <c r="B217" s="134">
        <v>47864</v>
      </c>
      <c r="C217" s="135">
        <v>41879</v>
      </c>
      <c r="D217" s="136" t="s">
        <v>797</v>
      </c>
      <c r="E217" s="134" t="s">
        <v>378</v>
      </c>
      <c r="F217" s="137" t="s">
        <v>679</v>
      </c>
      <c r="G217" s="138" t="s">
        <v>366</v>
      </c>
      <c r="H217" s="139"/>
      <c r="I217" s="140">
        <v>1</v>
      </c>
      <c r="J217" s="141">
        <v>55058</v>
      </c>
      <c r="K217" s="141">
        <v>55058</v>
      </c>
      <c r="L217" s="181" t="s">
        <v>785</v>
      </c>
      <c r="M217" s="166" t="s">
        <v>21</v>
      </c>
      <c r="N217" s="131"/>
      <c r="O217" s="132"/>
      <c r="P217" s="132"/>
      <c r="Q217" s="132"/>
      <c r="R217" s="132"/>
      <c r="S217" s="132"/>
      <c r="T217" s="132"/>
      <c r="U217" s="132"/>
      <c r="V217" s="132"/>
      <c r="W217" s="132"/>
      <c r="X217" s="132"/>
      <c r="Y217" s="132"/>
      <c r="Z217" s="132"/>
      <c r="AA217" s="132"/>
      <c r="AB217" s="132"/>
    </row>
    <row r="218" spans="1:28" s="133" customFormat="1" ht="15" customHeight="1" outlineLevel="1" x14ac:dyDescent="0.2">
      <c r="A218" s="121">
        <v>16</v>
      </c>
      <c r="B218" s="134">
        <v>44907</v>
      </c>
      <c r="C218" s="135">
        <v>41870</v>
      </c>
      <c r="D218" s="136" t="s">
        <v>798</v>
      </c>
      <c r="E218" s="134" t="s">
        <v>799</v>
      </c>
      <c r="F218" s="137" t="s">
        <v>235</v>
      </c>
      <c r="G218" s="138" t="s">
        <v>368</v>
      </c>
      <c r="H218" s="139"/>
      <c r="I218" s="140">
        <v>1</v>
      </c>
      <c r="J218" s="141">
        <v>10401</v>
      </c>
      <c r="K218" s="141">
        <v>10401</v>
      </c>
      <c r="L218" s="181" t="s">
        <v>785</v>
      </c>
      <c r="M218" s="166" t="s">
        <v>21</v>
      </c>
      <c r="N218" s="131"/>
      <c r="O218" s="132"/>
      <c r="P218" s="132"/>
      <c r="Q218" s="132"/>
      <c r="R218" s="132"/>
      <c r="S218" s="132"/>
      <c r="T218" s="132"/>
      <c r="U218" s="132"/>
      <c r="V218" s="132"/>
      <c r="W218" s="132"/>
      <c r="X218" s="132"/>
      <c r="Y218" s="132"/>
      <c r="Z218" s="132"/>
      <c r="AA218" s="132"/>
      <c r="AB218" s="132"/>
    </row>
    <row r="219" spans="1:28" s="133" customFormat="1" ht="15" customHeight="1" outlineLevel="1" x14ac:dyDescent="0.2">
      <c r="A219" s="121">
        <v>17</v>
      </c>
      <c r="B219" s="134">
        <v>41854</v>
      </c>
      <c r="C219" s="135">
        <v>41859</v>
      </c>
      <c r="D219" s="136" t="s">
        <v>800</v>
      </c>
      <c r="E219" s="134" t="s">
        <v>378</v>
      </c>
      <c r="F219" s="137" t="s">
        <v>679</v>
      </c>
      <c r="G219" s="138" t="s">
        <v>368</v>
      </c>
      <c r="H219" s="139"/>
      <c r="I219" s="140">
        <v>1</v>
      </c>
      <c r="J219" s="141">
        <v>55058</v>
      </c>
      <c r="K219" s="141">
        <v>55058</v>
      </c>
      <c r="L219" s="181" t="s">
        <v>785</v>
      </c>
      <c r="M219" s="166" t="s">
        <v>21</v>
      </c>
      <c r="N219" s="131"/>
      <c r="O219" s="132"/>
      <c r="P219" s="132"/>
      <c r="Q219" s="132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</row>
    <row r="220" spans="1:28" s="133" customFormat="1" ht="15" customHeight="1" outlineLevel="1" x14ac:dyDescent="0.2">
      <c r="A220" s="121">
        <v>18</v>
      </c>
      <c r="B220" s="134">
        <v>41386</v>
      </c>
      <c r="C220" s="135">
        <v>41858</v>
      </c>
      <c r="D220" s="136" t="s">
        <v>801</v>
      </c>
      <c r="E220" s="134" t="s">
        <v>378</v>
      </c>
      <c r="F220" s="137" t="s">
        <v>114</v>
      </c>
      <c r="G220" s="138" t="s">
        <v>802</v>
      </c>
      <c r="H220" s="139"/>
      <c r="I220" s="140">
        <v>1</v>
      </c>
      <c r="J220" s="141">
        <v>33370</v>
      </c>
      <c r="K220" s="141">
        <v>33370</v>
      </c>
      <c r="L220" s="181" t="s">
        <v>785</v>
      </c>
      <c r="M220" s="166" t="s">
        <v>21</v>
      </c>
      <c r="N220" s="131"/>
      <c r="O220" s="132"/>
      <c r="P220" s="132"/>
      <c r="Q220" s="132"/>
      <c r="R220" s="132"/>
      <c r="S220" s="132"/>
      <c r="T220" s="132"/>
      <c r="U220" s="132"/>
      <c r="V220" s="132"/>
      <c r="W220" s="132"/>
      <c r="X220" s="132"/>
      <c r="Y220" s="132"/>
      <c r="Z220" s="132"/>
      <c r="AA220" s="132"/>
      <c r="AB220" s="132"/>
    </row>
    <row r="221" spans="1:28" s="133" customFormat="1" ht="15" customHeight="1" outlineLevel="1" x14ac:dyDescent="0.2">
      <c r="A221" s="121">
        <v>19</v>
      </c>
      <c r="B221" s="134">
        <v>40785</v>
      </c>
      <c r="C221" s="135">
        <v>41856</v>
      </c>
      <c r="D221" s="136" t="s">
        <v>803</v>
      </c>
      <c r="E221" s="134" t="s">
        <v>373</v>
      </c>
      <c r="F221" s="137" t="s">
        <v>577</v>
      </c>
      <c r="G221" s="138" t="s">
        <v>368</v>
      </c>
      <c r="H221" s="139"/>
      <c r="I221" s="140">
        <v>1</v>
      </c>
      <c r="J221" s="141">
        <v>25800</v>
      </c>
      <c r="K221" s="141">
        <v>25800</v>
      </c>
      <c r="L221" s="181" t="s">
        <v>785</v>
      </c>
      <c r="M221" s="166" t="s">
        <v>21</v>
      </c>
      <c r="N221" s="131"/>
      <c r="O221" s="132"/>
      <c r="P221" s="132"/>
      <c r="Q221" s="132"/>
      <c r="R221" s="132"/>
      <c r="S221" s="132"/>
      <c r="T221" s="132"/>
      <c r="U221" s="132"/>
      <c r="V221" s="132"/>
      <c r="W221" s="132"/>
      <c r="X221" s="132"/>
      <c r="Y221" s="132"/>
      <c r="Z221" s="132"/>
      <c r="AA221" s="132"/>
      <c r="AB221" s="132"/>
    </row>
    <row r="222" spans="1:28" s="133" customFormat="1" ht="15" customHeight="1" outlineLevel="1" x14ac:dyDescent="0.2">
      <c r="A222" s="121">
        <v>20</v>
      </c>
      <c r="B222" s="134">
        <v>41517</v>
      </c>
      <c r="C222" s="135">
        <v>41858</v>
      </c>
      <c r="D222" s="136" t="s">
        <v>804</v>
      </c>
      <c r="E222" s="134" t="s">
        <v>378</v>
      </c>
      <c r="F222" s="137" t="s">
        <v>114</v>
      </c>
      <c r="G222" s="138" t="s">
        <v>401</v>
      </c>
      <c r="H222" s="139"/>
      <c r="I222" s="140">
        <v>1</v>
      </c>
      <c r="J222" s="141">
        <v>33370</v>
      </c>
      <c r="K222" s="141">
        <v>33370</v>
      </c>
      <c r="L222" s="181" t="s">
        <v>785</v>
      </c>
      <c r="M222" s="166" t="s">
        <v>21</v>
      </c>
      <c r="N222" s="131"/>
      <c r="O222" s="132"/>
      <c r="P222" s="132"/>
      <c r="Q222" s="132"/>
      <c r="R222" s="132"/>
      <c r="S222" s="132"/>
      <c r="T222" s="132"/>
      <c r="U222" s="132"/>
      <c r="V222" s="132"/>
      <c r="W222" s="132"/>
      <c r="X222" s="132"/>
      <c r="Y222" s="132"/>
      <c r="Z222" s="132"/>
      <c r="AA222" s="132"/>
      <c r="AB222" s="132"/>
    </row>
    <row r="223" spans="1:28" s="133" customFormat="1" ht="15" customHeight="1" outlineLevel="1" x14ac:dyDescent="0.2">
      <c r="A223" s="121">
        <v>21</v>
      </c>
      <c r="B223" s="134">
        <v>46978</v>
      </c>
      <c r="C223" s="135">
        <v>41877</v>
      </c>
      <c r="D223" s="136" t="s">
        <v>805</v>
      </c>
      <c r="E223" s="134" t="s">
        <v>373</v>
      </c>
      <c r="F223" s="137" t="s">
        <v>217</v>
      </c>
      <c r="G223" s="138" t="s">
        <v>368</v>
      </c>
      <c r="H223" s="139"/>
      <c r="I223" s="140">
        <v>1</v>
      </c>
      <c r="J223" s="141">
        <v>22299</v>
      </c>
      <c r="K223" s="141">
        <v>22299</v>
      </c>
      <c r="L223" s="181" t="s">
        <v>785</v>
      </c>
      <c r="M223" s="166" t="s">
        <v>21</v>
      </c>
      <c r="N223" s="131"/>
      <c r="O223" s="132"/>
      <c r="P223" s="132"/>
      <c r="Q223" s="132"/>
      <c r="R223" s="132"/>
      <c r="S223" s="132"/>
      <c r="T223" s="132"/>
      <c r="U223" s="132"/>
      <c r="V223" s="132"/>
      <c r="W223" s="132"/>
      <c r="X223" s="132"/>
      <c r="Y223" s="132"/>
      <c r="Z223" s="132"/>
      <c r="AA223" s="132"/>
      <c r="AB223" s="132"/>
    </row>
    <row r="224" spans="1:28" s="133" customFormat="1" ht="15" customHeight="1" outlineLevel="1" x14ac:dyDescent="0.2">
      <c r="A224" s="121">
        <v>22</v>
      </c>
      <c r="B224" s="134">
        <v>46514</v>
      </c>
      <c r="C224" s="135">
        <v>41876</v>
      </c>
      <c r="D224" s="136" t="s">
        <v>806</v>
      </c>
      <c r="E224" s="134" t="s">
        <v>373</v>
      </c>
      <c r="F224" s="137" t="s">
        <v>215</v>
      </c>
      <c r="G224" s="138" t="s">
        <v>366</v>
      </c>
      <c r="H224" s="139"/>
      <c r="I224" s="140">
        <v>1</v>
      </c>
      <c r="J224" s="141">
        <v>44597</v>
      </c>
      <c r="K224" s="141">
        <v>44597</v>
      </c>
      <c r="L224" s="181" t="s">
        <v>785</v>
      </c>
      <c r="M224" s="166" t="s">
        <v>21</v>
      </c>
      <c r="N224" s="131"/>
      <c r="O224" s="132"/>
      <c r="P224" s="132"/>
      <c r="Q224" s="132"/>
      <c r="R224" s="132"/>
      <c r="S224" s="132"/>
      <c r="T224" s="132"/>
      <c r="U224" s="132"/>
      <c r="V224" s="132"/>
      <c r="W224" s="132"/>
      <c r="X224" s="132"/>
      <c r="Y224" s="132"/>
      <c r="Z224" s="132"/>
      <c r="AA224" s="132"/>
      <c r="AB224" s="132"/>
    </row>
    <row r="225" spans="1:28" s="133" customFormat="1" ht="15" customHeight="1" outlineLevel="1" x14ac:dyDescent="0.2">
      <c r="A225" s="121">
        <v>23</v>
      </c>
      <c r="B225" s="134">
        <v>40498</v>
      </c>
      <c r="C225" s="135">
        <v>41858</v>
      </c>
      <c r="D225" s="136" t="s">
        <v>807</v>
      </c>
      <c r="E225" s="134" t="s">
        <v>378</v>
      </c>
      <c r="F225" s="137" t="s">
        <v>215</v>
      </c>
      <c r="G225" s="138" t="s">
        <v>368</v>
      </c>
      <c r="H225" s="139"/>
      <c r="I225" s="140">
        <v>1</v>
      </c>
      <c r="J225" s="141">
        <v>44597</v>
      </c>
      <c r="K225" s="141">
        <v>44597</v>
      </c>
      <c r="L225" s="181" t="s">
        <v>785</v>
      </c>
      <c r="M225" s="166" t="s">
        <v>21</v>
      </c>
      <c r="N225" s="131"/>
      <c r="O225" s="132"/>
      <c r="P225" s="132"/>
      <c r="Q225" s="132"/>
      <c r="R225" s="132"/>
      <c r="S225" s="132"/>
      <c r="T225" s="132"/>
      <c r="U225" s="132"/>
      <c r="V225" s="132"/>
      <c r="W225" s="132"/>
      <c r="X225" s="132"/>
      <c r="Y225" s="132"/>
      <c r="Z225" s="132"/>
      <c r="AA225" s="132"/>
      <c r="AB225" s="132"/>
    </row>
    <row r="226" spans="1:28" s="133" customFormat="1" ht="15" customHeight="1" outlineLevel="1" x14ac:dyDescent="0.2">
      <c r="A226" s="121">
        <v>24</v>
      </c>
      <c r="B226" s="134">
        <v>43053</v>
      </c>
      <c r="C226" s="135">
        <v>41863</v>
      </c>
      <c r="D226" s="136" t="s">
        <v>808</v>
      </c>
      <c r="E226" s="134" t="s">
        <v>386</v>
      </c>
      <c r="F226" s="137" t="s">
        <v>115</v>
      </c>
      <c r="G226" s="138" t="s">
        <v>809</v>
      </c>
      <c r="H226" s="139"/>
      <c r="I226" s="140">
        <v>3</v>
      </c>
      <c r="J226" s="141">
        <v>5274</v>
      </c>
      <c r="K226" s="141">
        <v>15822</v>
      </c>
      <c r="L226" s="181" t="s">
        <v>785</v>
      </c>
      <c r="M226" s="166" t="s">
        <v>21</v>
      </c>
      <c r="N226" s="131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</row>
    <row r="227" spans="1:28" s="133" customFormat="1" ht="15" customHeight="1" outlineLevel="1" x14ac:dyDescent="0.2">
      <c r="A227" s="121">
        <v>25</v>
      </c>
      <c r="B227" s="134">
        <v>47712</v>
      </c>
      <c r="C227" s="135">
        <v>41879</v>
      </c>
      <c r="D227" s="136" t="s">
        <v>782</v>
      </c>
      <c r="E227" s="134" t="s">
        <v>386</v>
      </c>
      <c r="F227" s="137" t="s">
        <v>190</v>
      </c>
      <c r="G227" s="138" t="s">
        <v>442</v>
      </c>
      <c r="H227" s="139"/>
      <c r="I227" s="140">
        <v>1</v>
      </c>
      <c r="J227" s="141">
        <v>57960</v>
      </c>
      <c r="K227" s="141">
        <v>57960</v>
      </c>
      <c r="L227" s="181" t="s">
        <v>785</v>
      </c>
      <c r="M227" s="166" t="s">
        <v>21</v>
      </c>
      <c r="N227" s="131"/>
      <c r="O227" s="132"/>
      <c r="P227" s="132"/>
      <c r="Q227" s="132"/>
      <c r="R227" s="132"/>
      <c r="S227" s="132"/>
      <c r="T227" s="132"/>
      <c r="U227" s="132"/>
      <c r="V227" s="132"/>
      <c r="W227" s="132"/>
      <c r="X227" s="132"/>
      <c r="Y227" s="132"/>
      <c r="Z227" s="132"/>
      <c r="AA227" s="132"/>
      <c r="AB227" s="132"/>
    </row>
    <row r="228" spans="1:28" s="133" customFormat="1" ht="15" customHeight="1" outlineLevel="1" x14ac:dyDescent="0.2">
      <c r="A228" s="121">
        <v>1</v>
      </c>
      <c r="B228" s="134">
        <v>52055</v>
      </c>
      <c r="C228" s="135">
        <v>41894</v>
      </c>
      <c r="D228" s="136" t="s">
        <v>810</v>
      </c>
      <c r="E228" s="134" t="s">
        <v>378</v>
      </c>
      <c r="F228" s="137" t="s">
        <v>215</v>
      </c>
      <c r="G228" s="138" t="s">
        <v>366</v>
      </c>
      <c r="H228" s="139"/>
      <c r="I228" s="140">
        <v>1</v>
      </c>
      <c r="J228" s="141">
        <v>44597</v>
      </c>
      <c r="K228" s="141">
        <v>44597</v>
      </c>
      <c r="L228" s="181" t="s">
        <v>614</v>
      </c>
      <c r="M228" s="167" t="s">
        <v>21</v>
      </c>
      <c r="N228" s="131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</row>
    <row r="229" spans="1:28" s="133" customFormat="1" ht="15" customHeight="1" outlineLevel="1" x14ac:dyDescent="0.2">
      <c r="A229" s="121">
        <v>2</v>
      </c>
      <c r="B229" s="134">
        <v>53984</v>
      </c>
      <c r="C229" s="135">
        <v>41898</v>
      </c>
      <c r="D229" s="136" t="s">
        <v>811</v>
      </c>
      <c r="E229" s="134" t="s">
        <v>368</v>
      </c>
      <c r="F229" s="137" t="s">
        <v>215</v>
      </c>
      <c r="G229" s="138" t="s">
        <v>368</v>
      </c>
      <c r="H229" s="139"/>
      <c r="I229" s="140">
        <v>1</v>
      </c>
      <c r="J229" s="141">
        <v>44597</v>
      </c>
      <c r="K229" s="141">
        <v>44597</v>
      </c>
      <c r="L229" s="181" t="s">
        <v>614</v>
      </c>
      <c r="M229" s="167" t="s">
        <v>21</v>
      </c>
      <c r="N229" s="131"/>
      <c r="O229" s="132"/>
      <c r="P229" s="132"/>
      <c r="Q229" s="132"/>
      <c r="R229" s="132"/>
      <c r="S229" s="132"/>
      <c r="T229" s="132"/>
      <c r="U229" s="132"/>
      <c r="V229" s="132"/>
      <c r="W229" s="132"/>
      <c r="X229" s="132"/>
      <c r="Y229" s="132"/>
      <c r="Z229" s="132"/>
      <c r="AA229" s="132"/>
      <c r="AB229" s="132"/>
    </row>
    <row r="230" spans="1:28" s="133" customFormat="1" ht="15" customHeight="1" outlineLevel="1" x14ac:dyDescent="0.2">
      <c r="A230" s="121">
        <v>3</v>
      </c>
      <c r="B230" s="134">
        <v>50318</v>
      </c>
      <c r="C230" s="135">
        <v>41887</v>
      </c>
      <c r="D230" s="136" t="s">
        <v>812</v>
      </c>
      <c r="E230" s="134" t="s">
        <v>373</v>
      </c>
      <c r="F230" s="137" t="s">
        <v>115</v>
      </c>
      <c r="G230" s="138" t="s">
        <v>813</v>
      </c>
      <c r="H230" s="139"/>
      <c r="I230" s="140">
        <v>3</v>
      </c>
      <c r="J230" s="141">
        <v>5274</v>
      </c>
      <c r="K230" s="141">
        <v>15822</v>
      </c>
      <c r="L230" s="181" t="s">
        <v>614</v>
      </c>
      <c r="M230" s="167" t="s">
        <v>21</v>
      </c>
      <c r="N230" s="131"/>
      <c r="O230" s="132"/>
      <c r="P230" s="132"/>
      <c r="Q230" s="132"/>
      <c r="R230" s="132"/>
      <c r="S230" s="132"/>
      <c r="T230" s="132"/>
      <c r="U230" s="132"/>
      <c r="V230" s="132"/>
      <c r="W230" s="132"/>
      <c r="X230" s="132"/>
      <c r="Y230" s="132"/>
      <c r="Z230" s="132"/>
      <c r="AA230" s="132"/>
      <c r="AB230" s="132"/>
    </row>
    <row r="231" spans="1:28" s="133" customFormat="1" ht="15" customHeight="1" outlineLevel="1" x14ac:dyDescent="0.2">
      <c r="A231" s="121">
        <v>4</v>
      </c>
      <c r="B231" s="134">
        <v>50440</v>
      </c>
      <c r="C231" s="135">
        <v>41887</v>
      </c>
      <c r="D231" s="136" t="s">
        <v>814</v>
      </c>
      <c r="E231" s="134" t="s">
        <v>518</v>
      </c>
      <c r="F231" s="137" t="s">
        <v>577</v>
      </c>
      <c r="G231" s="138" t="s">
        <v>368</v>
      </c>
      <c r="H231" s="139"/>
      <c r="I231" s="140">
        <v>1</v>
      </c>
      <c r="J231" s="141">
        <v>25800</v>
      </c>
      <c r="K231" s="141">
        <v>25800</v>
      </c>
      <c r="L231" s="181" t="s">
        <v>614</v>
      </c>
      <c r="M231" s="167" t="s">
        <v>21</v>
      </c>
      <c r="N231" s="131"/>
      <c r="O231" s="132"/>
      <c r="P231" s="132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</row>
    <row r="232" spans="1:28" s="133" customFormat="1" ht="15" customHeight="1" outlineLevel="1" x14ac:dyDescent="0.2">
      <c r="A232" s="121">
        <v>5</v>
      </c>
      <c r="B232" s="134">
        <v>51505</v>
      </c>
      <c r="C232" s="135">
        <v>41892</v>
      </c>
      <c r="D232" s="136" t="s">
        <v>815</v>
      </c>
      <c r="E232" s="134" t="s">
        <v>378</v>
      </c>
      <c r="F232" s="137" t="s">
        <v>215</v>
      </c>
      <c r="G232" s="138" t="s">
        <v>368</v>
      </c>
      <c r="H232" s="139"/>
      <c r="I232" s="140">
        <v>1</v>
      </c>
      <c r="J232" s="141">
        <v>44597</v>
      </c>
      <c r="K232" s="141">
        <v>44597</v>
      </c>
      <c r="L232" s="181" t="s">
        <v>614</v>
      </c>
      <c r="M232" s="167" t="s">
        <v>21</v>
      </c>
      <c r="N232" s="131"/>
      <c r="O232" s="132"/>
      <c r="P232" s="132"/>
      <c r="Q232" s="132"/>
      <c r="R232" s="132"/>
      <c r="S232" s="132"/>
      <c r="T232" s="132"/>
      <c r="U232" s="132"/>
      <c r="V232" s="132"/>
      <c r="W232" s="132"/>
      <c r="X232" s="132"/>
      <c r="Y232" s="132"/>
      <c r="Z232" s="132"/>
      <c r="AA232" s="132"/>
      <c r="AB232" s="132"/>
    </row>
    <row r="233" spans="1:28" s="133" customFormat="1" ht="15" customHeight="1" outlineLevel="1" x14ac:dyDescent="0.2">
      <c r="A233" s="121">
        <v>7</v>
      </c>
      <c r="B233" s="134">
        <v>50050</v>
      </c>
      <c r="C233" s="135">
        <v>41886</v>
      </c>
      <c r="D233" s="136" t="s">
        <v>816</v>
      </c>
      <c r="E233" s="134" t="s">
        <v>378</v>
      </c>
      <c r="F233" s="137" t="s">
        <v>215</v>
      </c>
      <c r="G233" s="138" t="s">
        <v>368</v>
      </c>
      <c r="H233" s="139"/>
      <c r="I233" s="140">
        <v>1</v>
      </c>
      <c r="J233" s="141">
        <v>44597</v>
      </c>
      <c r="K233" s="141">
        <v>44597</v>
      </c>
      <c r="L233" s="181" t="s">
        <v>614</v>
      </c>
      <c r="M233" s="167" t="s">
        <v>21</v>
      </c>
      <c r="N233" s="131"/>
      <c r="O233" s="132"/>
      <c r="P233" s="132"/>
      <c r="Q233" s="132"/>
      <c r="R233" s="132"/>
      <c r="S233" s="132"/>
      <c r="T233" s="132"/>
      <c r="U233" s="132"/>
      <c r="V233" s="132"/>
      <c r="W233" s="132"/>
      <c r="X233" s="132"/>
      <c r="Y233" s="132"/>
      <c r="Z233" s="132"/>
      <c r="AA233" s="132"/>
      <c r="AB233" s="132"/>
    </row>
    <row r="234" spans="1:28" s="133" customFormat="1" ht="15" customHeight="1" outlineLevel="1" x14ac:dyDescent="0.2">
      <c r="A234" s="121">
        <v>8</v>
      </c>
      <c r="B234" s="134">
        <v>44286</v>
      </c>
      <c r="C234" s="135">
        <v>41870</v>
      </c>
      <c r="D234" s="136" t="s">
        <v>817</v>
      </c>
      <c r="E234" s="134" t="s">
        <v>378</v>
      </c>
      <c r="F234" s="137" t="s">
        <v>114</v>
      </c>
      <c r="G234" s="138" t="s">
        <v>469</v>
      </c>
      <c r="H234" s="139"/>
      <c r="I234" s="140">
        <v>1</v>
      </c>
      <c r="J234" s="141">
        <v>33370</v>
      </c>
      <c r="K234" s="179">
        <v>33370</v>
      </c>
      <c r="L234" s="181" t="s">
        <v>614</v>
      </c>
      <c r="M234" s="167" t="s">
        <v>21</v>
      </c>
      <c r="N234" s="131"/>
      <c r="O234" s="132"/>
      <c r="P234" s="132"/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</row>
    <row r="235" spans="1:28" s="133" customFormat="1" ht="15" customHeight="1" outlineLevel="1" x14ac:dyDescent="0.2">
      <c r="A235" s="121">
        <v>9</v>
      </c>
      <c r="B235" s="134">
        <v>48697</v>
      </c>
      <c r="C235" s="135">
        <v>41883</v>
      </c>
      <c r="D235" s="136" t="s">
        <v>818</v>
      </c>
      <c r="E235" s="134" t="s">
        <v>373</v>
      </c>
      <c r="F235" s="137" t="s">
        <v>215</v>
      </c>
      <c r="G235" s="138" t="s">
        <v>368</v>
      </c>
      <c r="H235" s="139"/>
      <c r="I235" s="140">
        <v>1</v>
      </c>
      <c r="J235" s="141">
        <v>44597</v>
      </c>
      <c r="K235" s="141">
        <v>44597</v>
      </c>
      <c r="L235" s="181" t="s">
        <v>614</v>
      </c>
      <c r="M235" s="167" t="s">
        <v>21</v>
      </c>
      <c r="N235" s="131"/>
      <c r="O235" s="132"/>
      <c r="P235" s="132"/>
      <c r="Q235" s="132"/>
      <c r="R235" s="132"/>
      <c r="S235" s="132"/>
      <c r="T235" s="132"/>
      <c r="U235" s="132"/>
      <c r="V235" s="132"/>
      <c r="W235" s="132"/>
      <c r="X235" s="132"/>
      <c r="Y235" s="132"/>
      <c r="Z235" s="132"/>
      <c r="AA235" s="132"/>
      <c r="AB235" s="132"/>
    </row>
    <row r="236" spans="1:28" s="133" customFormat="1" ht="15" customHeight="1" outlineLevel="1" x14ac:dyDescent="0.2">
      <c r="A236" s="121">
        <v>10</v>
      </c>
      <c r="B236" s="134">
        <v>55850</v>
      </c>
      <c r="C236" s="135">
        <v>41913</v>
      </c>
      <c r="D236" s="136" t="s">
        <v>819</v>
      </c>
      <c r="E236" s="134" t="s">
        <v>373</v>
      </c>
      <c r="F236" s="137" t="s">
        <v>215</v>
      </c>
      <c r="G236" s="138" t="s">
        <v>366</v>
      </c>
      <c r="H236" s="139"/>
      <c r="I236" s="140">
        <v>1</v>
      </c>
      <c r="J236" s="141">
        <v>44597</v>
      </c>
      <c r="K236" s="141">
        <v>44597</v>
      </c>
      <c r="L236" s="181" t="s">
        <v>614</v>
      </c>
      <c r="M236" s="167" t="s">
        <v>21</v>
      </c>
      <c r="N236" s="131"/>
      <c r="O236" s="132"/>
      <c r="P236" s="132"/>
      <c r="Q236" s="132"/>
      <c r="R236" s="132"/>
      <c r="S236" s="132"/>
      <c r="T236" s="132"/>
      <c r="U236" s="132"/>
      <c r="V236" s="132"/>
      <c r="W236" s="132"/>
      <c r="X236" s="132"/>
      <c r="Y236" s="132"/>
      <c r="Z236" s="132"/>
      <c r="AA236" s="132"/>
      <c r="AB236" s="132"/>
    </row>
    <row r="237" spans="1:28" s="133" customFormat="1" ht="15" customHeight="1" outlineLevel="1" x14ac:dyDescent="0.2">
      <c r="A237" s="121">
        <v>11</v>
      </c>
      <c r="B237" s="134">
        <v>49220</v>
      </c>
      <c r="C237" s="135">
        <v>41885</v>
      </c>
      <c r="D237" s="136" t="s">
        <v>820</v>
      </c>
      <c r="E237" s="134" t="s">
        <v>378</v>
      </c>
      <c r="F237" s="137" t="s">
        <v>679</v>
      </c>
      <c r="G237" s="138" t="s">
        <v>368</v>
      </c>
      <c r="H237" s="139"/>
      <c r="I237" s="140">
        <v>1</v>
      </c>
      <c r="J237" s="141">
        <v>55058</v>
      </c>
      <c r="K237" s="141">
        <v>55058</v>
      </c>
      <c r="L237" s="181" t="s">
        <v>614</v>
      </c>
      <c r="M237" s="167" t="s">
        <v>21</v>
      </c>
      <c r="N237" s="131"/>
      <c r="O237" s="132"/>
      <c r="P237" s="132"/>
      <c r="Q237" s="132"/>
      <c r="R237" s="132"/>
      <c r="S237" s="132"/>
      <c r="T237" s="132"/>
      <c r="U237" s="132"/>
      <c r="V237" s="132"/>
      <c r="W237" s="132"/>
      <c r="X237" s="132"/>
      <c r="Y237" s="132"/>
      <c r="Z237" s="132"/>
      <c r="AA237" s="132"/>
      <c r="AB237" s="132"/>
    </row>
    <row r="238" spans="1:28" s="133" customFormat="1" ht="15" customHeight="1" outlineLevel="1" x14ac:dyDescent="0.2">
      <c r="A238" s="121">
        <v>12</v>
      </c>
      <c r="B238" s="134">
        <v>54698</v>
      </c>
      <c r="C238" s="135">
        <v>41905</v>
      </c>
      <c r="D238" s="136" t="s">
        <v>821</v>
      </c>
      <c r="E238" s="134" t="s">
        <v>373</v>
      </c>
      <c r="F238" s="137" t="s">
        <v>215</v>
      </c>
      <c r="G238" s="138" t="s">
        <v>368</v>
      </c>
      <c r="H238" s="139"/>
      <c r="I238" s="140">
        <v>1</v>
      </c>
      <c r="J238" s="141">
        <v>44597</v>
      </c>
      <c r="K238" s="141">
        <v>44597</v>
      </c>
      <c r="L238" s="181" t="s">
        <v>614</v>
      </c>
      <c r="M238" s="167" t="s">
        <v>21</v>
      </c>
      <c r="N238" s="131"/>
      <c r="O238" s="132"/>
      <c r="P238" s="132"/>
      <c r="Q238" s="132"/>
      <c r="R238" s="132"/>
      <c r="S238" s="132"/>
      <c r="T238" s="132"/>
      <c r="U238" s="132"/>
      <c r="V238" s="132"/>
      <c r="W238" s="132"/>
      <c r="X238" s="132"/>
      <c r="Y238" s="132"/>
      <c r="Z238" s="132"/>
      <c r="AA238" s="132"/>
      <c r="AB238" s="132"/>
    </row>
    <row r="239" spans="1:28" s="133" customFormat="1" ht="15" customHeight="1" outlineLevel="1" x14ac:dyDescent="0.2">
      <c r="A239" s="121">
        <v>13</v>
      </c>
      <c r="B239" s="134">
        <v>48410</v>
      </c>
      <c r="C239" s="135">
        <v>41881</v>
      </c>
      <c r="D239" s="136" t="s">
        <v>822</v>
      </c>
      <c r="E239" s="134" t="s">
        <v>518</v>
      </c>
      <c r="F239" s="137" t="s">
        <v>577</v>
      </c>
      <c r="G239" s="138" t="s">
        <v>368</v>
      </c>
      <c r="H239" s="139"/>
      <c r="I239" s="140">
        <v>1</v>
      </c>
      <c r="J239" s="141">
        <v>25800</v>
      </c>
      <c r="K239" s="179">
        <v>25800</v>
      </c>
      <c r="L239" s="181" t="s">
        <v>614</v>
      </c>
      <c r="M239" s="167" t="s">
        <v>21</v>
      </c>
      <c r="N239" s="131"/>
      <c r="O239" s="132"/>
      <c r="P239" s="132"/>
      <c r="Q239" s="132"/>
      <c r="R239" s="132"/>
      <c r="S239" s="132"/>
      <c r="T239" s="132"/>
      <c r="U239" s="132"/>
      <c r="V239" s="132"/>
      <c r="W239" s="132"/>
      <c r="X239" s="132"/>
      <c r="Y239" s="132"/>
      <c r="Z239" s="132"/>
      <c r="AA239" s="132"/>
      <c r="AB239" s="132"/>
    </row>
    <row r="240" spans="1:28" s="133" customFormat="1" ht="15" customHeight="1" outlineLevel="1" x14ac:dyDescent="0.2">
      <c r="A240" s="121">
        <v>14</v>
      </c>
      <c r="B240" s="134">
        <v>55116</v>
      </c>
      <c r="C240" s="135">
        <v>41906</v>
      </c>
      <c r="D240" s="136" t="s">
        <v>823</v>
      </c>
      <c r="E240" s="134" t="s">
        <v>378</v>
      </c>
      <c r="F240" s="137" t="s">
        <v>577</v>
      </c>
      <c r="G240" s="138" t="s">
        <v>368</v>
      </c>
      <c r="H240" s="139"/>
      <c r="I240" s="140">
        <v>1</v>
      </c>
      <c r="J240" s="141">
        <v>25800</v>
      </c>
      <c r="K240" s="141">
        <v>25800</v>
      </c>
      <c r="L240" s="181" t="s">
        <v>614</v>
      </c>
      <c r="M240" s="167" t="s">
        <v>21</v>
      </c>
      <c r="N240" s="131"/>
      <c r="O240" s="132"/>
      <c r="P240" s="132"/>
      <c r="Q240" s="132"/>
      <c r="R240" s="132"/>
      <c r="S240" s="132"/>
      <c r="T240" s="132"/>
      <c r="U240" s="132"/>
      <c r="V240" s="132"/>
      <c r="W240" s="132"/>
      <c r="X240" s="132"/>
      <c r="Y240" s="132"/>
      <c r="Z240" s="132"/>
      <c r="AA240" s="132"/>
      <c r="AB240" s="132"/>
    </row>
    <row r="241" spans="1:28" s="133" customFormat="1" ht="15" customHeight="1" outlineLevel="1" x14ac:dyDescent="0.2">
      <c r="A241" s="121">
        <v>15</v>
      </c>
      <c r="B241" s="134">
        <v>53768</v>
      </c>
      <c r="C241" s="135">
        <v>41898</v>
      </c>
      <c r="D241" s="136" t="s">
        <v>824</v>
      </c>
      <c r="E241" s="134" t="s">
        <v>378</v>
      </c>
      <c r="F241" s="137" t="s">
        <v>115</v>
      </c>
      <c r="G241" s="138" t="s">
        <v>508</v>
      </c>
      <c r="H241" s="139"/>
      <c r="I241" s="140">
        <v>1</v>
      </c>
      <c r="J241" s="141">
        <v>5274</v>
      </c>
      <c r="K241" s="141">
        <v>5274</v>
      </c>
      <c r="L241" s="181" t="s">
        <v>614</v>
      </c>
      <c r="M241" s="167" t="s">
        <v>21</v>
      </c>
      <c r="N241" s="131"/>
      <c r="O241" s="132"/>
      <c r="P241" s="132"/>
      <c r="Q241" s="132"/>
      <c r="R241" s="132"/>
      <c r="S241" s="132"/>
      <c r="T241" s="132"/>
      <c r="U241" s="132"/>
      <c r="V241" s="132"/>
      <c r="W241" s="132"/>
      <c r="X241" s="132"/>
      <c r="Y241" s="132"/>
      <c r="Z241" s="132"/>
      <c r="AA241" s="132"/>
      <c r="AB241" s="132"/>
    </row>
    <row r="242" spans="1:28" s="133" customFormat="1" ht="15" customHeight="1" outlineLevel="1" x14ac:dyDescent="0.2">
      <c r="A242" s="121">
        <v>16</v>
      </c>
      <c r="B242" s="134">
        <v>53768</v>
      </c>
      <c r="C242" s="135">
        <v>41898</v>
      </c>
      <c r="D242" s="136" t="s">
        <v>824</v>
      </c>
      <c r="E242" s="134" t="s">
        <v>378</v>
      </c>
      <c r="F242" s="137" t="s">
        <v>208</v>
      </c>
      <c r="G242" s="138" t="s">
        <v>508</v>
      </c>
      <c r="H242" s="139"/>
      <c r="I242" s="140">
        <v>1</v>
      </c>
      <c r="J242" s="141">
        <v>14099</v>
      </c>
      <c r="K242" s="141">
        <v>14099</v>
      </c>
      <c r="L242" s="181" t="s">
        <v>614</v>
      </c>
      <c r="M242" s="167" t="s">
        <v>21</v>
      </c>
      <c r="N242" s="131"/>
      <c r="O242" s="132"/>
      <c r="P242" s="132"/>
      <c r="Q242" s="132"/>
      <c r="R242" s="132"/>
      <c r="S242" s="132"/>
      <c r="T242" s="132"/>
      <c r="U242" s="132"/>
      <c r="V242" s="132"/>
      <c r="W242" s="132"/>
      <c r="X242" s="132"/>
      <c r="Y242" s="132"/>
      <c r="Z242" s="132"/>
      <c r="AA242" s="132"/>
      <c r="AB242" s="132"/>
    </row>
    <row r="243" spans="1:28" s="133" customFormat="1" ht="15" customHeight="1" outlineLevel="1" x14ac:dyDescent="0.2">
      <c r="A243" s="121">
        <v>17</v>
      </c>
      <c r="B243" s="134">
        <v>50557</v>
      </c>
      <c r="C243" s="135">
        <v>41888</v>
      </c>
      <c r="D243" s="136" t="s">
        <v>825</v>
      </c>
      <c r="E243" s="134" t="s">
        <v>799</v>
      </c>
      <c r="F243" s="137" t="s">
        <v>195</v>
      </c>
      <c r="G243" s="138" t="s">
        <v>826</v>
      </c>
      <c r="H243" s="139"/>
      <c r="I243" s="140">
        <v>4</v>
      </c>
      <c r="J243" s="141">
        <v>2739</v>
      </c>
      <c r="K243" s="141">
        <v>10956</v>
      </c>
      <c r="L243" s="181" t="s">
        <v>614</v>
      </c>
      <c r="M243" s="167" t="s">
        <v>21</v>
      </c>
      <c r="N243" s="131"/>
      <c r="O243" s="132"/>
      <c r="P243" s="132"/>
      <c r="Q243" s="132"/>
      <c r="R243" s="132"/>
      <c r="S243" s="132"/>
      <c r="T243" s="132"/>
      <c r="U243" s="132"/>
      <c r="V243" s="132"/>
      <c r="W243" s="132"/>
      <c r="X243" s="132"/>
      <c r="Y243" s="132"/>
      <c r="Z243" s="132"/>
      <c r="AA243" s="132"/>
      <c r="AB243" s="132"/>
    </row>
    <row r="244" spans="1:28" s="133" customFormat="1" ht="15" customHeight="1" outlineLevel="1" x14ac:dyDescent="0.2">
      <c r="A244" s="121">
        <v>18</v>
      </c>
      <c r="B244" s="134">
        <v>48761</v>
      </c>
      <c r="C244" s="135">
        <v>41886</v>
      </c>
      <c r="D244" s="136" t="s">
        <v>827</v>
      </c>
      <c r="E244" s="134" t="s">
        <v>386</v>
      </c>
      <c r="F244" s="137" t="s">
        <v>115</v>
      </c>
      <c r="G244" s="138" t="s">
        <v>389</v>
      </c>
      <c r="H244" s="139"/>
      <c r="I244" s="140">
        <v>1</v>
      </c>
      <c r="J244" s="141">
        <v>5274</v>
      </c>
      <c r="K244" s="141">
        <v>5274</v>
      </c>
      <c r="L244" s="181" t="s">
        <v>614</v>
      </c>
      <c r="M244" s="167" t="s">
        <v>21</v>
      </c>
      <c r="N244" s="131"/>
      <c r="O244" s="132"/>
      <c r="P244" s="132"/>
      <c r="Q244" s="132"/>
      <c r="R244" s="132"/>
      <c r="S244" s="132"/>
      <c r="T244" s="132"/>
      <c r="U244" s="132"/>
      <c r="V244" s="132"/>
      <c r="W244" s="132"/>
      <c r="X244" s="132"/>
      <c r="Y244" s="132"/>
      <c r="Z244" s="132"/>
      <c r="AA244" s="132"/>
      <c r="AB244" s="132"/>
    </row>
    <row r="245" spans="1:28" s="133" customFormat="1" ht="15" customHeight="1" outlineLevel="1" x14ac:dyDescent="0.2">
      <c r="A245" s="121">
        <v>19</v>
      </c>
      <c r="B245" s="134">
        <v>51783</v>
      </c>
      <c r="C245" s="135">
        <v>41892</v>
      </c>
      <c r="D245" s="136" t="s">
        <v>828</v>
      </c>
      <c r="E245" s="134" t="s">
        <v>378</v>
      </c>
      <c r="F245" s="137" t="s">
        <v>679</v>
      </c>
      <c r="G245" s="138" t="s">
        <v>384</v>
      </c>
      <c r="H245" s="139"/>
      <c r="I245" s="140">
        <v>2</v>
      </c>
      <c r="J245" s="141">
        <v>55058</v>
      </c>
      <c r="K245" s="141">
        <v>110116</v>
      </c>
      <c r="L245" s="181" t="s">
        <v>614</v>
      </c>
      <c r="M245" s="167" t="s">
        <v>21</v>
      </c>
      <c r="N245" s="131"/>
      <c r="O245" s="132"/>
      <c r="P245" s="132"/>
      <c r="Q245" s="132"/>
      <c r="R245" s="132"/>
      <c r="S245" s="132"/>
      <c r="T245" s="132"/>
      <c r="U245" s="132"/>
      <c r="V245" s="132"/>
      <c r="W245" s="132"/>
      <c r="X245" s="132"/>
      <c r="Y245" s="132"/>
      <c r="Z245" s="132"/>
      <c r="AA245" s="132"/>
      <c r="AB245" s="132"/>
    </row>
    <row r="246" spans="1:28" s="133" customFormat="1" ht="15" customHeight="1" outlineLevel="1" x14ac:dyDescent="0.2">
      <c r="A246" s="121">
        <v>20</v>
      </c>
      <c r="B246" s="134">
        <v>56809</v>
      </c>
      <c r="C246" s="135">
        <v>41912</v>
      </c>
      <c r="D246" s="136" t="s">
        <v>829</v>
      </c>
      <c r="E246" s="134" t="s">
        <v>373</v>
      </c>
      <c r="F246" s="137" t="s">
        <v>215</v>
      </c>
      <c r="G246" s="138" t="s">
        <v>366</v>
      </c>
      <c r="H246" s="139"/>
      <c r="I246" s="140">
        <v>1</v>
      </c>
      <c r="J246" s="141">
        <v>44597</v>
      </c>
      <c r="K246" s="141">
        <v>44597</v>
      </c>
      <c r="L246" s="181" t="s">
        <v>614</v>
      </c>
      <c r="M246" s="167" t="s">
        <v>21</v>
      </c>
      <c r="N246" s="131"/>
      <c r="O246" s="132"/>
      <c r="P246" s="132"/>
      <c r="Q246" s="132"/>
      <c r="R246" s="132"/>
      <c r="S246" s="132"/>
      <c r="T246" s="132"/>
      <c r="U246" s="132"/>
      <c r="V246" s="132"/>
      <c r="W246" s="132"/>
      <c r="X246" s="132"/>
      <c r="Y246" s="132"/>
      <c r="Z246" s="132"/>
      <c r="AA246" s="132"/>
      <c r="AB246" s="132"/>
    </row>
    <row r="247" spans="1:28" s="133" customFormat="1" ht="15" customHeight="1" outlineLevel="1" x14ac:dyDescent="0.2">
      <c r="A247" s="121">
        <v>22</v>
      </c>
      <c r="B247" s="134">
        <v>55365</v>
      </c>
      <c r="C247" s="135">
        <v>41908</v>
      </c>
      <c r="D247" s="136" t="s">
        <v>830</v>
      </c>
      <c r="E247" s="134" t="s">
        <v>373</v>
      </c>
      <c r="F247" s="137" t="s">
        <v>233</v>
      </c>
      <c r="G247" s="138" t="s">
        <v>366</v>
      </c>
      <c r="H247" s="139"/>
      <c r="I247" s="140">
        <v>1</v>
      </c>
      <c r="J247" s="141">
        <v>12499</v>
      </c>
      <c r="K247" s="141">
        <v>12499</v>
      </c>
      <c r="L247" s="181" t="s">
        <v>614</v>
      </c>
      <c r="M247" s="167" t="s">
        <v>21</v>
      </c>
      <c r="N247" s="131"/>
      <c r="O247" s="132"/>
      <c r="P247" s="132"/>
      <c r="Q247" s="132"/>
      <c r="R247" s="132"/>
      <c r="S247" s="132"/>
      <c r="T247" s="132"/>
      <c r="U247" s="132"/>
      <c r="V247" s="132"/>
      <c r="W247" s="132"/>
      <c r="X247" s="132"/>
      <c r="Y247" s="132"/>
      <c r="Z247" s="132"/>
      <c r="AA247" s="132"/>
      <c r="AB247" s="132"/>
    </row>
    <row r="248" spans="1:28" s="133" customFormat="1" ht="15" customHeight="1" outlineLevel="1" x14ac:dyDescent="0.2">
      <c r="A248" s="121">
        <v>23</v>
      </c>
      <c r="B248" s="134">
        <v>56098</v>
      </c>
      <c r="C248" s="135">
        <v>41912</v>
      </c>
      <c r="D248" s="136" t="s">
        <v>831</v>
      </c>
      <c r="E248" s="134" t="s">
        <v>378</v>
      </c>
      <c r="F248" s="137" t="s">
        <v>534</v>
      </c>
      <c r="G248" s="138" t="s">
        <v>414</v>
      </c>
      <c r="H248" s="139"/>
      <c r="I248" s="140">
        <v>1</v>
      </c>
      <c r="J248" s="141">
        <v>30429</v>
      </c>
      <c r="K248" s="141">
        <v>30429</v>
      </c>
      <c r="L248" s="181" t="s">
        <v>614</v>
      </c>
      <c r="M248" s="167" t="s">
        <v>21</v>
      </c>
      <c r="N248" s="131"/>
      <c r="O248" s="132"/>
      <c r="P248" s="132"/>
      <c r="Q248" s="132"/>
      <c r="R248" s="132"/>
      <c r="S248" s="132"/>
      <c r="T248" s="132"/>
      <c r="U248" s="132"/>
      <c r="V248" s="132"/>
      <c r="W248" s="132"/>
      <c r="X248" s="132"/>
      <c r="Y248" s="132"/>
      <c r="Z248" s="132"/>
      <c r="AA248" s="132"/>
      <c r="AB248" s="132"/>
    </row>
    <row r="249" spans="1:28" s="133" customFormat="1" ht="15" customHeight="1" outlineLevel="1" x14ac:dyDescent="0.2">
      <c r="A249" s="121">
        <v>25</v>
      </c>
      <c r="B249" s="134">
        <v>50101</v>
      </c>
      <c r="C249" s="135">
        <v>41887</v>
      </c>
      <c r="D249" s="136" t="s">
        <v>832</v>
      </c>
      <c r="E249" s="134" t="s">
        <v>378</v>
      </c>
      <c r="F249" s="137" t="s">
        <v>679</v>
      </c>
      <c r="G249" s="138" t="s">
        <v>368</v>
      </c>
      <c r="H249" s="139"/>
      <c r="I249" s="140">
        <v>1</v>
      </c>
      <c r="J249" s="141">
        <v>55058</v>
      </c>
      <c r="K249" s="141">
        <v>55058</v>
      </c>
      <c r="L249" s="181" t="s">
        <v>614</v>
      </c>
      <c r="M249" s="167" t="s">
        <v>21</v>
      </c>
      <c r="N249" s="131"/>
      <c r="O249" s="132"/>
      <c r="P249" s="132"/>
      <c r="Q249" s="132"/>
      <c r="R249" s="132"/>
      <c r="S249" s="132"/>
      <c r="T249" s="132"/>
      <c r="U249" s="132"/>
      <c r="V249" s="132"/>
      <c r="W249" s="132"/>
      <c r="X249" s="132"/>
      <c r="Y249" s="132"/>
      <c r="Z249" s="132"/>
      <c r="AA249" s="132"/>
      <c r="AB249" s="132"/>
    </row>
    <row r="250" spans="1:28" s="133" customFormat="1" ht="15" customHeight="1" outlineLevel="1" x14ac:dyDescent="0.2">
      <c r="A250" s="121">
        <v>26</v>
      </c>
      <c r="B250" s="134">
        <v>55891</v>
      </c>
      <c r="C250" s="135">
        <v>41911</v>
      </c>
      <c r="D250" s="136" t="s">
        <v>833</v>
      </c>
      <c r="E250" s="134" t="s">
        <v>386</v>
      </c>
      <c r="F250" s="137" t="s">
        <v>679</v>
      </c>
      <c r="G250" s="138" t="s">
        <v>384</v>
      </c>
      <c r="H250" s="139"/>
      <c r="I250" s="140">
        <v>2</v>
      </c>
      <c r="J250" s="141">
        <v>55058</v>
      </c>
      <c r="K250" s="141">
        <v>110116</v>
      </c>
      <c r="L250" s="181" t="s">
        <v>614</v>
      </c>
      <c r="M250" s="167" t="s">
        <v>21</v>
      </c>
      <c r="N250" s="131"/>
      <c r="O250" s="132"/>
      <c r="P250" s="132"/>
      <c r="Q250" s="132"/>
      <c r="R250" s="132"/>
      <c r="S250" s="132"/>
      <c r="T250" s="132"/>
      <c r="U250" s="132"/>
      <c r="V250" s="132"/>
      <c r="W250" s="132"/>
      <c r="X250" s="132"/>
      <c r="Y250" s="132"/>
      <c r="Z250" s="132"/>
      <c r="AA250" s="132"/>
      <c r="AB250" s="132"/>
    </row>
    <row r="251" spans="1:28" s="133" customFormat="1" ht="15" customHeight="1" outlineLevel="1" x14ac:dyDescent="0.2">
      <c r="A251" s="121">
        <v>27</v>
      </c>
      <c r="B251" s="134">
        <v>51949</v>
      </c>
      <c r="C251" s="135">
        <v>41892</v>
      </c>
      <c r="D251" s="136" t="s">
        <v>708</v>
      </c>
      <c r="E251" s="134" t="s">
        <v>378</v>
      </c>
      <c r="F251" s="137" t="s">
        <v>834</v>
      </c>
      <c r="G251" s="138" t="s">
        <v>366</v>
      </c>
      <c r="H251" s="139"/>
      <c r="I251" s="140">
        <v>1</v>
      </c>
      <c r="J251" s="141">
        <v>110520</v>
      </c>
      <c r="K251" s="141">
        <v>110520</v>
      </c>
      <c r="L251" s="181" t="s">
        <v>614</v>
      </c>
      <c r="M251" s="167" t="s">
        <v>21</v>
      </c>
      <c r="N251" s="131"/>
      <c r="O251" s="132"/>
      <c r="P251" s="132"/>
      <c r="Q251" s="132"/>
      <c r="R251" s="132"/>
      <c r="S251" s="132"/>
      <c r="T251" s="132"/>
      <c r="U251" s="132"/>
      <c r="V251" s="132"/>
      <c r="W251" s="132"/>
      <c r="X251" s="132"/>
      <c r="Y251" s="132"/>
      <c r="Z251" s="132"/>
      <c r="AA251" s="132"/>
      <c r="AB251" s="132"/>
    </row>
    <row r="252" spans="1:28" s="133" customFormat="1" ht="15" customHeight="1" outlineLevel="1" x14ac:dyDescent="0.2">
      <c r="A252" s="121">
        <v>28</v>
      </c>
      <c r="B252" s="134">
        <v>52581</v>
      </c>
      <c r="C252" s="135">
        <v>41897</v>
      </c>
      <c r="D252" s="136" t="s">
        <v>391</v>
      </c>
      <c r="E252" s="134" t="s">
        <v>373</v>
      </c>
      <c r="F252" s="137" t="s">
        <v>215</v>
      </c>
      <c r="G252" s="138" t="s">
        <v>368</v>
      </c>
      <c r="H252" s="139"/>
      <c r="I252" s="140">
        <v>1</v>
      </c>
      <c r="J252" s="141">
        <v>44597</v>
      </c>
      <c r="K252" s="141">
        <v>44597</v>
      </c>
      <c r="L252" s="181" t="s">
        <v>614</v>
      </c>
      <c r="M252" s="167" t="s">
        <v>21</v>
      </c>
      <c r="N252" s="131"/>
      <c r="O252" s="132"/>
      <c r="P252" s="132"/>
      <c r="Q252" s="132"/>
      <c r="R252" s="132"/>
      <c r="S252" s="132"/>
      <c r="T252" s="132"/>
      <c r="U252" s="132"/>
      <c r="V252" s="132"/>
      <c r="W252" s="132"/>
      <c r="X252" s="132"/>
      <c r="Y252" s="132"/>
      <c r="Z252" s="132"/>
      <c r="AA252" s="132"/>
      <c r="AB252" s="132"/>
    </row>
    <row r="253" spans="1:28" s="133" customFormat="1" ht="15" customHeight="1" outlineLevel="1" x14ac:dyDescent="0.2">
      <c r="A253" s="121">
        <v>29</v>
      </c>
      <c r="B253" s="134">
        <v>51946</v>
      </c>
      <c r="C253" s="135">
        <v>41892</v>
      </c>
      <c r="D253" s="136" t="s">
        <v>835</v>
      </c>
      <c r="E253" s="134" t="s">
        <v>378</v>
      </c>
      <c r="F253" s="137" t="s">
        <v>534</v>
      </c>
      <c r="G253" s="138" t="s">
        <v>469</v>
      </c>
      <c r="H253" s="139"/>
      <c r="I253" s="140">
        <v>1</v>
      </c>
      <c r="J253" s="141">
        <v>30429</v>
      </c>
      <c r="K253" s="141">
        <v>30429</v>
      </c>
      <c r="L253" s="181" t="s">
        <v>614</v>
      </c>
      <c r="M253" s="167" t="s">
        <v>21</v>
      </c>
      <c r="N253" s="131"/>
      <c r="O253" s="132"/>
      <c r="P253" s="132"/>
      <c r="Q253" s="132"/>
      <c r="R253" s="132"/>
      <c r="S253" s="132"/>
      <c r="T253" s="132"/>
      <c r="U253" s="132"/>
      <c r="V253" s="132"/>
      <c r="W253" s="132"/>
      <c r="X253" s="132"/>
      <c r="Y253" s="132"/>
      <c r="Z253" s="132"/>
      <c r="AA253" s="132"/>
      <c r="AB253" s="132"/>
    </row>
    <row r="254" spans="1:28" s="133" customFormat="1" ht="15" customHeight="1" outlineLevel="1" x14ac:dyDescent="0.2">
      <c r="A254" s="121">
        <v>1</v>
      </c>
      <c r="B254" s="134">
        <v>56142</v>
      </c>
      <c r="C254" s="135">
        <v>41934</v>
      </c>
      <c r="D254" s="136" t="s">
        <v>403</v>
      </c>
      <c r="E254" s="134" t="s">
        <v>386</v>
      </c>
      <c r="F254" s="137" t="s">
        <v>114</v>
      </c>
      <c r="G254" s="138" t="s">
        <v>407</v>
      </c>
      <c r="H254" s="139"/>
      <c r="I254" s="140">
        <v>1</v>
      </c>
      <c r="J254" s="141">
        <v>33370</v>
      </c>
      <c r="K254" s="141">
        <v>33370</v>
      </c>
      <c r="L254" s="185" t="s">
        <v>617</v>
      </c>
      <c r="M254" s="186" t="s">
        <v>21</v>
      </c>
      <c r="N254" s="131"/>
      <c r="O254" s="132"/>
      <c r="P254" s="132"/>
      <c r="Q254" s="132"/>
      <c r="R254" s="132"/>
      <c r="S254" s="132"/>
      <c r="T254" s="132"/>
      <c r="U254" s="132"/>
      <c r="V254" s="132"/>
      <c r="W254" s="132"/>
      <c r="X254" s="132"/>
      <c r="Y254" s="132"/>
      <c r="Z254" s="132"/>
      <c r="AA254" s="132"/>
      <c r="AB254" s="132"/>
    </row>
    <row r="255" spans="1:28" s="133" customFormat="1" ht="15" customHeight="1" outlineLevel="1" x14ac:dyDescent="0.2">
      <c r="A255" s="121">
        <v>2</v>
      </c>
      <c r="B255" s="134">
        <v>55058</v>
      </c>
      <c r="C255" s="135">
        <v>41928</v>
      </c>
      <c r="D255" s="136" t="s">
        <v>836</v>
      </c>
      <c r="E255" s="134" t="s">
        <v>386</v>
      </c>
      <c r="F255" s="137" t="s">
        <v>215</v>
      </c>
      <c r="G255" s="138" t="s">
        <v>368</v>
      </c>
      <c r="H255" s="139"/>
      <c r="I255" s="140">
        <v>1</v>
      </c>
      <c r="J255" s="141">
        <v>44597</v>
      </c>
      <c r="K255" s="141">
        <v>44597</v>
      </c>
      <c r="L255" s="185" t="s">
        <v>617</v>
      </c>
      <c r="M255" s="186" t="s">
        <v>21</v>
      </c>
      <c r="N255" s="131"/>
      <c r="O255" s="132"/>
      <c r="P255" s="132"/>
      <c r="Q255" s="132"/>
      <c r="R255" s="132"/>
      <c r="S255" s="132"/>
      <c r="T255" s="132"/>
      <c r="U255" s="132"/>
      <c r="V255" s="132"/>
      <c r="W255" s="132"/>
      <c r="X255" s="132"/>
      <c r="Y255" s="132"/>
      <c r="Z255" s="132"/>
      <c r="AA255" s="132"/>
      <c r="AB255" s="132"/>
    </row>
    <row r="256" spans="1:28" s="133" customFormat="1" ht="15" customHeight="1" outlineLevel="1" x14ac:dyDescent="0.2">
      <c r="A256" s="121">
        <v>3</v>
      </c>
      <c r="B256" s="134">
        <v>57849</v>
      </c>
      <c r="C256" s="135">
        <v>41939</v>
      </c>
      <c r="D256" s="136" t="s">
        <v>837</v>
      </c>
      <c r="E256" s="134" t="s">
        <v>373</v>
      </c>
      <c r="F256" s="137" t="s">
        <v>215</v>
      </c>
      <c r="G256" s="138" t="s">
        <v>368</v>
      </c>
      <c r="H256" s="139"/>
      <c r="I256" s="140">
        <v>1</v>
      </c>
      <c r="J256" s="141">
        <v>44597</v>
      </c>
      <c r="K256" s="141">
        <v>44597</v>
      </c>
      <c r="L256" s="185" t="s">
        <v>617</v>
      </c>
      <c r="M256" s="186" t="s">
        <v>21</v>
      </c>
      <c r="N256" s="131"/>
      <c r="O256" s="132"/>
      <c r="P256" s="132"/>
      <c r="Q256" s="132"/>
      <c r="R256" s="132"/>
      <c r="S256" s="132"/>
      <c r="T256" s="132"/>
      <c r="U256" s="132"/>
      <c r="V256" s="132"/>
      <c r="W256" s="132"/>
      <c r="X256" s="132"/>
      <c r="Y256" s="132"/>
      <c r="Z256" s="132"/>
      <c r="AA256" s="132"/>
      <c r="AB256" s="132"/>
    </row>
    <row r="257" spans="1:28" s="133" customFormat="1" ht="15" customHeight="1" outlineLevel="1" x14ac:dyDescent="0.2">
      <c r="A257" s="121">
        <v>4</v>
      </c>
      <c r="B257" s="134">
        <v>60286</v>
      </c>
      <c r="C257" s="135">
        <v>41942</v>
      </c>
      <c r="D257" s="136" t="s">
        <v>838</v>
      </c>
      <c r="E257" s="134" t="s">
        <v>373</v>
      </c>
      <c r="F257" s="137" t="s">
        <v>215</v>
      </c>
      <c r="G257" s="138" t="s">
        <v>368</v>
      </c>
      <c r="H257" s="139"/>
      <c r="I257" s="140">
        <v>1</v>
      </c>
      <c r="J257" s="141">
        <v>44597</v>
      </c>
      <c r="K257" s="141">
        <v>44597</v>
      </c>
      <c r="L257" s="185" t="s">
        <v>617</v>
      </c>
      <c r="M257" s="186" t="s">
        <v>21</v>
      </c>
      <c r="N257" s="131"/>
      <c r="O257" s="132"/>
      <c r="P257" s="132"/>
      <c r="Q257" s="132"/>
      <c r="R257" s="132"/>
      <c r="S257" s="132"/>
      <c r="T257" s="132"/>
      <c r="U257" s="132"/>
      <c r="V257" s="132"/>
      <c r="W257" s="132"/>
      <c r="X257" s="132"/>
      <c r="Y257" s="132"/>
      <c r="Z257" s="132"/>
      <c r="AA257" s="132"/>
      <c r="AB257" s="132"/>
    </row>
    <row r="258" spans="1:28" s="133" customFormat="1" ht="15" customHeight="1" outlineLevel="1" x14ac:dyDescent="0.2">
      <c r="A258" s="121">
        <v>5</v>
      </c>
      <c r="B258" s="134">
        <v>56758</v>
      </c>
      <c r="C258" s="135">
        <v>41935</v>
      </c>
      <c r="D258" s="136" t="s">
        <v>390</v>
      </c>
      <c r="E258" s="134" t="s">
        <v>378</v>
      </c>
      <c r="F258" s="137" t="s">
        <v>215</v>
      </c>
      <c r="G258" s="138" t="s">
        <v>368</v>
      </c>
      <c r="H258" s="139"/>
      <c r="I258" s="140">
        <v>1</v>
      </c>
      <c r="J258" s="141">
        <v>44597</v>
      </c>
      <c r="K258" s="141">
        <v>44597</v>
      </c>
      <c r="L258" s="185" t="s">
        <v>617</v>
      </c>
      <c r="M258" s="186" t="s">
        <v>21</v>
      </c>
      <c r="N258" s="131"/>
      <c r="O258" s="132"/>
      <c r="P258" s="132"/>
      <c r="Q258" s="132"/>
      <c r="R258" s="132"/>
      <c r="S258" s="132"/>
      <c r="T258" s="132"/>
      <c r="U258" s="132"/>
      <c r="V258" s="132"/>
      <c r="W258" s="132"/>
      <c r="X258" s="132"/>
      <c r="Y258" s="132"/>
      <c r="Z258" s="132"/>
      <c r="AA258" s="132"/>
      <c r="AB258" s="132"/>
    </row>
    <row r="259" spans="1:28" s="133" customFormat="1" ht="15" customHeight="1" outlineLevel="1" x14ac:dyDescent="0.2">
      <c r="A259" s="121">
        <v>6</v>
      </c>
      <c r="B259" s="134">
        <v>57363</v>
      </c>
      <c r="C259" s="135">
        <v>41936</v>
      </c>
      <c r="D259" s="136" t="s">
        <v>839</v>
      </c>
      <c r="E259" s="134" t="s">
        <v>373</v>
      </c>
      <c r="F259" s="137" t="s">
        <v>215</v>
      </c>
      <c r="G259" s="138" t="s">
        <v>368</v>
      </c>
      <c r="H259" s="139"/>
      <c r="I259" s="140">
        <v>1</v>
      </c>
      <c r="J259" s="141">
        <v>44597</v>
      </c>
      <c r="K259" s="141">
        <v>44597</v>
      </c>
      <c r="L259" s="185" t="s">
        <v>617</v>
      </c>
      <c r="M259" s="186" t="s">
        <v>21</v>
      </c>
      <c r="N259" s="131"/>
      <c r="O259" s="132"/>
      <c r="P259" s="132"/>
      <c r="Q259" s="132"/>
      <c r="R259" s="132"/>
      <c r="S259" s="132"/>
      <c r="T259" s="132"/>
      <c r="U259" s="132"/>
      <c r="V259" s="132"/>
      <c r="W259" s="132"/>
      <c r="X259" s="132"/>
      <c r="Y259" s="132"/>
      <c r="Z259" s="132"/>
      <c r="AA259" s="132"/>
      <c r="AB259" s="132"/>
    </row>
    <row r="260" spans="1:28" s="133" customFormat="1" ht="15" customHeight="1" outlineLevel="1" x14ac:dyDescent="0.2">
      <c r="A260" s="121">
        <v>7</v>
      </c>
      <c r="B260" s="134">
        <v>50880</v>
      </c>
      <c r="C260" s="135">
        <v>41890</v>
      </c>
      <c r="D260" s="136" t="s">
        <v>840</v>
      </c>
      <c r="E260" s="134" t="s">
        <v>373</v>
      </c>
      <c r="F260" s="137" t="s">
        <v>215</v>
      </c>
      <c r="G260" s="138" t="s">
        <v>368</v>
      </c>
      <c r="H260" s="139"/>
      <c r="I260" s="140">
        <v>1</v>
      </c>
      <c r="J260" s="141">
        <v>44597</v>
      </c>
      <c r="K260" s="141">
        <v>44597</v>
      </c>
      <c r="L260" s="185" t="s">
        <v>617</v>
      </c>
      <c r="M260" s="186" t="s">
        <v>21</v>
      </c>
      <c r="N260" s="131"/>
      <c r="O260" s="132"/>
      <c r="P260" s="132"/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</row>
    <row r="261" spans="1:28" s="133" customFormat="1" ht="15" customHeight="1" outlineLevel="1" x14ac:dyDescent="0.2">
      <c r="A261" s="121">
        <v>8</v>
      </c>
      <c r="B261" s="134">
        <v>58073</v>
      </c>
      <c r="C261" s="135">
        <v>41939</v>
      </c>
      <c r="D261" s="136" t="s">
        <v>841</v>
      </c>
      <c r="E261" s="134" t="s">
        <v>378</v>
      </c>
      <c r="F261" s="137" t="s">
        <v>215</v>
      </c>
      <c r="G261" s="138" t="s">
        <v>368</v>
      </c>
      <c r="H261" s="139"/>
      <c r="I261" s="140">
        <v>1</v>
      </c>
      <c r="J261" s="141">
        <v>44597</v>
      </c>
      <c r="K261" s="141">
        <v>44597</v>
      </c>
      <c r="L261" s="185" t="s">
        <v>617</v>
      </c>
      <c r="M261" s="186" t="s">
        <v>21</v>
      </c>
      <c r="N261" s="131"/>
      <c r="O261" s="132"/>
      <c r="P261" s="132"/>
      <c r="Q261" s="132"/>
      <c r="R261" s="132"/>
      <c r="S261" s="132"/>
      <c r="T261" s="132"/>
      <c r="U261" s="132"/>
      <c r="V261" s="132"/>
      <c r="W261" s="132"/>
      <c r="X261" s="132"/>
      <c r="Y261" s="132"/>
      <c r="Z261" s="132"/>
      <c r="AA261" s="132"/>
      <c r="AB261" s="132"/>
    </row>
    <row r="262" spans="1:28" s="133" customFormat="1" ht="15.75" customHeight="1" outlineLevel="1" x14ac:dyDescent="0.2">
      <c r="A262" s="121">
        <v>9</v>
      </c>
      <c r="B262" s="134">
        <v>55911</v>
      </c>
      <c r="C262" s="135">
        <v>41930</v>
      </c>
      <c r="D262" s="136" t="s">
        <v>842</v>
      </c>
      <c r="E262" s="134" t="s">
        <v>373</v>
      </c>
      <c r="F262" s="137" t="s">
        <v>215</v>
      </c>
      <c r="G262" s="138" t="s">
        <v>366</v>
      </c>
      <c r="H262" s="139"/>
      <c r="I262" s="140">
        <v>1</v>
      </c>
      <c r="J262" s="141">
        <v>44597</v>
      </c>
      <c r="K262" s="141">
        <v>44597</v>
      </c>
      <c r="L262" s="185" t="s">
        <v>617</v>
      </c>
      <c r="M262" s="186" t="s">
        <v>21</v>
      </c>
      <c r="N262" s="131"/>
      <c r="O262" s="132"/>
      <c r="P262" s="132"/>
      <c r="Q262" s="132"/>
      <c r="R262" s="132"/>
      <c r="S262" s="132"/>
      <c r="T262" s="132"/>
      <c r="U262" s="132"/>
      <c r="V262" s="132"/>
      <c r="W262" s="132"/>
      <c r="X262" s="132"/>
      <c r="Y262" s="132"/>
      <c r="Z262" s="132"/>
      <c r="AA262" s="132"/>
      <c r="AB262" s="132"/>
    </row>
    <row r="263" spans="1:28" s="133" customFormat="1" ht="15" customHeight="1" outlineLevel="1" x14ac:dyDescent="0.2">
      <c r="A263" s="121">
        <v>10</v>
      </c>
      <c r="B263" s="134">
        <v>57077</v>
      </c>
      <c r="C263" s="135">
        <v>41915</v>
      </c>
      <c r="D263" s="136" t="s">
        <v>842</v>
      </c>
      <c r="E263" s="134" t="s">
        <v>373</v>
      </c>
      <c r="F263" s="137" t="s">
        <v>215</v>
      </c>
      <c r="G263" s="138" t="s">
        <v>368</v>
      </c>
      <c r="H263" s="139"/>
      <c r="I263" s="140">
        <v>1</v>
      </c>
      <c r="J263" s="141">
        <v>44597</v>
      </c>
      <c r="K263" s="141">
        <v>44597</v>
      </c>
      <c r="L263" s="185" t="s">
        <v>617</v>
      </c>
      <c r="M263" s="186" t="s">
        <v>21</v>
      </c>
      <c r="N263" s="131"/>
      <c r="O263" s="132"/>
      <c r="P263" s="132"/>
      <c r="Q263" s="132"/>
      <c r="R263" s="132"/>
      <c r="S263" s="132"/>
      <c r="T263" s="132"/>
      <c r="U263" s="132"/>
      <c r="V263" s="132"/>
      <c r="W263" s="132"/>
      <c r="X263" s="132"/>
      <c r="Y263" s="132"/>
      <c r="Z263" s="132"/>
      <c r="AA263" s="132"/>
      <c r="AB263" s="132"/>
    </row>
    <row r="264" spans="1:28" s="133" customFormat="1" ht="15" customHeight="1" outlineLevel="1" x14ac:dyDescent="0.2">
      <c r="A264" s="121">
        <v>11</v>
      </c>
      <c r="B264" s="134">
        <v>58789</v>
      </c>
      <c r="C264" s="135">
        <v>41939</v>
      </c>
      <c r="D264" s="136" t="s">
        <v>668</v>
      </c>
      <c r="E264" s="134" t="s">
        <v>378</v>
      </c>
      <c r="F264" s="137" t="s">
        <v>843</v>
      </c>
      <c r="G264" s="138" t="s">
        <v>368</v>
      </c>
      <c r="H264" s="139"/>
      <c r="I264" s="140">
        <v>1</v>
      </c>
      <c r="J264" s="141">
        <v>334719</v>
      </c>
      <c r="K264" s="141">
        <v>334719</v>
      </c>
      <c r="L264" s="185" t="s">
        <v>617</v>
      </c>
      <c r="M264" s="186" t="s">
        <v>21</v>
      </c>
      <c r="N264" s="131"/>
      <c r="O264" s="132"/>
      <c r="P264" s="132"/>
      <c r="Q264" s="132"/>
      <c r="R264" s="132"/>
      <c r="S264" s="132"/>
      <c r="T264" s="132"/>
      <c r="U264" s="132"/>
      <c r="V264" s="132"/>
      <c r="W264" s="132"/>
      <c r="X264" s="132"/>
      <c r="Y264" s="132"/>
      <c r="Z264" s="132"/>
      <c r="AA264" s="132"/>
      <c r="AB264" s="132"/>
    </row>
    <row r="265" spans="1:28" s="133" customFormat="1" ht="15" customHeight="1" outlineLevel="1" x14ac:dyDescent="0.2">
      <c r="A265" s="121">
        <v>13</v>
      </c>
      <c r="B265" s="134">
        <v>59324</v>
      </c>
      <c r="C265" s="135">
        <v>41921</v>
      </c>
      <c r="D265" s="136" t="s">
        <v>844</v>
      </c>
      <c r="E265" s="134" t="s">
        <v>386</v>
      </c>
      <c r="F265" s="137" t="s">
        <v>534</v>
      </c>
      <c r="G265" s="138" t="s">
        <v>428</v>
      </c>
      <c r="H265" s="139"/>
      <c r="I265" s="140">
        <v>1</v>
      </c>
      <c r="J265" s="141">
        <v>30429</v>
      </c>
      <c r="K265" s="141">
        <v>30429</v>
      </c>
      <c r="L265" s="185" t="s">
        <v>617</v>
      </c>
      <c r="M265" s="186" t="s">
        <v>21</v>
      </c>
      <c r="N265" s="131"/>
      <c r="O265" s="132"/>
      <c r="P265" s="132"/>
      <c r="Q265" s="132"/>
      <c r="R265" s="132"/>
      <c r="S265" s="132"/>
      <c r="T265" s="132"/>
      <c r="U265" s="132"/>
      <c r="V265" s="132"/>
      <c r="W265" s="132"/>
      <c r="X265" s="132"/>
      <c r="Y265" s="132"/>
      <c r="Z265" s="132"/>
      <c r="AA265" s="132"/>
      <c r="AB265" s="132"/>
    </row>
    <row r="266" spans="1:28" s="133" customFormat="1" ht="15" customHeight="1" outlineLevel="1" x14ac:dyDescent="0.2">
      <c r="A266" s="121">
        <v>14</v>
      </c>
      <c r="B266" s="134">
        <v>58843</v>
      </c>
      <c r="C266" s="135">
        <v>41920</v>
      </c>
      <c r="D266" s="136" t="s">
        <v>845</v>
      </c>
      <c r="E266" s="134" t="s">
        <v>799</v>
      </c>
      <c r="F266" s="137" t="s">
        <v>195</v>
      </c>
      <c r="G266" s="138" t="s">
        <v>826</v>
      </c>
      <c r="H266" s="139"/>
      <c r="I266" s="140">
        <v>4</v>
      </c>
      <c r="J266" s="141">
        <v>2739</v>
      </c>
      <c r="K266" s="141">
        <v>10956</v>
      </c>
      <c r="L266" s="185" t="s">
        <v>617</v>
      </c>
      <c r="M266" s="186" t="s">
        <v>21</v>
      </c>
      <c r="N266" s="131"/>
      <c r="O266" s="132"/>
      <c r="P266" s="132"/>
      <c r="Q266" s="132"/>
      <c r="R266" s="132"/>
      <c r="S266" s="132"/>
      <c r="T266" s="132"/>
      <c r="U266" s="132"/>
      <c r="V266" s="132"/>
      <c r="W266" s="132"/>
      <c r="X266" s="132"/>
      <c r="Y266" s="132"/>
      <c r="Z266" s="132"/>
      <c r="AA266" s="132"/>
      <c r="AB266" s="132"/>
    </row>
    <row r="267" spans="1:28" s="133" customFormat="1" ht="15" customHeight="1" outlineLevel="1" x14ac:dyDescent="0.2">
      <c r="A267" s="121">
        <v>15</v>
      </c>
      <c r="B267" s="134">
        <v>58843</v>
      </c>
      <c r="C267" s="135">
        <v>41920</v>
      </c>
      <c r="D267" s="136" t="s">
        <v>845</v>
      </c>
      <c r="E267" s="134" t="s">
        <v>799</v>
      </c>
      <c r="F267" s="137" t="s">
        <v>619</v>
      </c>
      <c r="G267" s="138" t="s">
        <v>368</v>
      </c>
      <c r="H267" s="139"/>
      <c r="I267" s="140">
        <v>1</v>
      </c>
      <c r="J267" s="141">
        <v>15722</v>
      </c>
      <c r="K267" s="141">
        <v>15722</v>
      </c>
      <c r="L267" s="185" t="s">
        <v>617</v>
      </c>
      <c r="M267" s="186" t="s">
        <v>21</v>
      </c>
      <c r="N267" s="131"/>
      <c r="O267" s="132"/>
      <c r="P267" s="132"/>
      <c r="Q267" s="132"/>
      <c r="R267" s="132"/>
      <c r="S267" s="132"/>
      <c r="T267" s="132"/>
      <c r="U267" s="132"/>
      <c r="V267" s="132"/>
      <c r="W267" s="132"/>
      <c r="X267" s="132"/>
      <c r="Y267" s="132"/>
      <c r="Z267" s="132"/>
      <c r="AA267" s="132"/>
      <c r="AB267" s="132"/>
    </row>
    <row r="268" spans="1:28" s="133" customFormat="1" ht="15" customHeight="1" outlineLevel="1" x14ac:dyDescent="0.2">
      <c r="A268" s="121">
        <v>17</v>
      </c>
      <c r="B268" s="134">
        <v>58925</v>
      </c>
      <c r="C268" s="135">
        <v>41940</v>
      </c>
      <c r="D268" s="136" t="s">
        <v>846</v>
      </c>
      <c r="E268" s="134" t="s">
        <v>799</v>
      </c>
      <c r="F268" s="137" t="s">
        <v>115</v>
      </c>
      <c r="G268" s="138" t="s">
        <v>397</v>
      </c>
      <c r="H268" s="139"/>
      <c r="I268" s="140">
        <v>2</v>
      </c>
      <c r="J268" s="141">
        <v>5274</v>
      </c>
      <c r="K268" s="141">
        <v>10548</v>
      </c>
      <c r="L268" s="185" t="s">
        <v>617</v>
      </c>
      <c r="M268" s="186" t="s">
        <v>21</v>
      </c>
      <c r="N268" s="131"/>
      <c r="O268" s="132"/>
      <c r="P268" s="132"/>
      <c r="Q268" s="132"/>
      <c r="R268" s="132"/>
      <c r="S268" s="132"/>
      <c r="T268" s="132"/>
      <c r="U268" s="132"/>
      <c r="V268" s="132"/>
      <c r="W268" s="132"/>
      <c r="X268" s="132"/>
      <c r="Y268" s="132"/>
      <c r="Z268" s="132"/>
      <c r="AA268" s="132"/>
      <c r="AB268" s="132"/>
    </row>
    <row r="269" spans="1:28" s="133" customFormat="1" ht="15" customHeight="1" outlineLevel="1" x14ac:dyDescent="0.2">
      <c r="A269" s="121">
        <v>18</v>
      </c>
      <c r="B269" s="134">
        <v>58914</v>
      </c>
      <c r="C269" s="135">
        <v>41920</v>
      </c>
      <c r="D269" s="136" t="s">
        <v>847</v>
      </c>
      <c r="E269" s="134" t="s">
        <v>378</v>
      </c>
      <c r="F269" s="137" t="s">
        <v>215</v>
      </c>
      <c r="G269" s="138" t="s">
        <v>368</v>
      </c>
      <c r="H269" s="139"/>
      <c r="I269" s="140">
        <v>1</v>
      </c>
      <c r="J269" s="141">
        <v>44597</v>
      </c>
      <c r="K269" s="141">
        <v>44597</v>
      </c>
      <c r="L269" s="185" t="s">
        <v>617</v>
      </c>
      <c r="M269" s="186" t="s">
        <v>21</v>
      </c>
      <c r="N269" s="131"/>
      <c r="O269" s="132"/>
      <c r="P269" s="132"/>
      <c r="Q269" s="132"/>
      <c r="R269" s="132"/>
      <c r="S269" s="132"/>
      <c r="T269" s="132"/>
      <c r="U269" s="132"/>
      <c r="V269" s="132"/>
      <c r="W269" s="132"/>
      <c r="X269" s="132"/>
      <c r="Y269" s="132"/>
      <c r="Z269" s="132"/>
      <c r="AA269" s="132"/>
      <c r="AB269" s="132"/>
    </row>
    <row r="270" spans="1:28" s="133" customFormat="1" ht="15" customHeight="1" outlineLevel="1" x14ac:dyDescent="0.2">
      <c r="A270" s="121">
        <v>19</v>
      </c>
      <c r="B270" s="134">
        <v>58914</v>
      </c>
      <c r="C270" s="135">
        <v>41920</v>
      </c>
      <c r="D270" s="136" t="s">
        <v>847</v>
      </c>
      <c r="E270" s="134" t="s">
        <v>378</v>
      </c>
      <c r="F270" s="137" t="s">
        <v>679</v>
      </c>
      <c r="G270" s="138" t="s">
        <v>366</v>
      </c>
      <c r="H270" s="139"/>
      <c r="I270" s="140">
        <v>1</v>
      </c>
      <c r="J270" s="141">
        <v>55058</v>
      </c>
      <c r="K270" s="141">
        <v>55058</v>
      </c>
      <c r="L270" s="185" t="s">
        <v>617</v>
      </c>
      <c r="M270" s="186" t="s">
        <v>21</v>
      </c>
      <c r="N270" s="131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32"/>
      <c r="AA270" s="132"/>
      <c r="AB270" s="132"/>
    </row>
    <row r="271" spans="1:28" s="133" customFormat="1" ht="15" customHeight="1" outlineLevel="1" x14ac:dyDescent="0.2">
      <c r="A271" s="121">
        <v>20</v>
      </c>
      <c r="B271" s="134">
        <v>55190</v>
      </c>
      <c r="C271" s="135">
        <v>41929</v>
      </c>
      <c r="D271" s="136" t="s">
        <v>848</v>
      </c>
      <c r="E271" s="134" t="s">
        <v>378</v>
      </c>
      <c r="F271" s="137" t="s">
        <v>215</v>
      </c>
      <c r="G271" s="138" t="s">
        <v>368</v>
      </c>
      <c r="H271" s="139"/>
      <c r="I271" s="140">
        <v>1</v>
      </c>
      <c r="J271" s="141">
        <v>44597</v>
      </c>
      <c r="K271" s="141">
        <v>44597</v>
      </c>
      <c r="L271" s="185" t="s">
        <v>617</v>
      </c>
      <c r="M271" s="186" t="s">
        <v>21</v>
      </c>
      <c r="N271" s="131"/>
      <c r="O271" s="132"/>
      <c r="P271" s="132"/>
      <c r="Q271" s="132"/>
      <c r="R271" s="132"/>
      <c r="S271" s="132"/>
      <c r="T271" s="132"/>
      <c r="U271" s="132"/>
      <c r="V271" s="132"/>
      <c r="W271" s="132"/>
      <c r="X271" s="132"/>
      <c r="Y271" s="132"/>
      <c r="Z271" s="132"/>
      <c r="AA271" s="132"/>
      <c r="AB271" s="132"/>
    </row>
    <row r="272" spans="1:28" s="133" customFormat="1" ht="15" customHeight="1" outlineLevel="1" x14ac:dyDescent="0.2">
      <c r="A272" s="121">
        <v>21</v>
      </c>
      <c r="B272" s="134">
        <v>55190</v>
      </c>
      <c r="C272" s="135">
        <v>41929</v>
      </c>
      <c r="D272" s="136" t="s">
        <v>848</v>
      </c>
      <c r="E272" s="134" t="s">
        <v>378</v>
      </c>
      <c r="F272" s="137" t="s">
        <v>679</v>
      </c>
      <c r="G272" s="138" t="s">
        <v>366</v>
      </c>
      <c r="H272" s="139"/>
      <c r="I272" s="140">
        <v>1</v>
      </c>
      <c r="J272" s="141">
        <v>55058</v>
      </c>
      <c r="K272" s="141">
        <v>55058</v>
      </c>
      <c r="L272" s="185" t="s">
        <v>617</v>
      </c>
      <c r="M272" s="186" t="s">
        <v>21</v>
      </c>
      <c r="N272" s="131"/>
      <c r="O272" s="132"/>
      <c r="P272" s="132"/>
      <c r="Q272" s="132"/>
      <c r="R272" s="132"/>
      <c r="S272" s="132"/>
      <c r="T272" s="132"/>
      <c r="U272" s="132"/>
      <c r="V272" s="132"/>
      <c r="W272" s="132"/>
      <c r="X272" s="132"/>
      <c r="Y272" s="132"/>
      <c r="Z272" s="132"/>
      <c r="AA272" s="132"/>
      <c r="AB272" s="132"/>
    </row>
    <row r="273" spans="1:28" s="133" customFormat="1" ht="15" customHeight="1" outlineLevel="1" x14ac:dyDescent="0.2">
      <c r="A273" s="121">
        <v>22</v>
      </c>
      <c r="B273" s="134">
        <v>58764</v>
      </c>
      <c r="C273" s="135">
        <v>41939</v>
      </c>
      <c r="D273" s="136" t="s">
        <v>849</v>
      </c>
      <c r="E273" s="134" t="s">
        <v>475</v>
      </c>
      <c r="F273" s="137" t="s">
        <v>215</v>
      </c>
      <c r="G273" s="138" t="s">
        <v>368</v>
      </c>
      <c r="H273" s="139"/>
      <c r="I273" s="140">
        <v>1</v>
      </c>
      <c r="J273" s="141">
        <v>44597</v>
      </c>
      <c r="K273" s="141">
        <v>44597</v>
      </c>
      <c r="L273" s="185" t="s">
        <v>617</v>
      </c>
      <c r="M273" s="186" t="s">
        <v>21</v>
      </c>
      <c r="N273" s="131"/>
      <c r="O273" s="132"/>
      <c r="P273" s="132"/>
      <c r="Q273" s="132"/>
      <c r="R273" s="132"/>
      <c r="S273" s="132"/>
      <c r="T273" s="132"/>
      <c r="U273" s="132"/>
      <c r="V273" s="132"/>
      <c r="W273" s="132"/>
      <c r="X273" s="132"/>
      <c r="Y273" s="132"/>
      <c r="Z273" s="132"/>
      <c r="AA273" s="132"/>
      <c r="AB273" s="132"/>
    </row>
    <row r="274" spans="1:28" s="133" customFormat="1" ht="15" customHeight="1" outlineLevel="1" x14ac:dyDescent="0.2">
      <c r="A274" s="121">
        <v>23</v>
      </c>
      <c r="B274" s="134">
        <v>53628</v>
      </c>
      <c r="C274" s="135">
        <v>41928</v>
      </c>
      <c r="D274" s="136" t="s">
        <v>850</v>
      </c>
      <c r="E274" s="134" t="s">
        <v>378</v>
      </c>
      <c r="F274" s="137" t="s">
        <v>215</v>
      </c>
      <c r="G274" s="138" t="s">
        <v>368</v>
      </c>
      <c r="H274" s="139"/>
      <c r="I274" s="140">
        <v>1</v>
      </c>
      <c r="J274" s="141">
        <v>44597</v>
      </c>
      <c r="K274" s="141">
        <v>44597</v>
      </c>
      <c r="L274" s="185" t="s">
        <v>617</v>
      </c>
      <c r="M274" s="186" t="s">
        <v>21</v>
      </c>
      <c r="N274" s="131"/>
      <c r="O274" s="132"/>
      <c r="P274" s="132"/>
      <c r="Q274" s="132"/>
      <c r="R274" s="132"/>
      <c r="S274" s="132"/>
      <c r="T274" s="132"/>
      <c r="U274" s="132"/>
      <c r="V274" s="132"/>
      <c r="W274" s="132"/>
      <c r="X274" s="132"/>
      <c r="Y274" s="132"/>
      <c r="Z274" s="132"/>
      <c r="AA274" s="132"/>
      <c r="AB274" s="132"/>
    </row>
    <row r="275" spans="1:28" s="133" customFormat="1" ht="15" customHeight="1" outlineLevel="1" x14ac:dyDescent="0.2">
      <c r="A275" s="121">
        <v>24</v>
      </c>
      <c r="B275" s="134">
        <v>53606</v>
      </c>
      <c r="C275" s="135">
        <v>41927</v>
      </c>
      <c r="D275" s="136" t="s">
        <v>851</v>
      </c>
      <c r="E275" s="134" t="s">
        <v>378</v>
      </c>
      <c r="F275" s="137" t="s">
        <v>215</v>
      </c>
      <c r="G275" s="138" t="s">
        <v>368</v>
      </c>
      <c r="H275" s="139"/>
      <c r="I275" s="140">
        <v>1</v>
      </c>
      <c r="J275" s="141">
        <v>44597</v>
      </c>
      <c r="K275" s="141">
        <v>44597</v>
      </c>
      <c r="L275" s="185" t="s">
        <v>617</v>
      </c>
      <c r="M275" s="186" t="s">
        <v>21</v>
      </c>
      <c r="N275" s="131"/>
      <c r="O275" s="132"/>
      <c r="P275" s="132"/>
      <c r="Q275" s="132"/>
      <c r="R275" s="132"/>
      <c r="S275" s="132"/>
      <c r="T275" s="132"/>
      <c r="U275" s="132"/>
      <c r="V275" s="132"/>
      <c r="W275" s="132"/>
      <c r="X275" s="132"/>
      <c r="Y275" s="132"/>
      <c r="Z275" s="132"/>
      <c r="AA275" s="132"/>
      <c r="AB275" s="132"/>
    </row>
    <row r="276" spans="1:28" s="133" customFormat="1" ht="15" customHeight="1" outlineLevel="1" x14ac:dyDescent="0.2">
      <c r="A276" s="121">
        <v>25</v>
      </c>
      <c r="B276" s="134">
        <v>56940</v>
      </c>
      <c r="C276" s="135">
        <v>41914</v>
      </c>
      <c r="D276" s="136" t="s">
        <v>852</v>
      </c>
      <c r="E276" s="134" t="s">
        <v>799</v>
      </c>
      <c r="F276" s="137" t="s">
        <v>195</v>
      </c>
      <c r="G276" s="187" t="s">
        <v>853</v>
      </c>
      <c r="H276" s="139"/>
      <c r="I276" s="140">
        <v>11</v>
      </c>
      <c r="J276" s="141">
        <v>2739</v>
      </c>
      <c r="K276" s="141">
        <v>30129</v>
      </c>
      <c r="L276" s="185" t="s">
        <v>617</v>
      </c>
      <c r="M276" s="186" t="s">
        <v>21</v>
      </c>
      <c r="N276" s="131"/>
      <c r="O276" s="132"/>
      <c r="P276" s="132"/>
      <c r="Q276" s="132"/>
      <c r="R276" s="132"/>
      <c r="S276" s="132"/>
      <c r="T276" s="132"/>
      <c r="U276" s="132"/>
      <c r="V276" s="132"/>
      <c r="W276" s="132"/>
      <c r="X276" s="132"/>
      <c r="Y276" s="132"/>
      <c r="Z276" s="132"/>
      <c r="AA276" s="132"/>
      <c r="AB276" s="132"/>
    </row>
    <row r="277" spans="1:28" s="133" customFormat="1" ht="15" customHeight="1" outlineLevel="1" x14ac:dyDescent="0.2">
      <c r="A277" s="121">
        <v>26</v>
      </c>
      <c r="B277" s="134">
        <v>56940</v>
      </c>
      <c r="C277" s="135">
        <v>41914</v>
      </c>
      <c r="D277" s="136" t="s">
        <v>852</v>
      </c>
      <c r="E277" s="134" t="s">
        <v>799</v>
      </c>
      <c r="F277" s="137" t="s">
        <v>619</v>
      </c>
      <c r="G277" s="138" t="s">
        <v>384</v>
      </c>
      <c r="H277" s="139"/>
      <c r="I277" s="140">
        <v>2</v>
      </c>
      <c r="J277" s="141">
        <v>15722</v>
      </c>
      <c r="K277" s="141">
        <v>31444</v>
      </c>
      <c r="L277" s="185" t="s">
        <v>617</v>
      </c>
      <c r="M277" s="186" t="s">
        <v>21</v>
      </c>
      <c r="N277" s="131"/>
      <c r="O277" s="132"/>
      <c r="P277" s="132"/>
      <c r="Q277" s="132"/>
      <c r="R277" s="132"/>
      <c r="S277" s="132"/>
      <c r="T277" s="132"/>
      <c r="U277" s="132"/>
      <c r="V277" s="132"/>
      <c r="W277" s="132"/>
      <c r="X277" s="132"/>
      <c r="Y277" s="132"/>
      <c r="Z277" s="132"/>
      <c r="AA277" s="132"/>
      <c r="AB277" s="132"/>
    </row>
    <row r="278" spans="1:28" s="133" customFormat="1" ht="15" customHeight="1" outlineLevel="1" x14ac:dyDescent="0.2">
      <c r="A278" s="121">
        <v>27</v>
      </c>
      <c r="B278" s="134">
        <v>59096</v>
      </c>
      <c r="C278" s="135">
        <v>41948</v>
      </c>
      <c r="D278" s="136" t="s">
        <v>854</v>
      </c>
      <c r="E278" s="134" t="s">
        <v>378</v>
      </c>
      <c r="F278" s="137" t="s">
        <v>679</v>
      </c>
      <c r="G278" s="138" t="s">
        <v>366</v>
      </c>
      <c r="H278" s="139"/>
      <c r="I278" s="140">
        <v>1</v>
      </c>
      <c r="J278" s="141">
        <v>55058</v>
      </c>
      <c r="K278" s="141">
        <v>55058</v>
      </c>
      <c r="L278" s="185" t="s">
        <v>617</v>
      </c>
      <c r="M278" s="186" t="s">
        <v>21</v>
      </c>
      <c r="N278" s="131"/>
      <c r="O278" s="132"/>
      <c r="P278" s="132"/>
      <c r="Q278" s="132"/>
      <c r="R278" s="132"/>
      <c r="S278" s="132"/>
      <c r="T278" s="132"/>
      <c r="U278" s="132"/>
      <c r="V278" s="132"/>
      <c r="W278" s="132"/>
      <c r="X278" s="132"/>
      <c r="Y278" s="132"/>
      <c r="Z278" s="132"/>
      <c r="AA278" s="132"/>
      <c r="AB278" s="132"/>
    </row>
    <row r="279" spans="1:28" s="133" customFormat="1" ht="15" customHeight="1" outlineLevel="1" x14ac:dyDescent="0.2">
      <c r="A279" s="121">
        <v>28</v>
      </c>
      <c r="B279" s="134">
        <v>53997</v>
      </c>
      <c r="C279" s="135">
        <v>41927</v>
      </c>
      <c r="D279" s="136" t="s">
        <v>855</v>
      </c>
      <c r="E279" s="134" t="s">
        <v>378</v>
      </c>
      <c r="F279" s="137" t="s">
        <v>215</v>
      </c>
      <c r="G279" s="138" t="s">
        <v>368</v>
      </c>
      <c r="H279" s="139"/>
      <c r="I279" s="140">
        <v>1</v>
      </c>
      <c r="J279" s="141">
        <v>44597</v>
      </c>
      <c r="K279" s="141">
        <v>44597</v>
      </c>
      <c r="L279" s="185" t="s">
        <v>617</v>
      </c>
      <c r="M279" s="186" t="s">
        <v>21</v>
      </c>
      <c r="N279" s="131"/>
      <c r="O279" s="132"/>
      <c r="P279" s="132"/>
      <c r="Q279" s="132"/>
      <c r="R279" s="132"/>
      <c r="S279" s="132"/>
      <c r="T279" s="132"/>
      <c r="U279" s="132"/>
      <c r="V279" s="132"/>
      <c r="W279" s="132"/>
      <c r="X279" s="132"/>
      <c r="Y279" s="132"/>
      <c r="Z279" s="132"/>
      <c r="AA279" s="132"/>
      <c r="AB279" s="132"/>
    </row>
    <row r="280" spans="1:28" s="133" customFormat="1" ht="15" customHeight="1" outlineLevel="1" x14ac:dyDescent="0.2">
      <c r="A280" s="121">
        <v>29</v>
      </c>
      <c r="B280" s="134">
        <v>58199</v>
      </c>
      <c r="C280" s="135">
        <v>41918</v>
      </c>
      <c r="D280" s="136" t="s">
        <v>856</v>
      </c>
      <c r="E280" s="134" t="s">
        <v>373</v>
      </c>
      <c r="F280" s="137" t="s">
        <v>215</v>
      </c>
      <c r="G280" s="138" t="s">
        <v>368</v>
      </c>
      <c r="H280" s="139"/>
      <c r="I280" s="140">
        <v>1</v>
      </c>
      <c r="J280" s="141">
        <v>44597</v>
      </c>
      <c r="K280" s="141">
        <v>44597</v>
      </c>
      <c r="L280" s="185" t="s">
        <v>617</v>
      </c>
      <c r="M280" s="186" t="s">
        <v>21</v>
      </c>
      <c r="N280" s="131"/>
      <c r="O280" s="132"/>
      <c r="P280" s="132"/>
      <c r="Q280" s="132"/>
      <c r="R280" s="132"/>
      <c r="S280" s="132"/>
      <c r="T280" s="132"/>
      <c r="U280" s="132"/>
      <c r="V280" s="132"/>
      <c r="W280" s="132"/>
      <c r="X280" s="132"/>
      <c r="Y280" s="132"/>
      <c r="Z280" s="132"/>
      <c r="AA280" s="132"/>
      <c r="AB280" s="132"/>
    </row>
    <row r="281" spans="1:28" s="133" customFormat="1" ht="15" customHeight="1" outlineLevel="1" x14ac:dyDescent="0.2">
      <c r="A281" s="121">
        <v>30</v>
      </c>
      <c r="B281" s="134">
        <v>58199</v>
      </c>
      <c r="C281" s="135">
        <v>41918</v>
      </c>
      <c r="D281" s="136" t="s">
        <v>856</v>
      </c>
      <c r="E281" s="134" t="s">
        <v>373</v>
      </c>
      <c r="F281" s="137" t="s">
        <v>679</v>
      </c>
      <c r="G281" s="138" t="s">
        <v>366</v>
      </c>
      <c r="H281" s="139"/>
      <c r="I281" s="140">
        <v>1</v>
      </c>
      <c r="J281" s="141">
        <v>55058</v>
      </c>
      <c r="K281" s="141">
        <v>55058</v>
      </c>
      <c r="L281" s="185" t="s">
        <v>617</v>
      </c>
      <c r="M281" s="186" t="s">
        <v>21</v>
      </c>
      <c r="N281" s="131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  <c r="AB281" s="132"/>
    </row>
    <row r="282" spans="1:28" s="133" customFormat="1" ht="15" customHeight="1" outlineLevel="1" x14ac:dyDescent="0.2">
      <c r="A282" s="121">
        <v>31</v>
      </c>
      <c r="B282" s="134">
        <v>53894</v>
      </c>
      <c r="C282" s="135">
        <v>41926</v>
      </c>
      <c r="D282" s="136" t="s">
        <v>800</v>
      </c>
      <c r="E282" s="134" t="s">
        <v>378</v>
      </c>
      <c r="F282" s="137" t="s">
        <v>679</v>
      </c>
      <c r="G282" s="138" t="s">
        <v>366</v>
      </c>
      <c r="H282" s="139"/>
      <c r="I282" s="140">
        <v>1</v>
      </c>
      <c r="J282" s="141">
        <v>55058</v>
      </c>
      <c r="K282" s="141">
        <v>55058</v>
      </c>
      <c r="L282" s="185" t="s">
        <v>617</v>
      </c>
      <c r="M282" s="186" t="s">
        <v>21</v>
      </c>
      <c r="N282" s="131"/>
      <c r="O282" s="132"/>
      <c r="P282" s="132"/>
      <c r="Q282" s="132"/>
      <c r="R282" s="132"/>
      <c r="S282" s="132"/>
      <c r="T282" s="132"/>
      <c r="U282" s="132"/>
      <c r="V282" s="132"/>
      <c r="W282" s="132"/>
      <c r="X282" s="132"/>
      <c r="Y282" s="132"/>
      <c r="Z282" s="132"/>
      <c r="AA282" s="132"/>
      <c r="AB282" s="132"/>
    </row>
    <row r="283" spans="1:28" s="133" customFormat="1" ht="15" customHeight="1" outlineLevel="1" x14ac:dyDescent="0.2">
      <c r="A283" s="121">
        <v>32</v>
      </c>
      <c r="B283" s="134">
        <v>50457</v>
      </c>
      <c r="C283" s="135">
        <v>41887</v>
      </c>
      <c r="D283" s="136" t="s">
        <v>857</v>
      </c>
      <c r="E283" s="134" t="s">
        <v>378</v>
      </c>
      <c r="F283" s="137" t="s">
        <v>215</v>
      </c>
      <c r="G283" s="138" t="s">
        <v>368</v>
      </c>
      <c r="H283" s="139"/>
      <c r="I283" s="140">
        <v>1</v>
      </c>
      <c r="J283" s="141">
        <v>44597</v>
      </c>
      <c r="K283" s="141">
        <v>44597</v>
      </c>
      <c r="L283" s="185" t="s">
        <v>617</v>
      </c>
      <c r="M283" s="186" t="s">
        <v>21</v>
      </c>
      <c r="N283" s="131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  <c r="AB283" s="132"/>
    </row>
    <row r="284" spans="1:28" s="133" customFormat="1" ht="15" customHeight="1" outlineLevel="1" x14ac:dyDescent="0.2">
      <c r="A284" s="121">
        <v>33</v>
      </c>
      <c r="B284" s="134">
        <v>58496</v>
      </c>
      <c r="C284" s="135">
        <v>41920</v>
      </c>
      <c r="D284" s="136" t="s">
        <v>858</v>
      </c>
      <c r="E284" s="134" t="s">
        <v>859</v>
      </c>
      <c r="F284" s="137" t="s">
        <v>577</v>
      </c>
      <c r="G284" s="138" t="s">
        <v>368</v>
      </c>
      <c r="H284" s="139"/>
      <c r="I284" s="140">
        <v>1</v>
      </c>
      <c r="J284" s="141">
        <v>25800</v>
      </c>
      <c r="K284" s="141">
        <v>25800</v>
      </c>
      <c r="L284" s="185" t="s">
        <v>617</v>
      </c>
      <c r="M284" s="186" t="s">
        <v>21</v>
      </c>
      <c r="N284" s="131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32"/>
      <c r="AA284" s="132"/>
      <c r="AB284" s="132"/>
    </row>
    <row r="285" spans="1:28" s="133" customFormat="1" ht="15" customHeight="1" outlineLevel="1" x14ac:dyDescent="0.2">
      <c r="A285" s="121">
        <v>34</v>
      </c>
      <c r="B285" s="134">
        <v>58107</v>
      </c>
      <c r="C285" s="135">
        <v>41918</v>
      </c>
      <c r="D285" s="136" t="s">
        <v>860</v>
      </c>
      <c r="E285" s="134" t="s">
        <v>373</v>
      </c>
      <c r="F285" s="137" t="s">
        <v>679</v>
      </c>
      <c r="G285" s="138" t="s">
        <v>368</v>
      </c>
      <c r="H285" s="139"/>
      <c r="I285" s="140">
        <v>1</v>
      </c>
      <c r="J285" s="141">
        <v>55058</v>
      </c>
      <c r="K285" s="141">
        <v>55058</v>
      </c>
      <c r="L285" s="185" t="s">
        <v>617</v>
      </c>
      <c r="M285" s="186" t="s">
        <v>21</v>
      </c>
      <c r="N285" s="131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32"/>
      <c r="AA285" s="132"/>
      <c r="AB285" s="132"/>
    </row>
    <row r="286" spans="1:28" s="133" customFormat="1" ht="15" customHeight="1" outlineLevel="1" x14ac:dyDescent="0.2">
      <c r="A286" s="121">
        <v>35</v>
      </c>
      <c r="B286" s="134">
        <v>57922</v>
      </c>
      <c r="C286" s="135">
        <v>41939</v>
      </c>
      <c r="D286" s="136" t="s">
        <v>861</v>
      </c>
      <c r="E286" s="134" t="s">
        <v>373</v>
      </c>
      <c r="F286" s="137" t="s">
        <v>215</v>
      </c>
      <c r="G286" s="138" t="s">
        <v>384</v>
      </c>
      <c r="H286" s="139"/>
      <c r="I286" s="140">
        <v>2</v>
      </c>
      <c r="J286" s="141">
        <v>44597</v>
      </c>
      <c r="K286" s="141">
        <v>89194</v>
      </c>
      <c r="L286" s="185" t="s">
        <v>617</v>
      </c>
      <c r="M286" s="186" t="s">
        <v>21</v>
      </c>
      <c r="N286" s="131"/>
      <c r="O286" s="132"/>
      <c r="P286" s="132"/>
      <c r="Q286" s="132"/>
      <c r="R286" s="132"/>
      <c r="S286" s="132"/>
      <c r="T286" s="132"/>
      <c r="U286" s="132"/>
      <c r="V286" s="132"/>
      <c r="W286" s="132"/>
      <c r="X286" s="132"/>
      <c r="Y286" s="132"/>
      <c r="Z286" s="132"/>
      <c r="AA286" s="132"/>
      <c r="AB286" s="132"/>
    </row>
    <row r="287" spans="1:28" s="133" customFormat="1" ht="15" customHeight="1" outlineLevel="1" x14ac:dyDescent="0.2">
      <c r="A287" s="121">
        <v>36</v>
      </c>
      <c r="B287" s="134">
        <v>59800</v>
      </c>
      <c r="C287" s="135">
        <v>41942</v>
      </c>
      <c r="D287" s="136" t="s">
        <v>862</v>
      </c>
      <c r="E287" s="134" t="s">
        <v>386</v>
      </c>
      <c r="F287" s="137" t="s">
        <v>679</v>
      </c>
      <c r="G287" s="138" t="s">
        <v>368</v>
      </c>
      <c r="H287" s="139"/>
      <c r="I287" s="140">
        <v>1</v>
      </c>
      <c r="J287" s="141">
        <v>55058</v>
      </c>
      <c r="K287" s="141">
        <v>55058</v>
      </c>
      <c r="L287" s="185" t="s">
        <v>617</v>
      </c>
      <c r="M287" s="186" t="s">
        <v>21</v>
      </c>
      <c r="N287" s="131"/>
      <c r="O287" s="132"/>
      <c r="P287" s="132"/>
      <c r="Q287" s="132"/>
      <c r="R287" s="132"/>
      <c r="S287" s="132"/>
      <c r="T287" s="132"/>
      <c r="U287" s="132"/>
      <c r="V287" s="132"/>
      <c r="W287" s="132"/>
      <c r="X287" s="132"/>
      <c r="Y287" s="132"/>
      <c r="Z287" s="132"/>
      <c r="AA287" s="132"/>
      <c r="AB287" s="132"/>
    </row>
    <row r="288" spans="1:28" s="133" customFormat="1" ht="15" customHeight="1" outlineLevel="1" x14ac:dyDescent="0.2">
      <c r="A288" s="121">
        <v>37</v>
      </c>
      <c r="B288" s="134">
        <v>57813</v>
      </c>
      <c r="C288" s="135">
        <v>41936</v>
      </c>
      <c r="D288" s="136" t="s">
        <v>863</v>
      </c>
      <c r="E288" s="134" t="s">
        <v>373</v>
      </c>
      <c r="F288" s="137" t="s">
        <v>215</v>
      </c>
      <c r="G288" s="138" t="s">
        <v>384</v>
      </c>
      <c r="H288" s="139"/>
      <c r="I288" s="140">
        <v>2</v>
      </c>
      <c r="J288" s="141">
        <v>44597</v>
      </c>
      <c r="K288" s="141">
        <v>89194</v>
      </c>
      <c r="L288" s="185" t="s">
        <v>617</v>
      </c>
      <c r="M288" s="186" t="s">
        <v>21</v>
      </c>
      <c r="N288" s="131"/>
      <c r="O288" s="132"/>
      <c r="P288" s="132"/>
      <c r="Q288" s="132"/>
      <c r="R288" s="132"/>
      <c r="S288" s="132"/>
      <c r="T288" s="132"/>
      <c r="U288" s="132"/>
      <c r="V288" s="132"/>
      <c r="W288" s="132"/>
      <c r="X288" s="132"/>
      <c r="Y288" s="132"/>
      <c r="Z288" s="132"/>
      <c r="AA288" s="132"/>
      <c r="AB288" s="132"/>
    </row>
    <row r="289" spans="1:28" s="133" customFormat="1" ht="15" customHeight="1" outlineLevel="1" x14ac:dyDescent="0.2">
      <c r="A289" s="121">
        <v>38</v>
      </c>
      <c r="B289" s="134">
        <v>58248</v>
      </c>
      <c r="C289" s="135">
        <v>41920</v>
      </c>
      <c r="D289" s="136" t="s">
        <v>864</v>
      </c>
      <c r="E289" s="134" t="s">
        <v>378</v>
      </c>
      <c r="F289" s="137" t="s">
        <v>215</v>
      </c>
      <c r="G289" s="138" t="s">
        <v>366</v>
      </c>
      <c r="H289" s="139"/>
      <c r="I289" s="140">
        <v>1</v>
      </c>
      <c r="J289" s="141">
        <v>44597</v>
      </c>
      <c r="K289" s="141">
        <v>44597</v>
      </c>
      <c r="L289" s="185" t="s">
        <v>617</v>
      </c>
      <c r="M289" s="186" t="s">
        <v>21</v>
      </c>
      <c r="N289" s="131"/>
      <c r="O289" s="132"/>
      <c r="P289" s="132"/>
      <c r="Q289" s="132"/>
      <c r="R289" s="132"/>
      <c r="S289" s="132"/>
      <c r="T289" s="132"/>
      <c r="U289" s="132"/>
      <c r="V289" s="132"/>
      <c r="W289" s="132"/>
      <c r="X289" s="132"/>
      <c r="Y289" s="132"/>
      <c r="Z289" s="132"/>
      <c r="AA289" s="132"/>
      <c r="AB289" s="132"/>
    </row>
    <row r="290" spans="1:28" s="133" customFormat="1" ht="15" customHeight="1" outlineLevel="1" x14ac:dyDescent="0.2">
      <c r="A290" s="121">
        <v>40</v>
      </c>
      <c r="B290" s="134">
        <v>55047</v>
      </c>
      <c r="C290" s="135">
        <v>41928</v>
      </c>
      <c r="D290" s="136" t="s">
        <v>808</v>
      </c>
      <c r="E290" s="134" t="s">
        <v>386</v>
      </c>
      <c r="F290" s="137" t="s">
        <v>208</v>
      </c>
      <c r="G290" s="138" t="s">
        <v>865</v>
      </c>
      <c r="H290" s="139"/>
      <c r="I290" s="140">
        <v>2</v>
      </c>
      <c r="J290" s="141">
        <v>14099</v>
      </c>
      <c r="K290" s="141">
        <v>28198</v>
      </c>
      <c r="L290" s="185" t="s">
        <v>617</v>
      </c>
      <c r="M290" s="186" t="s">
        <v>21</v>
      </c>
      <c r="N290" s="131"/>
      <c r="O290" s="132"/>
      <c r="P290" s="132"/>
      <c r="Q290" s="132"/>
      <c r="R290" s="132"/>
      <c r="S290" s="132"/>
      <c r="T290" s="132"/>
      <c r="U290" s="132"/>
      <c r="V290" s="132"/>
      <c r="W290" s="132"/>
      <c r="X290" s="132"/>
      <c r="Y290" s="132"/>
      <c r="Z290" s="132"/>
      <c r="AA290" s="132"/>
      <c r="AB290" s="132"/>
    </row>
    <row r="291" spans="1:28" s="133" customFormat="1" ht="15" customHeight="1" outlineLevel="1" x14ac:dyDescent="0.2">
      <c r="A291" s="121">
        <v>41</v>
      </c>
      <c r="B291" s="134">
        <v>55047</v>
      </c>
      <c r="C291" s="135">
        <v>41928</v>
      </c>
      <c r="D291" s="136" t="s">
        <v>808</v>
      </c>
      <c r="E291" s="134" t="s">
        <v>386</v>
      </c>
      <c r="F291" s="137" t="s">
        <v>115</v>
      </c>
      <c r="G291" s="138" t="s">
        <v>809</v>
      </c>
      <c r="H291" s="139"/>
      <c r="I291" s="140">
        <v>3</v>
      </c>
      <c r="J291" s="141">
        <v>5274</v>
      </c>
      <c r="K291" s="141">
        <v>15822</v>
      </c>
      <c r="L291" s="185" t="s">
        <v>617</v>
      </c>
      <c r="M291" s="186" t="s">
        <v>21</v>
      </c>
      <c r="N291" s="131"/>
      <c r="O291" s="132"/>
      <c r="P291" s="132"/>
      <c r="Q291" s="132"/>
      <c r="R291" s="132"/>
      <c r="S291" s="132"/>
      <c r="T291" s="132"/>
      <c r="U291" s="132"/>
      <c r="V291" s="132"/>
      <c r="W291" s="132"/>
      <c r="X291" s="132"/>
      <c r="Y291" s="132"/>
      <c r="Z291" s="132"/>
      <c r="AA291" s="132"/>
      <c r="AB291" s="132"/>
    </row>
    <row r="292" spans="1:28" s="133" customFormat="1" ht="15" customHeight="1" outlineLevel="1" x14ac:dyDescent="0.2">
      <c r="A292" s="121">
        <v>42</v>
      </c>
      <c r="B292" s="134">
        <v>59445</v>
      </c>
      <c r="C292" s="135">
        <v>41941</v>
      </c>
      <c r="D292" s="136" t="s">
        <v>866</v>
      </c>
      <c r="E292" s="134" t="s">
        <v>378</v>
      </c>
      <c r="F292" s="137" t="s">
        <v>679</v>
      </c>
      <c r="G292" s="138" t="s">
        <v>368</v>
      </c>
      <c r="H292" s="139"/>
      <c r="I292" s="140">
        <v>1</v>
      </c>
      <c r="J292" s="141">
        <v>55058</v>
      </c>
      <c r="K292" s="141">
        <v>55058</v>
      </c>
      <c r="L292" s="185" t="s">
        <v>617</v>
      </c>
      <c r="M292" s="186" t="s">
        <v>21</v>
      </c>
      <c r="N292" s="131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</row>
    <row r="293" spans="1:28" s="133" customFormat="1" ht="15" customHeight="1" outlineLevel="1" x14ac:dyDescent="0.2">
      <c r="A293" s="121">
        <v>4</v>
      </c>
      <c r="B293" s="121">
        <v>61512</v>
      </c>
      <c r="C293" s="122">
        <v>41947</v>
      </c>
      <c r="D293" s="123" t="s">
        <v>812</v>
      </c>
      <c r="E293" s="121" t="s">
        <v>373</v>
      </c>
      <c r="F293" s="124" t="s">
        <v>215</v>
      </c>
      <c r="G293" s="125" t="s">
        <v>384</v>
      </c>
      <c r="H293" s="126"/>
      <c r="I293" s="127">
        <v>2</v>
      </c>
      <c r="J293" s="128">
        <v>44597</v>
      </c>
      <c r="K293" s="128">
        <v>89194</v>
      </c>
      <c r="L293" s="181" t="s">
        <v>867</v>
      </c>
      <c r="M293" s="166" t="s">
        <v>21</v>
      </c>
      <c r="N293" s="131"/>
      <c r="O293" s="132"/>
      <c r="P293" s="132"/>
      <c r="Q293" s="132"/>
      <c r="R293" s="132"/>
      <c r="S293" s="132"/>
      <c r="T293" s="132"/>
      <c r="U293" s="132"/>
      <c r="V293" s="132"/>
      <c r="W293" s="132"/>
      <c r="X293" s="132"/>
      <c r="Y293" s="132"/>
      <c r="Z293" s="132"/>
      <c r="AA293" s="132"/>
      <c r="AB293" s="132"/>
    </row>
    <row r="294" spans="1:28" s="133" customFormat="1" ht="15" customHeight="1" outlineLevel="1" x14ac:dyDescent="0.2">
      <c r="A294" s="121">
        <v>1</v>
      </c>
      <c r="B294" s="121">
        <v>70007</v>
      </c>
      <c r="C294" s="122">
        <v>41970</v>
      </c>
      <c r="D294" s="123" t="s">
        <v>868</v>
      </c>
      <c r="E294" s="121" t="s">
        <v>378</v>
      </c>
      <c r="F294" s="124" t="s">
        <v>215</v>
      </c>
      <c r="G294" s="125" t="s">
        <v>366</v>
      </c>
      <c r="H294" s="126"/>
      <c r="I294" s="127">
        <v>1</v>
      </c>
      <c r="J294" s="128">
        <v>44597</v>
      </c>
      <c r="K294" s="128">
        <v>44597</v>
      </c>
      <c r="L294" s="181" t="s">
        <v>867</v>
      </c>
      <c r="M294" s="166" t="s">
        <v>21</v>
      </c>
      <c r="N294" s="131"/>
      <c r="O294" s="132"/>
      <c r="P294" s="132"/>
      <c r="Q294" s="132"/>
      <c r="R294" s="132"/>
      <c r="S294" s="132"/>
      <c r="T294" s="132"/>
      <c r="U294" s="132"/>
      <c r="V294" s="132"/>
      <c r="W294" s="132"/>
      <c r="X294" s="132"/>
      <c r="Y294" s="132"/>
      <c r="Z294" s="132"/>
      <c r="AA294" s="132"/>
      <c r="AB294" s="132"/>
    </row>
    <row r="295" spans="1:28" s="133" customFormat="1" ht="15" customHeight="1" outlineLevel="1" x14ac:dyDescent="0.2">
      <c r="A295" s="121">
        <v>2</v>
      </c>
      <c r="B295" s="121">
        <v>70112</v>
      </c>
      <c r="C295" s="122">
        <v>41970</v>
      </c>
      <c r="D295" s="123" t="s">
        <v>869</v>
      </c>
      <c r="E295" s="121" t="s">
        <v>378</v>
      </c>
      <c r="F295" s="124" t="s">
        <v>534</v>
      </c>
      <c r="G295" s="125" t="s">
        <v>870</v>
      </c>
      <c r="H295" s="126"/>
      <c r="I295" s="127">
        <v>2</v>
      </c>
      <c r="J295" s="128">
        <v>30429</v>
      </c>
      <c r="K295" s="128">
        <v>60858</v>
      </c>
      <c r="L295" s="181" t="s">
        <v>867</v>
      </c>
      <c r="M295" s="166" t="s">
        <v>21</v>
      </c>
      <c r="N295" s="131"/>
      <c r="O295" s="132"/>
      <c r="P295" s="132"/>
      <c r="Q295" s="132"/>
      <c r="R295" s="132"/>
      <c r="S295" s="132"/>
      <c r="T295" s="132"/>
      <c r="U295" s="132"/>
      <c r="V295" s="132"/>
      <c r="W295" s="132"/>
      <c r="X295" s="132"/>
      <c r="Y295" s="132"/>
      <c r="Z295" s="132"/>
      <c r="AA295" s="132"/>
      <c r="AB295" s="132"/>
    </row>
    <row r="296" spans="1:28" s="133" customFormat="1" ht="15" customHeight="1" outlineLevel="1" x14ac:dyDescent="0.2">
      <c r="A296" s="121">
        <v>3</v>
      </c>
      <c r="B296" s="121">
        <v>63394</v>
      </c>
      <c r="C296" s="122">
        <v>41954</v>
      </c>
      <c r="D296" s="123" t="s">
        <v>871</v>
      </c>
      <c r="E296" s="121" t="s">
        <v>378</v>
      </c>
      <c r="F296" s="124" t="s">
        <v>217</v>
      </c>
      <c r="G296" s="125" t="s">
        <v>872</v>
      </c>
      <c r="H296" s="126"/>
      <c r="I296" s="127">
        <v>1</v>
      </c>
      <c r="J296" s="128">
        <v>22299</v>
      </c>
      <c r="K296" s="128">
        <v>22299</v>
      </c>
      <c r="L296" s="181" t="s">
        <v>867</v>
      </c>
      <c r="M296" s="166" t="s">
        <v>21</v>
      </c>
      <c r="N296" s="131"/>
      <c r="O296" s="132"/>
      <c r="P296" s="132"/>
      <c r="Q296" s="132"/>
      <c r="R296" s="132"/>
      <c r="S296" s="132"/>
      <c r="T296" s="132"/>
      <c r="U296" s="132"/>
      <c r="V296" s="132"/>
      <c r="W296" s="132"/>
      <c r="X296" s="132"/>
      <c r="Y296" s="132"/>
      <c r="Z296" s="132"/>
      <c r="AA296" s="132"/>
      <c r="AB296" s="132"/>
    </row>
    <row r="297" spans="1:28" s="133" customFormat="1" ht="15" customHeight="1" outlineLevel="1" x14ac:dyDescent="0.2">
      <c r="A297" s="121">
        <v>4</v>
      </c>
      <c r="B297" s="121">
        <v>70009</v>
      </c>
      <c r="C297" s="122">
        <v>41970</v>
      </c>
      <c r="D297" s="123" t="s">
        <v>873</v>
      </c>
      <c r="E297" s="121" t="s">
        <v>386</v>
      </c>
      <c r="F297" s="124" t="s">
        <v>679</v>
      </c>
      <c r="G297" s="125" t="s">
        <v>368</v>
      </c>
      <c r="H297" s="126"/>
      <c r="I297" s="127">
        <v>1</v>
      </c>
      <c r="J297" s="128">
        <v>55058</v>
      </c>
      <c r="K297" s="128">
        <v>55058</v>
      </c>
      <c r="L297" s="181" t="s">
        <v>867</v>
      </c>
      <c r="M297" s="166" t="s">
        <v>21</v>
      </c>
      <c r="N297" s="131"/>
      <c r="O297" s="132"/>
      <c r="P297" s="132"/>
      <c r="Q297" s="132"/>
      <c r="R297" s="132"/>
      <c r="S297" s="132"/>
      <c r="T297" s="132"/>
      <c r="U297" s="132"/>
      <c r="V297" s="132"/>
      <c r="W297" s="132"/>
      <c r="X297" s="132"/>
      <c r="Y297" s="132"/>
      <c r="Z297" s="132"/>
      <c r="AA297" s="132"/>
      <c r="AB297" s="132"/>
    </row>
    <row r="298" spans="1:28" s="133" customFormat="1" ht="15" customHeight="1" outlineLevel="1" x14ac:dyDescent="0.2">
      <c r="A298" s="121">
        <v>5</v>
      </c>
      <c r="B298" s="121">
        <v>62216</v>
      </c>
      <c r="C298" s="122">
        <v>41949</v>
      </c>
      <c r="D298" s="123" t="s">
        <v>874</v>
      </c>
      <c r="E298" s="121" t="s">
        <v>378</v>
      </c>
      <c r="F298" s="124" t="s">
        <v>114</v>
      </c>
      <c r="G298" s="125" t="s">
        <v>642</v>
      </c>
      <c r="H298" s="126"/>
      <c r="I298" s="127">
        <v>1</v>
      </c>
      <c r="J298" s="128">
        <v>33370</v>
      </c>
      <c r="K298" s="128">
        <v>33370</v>
      </c>
      <c r="L298" s="181" t="s">
        <v>867</v>
      </c>
      <c r="M298" s="166" t="s">
        <v>21</v>
      </c>
      <c r="N298" s="131"/>
      <c r="O298" s="132"/>
      <c r="P298" s="132"/>
      <c r="Q298" s="132"/>
      <c r="R298" s="132"/>
      <c r="S298" s="132"/>
      <c r="T298" s="132"/>
      <c r="U298" s="132"/>
      <c r="V298" s="132"/>
      <c r="W298" s="132"/>
      <c r="X298" s="132"/>
      <c r="Y298" s="132"/>
      <c r="Z298" s="132"/>
      <c r="AA298" s="132"/>
      <c r="AB298" s="132"/>
    </row>
    <row r="299" spans="1:28" s="133" customFormat="1" ht="15" customHeight="1" outlineLevel="1" x14ac:dyDescent="0.2">
      <c r="A299" s="121">
        <v>6</v>
      </c>
      <c r="B299" s="121">
        <v>64218</v>
      </c>
      <c r="C299" s="122">
        <v>41955</v>
      </c>
      <c r="D299" s="123" t="s">
        <v>875</v>
      </c>
      <c r="E299" s="121" t="s">
        <v>386</v>
      </c>
      <c r="F299" s="124" t="s">
        <v>534</v>
      </c>
      <c r="G299" s="125" t="s">
        <v>559</v>
      </c>
      <c r="H299" s="126"/>
      <c r="I299" s="127">
        <v>1</v>
      </c>
      <c r="J299" s="128">
        <v>30429</v>
      </c>
      <c r="K299" s="128">
        <v>30429</v>
      </c>
      <c r="L299" s="181" t="s">
        <v>867</v>
      </c>
      <c r="M299" s="166" t="s">
        <v>21</v>
      </c>
      <c r="N299" s="131"/>
      <c r="O299" s="132"/>
      <c r="P299" s="132"/>
      <c r="Q299" s="132"/>
      <c r="R299" s="132"/>
      <c r="S299" s="132"/>
      <c r="T299" s="132"/>
      <c r="U299" s="132"/>
      <c r="V299" s="132"/>
      <c r="W299" s="132"/>
      <c r="X299" s="132"/>
      <c r="Y299" s="132"/>
      <c r="Z299" s="132"/>
      <c r="AA299" s="132"/>
      <c r="AB299" s="132"/>
    </row>
    <row r="300" spans="1:28" s="133" customFormat="1" ht="15" customHeight="1" outlineLevel="1" x14ac:dyDescent="0.2">
      <c r="A300" s="121">
        <v>7</v>
      </c>
      <c r="B300" s="121">
        <v>67343</v>
      </c>
      <c r="C300" s="122">
        <v>41955</v>
      </c>
      <c r="D300" s="123" t="s">
        <v>382</v>
      </c>
      <c r="E300" s="121" t="s">
        <v>378</v>
      </c>
      <c r="F300" s="124" t="s">
        <v>679</v>
      </c>
      <c r="G300" s="125" t="s">
        <v>384</v>
      </c>
      <c r="H300" s="126"/>
      <c r="I300" s="127">
        <v>2</v>
      </c>
      <c r="J300" s="128">
        <v>55058</v>
      </c>
      <c r="K300" s="128">
        <v>110116</v>
      </c>
      <c r="L300" s="181" t="s">
        <v>867</v>
      </c>
      <c r="M300" s="166" t="s">
        <v>21</v>
      </c>
      <c r="N300" s="131"/>
      <c r="O300" s="132"/>
      <c r="P300" s="132"/>
      <c r="Q300" s="132"/>
      <c r="R300" s="132"/>
      <c r="S300" s="132"/>
      <c r="T300" s="132"/>
      <c r="U300" s="132"/>
      <c r="V300" s="132"/>
      <c r="W300" s="132"/>
      <c r="X300" s="132"/>
      <c r="Y300" s="132"/>
      <c r="Z300" s="132"/>
      <c r="AA300" s="132"/>
      <c r="AB300" s="132"/>
    </row>
    <row r="301" spans="1:28" s="133" customFormat="1" ht="15" customHeight="1" outlineLevel="1" x14ac:dyDescent="0.2">
      <c r="A301" s="121">
        <v>9</v>
      </c>
      <c r="B301" s="121">
        <v>66163</v>
      </c>
      <c r="C301" s="122">
        <v>41961</v>
      </c>
      <c r="D301" s="123" t="s">
        <v>876</v>
      </c>
      <c r="E301" s="121" t="s">
        <v>373</v>
      </c>
      <c r="F301" s="124" t="s">
        <v>215</v>
      </c>
      <c r="G301" s="125" t="s">
        <v>368</v>
      </c>
      <c r="H301" s="126"/>
      <c r="I301" s="127">
        <v>1</v>
      </c>
      <c r="J301" s="128">
        <v>44597</v>
      </c>
      <c r="K301" s="128">
        <v>44597</v>
      </c>
      <c r="L301" s="181" t="s">
        <v>867</v>
      </c>
      <c r="M301" s="166" t="s">
        <v>21</v>
      </c>
      <c r="N301" s="131"/>
      <c r="O301" s="132"/>
      <c r="P301" s="132"/>
      <c r="Q301" s="132"/>
      <c r="R301" s="132"/>
      <c r="S301" s="132"/>
      <c r="T301" s="132"/>
      <c r="U301" s="132"/>
      <c r="V301" s="132"/>
      <c r="W301" s="132"/>
      <c r="X301" s="132"/>
      <c r="Y301" s="132"/>
      <c r="Z301" s="132"/>
      <c r="AA301" s="132"/>
      <c r="AB301" s="132"/>
    </row>
    <row r="302" spans="1:28" s="133" customFormat="1" ht="15" customHeight="1" outlineLevel="1" x14ac:dyDescent="0.2">
      <c r="A302" s="121">
        <v>10</v>
      </c>
      <c r="B302" s="121">
        <v>66163</v>
      </c>
      <c r="C302" s="122">
        <v>41961</v>
      </c>
      <c r="D302" s="123" t="s">
        <v>876</v>
      </c>
      <c r="E302" s="121" t="s">
        <v>373</v>
      </c>
      <c r="F302" s="124" t="s">
        <v>619</v>
      </c>
      <c r="G302" s="125" t="s">
        <v>368</v>
      </c>
      <c r="H302" s="126"/>
      <c r="I302" s="127">
        <v>1</v>
      </c>
      <c r="J302" s="128">
        <v>15722</v>
      </c>
      <c r="K302" s="128">
        <v>15722</v>
      </c>
      <c r="L302" s="181" t="s">
        <v>867</v>
      </c>
      <c r="M302" s="166" t="s">
        <v>21</v>
      </c>
      <c r="N302" s="131"/>
      <c r="O302" s="132"/>
      <c r="P302" s="132"/>
      <c r="Q302" s="132"/>
      <c r="R302" s="132"/>
      <c r="S302" s="132"/>
      <c r="T302" s="132"/>
      <c r="U302" s="132"/>
      <c r="V302" s="132"/>
      <c r="W302" s="132"/>
      <c r="X302" s="132"/>
      <c r="Y302" s="132"/>
      <c r="Z302" s="132"/>
      <c r="AA302" s="132"/>
      <c r="AB302" s="132"/>
    </row>
    <row r="303" spans="1:28" s="133" customFormat="1" ht="15" customHeight="1" outlineLevel="1" x14ac:dyDescent="0.2">
      <c r="A303" s="121">
        <v>11</v>
      </c>
      <c r="B303" s="121">
        <v>70815</v>
      </c>
      <c r="C303" s="122">
        <v>41971</v>
      </c>
      <c r="D303" s="123" t="s">
        <v>877</v>
      </c>
      <c r="E303" s="121" t="s">
        <v>373</v>
      </c>
      <c r="F303" s="124" t="s">
        <v>215</v>
      </c>
      <c r="G303" s="125" t="s">
        <v>368</v>
      </c>
      <c r="H303" s="126"/>
      <c r="I303" s="127">
        <v>1</v>
      </c>
      <c r="J303" s="128">
        <v>44597</v>
      </c>
      <c r="K303" s="128">
        <v>44597</v>
      </c>
      <c r="L303" s="181" t="s">
        <v>867</v>
      </c>
      <c r="M303" s="166" t="s">
        <v>21</v>
      </c>
      <c r="N303" s="131"/>
      <c r="O303" s="132"/>
      <c r="P303" s="132"/>
      <c r="Q303" s="132"/>
      <c r="R303" s="132"/>
      <c r="S303" s="132"/>
      <c r="T303" s="132"/>
      <c r="U303" s="132"/>
      <c r="V303" s="132"/>
      <c r="W303" s="132"/>
      <c r="X303" s="132"/>
      <c r="Y303" s="132"/>
      <c r="Z303" s="132"/>
      <c r="AA303" s="132"/>
      <c r="AB303" s="132"/>
    </row>
    <row r="304" spans="1:28" s="133" customFormat="1" ht="15" customHeight="1" outlineLevel="1" x14ac:dyDescent="0.2">
      <c r="A304" s="121">
        <v>12</v>
      </c>
      <c r="B304" s="121">
        <v>61478</v>
      </c>
      <c r="C304" s="122">
        <v>41948</v>
      </c>
      <c r="D304" s="123" t="s">
        <v>824</v>
      </c>
      <c r="E304" s="121" t="s">
        <v>378</v>
      </c>
      <c r="F304" s="124" t="s">
        <v>114</v>
      </c>
      <c r="G304" s="125" t="s">
        <v>428</v>
      </c>
      <c r="H304" s="126"/>
      <c r="I304" s="127">
        <v>1</v>
      </c>
      <c r="J304" s="128">
        <v>33370</v>
      </c>
      <c r="K304" s="128">
        <v>33370</v>
      </c>
      <c r="L304" s="181" t="s">
        <v>867</v>
      </c>
      <c r="M304" s="166" t="s">
        <v>21</v>
      </c>
      <c r="N304" s="131"/>
      <c r="O304" s="132"/>
      <c r="P304" s="132"/>
      <c r="Q304" s="132"/>
      <c r="R304" s="132"/>
      <c r="S304" s="132"/>
      <c r="T304" s="132"/>
      <c r="U304" s="132"/>
      <c r="V304" s="132"/>
      <c r="W304" s="132"/>
      <c r="X304" s="132"/>
      <c r="Y304" s="132"/>
      <c r="Z304" s="132"/>
      <c r="AA304" s="132"/>
      <c r="AB304" s="132"/>
    </row>
    <row r="305" spans="1:28" s="133" customFormat="1" ht="15" customHeight="1" outlineLevel="1" x14ac:dyDescent="0.2">
      <c r="A305" s="121">
        <v>13</v>
      </c>
      <c r="B305" s="121">
        <v>70702</v>
      </c>
      <c r="C305" s="122">
        <v>41971</v>
      </c>
      <c r="D305" s="123" t="s">
        <v>878</v>
      </c>
      <c r="E305" s="121" t="s">
        <v>378</v>
      </c>
      <c r="F305" s="124" t="s">
        <v>114</v>
      </c>
      <c r="G305" s="125" t="s">
        <v>416</v>
      </c>
      <c r="H305" s="126"/>
      <c r="I305" s="127">
        <v>1</v>
      </c>
      <c r="J305" s="128">
        <v>33370</v>
      </c>
      <c r="K305" s="128">
        <v>33370</v>
      </c>
      <c r="L305" s="181" t="s">
        <v>867</v>
      </c>
      <c r="M305" s="166" t="s">
        <v>21</v>
      </c>
      <c r="N305" s="131"/>
      <c r="O305" s="132"/>
      <c r="P305" s="132"/>
      <c r="Q305" s="132"/>
      <c r="R305" s="132"/>
      <c r="S305" s="132"/>
      <c r="T305" s="132"/>
      <c r="U305" s="132"/>
      <c r="V305" s="132"/>
      <c r="W305" s="132"/>
      <c r="X305" s="132"/>
      <c r="Y305" s="132"/>
      <c r="Z305" s="132"/>
      <c r="AA305" s="132"/>
      <c r="AB305" s="132"/>
    </row>
    <row r="306" spans="1:28" s="133" customFormat="1" ht="15" customHeight="1" outlineLevel="1" x14ac:dyDescent="0.2">
      <c r="A306" s="121">
        <v>14</v>
      </c>
      <c r="B306" s="121">
        <v>70299</v>
      </c>
      <c r="C306" s="122">
        <v>41970</v>
      </c>
      <c r="D306" s="123" t="s">
        <v>879</v>
      </c>
      <c r="E306" s="121" t="s">
        <v>386</v>
      </c>
      <c r="F306" s="124" t="s">
        <v>237</v>
      </c>
      <c r="G306" s="125" t="s">
        <v>368</v>
      </c>
      <c r="H306" s="126"/>
      <c r="I306" s="127">
        <v>1</v>
      </c>
      <c r="J306" s="128">
        <v>19272</v>
      </c>
      <c r="K306" s="128">
        <v>19272</v>
      </c>
      <c r="L306" s="181" t="s">
        <v>867</v>
      </c>
      <c r="M306" s="166" t="s">
        <v>21</v>
      </c>
      <c r="N306" s="131"/>
      <c r="O306" s="132"/>
      <c r="P306" s="132"/>
      <c r="Q306" s="132"/>
      <c r="R306" s="132"/>
      <c r="S306" s="132"/>
      <c r="T306" s="132"/>
      <c r="U306" s="132"/>
      <c r="V306" s="132"/>
      <c r="W306" s="132"/>
      <c r="X306" s="132"/>
      <c r="Y306" s="132"/>
      <c r="Z306" s="132"/>
      <c r="AA306" s="132"/>
      <c r="AB306" s="132"/>
    </row>
    <row r="307" spans="1:28" s="133" customFormat="1" ht="15" customHeight="1" outlineLevel="1" x14ac:dyDescent="0.2">
      <c r="A307" s="121">
        <v>15</v>
      </c>
      <c r="B307" s="121">
        <v>69572</v>
      </c>
      <c r="C307" s="122">
        <v>41969</v>
      </c>
      <c r="D307" s="123" t="s">
        <v>880</v>
      </c>
      <c r="E307" s="121" t="s">
        <v>378</v>
      </c>
      <c r="F307" s="124" t="s">
        <v>215</v>
      </c>
      <c r="G307" s="125" t="s">
        <v>368</v>
      </c>
      <c r="H307" s="126"/>
      <c r="I307" s="127">
        <v>1</v>
      </c>
      <c r="J307" s="128">
        <v>44597</v>
      </c>
      <c r="K307" s="128">
        <v>44597</v>
      </c>
      <c r="L307" s="181" t="s">
        <v>867</v>
      </c>
      <c r="M307" s="166" t="s">
        <v>21</v>
      </c>
      <c r="N307" s="131"/>
      <c r="O307" s="132"/>
      <c r="P307" s="132"/>
      <c r="Q307" s="132"/>
      <c r="R307" s="132"/>
      <c r="S307" s="132"/>
      <c r="T307" s="132"/>
      <c r="U307" s="132"/>
      <c r="V307" s="132"/>
      <c r="W307" s="132"/>
      <c r="X307" s="132"/>
      <c r="Y307" s="132"/>
      <c r="Z307" s="132"/>
      <c r="AA307" s="132"/>
      <c r="AB307" s="132"/>
    </row>
    <row r="308" spans="1:28" s="133" customFormat="1" ht="15" customHeight="1" outlineLevel="1" x14ac:dyDescent="0.2">
      <c r="A308" s="121">
        <v>16</v>
      </c>
      <c r="B308" s="121">
        <v>68479</v>
      </c>
      <c r="C308" s="122">
        <v>41965</v>
      </c>
      <c r="D308" s="123" t="s">
        <v>808</v>
      </c>
      <c r="E308" s="121" t="s">
        <v>386</v>
      </c>
      <c r="F308" s="124" t="s">
        <v>114</v>
      </c>
      <c r="G308" s="125" t="s">
        <v>809</v>
      </c>
      <c r="H308" s="126"/>
      <c r="I308" s="127">
        <v>3</v>
      </c>
      <c r="J308" s="128">
        <v>33370</v>
      </c>
      <c r="K308" s="128">
        <v>100110</v>
      </c>
      <c r="L308" s="181" t="s">
        <v>867</v>
      </c>
      <c r="M308" s="166" t="s">
        <v>21</v>
      </c>
      <c r="N308" s="131"/>
      <c r="O308" s="132"/>
      <c r="P308" s="132"/>
      <c r="Q308" s="132"/>
      <c r="R308" s="132"/>
      <c r="S308" s="132"/>
      <c r="T308" s="132"/>
      <c r="U308" s="132"/>
      <c r="V308" s="132"/>
      <c r="W308" s="132"/>
      <c r="X308" s="132"/>
      <c r="Y308" s="132"/>
      <c r="Z308" s="132"/>
      <c r="AA308" s="132"/>
      <c r="AB308" s="132"/>
    </row>
    <row r="309" spans="1:28" s="133" customFormat="1" ht="15" customHeight="1" outlineLevel="1" x14ac:dyDescent="0.2">
      <c r="A309" s="121">
        <v>17</v>
      </c>
      <c r="B309" s="121">
        <v>68163</v>
      </c>
      <c r="C309" s="122">
        <v>41964</v>
      </c>
      <c r="D309" s="123" t="s">
        <v>881</v>
      </c>
      <c r="E309" s="121" t="s">
        <v>378</v>
      </c>
      <c r="F309" s="124" t="s">
        <v>215</v>
      </c>
      <c r="G309" s="125" t="s">
        <v>384</v>
      </c>
      <c r="H309" s="126"/>
      <c r="I309" s="127">
        <v>2</v>
      </c>
      <c r="J309" s="128">
        <v>44597</v>
      </c>
      <c r="K309" s="128">
        <v>89194</v>
      </c>
      <c r="L309" s="181" t="s">
        <v>867</v>
      </c>
      <c r="M309" s="166" t="s">
        <v>21</v>
      </c>
      <c r="N309" s="131"/>
      <c r="O309" s="132"/>
      <c r="P309" s="132"/>
      <c r="Q309" s="132"/>
      <c r="R309" s="132"/>
      <c r="S309" s="132"/>
      <c r="T309" s="132"/>
      <c r="U309" s="132"/>
      <c r="V309" s="132"/>
      <c r="W309" s="132"/>
      <c r="X309" s="132"/>
      <c r="Y309" s="132"/>
      <c r="Z309" s="132"/>
      <c r="AA309" s="132"/>
      <c r="AB309" s="132"/>
    </row>
    <row r="310" spans="1:28" s="133" customFormat="1" ht="15" customHeight="1" outlineLevel="1" x14ac:dyDescent="0.2">
      <c r="A310" s="121">
        <v>5</v>
      </c>
      <c r="B310" s="121">
        <v>52795</v>
      </c>
      <c r="C310" s="122">
        <v>41984</v>
      </c>
      <c r="D310" s="123" t="s">
        <v>882</v>
      </c>
      <c r="E310" s="121" t="s">
        <v>378</v>
      </c>
      <c r="F310" s="124" t="s">
        <v>114</v>
      </c>
      <c r="G310" s="125" t="s">
        <v>883</v>
      </c>
      <c r="H310" s="126"/>
      <c r="I310" s="127">
        <v>1</v>
      </c>
      <c r="J310" s="128">
        <v>33370</v>
      </c>
      <c r="K310" s="128">
        <v>33370</v>
      </c>
      <c r="L310" s="188" t="s">
        <v>620</v>
      </c>
      <c r="M310" s="186" t="s">
        <v>21</v>
      </c>
      <c r="N310" s="131"/>
      <c r="O310" s="132"/>
      <c r="P310" s="132"/>
      <c r="Q310" s="132"/>
      <c r="R310" s="132"/>
      <c r="S310" s="132"/>
      <c r="T310" s="132"/>
      <c r="U310" s="132"/>
      <c r="V310" s="132"/>
      <c r="W310" s="132"/>
      <c r="X310" s="132"/>
      <c r="Y310" s="132"/>
      <c r="Z310" s="132"/>
      <c r="AA310" s="132"/>
      <c r="AB310" s="132"/>
    </row>
    <row r="311" spans="1:28" s="133" customFormat="1" ht="15" customHeight="1" outlineLevel="1" x14ac:dyDescent="0.2">
      <c r="A311" s="121">
        <v>12</v>
      </c>
      <c r="B311" s="121">
        <v>52864</v>
      </c>
      <c r="C311" s="122">
        <v>41985</v>
      </c>
      <c r="D311" s="123" t="s">
        <v>884</v>
      </c>
      <c r="E311" s="121" t="s">
        <v>378</v>
      </c>
      <c r="F311" s="124" t="s">
        <v>534</v>
      </c>
      <c r="G311" s="125" t="s">
        <v>428</v>
      </c>
      <c r="H311" s="126"/>
      <c r="I311" s="127">
        <v>1</v>
      </c>
      <c r="J311" s="128">
        <v>30429</v>
      </c>
      <c r="K311" s="128">
        <v>30429</v>
      </c>
      <c r="L311" s="188" t="s">
        <v>620</v>
      </c>
      <c r="M311" s="186" t="s">
        <v>21</v>
      </c>
      <c r="N311" s="131"/>
      <c r="O311" s="132"/>
      <c r="P311" s="132"/>
      <c r="Q311" s="132"/>
      <c r="R311" s="132"/>
      <c r="S311" s="132"/>
      <c r="T311" s="132"/>
      <c r="U311" s="132"/>
      <c r="V311" s="132"/>
      <c r="W311" s="132"/>
      <c r="X311" s="132"/>
      <c r="Y311" s="132"/>
      <c r="Z311" s="132"/>
      <c r="AA311" s="132"/>
      <c r="AB311" s="132"/>
    </row>
    <row r="312" spans="1:28" s="133" customFormat="1" ht="15" customHeight="1" outlineLevel="1" x14ac:dyDescent="0.2">
      <c r="A312" s="121">
        <v>1</v>
      </c>
      <c r="B312" s="121">
        <v>59653</v>
      </c>
      <c r="C312" s="122">
        <v>41941</v>
      </c>
      <c r="D312" s="123" t="s">
        <v>885</v>
      </c>
      <c r="E312" s="121" t="s">
        <v>378</v>
      </c>
      <c r="F312" s="124" t="s">
        <v>114</v>
      </c>
      <c r="G312" s="125" t="s">
        <v>883</v>
      </c>
      <c r="H312" s="126"/>
      <c r="I312" s="127">
        <v>1</v>
      </c>
      <c r="J312" s="128">
        <v>33370</v>
      </c>
      <c r="K312" s="128">
        <v>33370</v>
      </c>
      <c r="L312" s="188" t="s">
        <v>620</v>
      </c>
      <c r="M312" s="186" t="s">
        <v>21</v>
      </c>
      <c r="N312" s="131"/>
      <c r="O312" s="132"/>
      <c r="P312" s="132"/>
      <c r="Q312" s="132"/>
      <c r="R312" s="132"/>
      <c r="S312" s="132"/>
      <c r="T312" s="132"/>
      <c r="U312" s="132"/>
      <c r="V312" s="132"/>
      <c r="W312" s="132"/>
      <c r="X312" s="132"/>
      <c r="Y312" s="132"/>
      <c r="Z312" s="132"/>
      <c r="AA312" s="132"/>
      <c r="AB312" s="132"/>
    </row>
    <row r="313" spans="1:28" s="133" customFormat="1" ht="15" customHeight="1" outlineLevel="1" x14ac:dyDescent="0.2">
      <c r="A313" s="121">
        <v>3</v>
      </c>
      <c r="B313" s="121">
        <v>72092</v>
      </c>
      <c r="C313" s="122">
        <v>41977</v>
      </c>
      <c r="D313" s="123" t="s">
        <v>886</v>
      </c>
      <c r="E313" s="121" t="s">
        <v>378</v>
      </c>
      <c r="F313" s="124" t="s">
        <v>215</v>
      </c>
      <c r="G313" s="125" t="s">
        <v>368</v>
      </c>
      <c r="H313" s="126"/>
      <c r="I313" s="127">
        <v>1</v>
      </c>
      <c r="J313" s="128">
        <v>44597</v>
      </c>
      <c r="K313" s="128">
        <v>44597</v>
      </c>
      <c r="L313" s="188" t="s">
        <v>620</v>
      </c>
      <c r="M313" s="186" t="s">
        <v>21</v>
      </c>
      <c r="N313" s="131"/>
      <c r="O313" s="132"/>
      <c r="P313" s="132"/>
      <c r="Q313" s="132"/>
      <c r="R313" s="132"/>
      <c r="S313" s="132"/>
      <c r="T313" s="132"/>
      <c r="U313" s="132"/>
      <c r="V313" s="132"/>
      <c r="W313" s="132"/>
      <c r="X313" s="132"/>
      <c r="Y313" s="132"/>
      <c r="Z313" s="132"/>
      <c r="AA313" s="132"/>
      <c r="AB313" s="132"/>
    </row>
    <row r="314" spans="1:28" s="133" customFormat="1" ht="15" customHeight="1" outlineLevel="1" x14ac:dyDescent="0.2">
      <c r="A314" s="121">
        <v>2</v>
      </c>
      <c r="B314" s="121">
        <v>72131</v>
      </c>
      <c r="C314" s="122">
        <v>41976</v>
      </c>
      <c r="D314" s="123" t="s">
        <v>887</v>
      </c>
      <c r="E314" s="121" t="s">
        <v>378</v>
      </c>
      <c r="F314" s="124" t="s">
        <v>215</v>
      </c>
      <c r="G314" s="125" t="s">
        <v>368</v>
      </c>
      <c r="H314" s="126"/>
      <c r="I314" s="127">
        <v>1</v>
      </c>
      <c r="J314" s="128">
        <v>44597</v>
      </c>
      <c r="K314" s="128">
        <v>44597</v>
      </c>
      <c r="L314" s="188" t="s">
        <v>620</v>
      </c>
      <c r="M314" s="186" t="s">
        <v>21</v>
      </c>
      <c r="N314" s="131"/>
      <c r="O314" s="132"/>
      <c r="P314" s="132"/>
      <c r="Q314" s="132"/>
      <c r="R314" s="132"/>
      <c r="S314" s="132"/>
      <c r="T314" s="132"/>
      <c r="U314" s="132"/>
      <c r="V314" s="132"/>
      <c r="W314" s="132"/>
      <c r="X314" s="132"/>
      <c r="Y314" s="132"/>
      <c r="Z314" s="132"/>
      <c r="AA314" s="132"/>
      <c r="AB314" s="132"/>
    </row>
    <row r="315" spans="1:28" s="133" customFormat="1" ht="15" customHeight="1" outlineLevel="1" x14ac:dyDescent="0.2">
      <c r="A315" s="121">
        <v>4</v>
      </c>
      <c r="B315" s="121">
        <v>72314</v>
      </c>
      <c r="C315" s="122">
        <v>41976</v>
      </c>
      <c r="D315" s="123" t="s">
        <v>395</v>
      </c>
      <c r="E315" s="121" t="s">
        <v>378</v>
      </c>
      <c r="F315" s="124" t="s">
        <v>114</v>
      </c>
      <c r="G315" s="125" t="s">
        <v>397</v>
      </c>
      <c r="H315" s="126"/>
      <c r="I315" s="127">
        <v>2</v>
      </c>
      <c r="J315" s="128">
        <v>33370</v>
      </c>
      <c r="K315" s="128">
        <v>66740</v>
      </c>
      <c r="L315" s="188" t="s">
        <v>620</v>
      </c>
      <c r="M315" s="186" t="s">
        <v>21</v>
      </c>
      <c r="N315" s="131"/>
      <c r="O315" s="132"/>
      <c r="P315" s="132"/>
      <c r="Q315" s="132"/>
      <c r="R315" s="132"/>
      <c r="S315" s="132"/>
      <c r="T315" s="132"/>
      <c r="U315" s="132"/>
      <c r="V315" s="132"/>
      <c r="W315" s="132"/>
      <c r="X315" s="132"/>
      <c r="Y315" s="132"/>
      <c r="Z315" s="132"/>
      <c r="AA315" s="132"/>
      <c r="AB315" s="132"/>
    </row>
    <row r="316" spans="1:28" s="133" customFormat="1" ht="15" customHeight="1" outlineLevel="1" x14ac:dyDescent="0.2">
      <c r="A316" s="121">
        <v>6</v>
      </c>
      <c r="B316" s="121">
        <v>74648</v>
      </c>
      <c r="C316" s="122">
        <v>41983</v>
      </c>
      <c r="D316" s="123" t="s">
        <v>888</v>
      </c>
      <c r="E316" s="121" t="s">
        <v>378</v>
      </c>
      <c r="F316" s="124" t="s">
        <v>534</v>
      </c>
      <c r="G316" s="125" t="s">
        <v>524</v>
      </c>
      <c r="H316" s="126"/>
      <c r="I316" s="127">
        <v>1</v>
      </c>
      <c r="J316" s="128">
        <v>30429</v>
      </c>
      <c r="K316" s="128">
        <v>30429</v>
      </c>
      <c r="L316" s="188" t="s">
        <v>620</v>
      </c>
      <c r="M316" s="186" t="s">
        <v>21</v>
      </c>
      <c r="N316" s="131"/>
      <c r="O316" s="132"/>
      <c r="P316" s="132"/>
      <c r="Q316" s="132"/>
      <c r="R316" s="132"/>
      <c r="S316" s="132"/>
      <c r="T316" s="132"/>
      <c r="U316" s="132"/>
      <c r="V316" s="132"/>
      <c r="W316" s="132"/>
      <c r="X316" s="132"/>
      <c r="Y316" s="132"/>
      <c r="Z316" s="132"/>
      <c r="AA316" s="132"/>
      <c r="AB316" s="132"/>
    </row>
    <row r="317" spans="1:28" s="133" customFormat="1" ht="15" customHeight="1" outlineLevel="1" x14ac:dyDescent="0.2">
      <c r="A317" s="121">
        <v>9</v>
      </c>
      <c r="B317" s="121">
        <v>74914</v>
      </c>
      <c r="C317" s="122">
        <v>41983</v>
      </c>
      <c r="D317" s="123" t="s">
        <v>889</v>
      </c>
      <c r="E317" s="121" t="s">
        <v>799</v>
      </c>
      <c r="F317" s="124" t="s">
        <v>215</v>
      </c>
      <c r="G317" s="125" t="s">
        <v>368</v>
      </c>
      <c r="H317" s="126"/>
      <c r="I317" s="127">
        <v>1</v>
      </c>
      <c r="J317" s="128">
        <v>44597</v>
      </c>
      <c r="K317" s="128">
        <v>44597</v>
      </c>
      <c r="L317" s="188" t="s">
        <v>620</v>
      </c>
      <c r="M317" s="186" t="s">
        <v>21</v>
      </c>
      <c r="N317" s="131"/>
      <c r="O317" s="132"/>
      <c r="P317" s="132"/>
      <c r="Q317" s="132"/>
      <c r="R317" s="132"/>
      <c r="S317" s="132"/>
      <c r="T317" s="132"/>
      <c r="U317" s="132"/>
      <c r="V317" s="132"/>
      <c r="W317" s="132"/>
      <c r="X317" s="132"/>
      <c r="Y317" s="132"/>
      <c r="Z317" s="132"/>
      <c r="AA317" s="132"/>
      <c r="AB317" s="132"/>
    </row>
    <row r="318" spans="1:28" s="133" customFormat="1" ht="15" customHeight="1" outlineLevel="1" x14ac:dyDescent="0.2">
      <c r="A318" s="121">
        <v>7</v>
      </c>
      <c r="B318" s="121">
        <v>74939</v>
      </c>
      <c r="C318" s="122">
        <v>41984</v>
      </c>
      <c r="D318" s="123" t="s">
        <v>890</v>
      </c>
      <c r="E318" s="121" t="s">
        <v>378</v>
      </c>
      <c r="F318" s="124" t="s">
        <v>217</v>
      </c>
      <c r="G318" s="125" t="s">
        <v>368</v>
      </c>
      <c r="H318" s="126"/>
      <c r="I318" s="127">
        <v>1</v>
      </c>
      <c r="J318" s="128">
        <v>22299</v>
      </c>
      <c r="K318" s="128">
        <v>22299</v>
      </c>
      <c r="L318" s="188" t="s">
        <v>620</v>
      </c>
      <c r="M318" s="186" t="s">
        <v>21</v>
      </c>
      <c r="N318" s="131"/>
      <c r="O318" s="132"/>
      <c r="P318" s="132"/>
      <c r="Q318" s="132"/>
      <c r="R318" s="132"/>
      <c r="S318" s="132"/>
      <c r="T318" s="132"/>
      <c r="U318" s="132"/>
      <c r="V318" s="132"/>
      <c r="W318" s="132"/>
      <c r="X318" s="132"/>
      <c r="Y318" s="132"/>
      <c r="Z318" s="132"/>
      <c r="AA318" s="132"/>
      <c r="AB318" s="132"/>
    </row>
    <row r="319" spans="1:28" s="133" customFormat="1" ht="15" customHeight="1" outlineLevel="1" x14ac:dyDescent="0.2">
      <c r="A319" s="121">
        <v>8</v>
      </c>
      <c r="B319" s="121">
        <v>75050</v>
      </c>
      <c r="C319" s="122">
        <v>41984</v>
      </c>
      <c r="D319" s="123" t="s">
        <v>891</v>
      </c>
      <c r="E319" s="121" t="s">
        <v>386</v>
      </c>
      <c r="F319" s="124" t="s">
        <v>577</v>
      </c>
      <c r="G319" s="125" t="s">
        <v>368</v>
      </c>
      <c r="H319" s="126"/>
      <c r="I319" s="127">
        <v>1</v>
      </c>
      <c r="J319" s="128">
        <v>25800</v>
      </c>
      <c r="K319" s="128">
        <v>25800</v>
      </c>
      <c r="L319" s="188" t="s">
        <v>620</v>
      </c>
      <c r="M319" s="186" t="s">
        <v>21</v>
      </c>
      <c r="N319" s="131"/>
      <c r="O319" s="132"/>
      <c r="P319" s="132"/>
      <c r="Q319" s="132"/>
      <c r="R319" s="132"/>
      <c r="S319" s="132"/>
      <c r="T319" s="132"/>
      <c r="U319" s="132"/>
      <c r="V319" s="132"/>
      <c r="W319" s="132"/>
      <c r="X319" s="132"/>
      <c r="Y319" s="132"/>
      <c r="Z319" s="132"/>
      <c r="AA319" s="132"/>
      <c r="AB319" s="132"/>
    </row>
    <row r="320" spans="1:28" s="133" customFormat="1" ht="15" customHeight="1" outlineLevel="1" x14ac:dyDescent="0.2">
      <c r="A320" s="121">
        <v>13</v>
      </c>
      <c r="B320" s="121">
        <v>80062</v>
      </c>
      <c r="C320" s="122">
        <v>41988</v>
      </c>
      <c r="D320" s="123" t="s">
        <v>892</v>
      </c>
      <c r="E320" s="121" t="s">
        <v>378</v>
      </c>
      <c r="F320" s="124" t="s">
        <v>215</v>
      </c>
      <c r="G320" s="125" t="s">
        <v>384</v>
      </c>
      <c r="H320" s="126"/>
      <c r="I320" s="127">
        <v>2</v>
      </c>
      <c r="J320" s="128">
        <v>44597</v>
      </c>
      <c r="K320" s="128">
        <v>89194</v>
      </c>
      <c r="L320" s="188" t="s">
        <v>620</v>
      </c>
      <c r="M320" s="186" t="s">
        <v>21</v>
      </c>
      <c r="N320" s="131"/>
      <c r="O320" s="132"/>
      <c r="P320" s="132"/>
      <c r="Q320" s="132"/>
      <c r="R320" s="132"/>
      <c r="S320" s="132"/>
      <c r="T320" s="132"/>
      <c r="U320" s="132"/>
      <c r="V320" s="132"/>
      <c r="W320" s="132"/>
      <c r="X320" s="132"/>
      <c r="Y320" s="132"/>
      <c r="Z320" s="132"/>
      <c r="AA320" s="132"/>
      <c r="AB320" s="132"/>
    </row>
    <row r="321" spans="1:28" s="133" customFormat="1" ht="15" customHeight="1" outlineLevel="1" x14ac:dyDescent="0.2">
      <c r="A321" s="121">
        <v>11</v>
      </c>
      <c r="B321" s="121">
        <v>81084</v>
      </c>
      <c r="C321" s="122">
        <v>41992</v>
      </c>
      <c r="D321" s="123" t="s">
        <v>893</v>
      </c>
      <c r="E321" s="121" t="s">
        <v>378</v>
      </c>
      <c r="F321" s="124" t="s">
        <v>534</v>
      </c>
      <c r="G321" s="125" t="s">
        <v>428</v>
      </c>
      <c r="H321" s="126"/>
      <c r="I321" s="127">
        <v>1</v>
      </c>
      <c r="J321" s="128">
        <v>30429</v>
      </c>
      <c r="K321" s="128">
        <v>30429</v>
      </c>
      <c r="L321" s="188" t="s">
        <v>620</v>
      </c>
      <c r="M321" s="186" t="s">
        <v>21</v>
      </c>
      <c r="N321" s="131"/>
      <c r="O321" s="132"/>
      <c r="P321" s="132"/>
      <c r="Q321" s="132"/>
      <c r="R321" s="132"/>
      <c r="S321" s="132"/>
      <c r="T321" s="132"/>
      <c r="U321" s="132"/>
      <c r="V321" s="132"/>
      <c r="W321" s="132"/>
      <c r="X321" s="132"/>
      <c r="Y321" s="132"/>
      <c r="Z321" s="132"/>
      <c r="AA321" s="132"/>
      <c r="AB321" s="132"/>
    </row>
    <row r="322" spans="1:28" s="133" customFormat="1" ht="15" customHeight="1" outlineLevel="1" x14ac:dyDescent="0.2">
      <c r="A322" s="121">
        <v>16</v>
      </c>
      <c r="B322" s="121">
        <v>82126</v>
      </c>
      <c r="C322" s="122">
        <v>41992</v>
      </c>
      <c r="D322" s="123" t="s">
        <v>894</v>
      </c>
      <c r="E322" s="121" t="s">
        <v>378</v>
      </c>
      <c r="F322" s="124" t="s">
        <v>114</v>
      </c>
      <c r="G322" s="125" t="s">
        <v>895</v>
      </c>
      <c r="H322" s="126"/>
      <c r="I322" s="127">
        <v>3</v>
      </c>
      <c r="J322" s="128">
        <v>33370</v>
      </c>
      <c r="K322" s="128">
        <v>100110</v>
      </c>
      <c r="L322" s="188" t="s">
        <v>620</v>
      </c>
      <c r="M322" s="186" t="s">
        <v>21</v>
      </c>
      <c r="N322" s="131"/>
      <c r="O322" s="132"/>
      <c r="P322" s="132"/>
      <c r="Q322" s="132"/>
      <c r="R322" s="132"/>
      <c r="S322" s="132"/>
      <c r="T322" s="132"/>
      <c r="U322" s="132"/>
      <c r="V322" s="132"/>
      <c r="W322" s="132"/>
      <c r="X322" s="132"/>
      <c r="Y322" s="132"/>
      <c r="Z322" s="132"/>
      <c r="AA322" s="132"/>
      <c r="AB322" s="132"/>
    </row>
    <row r="323" spans="1:28" s="133" customFormat="1" ht="15" customHeight="1" outlineLevel="1" x14ac:dyDescent="0.2">
      <c r="A323" s="121">
        <v>15</v>
      </c>
      <c r="B323" s="121">
        <v>82157</v>
      </c>
      <c r="C323" s="122">
        <v>41995</v>
      </c>
      <c r="D323" s="123" t="s">
        <v>896</v>
      </c>
      <c r="E323" s="121" t="s">
        <v>475</v>
      </c>
      <c r="F323" s="124" t="s">
        <v>115</v>
      </c>
      <c r="G323" s="125" t="s">
        <v>404</v>
      </c>
      <c r="H323" s="126"/>
      <c r="I323" s="127">
        <v>1</v>
      </c>
      <c r="J323" s="128">
        <v>5274</v>
      </c>
      <c r="K323" s="128">
        <v>5274</v>
      </c>
      <c r="L323" s="188" t="s">
        <v>620</v>
      </c>
      <c r="M323" s="186" t="s">
        <v>21</v>
      </c>
      <c r="N323" s="131"/>
      <c r="O323" s="132"/>
      <c r="P323" s="132"/>
      <c r="Q323" s="132"/>
      <c r="R323" s="132"/>
      <c r="S323" s="132"/>
      <c r="T323" s="132"/>
      <c r="U323" s="132"/>
      <c r="V323" s="132"/>
      <c r="W323" s="132"/>
      <c r="X323" s="132"/>
      <c r="Y323" s="132"/>
      <c r="Z323" s="132"/>
      <c r="AA323" s="132"/>
      <c r="AB323" s="132"/>
    </row>
    <row r="324" spans="1:28" s="133" customFormat="1" ht="15" customHeight="1" outlineLevel="1" x14ac:dyDescent="0.2">
      <c r="A324" s="121">
        <v>17</v>
      </c>
      <c r="B324" s="121">
        <v>83494</v>
      </c>
      <c r="C324" s="122">
        <v>41996</v>
      </c>
      <c r="D324" s="123" t="s">
        <v>897</v>
      </c>
      <c r="E324" s="121" t="s">
        <v>378</v>
      </c>
      <c r="F324" s="124" t="s">
        <v>208</v>
      </c>
      <c r="G324" s="125" t="s">
        <v>416</v>
      </c>
      <c r="H324" s="126"/>
      <c r="I324" s="127">
        <v>1</v>
      </c>
      <c r="J324" s="128">
        <v>14099</v>
      </c>
      <c r="K324" s="128">
        <v>14099</v>
      </c>
      <c r="L324" s="188" t="s">
        <v>620</v>
      </c>
      <c r="M324" s="186" t="s">
        <v>21</v>
      </c>
      <c r="N324" s="131"/>
      <c r="O324" s="132"/>
      <c r="P324" s="132"/>
      <c r="Q324" s="132"/>
      <c r="R324" s="132"/>
      <c r="S324" s="132"/>
      <c r="T324" s="132"/>
      <c r="U324" s="132"/>
      <c r="V324" s="132"/>
      <c r="W324" s="132"/>
      <c r="X324" s="132"/>
      <c r="Y324" s="132"/>
      <c r="Z324" s="132"/>
      <c r="AA324" s="132"/>
      <c r="AB324" s="132"/>
    </row>
    <row r="325" spans="1:28" s="133" customFormat="1" ht="15" customHeight="1" outlineLevel="1" x14ac:dyDescent="0.2">
      <c r="A325" s="121">
        <v>14</v>
      </c>
      <c r="B325" s="121">
        <v>83794</v>
      </c>
      <c r="C325" s="122">
        <v>41999</v>
      </c>
      <c r="D325" s="123" t="s">
        <v>898</v>
      </c>
      <c r="E325" s="121" t="s">
        <v>378</v>
      </c>
      <c r="F325" s="124" t="s">
        <v>534</v>
      </c>
      <c r="G325" s="125" t="s">
        <v>559</v>
      </c>
      <c r="H325" s="126"/>
      <c r="I325" s="127">
        <v>1</v>
      </c>
      <c r="J325" s="128">
        <v>30429</v>
      </c>
      <c r="K325" s="128">
        <v>30429</v>
      </c>
      <c r="L325" s="188" t="s">
        <v>620</v>
      </c>
      <c r="M325" s="186" t="s">
        <v>21</v>
      </c>
      <c r="N325" s="131"/>
      <c r="O325" s="132"/>
      <c r="P325" s="132"/>
      <c r="Q325" s="132"/>
      <c r="R325" s="132"/>
      <c r="S325" s="132"/>
      <c r="T325" s="132"/>
      <c r="U325" s="132"/>
      <c r="V325" s="132"/>
      <c r="W325" s="132"/>
      <c r="X325" s="132"/>
      <c r="Y325" s="132"/>
      <c r="Z325" s="132"/>
      <c r="AA325" s="132"/>
      <c r="AB325" s="132"/>
    </row>
    <row r="326" spans="1:28" s="133" customFormat="1" ht="15" customHeight="1" outlineLevel="1" x14ac:dyDescent="0.2">
      <c r="A326" s="121">
        <v>18</v>
      </c>
      <c r="B326" s="121">
        <v>83813</v>
      </c>
      <c r="C326" s="122">
        <v>41999</v>
      </c>
      <c r="D326" s="123" t="s">
        <v>899</v>
      </c>
      <c r="E326" s="121" t="s">
        <v>378</v>
      </c>
      <c r="F326" s="124" t="s">
        <v>215</v>
      </c>
      <c r="G326" s="125" t="s">
        <v>368</v>
      </c>
      <c r="H326" s="126"/>
      <c r="I326" s="127">
        <v>1</v>
      </c>
      <c r="J326" s="128">
        <v>44597</v>
      </c>
      <c r="K326" s="128">
        <v>44597</v>
      </c>
      <c r="L326" s="188" t="s">
        <v>620</v>
      </c>
      <c r="M326" s="186" t="s">
        <v>21</v>
      </c>
      <c r="N326" s="131"/>
      <c r="O326" s="132"/>
      <c r="P326" s="132"/>
      <c r="Q326" s="132"/>
      <c r="R326" s="132"/>
      <c r="S326" s="132"/>
      <c r="T326" s="132"/>
      <c r="U326" s="132"/>
      <c r="V326" s="132"/>
      <c r="W326" s="132"/>
      <c r="X326" s="132"/>
      <c r="Y326" s="132"/>
      <c r="Z326" s="132"/>
      <c r="AA326" s="132"/>
      <c r="AB326" s="132"/>
    </row>
    <row r="327" spans="1:28" s="133" customFormat="1" ht="15" customHeight="1" outlineLevel="1" x14ac:dyDescent="0.2">
      <c r="A327" s="147">
        <v>1</v>
      </c>
      <c r="B327" s="134">
        <v>20136</v>
      </c>
      <c r="C327" s="135">
        <v>41779</v>
      </c>
      <c r="D327" s="136" t="s">
        <v>900</v>
      </c>
      <c r="E327" s="134" t="s">
        <v>901</v>
      </c>
      <c r="F327" s="137" t="s">
        <v>577</v>
      </c>
      <c r="G327" s="138" t="s">
        <v>368</v>
      </c>
      <c r="H327" s="139"/>
      <c r="I327" s="140">
        <v>1</v>
      </c>
      <c r="J327" s="141">
        <v>25800</v>
      </c>
      <c r="K327" s="141">
        <v>25800</v>
      </c>
      <c r="L327" s="166" t="s">
        <v>603</v>
      </c>
      <c r="M327" s="167" t="s">
        <v>33</v>
      </c>
      <c r="N327" s="131"/>
      <c r="O327" s="132"/>
      <c r="P327" s="132"/>
      <c r="Q327" s="132"/>
      <c r="R327" s="132"/>
      <c r="S327" s="132"/>
      <c r="T327" s="132"/>
      <c r="U327" s="132"/>
      <c r="V327" s="132"/>
      <c r="W327" s="132"/>
      <c r="X327" s="132"/>
      <c r="Y327" s="132"/>
      <c r="Z327" s="132"/>
      <c r="AA327" s="132"/>
      <c r="AB327" s="132"/>
    </row>
    <row r="328" spans="1:28" s="133" customFormat="1" ht="15" customHeight="1" outlineLevel="1" x14ac:dyDescent="0.2">
      <c r="A328" s="147">
        <v>2</v>
      </c>
      <c r="B328" s="173">
        <v>12599</v>
      </c>
      <c r="C328" s="174">
        <v>41750</v>
      </c>
      <c r="D328" s="171" t="s">
        <v>902</v>
      </c>
      <c r="E328" s="173" t="s">
        <v>903</v>
      </c>
      <c r="F328" s="175" t="s">
        <v>577</v>
      </c>
      <c r="G328" s="176" t="s">
        <v>368</v>
      </c>
      <c r="H328" s="177"/>
      <c r="I328" s="178">
        <v>1</v>
      </c>
      <c r="J328" s="141">
        <v>25800</v>
      </c>
      <c r="K328" s="141">
        <v>25800</v>
      </c>
      <c r="L328" s="166" t="s">
        <v>603</v>
      </c>
      <c r="M328" s="167" t="s">
        <v>33</v>
      </c>
      <c r="N328" s="131"/>
      <c r="O328" s="132"/>
      <c r="P328" s="132"/>
      <c r="Q328" s="132"/>
      <c r="R328" s="132"/>
      <c r="S328" s="132"/>
      <c r="T328" s="132"/>
      <c r="U328" s="132"/>
      <c r="V328" s="132"/>
      <c r="W328" s="132"/>
      <c r="X328" s="132"/>
      <c r="Y328" s="132"/>
      <c r="Z328" s="132"/>
      <c r="AA328" s="132"/>
      <c r="AB328" s="132"/>
    </row>
    <row r="329" spans="1:28" s="133" customFormat="1" ht="15" customHeight="1" outlineLevel="1" x14ac:dyDescent="0.2">
      <c r="A329" s="147">
        <v>3</v>
      </c>
      <c r="B329" s="173">
        <v>13164</v>
      </c>
      <c r="C329" s="174">
        <v>41752</v>
      </c>
      <c r="D329" s="171" t="s">
        <v>904</v>
      </c>
      <c r="E329" s="173" t="s">
        <v>901</v>
      </c>
      <c r="F329" s="175" t="s">
        <v>577</v>
      </c>
      <c r="G329" s="176" t="s">
        <v>368</v>
      </c>
      <c r="H329" s="177"/>
      <c r="I329" s="178">
        <v>1</v>
      </c>
      <c r="J329" s="141">
        <v>25800</v>
      </c>
      <c r="K329" s="141">
        <v>25800</v>
      </c>
      <c r="L329" s="166" t="s">
        <v>603</v>
      </c>
      <c r="M329" s="167" t="s">
        <v>33</v>
      </c>
      <c r="N329" s="131"/>
      <c r="O329" s="132"/>
      <c r="P329" s="132"/>
      <c r="Q329" s="132"/>
      <c r="R329" s="132"/>
      <c r="S329" s="132"/>
      <c r="T329" s="132"/>
      <c r="U329" s="132"/>
      <c r="V329" s="132"/>
      <c r="W329" s="132"/>
      <c r="X329" s="132"/>
      <c r="Y329" s="132"/>
      <c r="Z329" s="132"/>
      <c r="AA329" s="132"/>
      <c r="AB329" s="132"/>
    </row>
    <row r="330" spans="1:28" s="133" customFormat="1" ht="15" customHeight="1" outlineLevel="1" x14ac:dyDescent="0.2">
      <c r="A330" s="147">
        <v>4</v>
      </c>
      <c r="B330" s="173">
        <v>13026</v>
      </c>
      <c r="C330" s="174">
        <v>41752</v>
      </c>
      <c r="D330" s="171" t="s">
        <v>905</v>
      </c>
      <c r="E330" s="173" t="s">
        <v>906</v>
      </c>
      <c r="F330" s="175" t="s">
        <v>577</v>
      </c>
      <c r="G330" s="176" t="s">
        <v>368</v>
      </c>
      <c r="H330" s="177"/>
      <c r="I330" s="178">
        <v>1</v>
      </c>
      <c r="J330" s="141">
        <v>25800</v>
      </c>
      <c r="K330" s="141">
        <v>25800</v>
      </c>
      <c r="L330" s="166" t="s">
        <v>603</v>
      </c>
      <c r="M330" s="167" t="s">
        <v>33</v>
      </c>
      <c r="N330" s="131"/>
      <c r="O330" s="132"/>
      <c r="P330" s="132"/>
      <c r="Q330" s="132"/>
      <c r="R330" s="132"/>
      <c r="S330" s="132"/>
      <c r="T330" s="132"/>
      <c r="U330" s="132"/>
      <c r="V330" s="132"/>
      <c r="W330" s="132"/>
      <c r="X330" s="132"/>
      <c r="Y330" s="132"/>
      <c r="Z330" s="132"/>
      <c r="AA330" s="132"/>
      <c r="AB330" s="132"/>
    </row>
    <row r="331" spans="1:28" s="133" customFormat="1" ht="15" customHeight="1" outlineLevel="1" x14ac:dyDescent="0.2">
      <c r="A331" s="147">
        <v>5</v>
      </c>
      <c r="B331" s="134">
        <v>20630</v>
      </c>
      <c r="C331" s="135">
        <v>41781</v>
      </c>
      <c r="D331" s="136" t="s">
        <v>907</v>
      </c>
      <c r="E331" s="134" t="s">
        <v>903</v>
      </c>
      <c r="F331" s="137" t="s">
        <v>577</v>
      </c>
      <c r="G331" s="138" t="s">
        <v>368</v>
      </c>
      <c r="H331" s="139"/>
      <c r="I331" s="140">
        <v>1</v>
      </c>
      <c r="J331" s="141">
        <v>25800</v>
      </c>
      <c r="K331" s="141">
        <v>25800</v>
      </c>
      <c r="L331" s="166" t="s">
        <v>603</v>
      </c>
      <c r="M331" s="167" t="s">
        <v>33</v>
      </c>
      <c r="N331" s="131"/>
      <c r="O331" s="132"/>
      <c r="P331" s="132"/>
      <c r="Q331" s="132"/>
      <c r="R331" s="132"/>
      <c r="S331" s="132"/>
      <c r="T331" s="132"/>
      <c r="U331" s="132"/>
      <c r="V331" s="132"/>
      <c r="W331" s="132"/>
      <c r="X331" s="132"/>
      <c r="Y331" s="132"/>
      <c r="Z331" s="132"/>
      <c r="AA331" s="132"/>
      <c r="AB331" s="132"/>
    </row>
    <row r="332" spans="1:28" s="192" customFormat="1" ht="15" customHeight="1" outlineLevel="1" x14ac:dyDescent="0.2">
      <c r="A332" s="147">
        <v>1</v>
      </c>
      <c r="B332" s="173">
        <v>22528</v>
      </c>
      <c r="C332" s="174">
        <v>41788</v>
      </c>
      <c r="D332" s="171" t="s">
        <v>908</v>
      </c>
      <c r="E332" s="173" t="s">
        <v>909</v>
      </c>
      <c r="F332" s="175" t="s">
        <v>577</v>
      </c>
      <c r="G332" s="176" t="s">
        <v>368</v>
      </c>
      <c r="H332" s="177"/>
      <c r="I332" s="178">
        <v>1</v>
      </c>
      <c r="J332" s="141">
        <v>25800</v>
      </c>
      <c r="K332" s="141">
        <v>25800</v>
      </c>
      <c r="L332" s="169" t="s">
        <v>605</v>
      </c>
      <c r="M332" s="189" t="s">
        <v>33</v>
      </c>
      <c r="N332" s="190"/>
      <c r="O332" s="191"/>
      <c r="P332" s="191"/>
      <c r="Q332" s="191"/>
      <c r="R332" s="191"/>
      <c r="S332" s="191"/>
      <c r="T332" s="191"/>
      <c r="U332" s="191"/>
      <c r="V332" s="191"/>
      <c r="W332" s="191"/>
      <c r="X332" s="191"/>
      <c r="Y332" s="191"/>
      <c r="Z332" s="191"/>
      <c r="AA332" s="191"/>
      <c r="AB332" s="191"/>
    </row>
    <row r="333" spans="1:28" s="133" customFormat="1" outlineLevel="1" x14ac:dyDescent="0.2">
      <c r="A333" s="121">
        <v>2</v>
      </c>
      <c r="B333" s="134">
        <v>25493</v>
      </c>
      <c r="C333" s="135">
        <v>41799</v>
      </c>
      <c r="D333" s="136" t="s">
        <v>910</v>
      </c>
      <c r="E333" s="134" t="s">
        <v>373</v>
      </c>
      <c r="F333" s="137" t="s">
        <v>115</v>
      </c>
      <c r="G333" s="138" t="s">
        <v>414</v>
      </c>
      <c r="H333" s="139"/>
      <c r="I333" s="140">
        <v>1</v>
      </c>
      <c r="J333" s="141">
        <v>5274</v>
      </c>
      <c r="K333" s="141">
        <v>5274</v>
      </c>
      <c r="L333" s="169" t="s">
        <v>605</v>
      </c>
      <c r="M333" s="189" t="s">
        <v>33</v>
      </c>
      <c r="N333" s="131"/>
      <c r="O333" s="132"/>
      <c r="P333" s="132"/>
      <c r="Q333" s="132"/>
      <c r="R333" s="132"/>
      <c r="S333" s="132"/>
      <c r="T333" s="132"/>
      <c r="U333" s="132"/>
      <c r="V333" s="132"/>
      <c r="W333" s="132"/>
      <c r="X333" s="132"/>
      <c r="Y333" s="132"/>
      <c r="Z333" s="132"/>
      <c r="AA333" s="132"/>
      <c r="AB333" s="132"/>
    </row>
    <row r="334" spans="1:28" s="133" customFormat="1" outlineLevel="1" x14ac:dyDescent="0.2">
      <c r="A334" s="121">
        <v>3</v>
      </c>
      <c r="B334" s="134">
        <v>25851</v>
      </c>
      <c r="C334" s="135">
        <v>41801</v>
      </c>
      <c r="D334" s="136" t="s">
        <v>911</v>
      </c>
      <c r="E334" s="134" t="s">
        <v>912</v>
      </c>
      <c r="F334" s="137" t="s">
        <v>534</v>
      </c>
      <c r="G334" s="138" t="s">
        <v>428</v>
      </c>
      <c r="H334" s="139"/>
      <c r="I334" s="140">
        <v>1</v>
      </c>
      <c r="J334" s="141">
        <v>30429</v>
      </c>
      <c r="K334" s="141">
        <v>30429</v>
      </c>
      <c r="L334" s="169" t="s">
        <v>605</v>
      </c>
      <c r="M334" s="189" t="s">
        <v>33</v>
      </c>
      <c r="N334" s="131"/>
      <c r="O334" s="132"/>
      <c r="P334" s="132"/>
      <c r="Q334" s="132"/>
      <c r="R334" s="132"/>
      <c r="S334" s="132"/>
      <c r="T334" s="132"/>
      <c r="U334" s="132"/>
      <c r="V334" s="132"/>
      <c r="W334" s="132"/>
      <c r="X334" s="132"/>
      <c r="Y334" s="132"/>
      <c r="Z334" s="132"/>
      <c r="AA334" s="132"/>
      <c r="AB334" s="132"/>
    </row>
    <row r="335" spans="1:28" s="133" customFormat="1" ht="15" customHeight="1" outlineLevel="1" x14ac:dyDescent="0.2">
      <c r="A335" s="121">
        <v>4</v>
      </c>
      <c r="B335" s="134">
        <v>28862</v>
      </c>
      <c r="C335" s="135">
        <v>41810</v>
      </c>
      <c r="D335" s="136" t="s">
        <v>913</v>
      </c>
      <c r="E335" s="134" t="s">
        <v>914</v>
      </c>
      <c r="F335" s="137" t="s">
        <v>577</v>
      </c>
      <c r="G335" s="138" t="s">
        <v>368</v>
      </c>
      <c r="H335" s="139"/>
      <c r="I335" s="140">
        <v>1</v>
      </c>
      <c r="J335" s="141">
        <v>25800</v>
      </c>
      <c r="K335" s="141">
        <v>25800</v>
      </c>
      <c r="L335" s="169" t="s">
        <v>605</v>
      </c>
      <c r="M335" s="189" t="s">
        <v>33</v>
      </c>
      <c r="N335" s="131"/>
      <c r="O335" s="132"/>
      <c r="P335" s="132"/>
      <c r="Q335" s="132"/>
      <c r="R335" s="132"/>
      <c r="S335" s="132"/>
      <c r="T335" s="132"/>
      <c r="U335" s="132"/>
      <c r="V335" s="132"/>
      <c r="W335" s="132"/>
      <c r="X335" s="132"/>
      <c r="Y335" s="132"/>
      <c r="Z335" s="132"/>
      <c r="AA335" s="132"/>
      <c r="AB335" s="132"/>
    </row>
    <row r="336" spans="1:28" s="133" customFormat="1" ht="15" customHeight="1" outlineLevel="1" x14ac:dyDescent="0.2">
      <c r="A336" s="121">
        <v>5</v>
      </c>
      <c r="B336" s="134">
        <v>28061</v>
      </c>
      <c r="C336" s="135">
        <v>41808</v>
      </c>
      <c r="D336" s="136" t="s">
        <v>915</v>
      </c>
      <c r="E336" s="134" t="s">
        <v>903</v>
      </c>
      <c r="F336" s="137" t="s">
        <v>577</v>
      </c>
      <c r="G336" s="138" t="s">
        <v>368</v>
      </c>
      <c r="H336" s="139"/>
      <c r="I336" s="140">
        <v>1</v>
      </c>
      <c r="J336" s="141">
        <v>25800</v>
      </c>
      <c r="K336" s="141">
        <v>25800</v>
      </c>
      <c r="L336" s="169" t="s">
        <v>605</v>
      </c>
      <c r="M336" s="189" t="s">
        <v>33</v>
      </c>
      <c r="N336" s="131"/>
      <c r="O336" s="132"/>
      <c r="P336" s="132"/>
      <c r="Q336" s="132"/>
      <c r="R336" s="132"/>
      <c r="S336" s="132"/>
      <c r="T336" s="132"/>
      <c r="U336" s="132"/>
      <c r="V336" s="132"/>
      <c r="W336" s="132"/>
      <c r="X336" s="132"/>
      <c r="Y336" s="132"/>
      <c r="Z336" s="132"/>
      <c r="AA336" s="132"/>
      <c r="AB336" s="132"/>
    </row>
    <row r="337" spans="1:28" s="133" customFormat="1" ht="15" customHeight="1" outlineLevel="1" x14ac:dyDescent="0.2">
      <c r="A337" s="121">
        <v>6</v>
      </c>
      <c r="B337" s="134">
        <v>28567</v>
      </c>
      <c r="C337" s="135">
        <v>41810</v>
      </c>
      <c r="D337" s="136" t="s">
        <v>916</v>
      </c>
      <c r="E337" s="134" t="s">
        <v>901</v>
      </c>
      <c r="F337" s="137" t="s">
        <v>577</v>
      </c>
      <c r="G337" s="138" t="s">
        <v>368</v>
      </c>
      <c r="H337" s="139"/>
      <c r="I337" s="140">
        <v>1</v>
      </c>
      <c r="J337" s="141">
        <v>25800</v>
      </c>
      <c r="K337" s="141">
        <v>25800</v>
      </c>
      <c r="L337" s="169" t="s">
        <v>605</v>
      </c>
      <c r="M337" s="189" t="s">
        <v>33</v>
      </c>
      <c r="N337" s="131"/>
      <c r="O337" s="132"/>
      <c r="P337" s="132"/>
      <c r="Q337" s="132"/>
      <c r="R337" s="132"/>
      <c r="S337" s="132"/>
      <c r="T337" s="132"/>
      <c r="U337" s="132"/>
      <c r="V337" s="132"/>
      <c r="W337" s="132"/>
      <c r="X337" s="132"/>
      <c r="Y337" s="132"/>
      <c r="Z337" s="132"/>
      <c r="AA337" s="132"/>
      <c r="AB337" s="132"/>
    </row>
    <row r="338" spans="1:28" s="133" customFormat="1" ht="15" customHeight="1" outlineLevel="1" x14ac:dyDescent="0.2">
      <c r="A338" s="121">
        <v>7</v>
      </c>
      <c r="B338" s="134">
        <v>30273</v>
      </c>
      <c r="C338" s="135">
        <v>41815</v>
      </c>
      <c r="D338" s="136" t="s">
        <v>917</v>
      </c>
      <c r="E338" s="134" t="s">
        <v>473</v>
      </c>
      <c r="F338" s="137" t="s">
        <v>114</v>
      </c>
      <c r="G338" s="138" t="s">
        <v>428</v>
      </c>
      <c r="H338" s="139"/>
      <c r="I338" s="140">
        <v>1</v>
      </c>
      <c r="J338" s="141">
        <v>33370</v>
      </c>
      <c r="K338" s="141">
        <v>33370</v>
      </c>
      <c r="L338" s="169" t="s">
        <v>605</v>
      </c>
      <c r="M338" s="189" t="s">
        <v>33</v>
      </c>
      <c r="N338" s="131"/>
      <c r="O338" s="132"/>
      <c r="P338" s="132"/>
      <c r="Q338" s="132"/>
      <c r="R338" s="132"/>
      <c r="S338" s="132"/>
      <c r="T338" s="132"/>
      <c r="U338" s="132"/>
      <c r="V338" s="132"/>
      <c r="W338" s="132"/>
      <c r="X338" s="132"/>
      <c r="Y338" s="132"/>
      <c r="Z338" s="132"/>
      <c r="AA338" s="132"/>
      <c r="AB338" s="132"/>
    </row>
    <row r="339" spans="1:28" s="133" customFormat="1" ht="15" customHeight="1" outlineLevel="1" x14ac:dyDescent="0.2">
      <c r="A339" s="121">
        <v>8</v>
      </c>
      <c r="B339" s="134">
        <v>28861</v>
      </c>
      <c r="C339" s="135">
        <v>41810</v>
      </c>
      <c r="D339" s="136" t="s">
        <v>918</v>
      </c>
      <c r="E339" s="134" t="s">
        <v>906</v>
      </c>
      <c r="F339" s="137" t="s">
        <v>577</v>
      </c>
      <c r="G339" s="138" t="s">
        <v>368</v>
      </c>
      <c r="H339" s="139"/>
      <c r="I339" s="140">
        <v>1</v>
      </c>
      <c r="J339" s="141">
        <v>25800</v>
      </c>
      <c r="K339" s="141">
        <v>25800</v>
      </c>
      <c r="L339" s="169" t="s">
        <v>605</v>
      </c>
      <c r="M339" s="189" t="s">
        <v>33</v>
      </c>
      <c r="N339" s="131"/>
      <c r="O339" s="132"/>
      <c r="P339" s="132"/>
      <c r="Q339" s="132"/>
      <c r="R339" s="132"/>
      <c r="S339" s="132"/>
      <c r="T339" s="132"/>
      <c r="U339" s="132"/>
      <c r="V339" s="132"/>
      <c r="W339" s="132"/>
      <c r="X339" s="132"/>
      <c r="Y339" s="132"/>
      <c r="Z339" s="132"/>
      <c r="AA339" s="132"/>
      <c r="AB339" s="132"/>
    </row>
    <row r="340" spans="1:28" s="192" customFormat="1" ht="15" customHeight="1" outlineLevel="1" x14ac:dyDescent="0.2">
      <c r="A340" s="147">
        <v>9</v>
      </c>
      <c r="B340" s="173">
        <v>22064</v>
      </c>
      <c r="C340" s="174">
        <v>41792</v>
      </c>
      <c r="D340" s="171" t="s">
        <v>919</v>
      </c>
      <c r="E340" s="173" t="s">
        <v>473</v>
      </c>
      <c r="F340" s="175" t="s">
        <v>577</v>
      </c>
      <c r="G340" s="176" t="s">
        <v>368</v>
      </c>
      <c r="H340" s="177"/>
      <c r="I340" s="178">
        <v>1</v>
      </c>
      <c r="J340" s="141">
        <v>25800</v>
      </c>
      <c r="K340" s="141">
        <v>25800</v>
      </c>
      <c r="L340" s="169" t="s">
        <v>605</v>
      </c>
      <c r="M340" s="189" t="s">
        <v>33</v>
      </c>
      <c r="N340" s="190"/>
      <c r="O340" s="191"/>
      <c r="P340" s="191"/>
      <c r="Q340" s="191"/>
      <c r="R340" s="191"/>
      <c r="S340" s="191"/>
      <c r="T340" s="191"/>
      <c r="U340" s="191"/>
      <c r="V340" s="191"/>
      <c r="W340" s="191"/>
      <c r="X340" s="191"/>
      <c r="Y340" s="191"/>
      <c r="Z340" s="191"/>
      <c r="AA340" s="191"/>
      <c r="AB340" s="191"/>
    </row>
    <row r="341" spans="1:28" s="192" customFormat="1" ht="15" customHeight="1" outlineLevel="1" x14ac:dyDescent="0.2">
      <c r="A341" s="147">
        <v>10</v>
      </c>
      <c r="B341" s="173">
        <v>21967</v>
      </c>
      <c r="C341" s="174">
        <v>41787</v>
      </c>
      <c r="D341" s="171" t="s">
        <v>920</v>
      </c>
      <c r="E341" s="173" t="s">
        <v>909</v>
      </c>
      <c r="F341" s="175" t="s">
        <v>577</v>
      </c>
      <c r="G341" s="176" t="s">
        <v>368</v>
      </c>
      <c r="H341" s="177"/>
      <c r="I341" s="178">
        <v>1</v>
      </c>
      <c r="J341" s="141">
        <v>25800</v>
      </c>
      <c r="K341" s="141">
        <v>25800</v>
      </c>
      <c r="L341" s="169" t="s">
        <v>605</v>
      </c>
      <c r="M341" s="189" t="s">
        <v>33</v>
      </c>
      <c r="N341" s="190"/>
      <c r="O341" s="191"/>
      <c r="P341" s="191"/>
      <c r="Q341" s="191"/>
      <c r="R341" s="191"/>
      <c r="S341" s="191"/>
      <c r="T341" s="191"/>
      <c r="U341" s="191"/>
      <c r="V341" s="191"/>
      <c r="W341" s="191"/>
      <c r="X341" s="191"/>
      <c r="Y341" s="191"/>
      <c r="Z341" s="191"/>
      <c r="AA341" s="191"/>
      <c r="AB341" s="191"/>
    </row>
    <row r="342" spans="1:28" s="133" customFormat="1" ht="15" customHeight="1" outlineLevel="1" x14ac:dyDescent="0.2">
      <c r="A342" s="121">
        <v>11</v>
      </c>
      <c r="B342" s="134">
        <v>28877</v>
      </c>
      <c r="C342" s="135">
        <v>41810</v>
      </c>
      <c r="D342" s="136" t="s">
        <v>921</v>
      </c>
      <c r="E342" s="134" t="s">
        <v>906</v>
      </c>
      <c r="F342" s="137" t="s">
        <v>577</v>
      </c>
      <c r="G342" s="138" t="s">
        <v>368</v>
      </c>
      <c r="H342" s="139"/>
      <c r="I342" s="140">
        <v>1</v>
      </c>
      <c r="J342" s="141">
        <v>25800</v>
      </c>
      <c r="K342" s="141">
        <v>25800</v>
      </c>
      <c r="L342" s="169" t="s">
        <v>605</v>
      </c>
      <c r="M342" s="189" t="s">
        <v>33</v>
      </c>
      <c r="N342" s="131"/>
      <c r="O342" s="132"/>
      <c r="P342" s="132"/>
      <c r="Q342" s="132"/>
      <c r="R342" s="132"/>
      <c r="S342" s="132"/>
      <c r="T342" s="132"/>
      <c r="U342" s="132"/>
      <c r="V342" s="132"/>
      <c r="W342" s="132"/>
      <c r="X342" s="132"/>
      <c r="Y342" s="132"/>
      <c r="Z342" s="132"/>
      <c r="AA342" s="132"/>
      <c r="AB342" s="132"/>
    </row>
    <row r="343" spans="1:28" s="133" customFormat="1" ht="15" customHeight="1" outlineLevel="1" x14ac:dyDescent="0.2">
      <c r="A343" s="121">
        <v>1</v>
      </c>
      <c r="B343" s="134">
        <v>36482</v>
      </c>
      <c r="C343" s="135">
        <v>41838</v>
      </c>
      <c r="D343" s="136" t="s">
        <v>922</v>
      </c>
      <c r="E343" s="134" t="s">
        <v>473</v>
      </c>
      <c r="F343" s="137" t="s">
        <v>577</v>
      </c>
      <c r="G343" s="138" t="s">
        <v>368</v>
      </c>
      <c r="H343" s="139"/>
      <c r="I343" s="140">
        <v>1</v>
      </c>
      <c r="J343" s="141">
        <v>25800</v>
      </c>
      <c r="K343" s="141">
        <v>25800</v>
      </c>
      <c r="L343" s="193" t="s">
        <v>757</v>
      </c>
      <c r="M343" s="194" t="s">
        <v>33</v>
      </c>
      <c r="N343" s="131"/>
      <c r="O343" s="132"/>
      <c r="P343" s="132"/>
      <c r="Q343" s="132"/>
      <c r="R343" s="132"/>
      <c r="S343" s="132"/>
      <c r="T343" s="132"/>
      <c r="U343" s="132"/>
      <c r="V343" s="132"/>
      <c r="W343" s="132"/>
      <c r="X343" s="132"/>
      <c r="Y343" s="132"/>
      <c r="Z343" s="132"/>
      <c r="AA343" s="132"/>
      <c r="AB343" s="132"/>
    </row>
    <row r="344" spans="1:28" s="133" customFormat="1" ht="15" customHeight="1" outlineLevel="1" x14ac:dyDescent="0.2">
      <c r="A344" s="121">
        <v>2</v>
      </c>
      <c r="B344" s="134">
        <v>36415</v>
      </c>
      <c r="C344" s="135">
        <v>41837</v>
      </c>
      <c r="D344" s="136" t="s">
        <v>923</v>
      </c>
      <c r="E344" s="134" t="s">
        <v>473</v>
      </c>
      <c r="F344" s="137" t="s">
        <v>114</v>
      </c>
      <c r="G344" s="138" t="s">
        <v>924</v>
      </c>
      <c r="H344" s="139"/>
      <c r="I344" s="140">
        <v>2</v>
      </c>
      <c r="J344" s="141">
        <v>33370</v>
      </c>
      <c r="K344" s="141">
        <v>66740</v>
      </c>
      <c r="L344" s="193" t="s">
        <v>757</v>
      </c>
      <c r="M344" s="194" t="s">
        <v>33</v>
      </c>
      <c r="N344" s="131"/>
      <c r="O344" s="132"/>
      <c r="P344" s="132"/>
      <c r="Q344" s="132"/>
      <c r="R344" s="132"/>
      <c r="S344" s="132"/>
      <c r="T344" s="132"/>
      <c r="U344" s="132"/>
      <c r="V344" s="132"/>
      <c r="W344" s="132"/>
      <c r="X344" s="132"/>
      <c r="Y344" s="132"/>
      <c r="Z344" s="132"/>
      <c r="AA344" s="132"/>
      <c r="AB344" s="132"/>
    </row>
    <row r="345" spans="1:28" s="133" customFormat="1" ht="15" customHeight="1" outlineLevel="1" x14ac:dyDescent="0.2">
      <c r="A345" s="121">
        <v>3</v>
      </c>
      <c r="B345" s="134">
        <v>31987</v>
      </c>
      <c r="C345" s="135">
        <v>41822</v>
      </c>
      <c r="D345" s="136" t="s">
        <v>925</v>
      </c>
      <c r="E345" s="134" t="s">
        <v>473</v>
      </c>
      <c r="F345" s="137" t="s">
        <v>114</v>
      </c>
      <c r="G345" s="138" t="s">
        <v>926</v>
      </c>
      <c r="H345" s="139"/>
      <c r="I345" s="140">
        <v>2</v>
      </c>
      <c r="J345" s="141">
        <v>33370</v>
      </c>
      <c r="K345" s="141">
        <v>66740</v>
      </c>
      <c r="L345" s="193" t="s">
        <v>757</v>
      </c>
      <c r="M345" s="194" t="s">
        <v>33</v>
      </c>
      <c r="N345" s="131"/>
      <c r="O345" s="132"/>
      <c r="P345" s="132"/>
      <c r="Q345" s="132"/>
      <c r="R345" s="132"/>
      <c r="S345" s="132"/>
      <c r="T345" s="132"/>
      <c r="U345" s="132"/>
      <c r="V345" s="132"/>
      <c r="W345" s="132"/>
      <c r="X345" s="132"/>
      <c r="Y345" s="132"/>
      <c r="Z345" s="132"/>
      <c r="AA345" s="132"/>
      <c r="AB345" s="132"/>
    </row>
    <row r="346" spans="1:28" s="133" customFormat="1" ht="15" customHeight="1" outlineLevel="1" x14ac:dyDescent="0.2">
      <c r="A346" s="121">
        <v>4</v>
      </c>
      <c r="B346" s="134">
        <v>37445</v>
      </c>
      <c r="C346" s="135">
        <v>41844</v>
      </c>
      <c r="D346" s="136" t="s">
        <v>927</v>
      </c>
      <c r="E346" s="134" t="s">
        <v>473</v>
      </c>
      <c r="F346" s="137" t="s">
        <v>577</v>
      </c>
      <c r="G346" s="138" t="s">
        <v>368</v>
      </c>
      <c r="H346" s="139"/>
      <c r="I346" s="140">
        <v>1</v>
      </c>
      <c r="J346" s="141">
        <v>25800</v>
      </c>
      <c r="K346" s="141">
        <v>25800</v>
      </c>
      <c r="L346" s="193" t="s">
        <v>757</v>
      </c>
      <c r="M346" s="194" t="s">
        <v>33</v>
      </c>
      <c r="N346" s="131"/>
      <c r="O346" s="132"/>
      <c r="P346" s="132"/>
      <c r="Q346" s="132"/>
      <c r="R346" s="132"/>
      <c r="S346" s="132"/>
      <c r="T346" s="132"/>
      <c r="U346" s="132"/>
      <c r="V346" s="132"/>
      <c r="W346" s="132"/>
      <c r="X346" s="132"/>
      <c r="Y346" s="132"/>
      <c r="Z346" s="132"/>
      <c r="AA346" s="132"/>
      <c r="AB346" s="132"/>
    </row>
    <row r="347" spans="1:28" s="133" customFormat="1" ht="15" customHeight="1" outlineLevel="1" x14ac:dyDescent="0.2">
      <c r="A347" s="121">
        <v>5</v>
      </c>
      <c r="B347" s="134">
        <v>38439</v>
      </c>
      <c r="C347" s="135">
        <v>41848</v>
      </c>
      <c r="D347" s="136" t="s">
        <v>928</v>
      </c>
      <c r="E347" s="134" t="s">
        <v>929</v>
      </c>
      <c r="F347" s="137" t="s">
        <v>215</v>
      </c>
      <c r="G347" s="138" t="s">
        <v>368</v>
      </c>
      <c r="H347" s="139"/>
      <c r="I347" s="140">
        <v>1</v>
      </c>
      <c r="J347" s="141">
        <v>44597</v>
      </c>
      <c r="K347" s="141">
        <v>44597</v>
      </c>
      <c r="L347" s="193" t="s">
        <v>757</v>
      </c>
      <c r="M347" s="194" t="s">
        <v>33</v>
      </c>
      <c r="N347" s="131"/>
      <c r="O347" s="132"/>
      <c r="P347" s="132"/>
      <c r="Q347" s="132"/>
      <c r="R347" s="132"/>
      <c r="S347" s="132"/>
      <c r="T347" s="132"/>
      <c r="U347" s="132"/>
      <c r="V347" s="132"/>
      <c r="W347" s="132"/>
      <c r="X347" s="132"/>
      <c r="Y347" s="132"/>
      <c r="Z347" s="132"/>
      <c r="AA347" s="132"/>
      <c r="AB347" s="132"/>
    </row>
    <row r="348" spans="1:28" s="133" customFormat="1" ht="15" customHeight="1" outlineLevel="1" x14ac:dyDescent="0.2">
      <c r="A348" s="121">
        <v>6</v>
      </c>
      <c r="B348" s="134">
        <v>39389</v>
      </c>
      <c r="C348" s="135">
        <v>41850</v>
      </c>
      <c r="D348" s="136" t="s">
        <v>930</v>
      </c>
      <c r="E348" s="134" t="s">
        <v>912</v>
      </c>
      <c r="F348" s="137" t="s">
        <v>215</v>
      </c>
      <c r="G348" s="138" t="s">
        <v>368</v>
      </c>
      <c r="H348" s="139"/>
      <c r="I348" s="140">
        <v>1</v>
      </c>
      <c r="J348" s="141">
        <v>44597</v>
      </c>
      <c r="K348" s="141">
        <v>44597</v>
      </c>
      <c r="L348" s="193" t="s">
        <v>757</v>
      </c>
      <c r="M348" s="194" t="s">
        <v>33</v>
      </c>
      <c r="N348" s="131"/>
      <c r="O348" s="132"/>
      <c r="P348" s="132"/>
      <c r="Q348" s="132"/>
      <c r="R348" s="132"/>
      <c r="S348" s="132"/>
      <c r="T348" s="132"/>
      <c r="U348" s="132"/>
      <c r="V348" s="132"/>
      <c r="W348" s="132"/>
      <c r="X348" s="132"/>
      <c r="Y348" s="132"/>
      <c r="Z348" s="132"/>
      <c r="AA348" s="132"/>
      <c r="AB348" s="132"/>
    </row>
    <row r="349" spans="1:28" s="133" customFormat="1" ht="15" customHeight="1" outlineLevel="1" x14ac:dyDescent="0.2">
      <c r="A349" s="121">
        <v>1</v>
      </c>
      <c r="B349" s="134">
        <v>43893</v>
      </c>
      <c r="C349" s="135">
        <v>41866</v>
      </c>
      <c r="D349" s="136" t="s">
        <v>931</v>
      </c>
      <c r="E349" s="134" t="s">
        <v>512</v>
      </c>
      <c r="F349" s="137" t="s">
        <v>577</v>
      </c>
      <c r="G349" s="138" t="s">
        <v>368</v>
      </c>
      <c r="H349" s="139"/>
      <c r="I349" s="140">
        <v>1</v>
      </c>
      <c r="J349" s="141">
        <v>25800</v>
      </c>
      <c r="K349" s="141">
        <v>25800</v>
      </c>
      <c r="L349" s="195" t="s">
        <v>785</v>
      </c>
      <c r="M349" s="194" t="s">
        <v>33</v>
      </c>
      <c r="N349" s="131"/>
      <c r="O349" s="132"/>
      <c r="P349" s="132"/>
      <c r="Q349" s="132"/>
      <c r="R349" s="132"/>
      <c r="S349" s="132"/>
      <c r="T349" s="132"/>
      <c r="U349" s="132"/>
      <c r="V349" s="132"/>
      <c r="W349" s="132"/>
      <c r="X349" s="132"/>
      <c r="Y349" s="132"/>
      <c r="Z349" s="132"/>
      <c r="AA349" s="132"/>
      <c r="AB349" s="132"/>
    </row>
    <row r="350" spans="1:28" s="133" customFormat="1" ht="15" customHeight="1" outlineLevel="1" x14ac:dyDescent="0.2">
      <c r="A350" s="121">
        <v>2</v>
      </c>
      <c r="B350" s="134">
        <v>40611</v>
      </c>
      <c r="C350" s="135">
        <v>41857</v>
      </c>
      <c r="D350" s="136" t="s">
        <v>932</v>
      </c>
      <c r="E350" s="134" t="s">
        <v>909</v>
      </c>
      <c r="F350" s="137" t="s">
        <v>577</v>
      </c>
      <c r="G350" s="138" t="s">
        <v>368</v>
      </c>
      <c r="H350" s="139"/>
      <c r="I350" s="140">
        <v>1</v>
      </c>
      <c r="J350" s="141">
        <v>25800</v>
      </c>
      <c r="K350" s="141">
        <v>25800</v>
      </c>
      <c r="L350" s="195" t="s">
        <v>785</v>
      </c>
      <c r="M350" s="194" t="s">
        <v>33</v>
      </c>
      <c r="N350" s="131"/>
      <c r="O350" s="132"/>
      <c r="P350" s="132"/>
      <c r="Q350" s="132"/>
      <c r="R350" s="132"/>
      <c r="S350" s="132"/>
      <c r="T350" s="132"/>
      <c r="U350" s="132"/>
      <c r="V350" s="132"/>
      <c r="W350" s="132"/>
      <c r="X350" s="132"/>
      <c r="Y350" s="132"/>
      <c r="Z350" s="132"/>
      <c r="AA350" s="132"/>
      <c r="AB350" s="132"/>
    </row>
    <row r="351" spans="1:28" s="133" customFormat="1" ht="15" customHeight="1" outlineLevel="1" x14ac:dyDescent="0.2">
      <c r="A351" s="121">
        <v>4</v>
      </c>
      <c r="B351" s="134">
        <v>41466</v>
      </c>
      <c r="C351" s="135">
        <v>41858</v>
      </c>
      <c r="D351" s="136" t="s">
        <v>933</v>
      </c>
      <c r="E351" s="134" t="s">
        <v>903</v>
      </c>
      <c r="F351" s="137" t="s">
        <v>577</v>
      </c>
      <c r="G351" s="138" t="s">
        <v>368</v>
      </c>
      <c r="H351" s="139"/>
      <c r="I351" s="140">
        <v>1</v>
      </c>
      <c r="J351" s="141">
        <v>25800</v>
      </c>
      <c r="K351" s="141">
        <v>25800</v>
      </c>
      <c r="L351" s="195" t="s">
        <v>785</v>
      </c>
      <c r="M351" s="194" t="s">
        <v>33</v>
      </c>
      <c r="N351" s="131"/>
      <c r="O351" s="132"/>
      <c r="P351" s="132"/>
      <c r="Q351" s="132"/>
      <c r="R351" s="132"/>
      <c r="S351" s="132"/>
      <c r="T351" s="132"/>
      <c r="U351" s="132"/>
      <c r="V351" s="132"/>
      <c r="W351" s="132"/>
      <c r="X351" s="132"/>
      <c r="Y351" s="132"/>
      <c r="Z351" s="132"/>
      <c r="AA351" s="132"/>
      <c r="AB351" s="132"/>
    </row>
    <row r="352" spans="1:28" s="133" customFormat="1" ht="15" customHeight="1" outlineLevel="1" x14ac:dyDescent="0.2">
      <c r="A352" s="121">
        <v>5</v>
      </c>
      <c r="B352" s="134">
        <v>46995</v>
      </c>
      <c r="C352" s="135">
        <v>41877</v>
      </c>
      <c r="D352" s="136" t="s">
        <v>934</v>
      </c>
      <c r="E352" s="134" t="s">
        <v>912</v>
      </c>
      <c r="F352" s="137" t="s">
        <v>215</v>
      </c>
      <c r="G352" s="138" t="s">
        <v>384</v>
      </c>
      <c r="H352" s="139"/>
      <c r="I352" s="140">
        <v>2</v>
      </c>
      <c r="J352" s="141">
        <v>44597</v>
      </c>
      <c r="K352" s="141">
        <v>89194</v>
      </c>
      <c r="L352" s="195" t="s">
        <v>785</v>
      </c>
      <c r="M352" s="194" t="s">
        <v>33</v>
      </c>
      <c r="N352" s="131"/>
      <c r="O352" s="132"/>
      <c r="P352" s="132"/>
      <c r="Q352" s="132"/>
      <c r="R352" s="132"/>
      <c r="S352" s="132"/>
      <c r="T352" s="132"/>
      <c r="U352" s="132"/>
      <c r="V352" s="132"/>
      <c r="W352" s="132"/>
      <c r="X352" s="132"/>
      <c r="Y352" s="132"/>
      <c r="Z352" s="132"/>
      <c r="AA352" s="132"/>
      <c r="AB352" s="132"/>
    </row>
    <row r="353" spans="1:28" s="133" customFormat="1" ht="15" customHeight="1" outlineLevel="1" x14ac:dyDescent="0.2">
      <c r="A353" s="121">
        <v>6</v>
      </c>
      <c r="B353" s="134">
        <v>45102</v>
      </c>
      <c r="C353" s="135">
        <v>41871</v>
      </c>
      <c r="D353" s="136" t="s">
        <v>935</v>
      </c>
      <c r="E353" s="134" t="s">
        <v>473</v>
      </c>
      <c r="F353" s="137" t="s">
        <v>577</v>
      </c>
      <c r="G353" s="138" t="s">
        <v>368</v>
      </c>
      <c r="H353" s="139"/>
      <c r="I353" s="140">
        <v>1</v>
      </c>
      <c r="J353" s="141">
        <v>25800</v>
      </c>
      <c r="K353" s="141">
        <v>25800</v>
      </c>
      <c r="L353" s="195" t="s">
        <v>785</v>
      </c>
      <c r="M353" s="194" t="s">
        <v>33</v>
      </c>
      <c r="N353" s="131"/>
      <c r="O353" s="132"/>
      <c r="P353" s="132"/>
      <c r="Q353" s="132"/>
      <c r="R353" s="132"/>
      <c r="S353" s="132"/>
      <c r="T353" s="132"/>
      <c r="U353" s="132"/>
      <c r="V353" s="132"/>
      <c r="W353" s="132"/>
      <c r="X353" s="132"/>
      <c r="Y353" s="132"/>
      <c r="Z353" s="132"/>
      <c r="AA353" s="132"/>
      <c r="AB353" s="132"/>
    </row>
    <row r="354" spans="1:28" s="133" customFormat="1" ht="15" customHeight="1" outlineLevel="1" x14ac:dyDescent="0.2">
      <c r="A354" s="121">
        <v>1</v>
      </c>
      <c r="B354" s="134">
        <v>53105</v>
      </c>
      <c r="C354" s="135">
        <v>41905</v>
      </c>
      <c r="D354" s="136" t="s">
        <v>936</v>
      </c>
      <c r="E354" s="134" t="s">
        <v>473</v>
      </c>
      <c r="F354" s="137" t="s">
        <v>114</v>
      </c>
      <c r="G354" s="138" t="s">
        <v>416</v>
      </c>
      <c r="H354" s="139"/>
      <c r="I354" s="140">
        <v>1</v>
      </c>
      <c r="J354" s="141">
        <v>33370</v>
      </c>
      <c r="K354" s="141">
        <v>33370</v>
      </c>
      <c r="L354" s="162" t="s">
        <v>614</v>
      </c>
      <c r="M354" s="194" t="s">
        <v>33</v>
      </c>
      <c r="N354" s="131"/>
      <c r="O354" s="132"/>
      <c r="P354" s="132"/>
      <c r="Q354" s="132"/>
      <c r="R354" s="132"/>
      <c r="S354" s="132"/>
      <c r="T354" s="132"/>
      <c r="U354" s="132"/>
      <c r="V354" s="132"/>
      <c r="W354" s="132"/>
      <c r="X354" s="132"/>
      <c r="Y354" s="132"/>
      <c r="Z354" s="132"/>
      <c r="AA354" s="132"/>
      <c r="AB354" s="132"/>
    </row>
    <row r="355" spans="1:28" s="133" customFormat="1" ht="15" customHeight="1" outlineLevel="1" x14ac:dyDescent="0.2">
      <c r="A355" s="121">
        <v>2</v>
      </c>
      <c r="B355" s="134">
        <v>48446</v>
      </c>
      <c r="C355" s="135">
        <v>41880</v>
      </c>
      <c r="D355" s="136" t="s">
        <v>937</v>
      </c>
      <c r="E355" s="134" t="s">
        <v>906</v>
      </c>
      <c r="F355" s="137" t="s">
        <v>577</v>
      </c>
      <c r="G355" s="138" t="s">
        <v>368</v>
      </c>
      <c r="H355" s="139"/>
      <c r="I355" s="140">
        <v>1</v>
      </c>
      <c r="J355" s="141">
        <v>25800</v>
      </c>
      <c r="K355" s="179">
        <v>25800</v>
      </c>
      <c r="L355" s="162" t="s">
        <v>614</v>
      </c>
      <c r="M355" s="194" t="s">
        <v>33</v>
      </c>
      <c r="N355" s="131"/>
      <c r="O355" s="132"/>
      <c r="P355" s="132"/>
      <c r="Q355" s="132"/>
      <c r="R355" s="132"/>
      <c r="S355" s="132"/>
      <c r="T355" s="132"/>
      <c r="U355" s="132"/>
      <c r="V355" s="132"/>
      <c r="W355" s="132"/>
      <c r="X355" s="132"/>
      <c r="Y355" s="132"/>
      <c r="Z355" s="132"/>
      <c r="AA355" s="132"/>
      <c r="AB355" s="132"/>
    </row>
    <row r="356" spans="1:28" s="133" customFormat="1" ht="15" customHeight="1" outlineLevel="1" x14ac:dyDescent="0.2">
      <c r="A356" s="121">
        <v>4</v>
      </c>
      <c r="B356" s="134">
        <v>50684</v>
      </c>
      <c r="C356" s="135">
        <v>41890</v>
      </c>
      <c r="D356" s="136" t="s">
        <v>938</v>
      </c>
      <c r="E356" s="134" t="s">
        <v>473</v>
      </c>
      <c r="F356" s="137" t="s">
        <v>534</v>
      </c>
      <c r="G356" s="138" t="s">
        <v>412</v>
      </c>
      <c r="H356" s="139"/>
      <c r="I356" s="140">
        <v>1</v>
      </c>
      <c r="J356" s="141">
        <v>30429</v>
      </c>
      <c r="K356" s="141">
        <v>30429</v>
      </c>
      <c r="L356" s="162" t="s">
        <v>614</v>
      </c>
      <c r="M356" s="194" t="s">
        <v>33</v>
      </c>
      <c r="N356" s="131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  <c r="Y356" s="132"/>
      <c r="Z356" s="132"/>
      <c r="AA356" s="132"/>
      <c r="AB356" s="132"/>
    </row>
    <row r="357" spans="1:28" s="133" customFormat="1" ht="15" customHeight="1" outlineLevel="1" x14ac:dyDescent="0.2">
      <c r="A357" s="121">
        <v>5</v>
      </c>
      <c r="B357" s="134">
        <v>56525</v>
      </c>
      <c r="C357" s="135">
        <v>41912</v>
      </c>
      <c r="D357" s="136" t="s">
        <v>939</v>
      </c>
      <c r="E357" s="134" t="s">
        <v>940</v>
      </c>
      <c r="F357" s="137" t="s">
        <v>577</v>
      </c>
      <c r="G357" s="138" t="s">
        <v>368</v>
      </c>
      <c r="H357" s="139"/>
      <c r="I357" s="140">
        <v>1</v>
      </c>
      <c r="J357" s="141">
        <v>25800</v>
      </c>
      <c r="K357" s="141">
        <v>25800</v>
      </c>
      <c r="L357" s="162" t="s">
        <v>614</v>
      </c>
      <c r="M357" s="194" t="s">
        <v>33</v>
      </c>
      <c r="N357" s="131"/>
      <c r="O357" s="132"/>
      <c r="P357" s="132"/>
      <c r="Q357" s="132"/>
      <c r="R357" s="132"/>
      <c r="S357" s="132"/>
      <c r="T357" s="132"/>
      <c r="U357" s="132"/>
      <c r="V357" s="132"/>
      <c r="W357" s="132"/>
      <c r="X357" s="132"/>
      <c r="Y357" s="132"/>
      <c r="Z357" s="132"/>
      <c r="AA357" s="132"/>
      <c r="AB357" s="132"/>
    </row>
    <row r="358" spans="1:28" s="133" customFormat="1" ht="15" customHeight="1" outlineLevel="1" x14ac:dyDescent="0.2">
      <c r="A358" s="121">
        <v>6</v>
      </c>
      <c r="B358" s="134">
        <v>53663</v>
      </c>
      <c r="C358" s="135">
        <v>41898</v>
      </c>
      <c r="D358" s="136" t="s">
        <v>934</v>
      </c>
      <c r="E358" s="134" t="s">
        <v>912</v>
      </c>
      <c r="F358" s="137" t="s">
        <v>230</v>
      </c>
      <c r="G358" s="138" t="s">
        <v>366</v>
      </c>
      <c r="H358" s="139"/>
      <c r="I358" s="140">
        <v>1</v>
      </c>
      <c r="J358" s="141">
        <v>17244</v>
      </c>
      <c r="K358" s="141">
        <v>17244</v>
      </c>
      <c r="L358" s="162" t="s">
        <v>614</v>
      </c>
      <c r="M358" s="194" t="s">
        <v>33</v>
      </c>
      <c r="N358" s="131"/>
      <c r="O358" s="132"/>
      <c r="P358" s="132"/>
      <c r="Q358" s="132"/>
      <c r="R358" s="132"/>
      <c r="S358" s="132"/>
      <c r="T358" s="132"/>
      <c r="U358" s="132"/>
      <c r="V358" s="132"/>
      <c r="W358" s="132"/>
      <c r="X358" s="132"/>
      <c r="Y358" s="132"/>
      <c r="Z358" s="132"/>
      <c r="AA358" s="132"/>
      <c r="AB358" s="132"/>
    </row>
    <row r="359" spans="1:28" s="133" customFormat="1" ht="15" customHeight="1" outlineLevel="1" x14ac:dyDescent="0.2">
      <c r="A359" s="121">
        <v>7</v>
      </c>
      <c r="B359" s="134">
        <v>49028</v>
      </c>
      <c r="C359" s="135">
        <v>41885</v>
      </c>
      <c r="D359" s="136" t="s">
        <v>941</v>
      </c>
      <c r="E359" s="134" t="s">
        <v>909</v>
      </c>
      <c r="F359" s="137" t="s">
        <v>577</v>
      </c>
      <c r="G359" s="138" t="s">
        <v>368</v>
      </c>
      <c r="H359" s="139"/>
      <c r="I359" s="140">
        <v>1</v>
      </c>
      <c r="J359" s="141">
        <v>25800</v>
      </c>
      <c r="K359" s="141">
        <v>25800</v>
      </c>
      <c r="L359" s="162" t="s">
        <v>614</v>
      </c>
      <c r="M359" s="194" t="s">
        <v>33</v>
      </c>
      <c r="N359" s="131"/>
      <c r="O359" s="132"/>
      <c r="P359" s="132"/>
      <c r="Q359" s="132"/>
      <c r="R359" s="132"/>
      <c r="S359" s="132"/>
      <c r="T359" s="132"/>
      <c r="U359" s="132"/>
      <c r="V359" s="132"/>
      <c r="W359" s="132"/>
      <c r="X359" s="132"/>
      <c r="Y359" s="132"/>
      <c r="Z359" s="132"/>
      <c r="AA359" s="132"/>
      <c r="AB359" s="132"/>
    </row>
    <row r="360" spans="1:28" s="133" customFormat="1" ht="15" customHeight="1" outlineLevel="1" x14ac:dyDescent="0.2">
      <c r="A360" s="121">
        <v>8</v>
      </c>
      <c r="B360" s="134">
        <v>48788</v>
      </c>
      <c r="C360" s="135">
        <v>41884</v>
      </c>
      <c r="D360" s="136" t="s">
        <v>942</v>
      </c>
      <c r="E360" s="134" t="s">
        <v>940</v>
      </c>
      <c r="F360" s="137" t="s">
        <v>577</v>
      </c>
      <c r="G360" s="138" t="s">
        <v>368</v>
      </c>
      <c r="H360" s="139"/>
      <c r="I360" s="140">
        <v>1</v>
      </c>
      <c r="J360" s="141">
        <v>25800</v>
      </c>
      <c r="K360" s="141">
        <v>25800</v>
      </c>
      <c r="L360" s="162" t="s">
        <v>614</v>
      </c>
      <c r="M360" s="194" t="s">
        <v>33</v>
      </c>
      <c r="N360" s="131"/>
      <c r="O360" s="132"/>
      <c r="P360" s="132"/>
      <c r="Q360" s="132"/>
      <c r="R360" s="132"/>
      <c r="S360" s="132"/>
      <c r="T360" s="132"/>
      <c r="U360" s="132"/>
      <c r="V360" s="132"/>
      <c r="W360" s="132"/>
      <c r="X360" s="132"/>
      <c r="Y360" s="132"/>
      <c r="Z360" s="132"/>
      <c r="AA360" s="132"/>
      <c r="AB360" s="132"/>
    </row>
    <row r="361" spans="1:28" s="133" customFormat="1" ht="15" customHeight="1" outlineLevel="1" x14ac:dyDescent="0.2">
      <c r="A361" s="121">
        <v>9</v>
      </c>
      <c r="B361" s="134">
        <v>53304</v>
      </c>
      <c r="C361" s="135">
        <v>41897</v>
      </c>
      <c r="D361" s="136" t="s">
        <v>943</v>
      </c>
      <c r="E361" s="134" t="s">
        <v>473</v>
      </c>
      <c r="F361" s="137" t="s">
        <v>534</v>
      </c>
      <c r="G361" s="138" t="s">
        <v>469</v>
      </c>
      <c r="H361" s="139"/>
      <c r="I361" s="140">
        <v>1</v>
      </c>
      <c r="J361" s="141">
        <v>30429</v>
      </c>
      <c r="K361" s="141">
        <v>30429</v>
      </c>
      <c r="L361" s="162" t="s">
        <v>614</v>
      </c>
      <c r="M361" s="194" t="s">
        <v>33</v>
      </c>
      <c r="N361" s="131"/>
      <c r="O361" s="132"/>
      <c r="P361" s="132"/>
      <c r="Q361" s="132"/>
      <c r="R361" s="132"/>
      <c r="S361" s="132"/>
      <c r="T361" s="132"/>
      <c r="U361" s="132"/>
      <c r="V361" s="132"/>
      <c r="W361" s="132"/>
      <c r="X361" s="132"/>
      <c r="Y361" s="132"/>
      <c r="Z361" s="132"/>
      <c r="AA361" s="132"/>
      <c r="AB361" s="132"/>
    </row>
    <row r="362" spans="1:28" s="133" customFormat="1" ht="15" customHeight="1" outlineLevel="1" x14ac:dyDescent="0.2">
      <c r="A362" s="121">
        <v>1</v>
      </c>
      <c r="B362" s="134">
        <v>59517</v>
      </c>
      <c r="C362" s="135">
        <v>41913</v>
      </c>
      <c r="D362" s="136" t="s">
        <v>944</v>
      </c>
      <c r="E362" s="134" t="s">
        <v>473</v>
      </c>
      <c r="F362" s="137" t="s">
        <v>577</v>
      </c>
      <c r="G362" s="138" t="s">
        <v>368</v>
      </c>
      <c r="H362" s="139"/>
      <c r="I362" s="140">
        <v>1</v>
      </c>
      <c r="J362" s="141">
        <v>25800</v>
      </c>
      <c r="K362" s="141">
        <v>25800</v>
      </c>
      <c r="L362" s="196" t="s">
        <v>617</v>
      </c>
      <c r="M362" s="197" t="s">
        <v>33</v>
      </c>
      <c r="N362" s="131"/>
      <c r="O362" s="132"/>
      <c r="P362" s="132"/>
      <c r="Q362" s="132"/>
      <c r="R362" s="132"/>
      <c r="S362" s="132"/>
      <c r="T362" s="132"/>
      <c r="U362" s="132"/>
      <c r="V362" s="132"/>
      <c r="W362" s="132"/>
      <c r="X362" s="132"/>
      <c r="Y362" s="132"/>
      <c r="Z362" s="132"/>
      <c r="AA362" s="132"/>
      <c r="AB362" s="132"/>
    </row>
    <row r="363" spans="1:28" s="133" customFormat="1" ht="15" customHeight="1" outlineLevel="1" x14ac:dyDescent="0.2">
      <c r="A363" s="121">
        <v>2</v>
      </c>
      <c r="B363" s="134">
        <v>55350</v>
      </c>
      <c r="C363" s="135">
        <v>41908</v>
      </c>
      <c r="D363" s="136" t="s">
        <v>945</v>
      </c>
      <c r="E363" s="134" t="s">
        <v>906</v>
      </c>
      <c r="F363" s="137" t="s">
        <v>577</v>
      </c>
      <c r="G363" s="138" t="s">
        <v>368</v>
      </c>
      <c r="H363" s="139"/>
      <c r="I363" s="140">
        <v>1</v>
      </c>
      <c r="J363" s="141">
        <v>25800</v>
      </c>
      <c r="K363" s="141">
        <v>25800</v>
      </c>
      <c r="L363" s="196" t="s">
        <v>617</v>
      </c>
      <c r="M363" s="197" t="s">
        <v>33</v>
      </c>
      <c r="N363" s="131"/>
      <c r="O363" s="132"/>
      <c r="P363" s="132"/>
      <c r="Q363" s="132"/>
      <c r="R363" s="132"/>
      <c r="S363" s="132"/>
      <c r="T363" s="132"/>
      <c r="U363" s="132"/>
      <c r="V363" s="132"/>
      <c r="W363" s="132"/>
      <c r="X363" s="132"/>
      <c r="Y363" s="132"/>
      <c r="Z363" s="132"/>
      <c r="AA363" s="132"/>
      <c r="AB363" s="132"/>
    </row>
    <row r="364" spans="1:28" s="133" customFormat="1" ht="15" customHeight="1" outlineLevel="1" x14ac:dyDescent="0.2">
      <c r="A364" s="121">
        <v>3</v>
      </c>
      <c r="B364" s="134">
        <v>59098</v>
      </c>
      <c r="C364" s="135">
        <v>41921</v>
      </c>
      <c r="D364" s="136" t="s">
        <v>946</v>
      </c>
      <c r="E364" s="134" t="s">
        <v>473</v>
      </c>
      <c r="F364" s="137" t="s">
        <v>202</v>
      </c>
      <c r="G364" s="138" t="s">
        <v>508</v>
      </c>
      <c r="H364" s="139"/>
      <c r="I364" s="140">
        <v>1</v>
      </c>
      <c r="J364" s="141">
        <v>17244</v>
      </c>
      <c r="K364" s="141">
        <v>17244</v>
      </c>
      <c r="L364" s="196" t="s">
        <v>617</v>
      </c>
      <c r="M364" s="197" t="s">
        <v>33</v>
      </c>
      <c r="N364" s="131"/>
      <c r="O364" s="132"/>
      <c r="P364" s="132"/>
      <c r="Q364" s="132"/>
      <c r="R364" s="132"/>
      <c r="S364" s="132"/>
      <c r="T364" s="132"/>
      <c r="U364" s="132"/>
      <c r="V364" s="132"/>
      <c r="W364" s="132"/>
      <c r="X364" s="132"/>
      <c r="Y364" s="132"/>
      <c r="Z364" s="132"/>
      <c r="AA364" s="132"/>
      <c r="AB364" s="132"/>
    </row>
    <row r="365" spans="1:28" s="133" customFormat="1" ht="15" customHeight="1" outlineLevel="1" x14ac:dyDescent="0.2">
      <c r="A365" s="121">
        <v>4</v>
      </c>
      <c r="B365" s="134">
        <v>55401</v>
      </c>
      <c r="C365" s="135">
        <v>41928</v>
      </c>
      <c r="D365" s="136" t="s">
        <v>946</v>
      </c>
      <c r="E365" s="134" t="s">
        <v>473</v>
      </c>
      <c r="F365" s="137" t="s">
        <v>114</v>
      </c>
      <c r="G365" s="138" t="s">
        <v>947</v>
      </c>
      <c r="H365" s="139"/>
      <c r="I365" s="140">
        <v>2</v>
      </c>
      <c r="J365" s="141">
        <v>33370</v>
      </c>
      <c r="K365" s="141">
        <v>66740</v>
      </c>
      <c r="L365" s="196" t="s">
        <v>617</v>
      </c>
      <c r="M365" s="197" t="s">
        <v>33</v>
      </c>
      <c r="N365" s="131"/>
      <c r="O365" s="132"/>
      <c r="P365" s="132"/>
      <c r="Q365" s="132"/>
      <c r="R365" s="132"/>
      <c r="S365" s="132"/>
      <c r="T365" s="132"/>
      <c r="U365" s="132"/>
      <c r="V365" s="132"/>
      <c r="W365" s="132"/>
      <c r="X365" s="132"/>
      <c r="Y365" s="132"/>
      <c r="Z365" s="132"/>
      <c r="AA365" s="132"/>
      <c r="AB365" s="132"/>
    </row>
    <row r="366" spans="1:28" s="133" customFormat="1" ht="15" customHeight="1" outlineLevel="1" x14ac:dyDescent="0.2">
      <c r="A366" s="121">
        <v>5</v>
      </c>
      <c r="B366" s="134">
        <v>53062</v>
      </c>
      <c r="C366" s="135">
        <v>41924</v>
      </c>
      <c r="D366" s="136" t="s">
        <v>948</v>
      </c>
      <c r="E366" s="134" t="s">
        <v>512</v>
      </c>
      <c r="F366" s="137" t="s">
        <v>577</v>
      </c>
      <c r="G366" s="138" t="s">
        <v>368</v>
      </c>
      <c r="H366" s="139"/>
      <c r="I366" s="140">
        <v>1</v>
      </c>
      <c r="J366" s="141">
        <v>25800</v>
      </c>
      <c r="K366" s="141">
        <v>25800</v>
      </c>
      <c r="L366" s="196" t="s">
        <v>617</v>
      </c>
      <c r="M366" s="197" t="s">
        <v>33</v>
      </c>
      <c r="N366" s="131"/>
      <c r="O366" s="132"/>
      <c r="P366" s="132"/>
      <c r="Q366" s="132"/>
      <c r="R366" s="132"/>
      <c r="S366" s="132"/>
      <c r="T366" s="132"/>
      <c r="U366" s="132"/>
      <c r="V366" s="132"/>
      <c r="W366" s="132"/>
      <c r="X366" s="132"/>
      <c r="Y366" s="132"/>
      <c r="Z366" s="132"/>
      <c r="AA366" s="132"/>
      <c r="AB366" s="132"/>
    </row>
    <row r="367" spans="1:28" s="133" customFormat="1" ht="15" customHeight="1" outlineLevel="1" x14ac:dyDescent="0.2">
      <c r="A367" s="121">
        <v>6</v>
      </c>
      <c r="B367" s="134">
        <v>54178</v>
      </c>
      <c r="C367" s="135">
        <v>41927</v>
      </c>
      <c r="D367" s="198" t="s">
        <v>949</v>
      </c>
      <c r="E367" s="134" t="s">
        <v>473</v>
      </c>
      <c r="F367" s="137" t="s">
        <v>679</v>
      </c>
      <c r="G367" s="138" t="s">
        <v>366</v>
      </c>
      <c r="H367" s="139"/>
      <c r="I367" s="140">
        <v>1</v>
      </c>
      <c r="J367" s="141">
        <v>55058</v>
      </c>
      <c r="K367" s="141">
        <v>55058</v>
      </c>
      <c r="L367" s="196" t="s">
        <v>617</v>
      </c>
      <c r="M367" s="197" t="s">
        <v>33</v>
      </c>
      <c r="N367" s="131"/>
      <c r="O367" s="132"/>
      <c r="P367" s="132"/>
      <c r="Q367" s="132"/>
      <c r="R367" s="132"/>
      <c r="S367" s="132"/>
      <c r="T367" s="132"/>
      <c r="U367" s="132"/>
      <c r="V367" s="132"/>
      <c r="W367" s="132"/>
      <c r="X367" s="132"/>
      <c r="Y367" s="132"/>
      <c r="Z367" s="132"/>
      <c r="AA367" s="132"/>
      <c r="AB367" s="132"/>
    </row>
    <row r="368" spans="1:28" s="133" customFormat="1" ht="15" customHeight="1" outlineLevel="1" x14ac:dyDescent="0.2">
      <c r="A368" s="121">
        <v>7</v>
      </c>
      <c r="B368" s="134">
        <v>58032</v>
      </c>
      <c r="C368" s="135">
        <v>41936</v>
      </c>
      <c r="D368" s="136" t="s">
        <v>950</v>
      </c>
      <c r="E368" s="134" t="s">
        <v>473</v>
      </c>
      <c r="F368" s="137" t="s">
        <v>577</v>
      </c>
      <c r="G368" s="138" t="s">
        <v>368</v>
      </c>
      <c r="H368" s="139"/>
      <c r="I368" s="140">
        <v>1</v>
      </c>
      <c r="J368" s="141">
        <v>25800</v>
      </c>
      <c r="K368" s="141">
        <v>25800</v>
      </c>
      <c r="L368" s="196" t="s">
        <v>617</v>
      </c>
      <c r="M368" s="197" t="s">
        <v>33</v>
      </c>
      <c r="N368" s="131"/>
      <c r="O368" s="132"/>
      <c r="P368" s="132"/>
      <c r="Q368" s="132"/>
      <c r="R368" s="132"/>
      <c r="S368" s="132"/>
      <c r="T368" s="132"/>
      <c r="U368" s="132"/>
      <c r="V368" s="132"/>
      <c r="W368" s="132"/>
      <c r="X368" s="132"/>
      <c r="Y368" s="132"/>
      <c r="Z368" s="132"/>
      <c r="AA368" s="132"/>
      <c r="AB368" s="132"/>
    </row>
    <row r="369" spans="1:28" s="133" customFormat="1" ht="15" customHeight="1" outlineLevel="1" x14ac:dyDescent="0.2">
      <c r="A369" s="121">
        <v>9</v>
      </c>
      <c r="B369" s="134">
        <v>59184</v>
      </c>
      <c r="C369" s="135">
        <v>41922</v>
      </c>
      <c r="D369" s="136" t="s">
        <v>951</v>
      </c>
      <c r="E369" s="134" t="s">
        <v>929</v>
      </c>
      <c r="F369" s="137" t="s">
        <v>215</v>
      </c>
      <c r="G369" s="138" t="s">
        <v>368</v>
      </c>
      <c r="H369" s="139"/>
      <c r="I369" s="140">
        <v>1</v>
      </c>
      <c r="J369" s="141">
        <v>44597</v>
      </c>
      <c r="K369" s="141">
        <v>44597</v>
      </c>
      <c r="L369" s="196" t="s">
        <v>617</v>
      </c>
      <c r="M369" s="197" t="s">
        <v>33</v>
      </c>
      <c r="N369" s="131"/>
      <c r="O369" s="132"/>
      <c r="P369" s="132"/>
      <c r="Q369" s="132"/>
      <c r="R369" s="132"/>
      <c r="S369" s="132"/>
      <c r="T369" s="132"/>
      <c r="U369" s="132"/>
      <c r="V369" s="132"/>
      <c r="W369" s="132"/>
      <c r="X369" s="132"/>
      <c r="Y369" s="132"/>
      <c r="Z369" s="132"/>
      <c r="AA369" s="132"/>
      <c r="AB369" s="132"/>
    </row>
    <row r="370" spans="1:28" s="133" customFormat="1" ht="15" customHeight="1" outlineLevel="1" x14ac:dyDescent="0.2">
      <c r="A370" s="121">
        <v>10</v>
      </c>
      <c r="B370" s="134">
        <v>58784</v>
      </c>
      <c r="C370" s="135">
        <v>41939</v>
      </c>
      <c r="D370" s="136" t="s">
        <v>952</v>
      </c>
      <c r="E370" s="134" t="s">
        <v>473</v>
      </c>
      <c r="F370" s="137" t="s">
        <v>114</v>
      </c>
      <c r="G370" s="138" t="s">
        <v>953</v>
      </c>
      <c r="H370" s="139"/>
      <c r="I370" s="140">
        <v>2</v>
      </c>
      <c r="J370" s="141">
        <v>33370</v>
      </c>
      <c r="K370" s="141">
        <v>66740</v>
      </c>
      <c r="L370" s="196" t="s">
        <v>617</v>
      </c>
      <c r="M370" s="197" t="s">
        <v>33</v>
      </c>
      <c r="N370" s="131"/>
      <c r="O370" s="132"/>
      <c r="P370" s="132"/>
      <c r="Q370" s="132"/>
      <c r="R370" s="132"/>
      <c r="S370" s="132"/>
      <c r="T370" s="132"/>
      <c r="U370" s="132"/>
      <c r="V370" s="132"/>
      <c r="W370" s="132"/>
      <c r="X370" s="132"/>
      <c r="Y370" s="132"/>
      <c r="Z370" s="132"/>
      <c r="AA370" s="132"/>
      <c r="AB370" s="132"/>
    </row>
    <row r="371" spans="1:28" s="133" customFormat="1" ht="15" customHeight="1" outlineLevel="1" x14ac:dyDescent="0.2">
      <c r="A371" s="121">
        <v>11</v>
      </c>
      <c r="B371" s="134">
        <v>56587</v>
      </c>
      <c r="C371" s="135">
        <v>41912</v>
      </c>
      <c r="D371" s="136" t="s">
        <v>954</v>
      </c>
      <c r="E371" s="134" t="s">
        <v>473</v>
      </c>
      <c r="F371" s="137" t="s">
        <v>577</v>
      </c>
      <c r="G371" s="138" t="s">
        <v>368</v>
      </c>
      <c r="H371" s="139"/>
      <c r="I371" s="140">
        <v>1</v>
      </c>
      <c r="J371" s="141">
        <v>25800</v>
      </c>
      <c r="K371" s="141">
        <v>25800</v>
      </c>
      <c r="L371" s="196" t="s">
        <v>617</v>
      </c>
      <c r="M371" s="197" t="s">
        <v>33</v>
      </c>
      <c r="N371" s="131"/>
      <c r="O371" s="132"/>
      <c r="P371" s="132"/>
      <c r="Q371" s="132"/>
      <c r="R371" s="132"/>
      <c r="S371" s="132"/>
      <c r="T371" s="132"/>
      <c r="U371" s="132"/>
      <c r="V371" s="132"/>
      <c r="W371" s="132"/>
      <c r="X371" s="132"/>
      <c r="Y371" s="132"/>
      <c r="Z371" s="132"/>
      <c r="AA371" s="132"/>
      <c r="AB371" s="132"/>
    </row>
    <row r="372" spans="1:28" s="133" customFormat="1" ht="15" customHeight="1" outlineLevel="1" x14ac:dyDescent="0.2">
      <c r="A372" s="121">
        <v>2</v>
      </c>
      <c r="B372" s="121">
        <v>68773</v>
      </c>
      <c r="C372" s="122">
        <v>41967</v>
      </c>
      <c r="D372" s="123" t="s">
        <v>955</v>
      </c>
      <c r="E372" s="121" t="s">
        <v>956</v>
      </c>
      <c r="F372" s="124" t="s">
        <v>215</v>
      </c>
      <c r="G372" s="125" t="s">
        <v>368</v>
      </c>
      <c r="H372" s="126"/>
      <c r="I372" s="127">
        <v>1</v>
      </c>
      <c r="J372" s="128">
        <v>44597</v>
      </c>
      <c r="K372" s="128">
        <v>44597</v>
      </c>
      <c r="L372" s="162" t="s">
        <v>957</v>
      </c>
      <c r="M372" s="194" t="s">
        <v>33</v>
      </c>
      <c r="N372" s="131"/>
      <c r="O372" s="132"/>
      <c r="P372" s="132"/>
      <c r="Q372" s="132"/>
      <c r="R372" s="132"/>
      <c r="S372" s="132"/>
      <c r="T372" s="132"/>
      <c r="U372" s="132"/>
      <c r="V372" s="132"/>
      <c r="W372" s="132"/>
      <c r="X372" s="132"/>
      <c r="Y372" s="132"/>
      <c r="Z372" s="132"/>
      <c r="AA372" s="132"/>
      <c r="AB372" s="132"/>
    </row>
    <row r="373" spans="1:28" s="133" customFormat="1" ht="15" customHeight="1" outlineLevel="1" x14ac:dyDescent="0.2">
      <c r="A373" s="121">
        <v>3</v>
      </c>
      <c r="B373" s="121">
        <v>60562</v>
      </c>
      <c r="C373" s="122">
        <v>41942</v>
      </c>
      <c r="D373" s="123" t="s">
        <v>958</v>
      </c>
      <c r="E373" s="121" t="s">
        <v>959</v>
      </c>
      <c r="F373" s="124" t="s">
        <v>577</v>
      </c>
      <c r="G373" s="125" t="s">
        <v>368</v>
      </c>
      <c r="H373" s="126"/>
      <c r="I373" s="127">
        <v>1</v>
      </c>
      <c r="J373" s="128">
        <v>25800</v>
      </c>
      <c r="K373" s="128">
        <v>25800</v>
      </c>
      <c r="L373" s="162" t="s">
        <v>957</v>
      </c>
      <c r="M373" s="194" t="s">
        <v>33</v>
      </c>
      <c r="N373" s="131"/>
      <c r="O373" s="132"/>
      <c r="P373" s="132"/>
      <c r="Q373" s="132"/>
      <c r="R373" s="132"/>
      <c r="S373" s="132"/>
      <c r="T373" s="132"/>
      <c r="U373" s="132"/>
      <c r="V373" s="132"/>
      <c r="W373" s="132"/>
      <c r="X373" s="132"/>
      <c r="Y373" s="132"/>
      <c r="Z373" s="132"/>
      <c r="AA373" s="132"/>
      <c r="AB373" s="132"/>
    </row>
    <row r="374" spans="1:28" s="133" customFormat="1" ht="15" customHeight="1" outlineLevel="1" x14ac:dyDescent="0.2">
      <c r="A374" s="121">
        <v>4</v>
      </c>
      <c r="B374" s="121">
        <v>69075</v>
      </c>
      <c r="C374" s="122">
        <v>41968</v>
      </c>
      <c r="D374" s="123" t="s">
        <v>960</v>
      </c>
      <c r="E374" s="121" t="s">
        <v>906</v>
      </c>
      <c r="F374" s="124" t="s">
        <v>577</v>
      </c>
      <c r="G374" s="125" t="s">
        <v>368</v>
      </c>
      <c r="H374" s="126"/>
      <c r="I374" s="127">
        <v>1</v>
      </c>
      <c r="J374" s="128">
        <v>25800</v>
      </c>
      <c r="K374" s="128">
        <v>25800</v>
      </c>
      <c r="L374" s="162" t="s">
        <v>957</v>
      </c>
      <c r="M374" s="194" t="s">
        <v>33</v>
      </c>
      <c r="N374" s="131"/>
      <c r="O374" s="132"/>
      <c r="P374" s="132"/>
      <c r="Q374" s="132"/>
      <c r="R374" s="132"/>
      <c r="S374" s="132"/>
      <c r="T374" s="132"/>
      <c r="U374" s="132"/>
      <c r="V374" s="132"/>
      <c r="W374" s="132"/>
      <c r="X374" s="132"/>
      <c r="Y374" s="132"/>
      <c r="Z374" s="132"/>
      <c r="AA374" s="132"/>
      <c r="AB374" s="132"/>
    </row>
    <row r="375" spans="1:28" s="133" customFormat="1" ht="15" customHeight="1" outlineLevel="1" x14ac:dyDescent="0.2">
      <c r="A375" s="121">
        <v>5</v>
      </c>
      <c r="B375" s="121">
        <v>63100</v>
      </c>
      <c r="C375" s="122">
        <v>41953</v>
      </c>
      <c r="D375" s="123" t="s">
        <v>961</v>
      </c>
      <c r="E375" s="121" t="s">
        <v>906</v>
      </c>
      <c r="F375" s="124" t="s">
        <v>577</v>
      </c>
      <c r="G375" s="125" t="s">
        <v>368</v>
      </c>
      <c r="H375" s="126"/>
      <c r="I375" s="127">
        <v>1</v>
      </c>
      <c r="J375" s="128">
        <v>25800</v>
      </c>
      <c r="K375" s="128">
        <v>25800</v>
      </c>
      <c r="L375" s="162" t="s">
        <v>957</v>
      </c>
      <c r="M375" s="194" t="s">
        <v>33</v>
      </c>
      <c r="N375" s="131"/>
      <c r="O375" s="132"/>
      <c r="P375" s="132"/>
      <c r="Q375" s="132"/>
      <c r="R375" s="132"/>
      <c r="S375" s="132"/>
      <c r="T375" s="132"/>
      <c r="U375" s="132"/>
      <c r="V375" s="132"/>
      <c r="W375" s="132"/>
      <c r="X375" s="132"/>
      <c r="Y375" s="132"/>
      <c r="Z375" s="132"/>
      <c r="AA375" s="132"/>
      <c r="AB375" s="132"/>
    </row>
    <row r="376" spans="1:28" s="133" customFormat="1" ht="15" customHeight="1" outlineLevel="1" x14ac:dyDescent="0.2">
      <c r="A376" s="121">
        <v>6</v>
      </c>
      <c r="B376" s="121">
        <v>63194</v>
      </c>
      <c r="C376" s="122">
        <v>41953</v>
      </c>
      <c r="D376" s="123" t="s">
        <v>962</v>
      </c>
      <c r="E376" s="121" t="s">
        <v>912</v>
      </c>
      <c r="F376" s="124" t="s">
        <v>215</v>
      </c>
      <c r="G376" s="125" t="s">
        <v>366</v>
      </c>
      <c r="H376" s="126"/>
      <c r="I376" s="127">
        <v>1</v>
      </c>
      <c r="J376" s="128">
        <v>44597</v>
      </c>
      <c r="K376" s="128">
        <v>44597</v>
      </c>
      <c r="L376" s="162" t="s">
        <v>957</v>
      </c>
      <c r="M376" s="194" t="s">
        <v>33</v>
      </c>
      <c r="N376" s="131"/>
      <c r="O376" s="132"/>
      <c r="P376" s="132"/>
      <c r="Q376" s="132"/>
      <c r="R376" s="132"/>
      <c r="S376" s="132"/>
      <c r="T376" s="132"/>
      <c r="U376" s="132"/>
      <c r="V376" s="132"/>
      <c r="W376" s="132"/>
      <c r="X376" s="132"/>
      <c r="Y376" s="132"/>
      <c r="Z376" s="132"/>
      <c r="AA376" s="132"/>
      <c r="AB376" s="132"/>
    </row>
    <row r="377" spans="1:28" s="133" customFormat="1" ht="15" customHeight="1" outlineLevel="1" x14ac:dyDescent="0.2">
      <c r="A377" s="121">
        <v>7</v>
      </c>
      <c r="B377" s="121">
        <v>66861</v>
      </c>
      <c r="C377" s="122">
        <v>41963</v>
      </c>
      <c r="D377" s="123" t="s">
        <v>963</v>
      </c>
      <c r="E377" s="121" t="s">
        <v>906</v>
      </c>
      <c r="F377" s="124" t="s">
        <v>577</v>
      </c>
      <c r="G377" s="125" t="s">
        <v>368</v>
      </c>
      <c r="H377" s="126"/>
      <c r="I377" s="127">
        <v>1</v>
      </c>
      <c r="J377" s="128">
        <v>25800</v>
      </c>
      <c r="K377" s="128">
        <v>25800</v>
      </c>
      <c r="L377" s="162" t="s">
        <v>957</v>
      </c>
      <c r="M377" s="194" t="s">
        <v>33</v>
      </c>
      <c r="N377" s="131"/>
      <c r="O377" s="132"/>
      <c r="P377" s="132"/>
      <c r="Q377" s="132"/>
      <c r="R377" s="132"/>
      <c r="S377" s="132"/>
      <c r="T377" s="132"/>
      <c r="U377" s="132"/>
      <c r="V377" s="132"/>
      <c r="W377" s="132"/>
      <c r="X377" s="132"/>
      <c r="Y377" s="132"/>
      <c r="Z377" s="132"/>
      <c r="AA377" s="132"/>
      <c r="AB377" s="132"/>
    </row>
    <row r="378" spans="1:28" s="133" customFormat="1" ht="15" customHeight="1" outlineLevel="1" x14ac:dyDescent="0.2">
      <c r="A378" s="121">
        <v>8</v>
      </c>
      <c r="B378" s="121">
        <v>69998</v>
      </c>
      <c r="C378" s="122">
        <v>41970</v>
      </c>
      <c r="D378" s="123" t="s">
        <v>964</v>
      </c>
      <c r="E378" s="121" t="s">
        <v>956</v>
      </c>
      <c r="F378" s="124" t="s">
        <v>215</v>
      </c>
      <c r="G378" s="125" t="s">
        <v>368</v>
      </c>
      <c r="H378" s="126"/>
      <c r="I378" s="127">
        <v>1</v>
      </c>
      <c r="J378" s="128">
        <v>44597</v>
      </c>
      <c r="K378" s="128">
        <v>44597</v>
      </c>
      <c r="L378" s="162" t="s">
        <v>957</v>
      </c>
      <c r="M378" s="194" t="s">
        <v>33</v>
      </c>
      <c r="N378" s="131"/>
      <c r="O378" s="132"/>
      <c r="P378" s="132"/>
      <c r="Q378" s="132"/>
      <c r="R378" s="132"/>
      <c r="S378" s="132"/>
      <c r="T378" s="132"/>
      <c r="U378" s="132"/>
      <c r="V378" s="132"/>
      <c r="W378" s="132"/>
      <c r="X378" s="132"/>
      <c r="Y378" s="132"/>
      <c r="Z378" s="132"/>
      <c r="AA378" s="132"/>
      <c r="AB378" s="132"/>
    </row>
    <row r="379" spans="1:28" s="133" customFormat="1" ht="15" customHeight="1" outlineLevel="1" x14ac:dyDescent="0.2">
      <c r="A379" s="121">
        <v>9</v>
      </c>
      <c r="B379" s="121">
        <v>65393</v>
      </c>
      <c r="C379" s="122">
        <v>41960</v>
      </c>
      <c r="D379" s="123" t="s">
        <v>965</v>
      </c>
      <c r="E379" s="121" t="s">
        <v>966</v>
      </c>
      <c r="F379" s="124" t="s">
        <v>577</v>
      </c>
      <c r="G379" s="125" t="s">
        <v>368</v>
      </c>
      <c r="H379" s="126"/>
      <c r="I379" s="127">
        <v>1</v>
      </c>
      <c r="J379" s="128">
        <v>25800</v>
      </c>
      <c r="K379" s="128">
        <v>25800</v>
      </c>
      <c r="L379" s="162" t="s">
        <v>957</v>
      </c>
      <c r="M379" s="194" t="s">
        <v>33</v>
      </c>
      <c r="N379" s="131"/>
      <c r="O379" s="132"/>
      <c r="P379" s="132"/>
      <c r="Q379" s="132"/>
      <c r="R379" s="132"/>
      <c r="S379" s="132"/>
      <c r="T379" s="132"/>
      <c r="U379" s="132"/>
      <c r="V379" s="132"/>
      <c r="W379" s="132"/>
      <c r="X379" s="132"/>
      <c r="Y379" s="132"/>
      <c r="Z379" s="132"/>
      <c r="AA379" s="132"/>
      <c r="AB379" s="132"/>
    </row>
    <row r="380" spans="1:28" s="133" customFormat="1" ht="15" customHeight="1" outlineLevel="1" x14ac:dyDescent="0.2">
      <c r="A380" s="121">
        <v>10</v>
      </c>
      <c r="B380" s="121">
        <v>63097</v>
      </c>
      <c r="C380" s="122">
        <v>41953</v>
      </c>
      <c r="D380" s="123" t="s">
        <v>967</v>
      </c>
      <c r="E380" s="121" t="s">
        <v>906</v>
      </c>
      <c r="F380" s="124" t="s">
        <v>577</v>
      </c>
      <c r="G380" s="125" t="s">
        <v>368</v>
      </c>
      <c r="H380" s="126"/>
      <c r="I380" s="127">
        <v>1</v>
      </c>
      <c r="J380" s="128">
        <v>25800</v>
      </c>
      <c r="K380" s="128">
        <v>25800</v>
      </c>
      <c r="L380" s="162" t="s">
        <v>957</v>
      </c>
      <c r="M380" s="194" t="s">
        <v>33</v>
      </c>
      <c r="N380" s="131"/>
      <c r="O380" s="132"/>
      <c r="P380" s="132"/>
      <c r="Q380" s="132"/>
      <c r="R380" s="132"/>
      <c r="S380" s="132"/>
      <c r="T380" s="132"/>
      <c r="U380" s="132"/>
      <c r="V380" s="132"/>
      <c r="W380" s="132"/>
      <c r="X380" s="132"/>
      <c r="Y380" s="132"/>
      <c r="Z380" s="132"/>
      <c r="AA380" s="132"/>
      <c r="AB380" s="132"/>
    </row>
    <row r="381" spans="1:28" s="133" customFormat="1" ht="15" customHeight="1" outlineLevel="1" x14ac:dyDescent="0.2">
      <c r="A381" s="121">
        <v>11</v>
      </c>
      <c r="B381" s="121">
        <v>69125</v>
      </c>
      <c r="C381" s="122">
        <v>41968</v>
      </c>
      <c r="D381" s="123" t="s">
        <v>968</v>
      </c>
      <c r="E381" s="121" t="s">
        <v>906</v>
      </c>
      <c r="F381" s="124" t="s">
        <v>577</v>
      </c>
      <c r="G381" s="125" t="s">
        <v>368</v>
      </c>
      <c r="H381" s="126"/>
      <c r="I381" s="127">
        <v>1</v>
      </c>
      <c r="J381" s="128">
        <v>25800</v>
      </c>
      <c r="K381" s="128">
        <v>25800</v>
      </c>
      <c r="L381" s="162" t="s">
        <v>957</v>
      </c>
      <c r="M381" s="194" t="s">
        <v>33</v>
      </c>
      <c r="N381" s="131"/>
      <c r="O381" s="132"/>
      <c r="P381" s="132"/>
      <c r="Q381" s="132"/>
      <c r="R381" s="132"/>
      <c r="S381" s="132"/>
      <c r="T381" s="132"/>
      <c r="U381" s="132"/>
      <c r="V381" s="132"/>
      <c r="W381" s="132"/>
      <c r="X381" s="132"/>
      <c r="Y381" s="132"/>
      <c r="Z381" s="132"/>
      <c r="AA381" s="132"/>
      <c r="AB381" s="132"/>
    </row>
    <row r="382" spans="1:28" s="133" customFormat="1" ht="15" customHeight="1" outlineLevel="1" x14ac:dyDescent="0.2">
      <c r="A382" s="121">
        <v>12</v>
      </c>
      <c r="B382" s="121">
        <v>69141</v>
      </c>
      <c r="C382" s="122">
        <v>41969</v>
      </c>
      <c r="D382" s="123" t="s">
        <v>457</v>
      </c>
      <c r="E382" s="121" t="s">
        <v>912</v>
      </c>
      <c r="F382" s="124" t="s">
        <v>215</v>
      </c>
      <c r="G382" s="125" t="s">
        <v>368</v>
      </c>
      <c r="H382" s="126"/>
      <c r="I382" s="127">
        <v>1</v>
      </c>
      <c r="J382" s="128">
        <v>44597</v>
      </c>
      <c r="K382" s="128">
        <v>44597</v>
      </c>
      <c r="L382" s="162" t="s">
        <v>957</v>
      </c>
      <c r="M382" s="194" t="s">
        <v>33</v>
      </c>
      <c r="N382" s="131"/>
      <c r="O382" s="132"/>
      <c r="P382" s="132"/>
      <c r="Q382" s="132"/>
      <c r="R382" s="132"/>
      <c r="S382" s="132"/>
      <c r="T382" s="132"/>
      <c r="U382" s="132"/>
      <c r="V382" s="132"/>
      <c r="W382" s="132"/>
      <c r="X382" s="132"/>
      <c r="Y382" s="132"/>
      <c r="Z382" s="132"/>
      <c r="AA382" s="132"/>
      <c r="AB382" s="132"/>
    </row>
    <row r="383" spans="1:28" s="133" customFormat="1" ht="15" customHeight="1" outlineLevel="1" x14ac:dyDescent="0.2">
      <c r="A383" s="121">
        <v>13</v>
      </c>
      <c r="B383" s="121">
        <v>58955</v>
      </c>
      <c r="C383" s="122">
        <v>41940</v>
      </c>
      <c r="D383" s="123" t="s">
        <v>969</v>
      </c>
      <c r="E383" s="121" t="s">
        <v>970</v>
      </c>
      <c r="F383" s="124" t="s">
        <v>577</v>
      </c>
      <c r="G383" s="125" t="s">
        <v>368</v>
      </c>
      <c r="H383" s="126"/>
      <c r="I383" s="127">
        <v>1</v>
      </c>
      <c r="J383" s="128">
        <v>25800</v>
      </c>
      <c r="K383" s="128">
        <v>25800</v>
      </c>
      <c r="L383" s="162" t="s">
        <v>957</v>
      </c>
      <c r="M383" s="194" t="s">
        <v>33</v>
      </c>
      <c r="N383" s="131"/>
      <c r="O383" s="132"/>
      <c r="P383" s="132"/>
      <c r="Q383" s="132"/>
      <c r="R383" s="132"/>
      <c r="S383" s="132"/>
      <c r="T383" s="132"/>
      <c r="U383" s="132"/>
      <c r="V383" s="132"/>
      <c r="W383" s="132"/>
      <c r="X383" s="132"/>
      <c r="Y383" s="132"/>
      <c r="Z383" s="132"/>
      <c r="AA383" s="132"/>
      <c r="AB383" s="132"/>
    </row>
    <row r="384" spans="1:28" s="133" customFormat="1" ht="15" customHeight="1" outlineLevel="1" x14ac:dyDescent="0.2">
      <c r="A384" s="121">
        <v>14</v>
      </c>
      <c r="B384" s="121">
        <v>70952</v>
      </c>
      <c r="C384" s="122">
        <v>42001</v>
      </c>
      <c r="D384" s="123" t="s">
        <v>971</v>
      </c>
      <c r="E384" s="121" t="s">
        <v>906</v>
      </c>
      <c r="F384" s="124" t="s">
        <v>577</v>
      </c>
      <c r="G384" s="125" t="s">
        <v>368</v>
      </c>
      <c r="H384" s="126"/>
      <c r="I384" s="127">
        <v>1</v>
      </c>
      <c r="J384" s="128">
        <v>25800</v>
      </c>
      <c r="K384" s="128">
        <v>25800</v>
      </c>
      <c r="L384" s="162" t="s">
        <v>957</v>
      </c>
      <c r="M384" s="194" t="s">
        <v>33</v>
      </c>
      <c r="N384" s="131"/>
      <c r="O384" s="132"/>
      <c r="P384" s="132"/>
      <c r="Q384" s="132"/>
      <c r="R384" s="132"/>
      <c r="S384" s="132"/>
      <c r="T384" s="132"/>
      <c r="U384" s="132"/>
      <c r="V384" s="132"/>
      <c r="W384" s="132"/>
      <c r="X384" s="132"/>
      <c r="Y384" s="132"/>
      <c r="Z384" s="132"/>
      <c r="AA384" s="132"/>
      <c r="AB384" s="132"/>
    </row>
    <row r="385" spans="1:28" s="133" customFormat="1" ht="15" customHeight="1" outlineLevel="1" x14ac:dyDescent="0.2">
      <c r="A385" s="121">
        <v>1</v>
      </c>
      <c r="B385" s="121">
        <v>56676</v>
      </c>
      <c r="C385" s="122">
        <v>41933</v>
      </c>
      <c r="D385" s="123" t="s">
        <v>972</v>
      </c>
      <c r="E385" s="121" t="s">
        <v>423</v>
      </c>
      <c r="F385" s="124" t="s">
        <v>534</v>
      </c>
      <c r="G385" s="125" t="s">
        <v>439</v>
      </c>
      <c r="H385" s="126"/>
      <c r="I385" s="127">
        <v>1</v>
      </c>
      <c r="J385" s="128">
        <v>30429</v>
      </c>
      <c r="K385" s="128">
        <v>30429</v>
      </c>
      <c r="L385" s="169" t="s">
        <v>617</v>
      </c>
      <c r="M385" s="186" t="s">
        <v>408</v>
      </c>
      <c r="N385" s="131"/>
      <c r="O385" s="132"/>
      <c r="P385" s="132"/>
      <c r="Q385" s="132"/>
      <c r="R385" s="132"/>
      <c r="S385" s="132"/>
      <c r="T385" s="132"/>
      <c r="U385" s="132"/>
      <c r="V385" s="132"/>
      <c r="W385" s="132"/>
      <c r="X385" s="132"/>
      <c r="Y385" s="132"/>
      <c r="Z385" s="132"/>
      <c r="AA385" s="132"/>
      <c r="AB385" s="132"/>
    </row>
    <row r="386" spans="1:28" s="133" customFormat="1" ht="15" customHeight="1" outlineLevel="1" x14ac:dyDescent="0.2">
      <c r="A386" s="121">
        <v>2</v>
      </c>
      <c r="B386" s="121">
        <v>58842</v>
      </c>
      <c r="C386" s="122">
        <v>41941</v>
      </c>
      <c r="D386" s="123" t="s">
        <v>426</v>
      </c>
      <c r="E386" s="121" t="s">
        <v>423</v>
      </c>
      <c r="F386" s="124" t="s">
        <v>115</v>
      </c>
      <c r="G386" s="125" t="s">
        <v>428</v>
      </c>
      <c r="H386" s="126"/>
      <c r="I386" s="127">
        <v>1</v>
      </c>
      <c r="J386" s="128">
        <v>5274</v>
      </c>
      <c r="K386" s="128">
        <v>5274</v>
      </c>
      <c r="L386" s="169" t="s">
        <v>617</v>
      </c>
      <c r="M386" s="186" t="s">
        <v>408</v>
      </c>
      <c r="N386" s="131"/>
      <c r="O386" s="132"/>
      <c r="P386" s="132"/>
      <c r="Q386" s="132"/>
      <c r="R386" s="132"/>
      <c r="S386" s="132"/>
      <c r="T386" s="132"/>
      <c r="U386" s="132"/>
      <c r="V386" s="132"/>
      <c r="W386" s="132"/>
      <c r="X386" s="132"/>
      <c r="Y386" s="132"/>
      <c r="Z386" s="132"/>
      <c r="AA386" s="132"/>
      <c r="AB386" s="132"/>
    </row>
    <row r="387" spans="1:28" s="133" customFormat="1" ht="15" customHeight="1" outlineLevel="1" x14ac:dyDescent="0.2">
      <c r="A387" s="121">
        <v>1</v>
      </c>
      <c r="B387" s="121">
        <v>61407</v>
      </c>
      <c r="C387" s="122">
        <v>41948</v>
      </c>
      <c r="D387" s="123" t="s">
        <v>973</v>
      </c>
      <c r="E387" s="121" t="s">
        <v>423</v>
      </c>
      <c r="F387" s="124" t="s">
        <v>115</v>
      </c>
      <c r="G387" s="125" t="s">
        <v>469</v>
      </c>
      <c r="H387" s="126"/>
      <c r="I387" s="127">
        <v>1</v>
      </c>
      <c r="J387" s="128">
        <v>5274</v>
      </c>
      <c r="K387" s="128">
        <v>5274</v>
      </c>
      <c r="L387" s="181" t="s">
        <v>957</v>
      </c>
      <c r="M387" s="166" t="s">
        <v>408</v>
      </c>
      <c r="N387" s="131"/>
      <c r="O387" s="132"/>
      <c r="P387" s="132"/>
      <c r="Q387" s="132"/>
      <c r="R387" s="132"/>
      <c r="S387" s="132"/>
      <c r="T387" s="132"/>
      <c r="U387" s="132"/>
      <c r="V387" s="132"/>
      <c r="W387" s="132"/>
      <c r="X387" s="132"/>
      <c r="Y387" s="132"/>
      <c r="Z387" s="132"/>
      <c r="AA387" s="132"/>
      <c r="AB387" s="132"/>
    </row>
    <row r="388" spans="1:28" s="133" customFormat="1" ht="15" customHeight="1" outlineLevel="1" x14ac:dyDescent="0.2">
      <c r="A388" s="121">
        <v>2</v>
      </c>
      <c r="B388" s="121">
        <v>64283</v>
      </c>
      <c r="C388" s="122">
        <v>41955</v>
      </c>
      <c r="D388" s="123" t="s">
        <v>973</v>
      </c>
      <c r="E388" s="121" t="s">
        <v>423</v>
      </c>
      <c r="F388" s="124" t="s">
        <v>208</v>
      </c>
      <c r="G388" s="125" t="s">
        <v>469</v>
      </c>
      <c r="H388" s="126"/>
      <c r="I388" s="127">
        <v>1</v>
      </c>
      <c r="J388" s="128">
        <v>14099</v>
      </c>
      <c r="K388" s="128">
        <v>14099</v>
      </c>
      <c r="L388" s="181" t="s">
        <v>957</v>
      </c>
      <c r="M388" s="186" t="s">
        <v>408</v>
      </c>
      <c r="N388" s="131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  <c r="Y388" s="132"/>
      <c r="Z388" s="132"/>
      <c r="AA388" s="132"/>
      <c r="AB388" s="132"/>
    </row>
    <row r="389" spans="1:28" s="133" customFormat="1" ht="15" customHeight="1" outlineLevel="1" x14ac:dyDescent="0.2">
      <c r="A389" s="121">
        <v>3</v>
      </c>
      <c r="B389" s="121">
        <v>63964</v>
      </c>
      <c r="C389" s="122">
        <v>41955</v>
      </c>
      <c r="D389" s="123" t="s">
        <v>974</v>
      </c>
      <c r="E389" s="121" t="s">
        <v>423</v>
      </c>
      <c r="F389" s="124" t="s">
        <v>577</v>
      </c>
      <c r="G389" s="125" t="s">
        <v>368</v>
      </c>
      <c r="H389" s="126"/>
      <c r="I389" s="127">
        <v>1</v>
      </c>
      <c r="J389" s="128">
        <v>25800</v>
      </c>
      <c r="K389" s="128">
        <v>25800</v>
      </c>
      <c r="L389" s="181" t="s">
        <v>957</v>
      </c>
      <c r="M389" s="166" t="s">
        <v>408</v>
      </c>
      <c r="N389" s="131"/>
      <c r="O389" s="132"/>
      <c r="P389" s="132"/>
      <c r="Q389" s="132"/>
      <c r="R389" s="132"/>
      <c r="S389" s="132"/>
      <c r="T389" s="132"/>
      <c r="U389" s="132"/>
      <c r="V389" s="132"/>
      <c r="W389" s="132"/>
      <c r="X389" s="132"/>
      <c r="Y389" s="132"/>
      <c r="Z389" s="132"/>
      <c r="AA389" s="132"/>
      <c r="AB389" s="132"/>
    </row>
    <row r="390" spans="1:28" s="133" customFormat="1" ht="15" customHeight="1" outlineLevel="1" x14ac:dyDescent="0.2">
      <c r="A390" s="121">
        <v>4</v>
      </c>
      <c r="B390" s="121">
        <v>69044</v>
      </c>
      <c r="C390" s="122">
        <v>41968</v>
      </c>
      <c r="D390" s="123" t="s">
        <v>426</v>
      </c>
      <c r="E390" s="121" t="s">
        <v>423</v>
      </c>
      <c r="F390" s="124" t="s">
        <v>208</v>
      </c>
      <c r="G390" s="125" t="s">
        <v>428</v>
      </c>
      <c r="H390" s="126"/>
      <c r="I390" s="127">
        <v>1</v>
      </c>
      <c r="J390" s="128">
        <v>14099</v>
      </c>
      <c r="K390" s="128">
        <v>14099</v>
      </c>
      <c r="L390" s="181" t="s">
        <v>957</v>
      </c>
      <c r="M390" s="186" t="s">
        <v>408</v>
      </c>
      <c r="N390" s="131"/>
      <c r="O390" s="132"/>
      <c r="P390" s="132"/>
      <c r="Q390" s="132"/>
      <c r="R390" s="132"/>
      <c r="S390" s="132"/>
      <c r="T390" s="132"/>
      <c r="U390" s="132"/>
      <c r="V390" s="132"/>
      <c r="W390" s="132"/>
      <c r="X390" s="132"/>
      <c r="Y390" s="132"/>
      <c r="Z390" s="132"/>
      <c r="AA390" s="132"/>
      <c r="AB390" s="132"/>
    </row>
    <row r="391" spans="1:28" s="133" customFormat="1" ht="15" customHeight="1" outlineLevel="1" x14ac:dyDescent="0.2">
      <c r="A391" s="121">
        <v>9</v>
      </c>
      <c r="B391" s="121">
        <v>64572</v>
      </c>
      <c r="C391" s="122">
        <v>41956</v>
      </c>
      <c r="D391" s="123" t="s">
        <v>975</v>
      </c>
      <c r="E391" s="121" t="s">
        <v>423</v>
      </c>
      <c r="F391" s="124" t="s">
        <v>577</v>
      </c>
      <c r="G391" s="125" t="s">
        <v>368</v>
      </c>
      <c r="H391" s="126"/>
      <c r="I391" s="127">
        <v>1</v>
      </c>
      <c r="J391" s="128">
        <v>25800</v>
      </c>
      <c r="K391" s="128">
        <v>25800</v>
      </c>
      <c r="L391" s="181" t="s">
        <v>957</v>
      </c>
      <c r="M391" s="166" t="s">
        <v>408</v>
      </c>
      <c r="N391" s="131"/>
      <c r="O391" s="132"/>
      <c r="P391" s="132"/>
      <c r="Q391" s="132"/>
      <c r="R391" s="132"/>
      <c r="S391" s="132"/>
      <c r="T391" s="132"/>
      <c r="U391" s="132"/>
      <c r="V391" s="132"/>
      <c r="W391" s="132"/>
      <c r="X391" s="132"/>
      <c r="Y391" s="132"/>
      <c r="Z391" s="132"/>
      <c r="AA391" s="132"/>
      <c r="AB391" s="132"/>
    </row>
    <row r="392" spans="1:28" s="133" customFormat="1" ht="15" customHeight="1" outlineLevel="1" x14ac:dyDescent="0.2">
      <c r="A392" s="121">
        <v>10</v>
      </c>
      <c r="B392" s="121">
        <v>66486</v>
      </c>
      <c r="C392" s="122">
        <v>41961</v>
      </c>
      <c r="D392" s="123" t="s">
        <v>424</v>
      </c>
      <c r="E392" s="121" t="s">
        <v>423</v>
      </c>
      <c r="F392" s="124" t="s">
        <v>208</v>
      </c>
      <c r="G392" s="125" t="s">
        <v>380</v>
      </c>
      <c r="H392" s="126"/>
      <c r="I392" s="127">
        <v>1</v>
      </c>
      <c r="J392" s="128">
        <v>14099</v>
      </c>
      <c r="K392" s="128">
        <v>14099</v>
      </c>
      <c r="L392" s="181" t="s">
        <v>957</v>
      </c>
      <c r="M392" s="186" t="s">
        <v>408</v>
      </c>
      <c r="N392" s="131"/>
      <c r="O392" s="132"/>
      <c r="P392" s="132"/>
      <c r="Q392" s="132"/>
      <c r="R392" s="132"/>
      <c r="S392" s="132"/>
      <c r="T392" s="132"/>
      <c r="U392" s="132"/>
      <c r="V392" s="132"/>
      <c r="W392" s="132"/>
      <c r="X392" s="132"/>
      <c r="Y392" s="132"/>
      <c r="Z392" s="132"/>
      <c r="AA392" s="132"/>
      <c r="AB392" s="132"/>
    </row>
    <row r="393" spans="1:28" s="133" customFormat="1" ht="15" customHeight="1" outlineLevel="1" x14ac:dyDescent="0.2">
      <c r="A393" s="121">
        <v>11</v>
      </c>
      <c r="B393" s="121">
        <v>70669</v>
      </c>
      <c r="C393" s="122">
        <v>41971</v>
      </c>
      <c r="D393" s="123" t="s">
        <v>976</v>
      </c>
      <c r="E393" s="121" t="s">
        <v>977</v>
      </c>
      <c r="F393" s="124" t="s">
        <v>534</v>
      </c>
      <c r="G393" s="125" t="s">
        <v>559</v>
      </c>
      <c r="H393" s="126"/>
      <c r="I393" s="127">
        <v>1</v>
      </c>
      <c r="J393" s="128">
        <v>30429</v>
      </c>
      <c r="K393" s="128">
        <v>30429</v>
      </c>
      <c r="L393" s="181" t="s">
        <v>957</v>
      </c>
      <c r="M393" s="166" t="s">
        <v>408</v>
      </c>
      <c r="N393" s="131"/>
      <c r="O393" s="132"/>
      <c r="P393" s="132"/>
      <c r="Q393" s="132"/>
      <c r="R393" s="132"/>
      <c r="S393" s="132"/>
      <c r="T393" s="132"/>
      <c r="U393" s="132"/>
      <c r="V393" s="132"/>
      <c r="W393" s="132"/>
      <c r="X393" s="132"/>
      <c r="Y393" s="132"/>
      <c r="Z393" s="132"/>
      <c r="AA393" s="132"/>
      <c r="AB393" s="132"/>
    </row>
    <row r="394" spans="1:28" s="133" customFormat="1" ht="15" customHeight="1" outlineLevel="1" x14ac:dyDescent="0.2">
      <c r="A394" s="121">
        <v>17</v>
      </c>
      <c r="B394" s="121">
        <v>52992</v>
      </c>
      <c r="C394" s="122">
        <v>41985</v>
      </c>
      <c r="D394" s="123" t="s">
        <v>978</v>
      </c>
      <c r="E394" s="121" t="s">
        <v>423</v>
      </c>
      <c r="F394" s="124" t="s">
        <v>215</v>
      </c>
      <c r="G394" s="125" t="s">
        <v>368</v>
      </c>
      <c r="H394" s="126"/>
      <c r="I394" s="127">
        <v>1</v>
      </c>
      <c r="J394" s="128">
        <v>44597</v>
      </c>
      <c r="K394" s="128">
        <v>44597</v>
      </c>
      <c r="L394" s="188" t="s">
        <v>620</v>
      </c>
      <c r="M394" s="186" t="s">
        <v>408</v>
      </c>
      <c r="N394" s="131"/>
      <c r="O394" s="132"/>
      <c r="P394" s="132"/>
      <c r="Q394" s="132"/>
      <c r="R394" s="132"/>
      <c r="S394" s="132"/>
      <c r="T394" s="132"/>
      <c r="U394" s="132"/>
      <c r="V394" s="132"/>
      <c r="W394" s="132"/>
      <c r="X394" s="132"/>
      <c r="Y394" s="132"/>
      <c r="Z394" s="132"/>
      <c r="AA394" s="132"/>
      <c r="AB394" s="132"/>
    </row>
    <row r="395" spans="1:28" s="133" customFormat="1" ht="15" customHeight="1" outlineLevel="1" x14ac:dyDescent="0.2">
      <c r="A395" s="121">
        <v>3</v>
      </c>
      <c r="B395" s="121">
        <v>61671</v>
      </c>
      <c r="C395" s="122">
        <v>41948</v>
      </c>
      <c r="D395" s="123" t="s">
        <v>979</v>
      </c>
      <c r="E395" s="121" t="s">
        <v>423</v>
      </c>
      <c r="F395" s="124" t="s">
        <v>115</v>
      </c>
      <c r="G395" s="125" t="s">
        <v>407</v>
      </c>
      <c r="H395" s="126"/>
      <c r="I395" s="127">
        <v>1</v>
      </c>
      <c r="J395" s="128">
        <v>5274</v>
      </c>
      <c r="K395" s="128">
        <v>5274</v>
      </c>
      <c r="L395" s="188" t="s">
        <v>620</v>
      </c>
      <c r="M395" s="186" t="s">
        <v>408</v>
      </c>
      <c r="N395" s="131"/>
      <c r="O395" s="132"/>
      <c r="P395" s="132"/>
      <c r="Q395" s="132"/>
      <c r="R395" s="132"/>
      <c r="S395" s="132"/>
      <c r="T395" s="132"/>
      <c r="U395" s="132"/>
      <c r="V395" s="132"/>
      <c r="W395" s="132"/>
      <c r="X395" s="132"/>
      <c r="Y395" s="132"/>
      <c r="Z395" s="132"/>
      <c r="AA395" s="132"/>
      <c r="AB395" s="132"/>
    </row>
    <row r="396" spans="1:28" s="133" customFormat="1" ht="15" customHeight="1" outlineLevel="1" x14ac:dyDescent="0.2">
      <c r="A396" s="121">
        <v>4</v>
      </c>
      <c r="B396" s="121">
        <v>64141</v>
      </c>
      <c r="C396" s="122">
        <v>41956</v>
      </c>
      <c r="D396" s="123" t="s">
        <v>980</v>
      </c>
      <c r="E396" s="121" t="s">
        <v>423</v>
      </c>
      <c r="F396" s="124" t="s">
        <v>215</v>
      </c>
      <c r="G396" s="125" t="s">
        <v>368</v>
      </c>
      <c r="H396" s="126"/>
      <c r="I396" s="127">
        <v>1</v>
      </c>
      <c r="J396" s="128">
        <v>44597</v>
      </c>
      <c r="K396" s="128">
        <v>44597</v>
      </c>
      <c r="L396" s="188" t="s">
        <v>620</v>
      </c>
      <c r="M396" s="186" t="s">
        <v>408</v>
      </c>
      <c r="N396" s="131"/>
      <c r="O396" s="132"/>
      <c r="P396" s="132"/>
      <c r="Q396" s="132"/>
      <c r="R396" s="132"/>
      <c r="S396" s="132"/>
      <c r="T396" s="132"/>
      <c r="U396" s="132"/>
      <c r="V396" s="132"/>
      <c r="W396" s="132"/>
      <c r="X396" s="132"/>
      <c r="Y396" s="132"/>
      <c r="Z396" s="132"/>
      <c r="AA396" s="132"/>
      <c r="AB396" s="132"/>
    </row>
    <row r="397" spans="1:28" s="133" customFormat="1" ht="15" customHeight="1" outlineLevel="1" x14ac:dyDescent="0.2">
      <c r="A397" s="121">
        <v>2</v>
      </c>
      <c r="B397" s="121">
        <v>64215</v>
      </c>
      <c r="C397" s="122">
        <v>41956</v>
      </c>
      <c r="D397" s="123" t="s">
        <v>981</v>
      </c>
      <c r="E397" s="121" t="s">
        <v>423</v>
      </c>
      <c r="F397" s="124" t="s">
        <v>215</v>
      </c>
      <c r="G397" s="125" t="s">
        <v>368</v>
      </c>
      <c r="H397" s="126"/>
      <c r="I397" s="127">
        <v>1</v>
      </c>
      <c r="J397" s="128">
        <v>44597</v>
      </c>
      <c r="K397" s="128">
        <v>44597</v>
      </c>
      <c r="L397" s="188" t="s">
        <v>620</v>
      </c>
      <c r="M397" s="186" t="s">
        <v>408</v>
      </c>
      <c r="N397" s="131"/>
      <c r="O397" s="132"/>
      <c r="P397" s="132"/>
      <c r="Q397" s="132"/>
      <c r="R397" s="132"/>
      <c r="S397" s="132"/>
      <c r="T397" s="132"/>
      <c r="U397" s="132"/>
      <c r="V397" s="132"/>
      <c r="W397" s="132"/>
      <c r="X397" s="132"/>
      <c r="Y397" s="132"/>
      <c r="Z397" s="132"/>
      <c r="AA397" s="132"/>
      <c r="AB397" s="132"/>
    </row>
    <row r="398" spans="1:28" s="133" customFormat="1" ht="15" customHeight="1" outlineLevel="1" x14ac:dyDescent="0.2">
      <c r="A398" s="121">
        <v>1</v>
      </c>
      <c r="B398" s="121">
        <v>68644</v>
      </c>
      <c r="C398" s="122">
        <v>41968</v>
      </c>
      <c r="D398" s="123" t="s">
        <v>982</v>
      </c>
      <c r="E398" s="121" t="s">
        <v>983</v>
      </c>
      <c r="F398" s="124" t="s">
        <v>984</v>
      </c>
      <c r="G398" s="125" t="s">
        <v>368</v>
      </c>
      <c r="H398" s="126"/>
      <c r="I398" s="127">
        <v>1</v>
      </c>
      <c r="J398" s="128">
        <v>22315</v>
      </c>
      <c r="K398" s="128">
        <v>22315</v>
      </c>
      <c r="L398" s="188" t="s">
        <v>620</v>
      </c>
      <c r="M398" s="186" t="s">
        <v>408</v>
      </c>
      <c r="N398" s="131"/>
      <c r="O398" s="132"/>
      <c r="P398" s="132"/>
      <c r="Q398" s="132"/>
      <c r="R398" s="132"/>
      <c r="S398" s="132"/>
      <c r="T398" s="132"/>
      <c r="U398" s="132"/>
      <c r="V398" s="132"/>
      <c r="W398" s="132"/>
      <c r="X398" s="132"/>
      <c r="Y398" s="132"/>
      <c r="Z398" s="132"/>
      <c r="AA398" s="132"/>
      <c r="AB398" s="132"/>
    </row>
    <row r="399" spans="1:28" s="133" customFormat="1" ht="15" customHeight="1" outlineLevel="1" x14ac:dyDescent="0.2">
      <c r="A399" s="121">
        <v>5</v>
      </c>
      <c r="B399" s="121">
        <v>71846</v>
      </c>
      <c r="C399" s="122">
        <v>41975</v>
      </c>
      <c r="D399" s="123" t="s">
        <v>985</v>
      </c>
      <c r="E399" s="121" t="s">
        <v>423</v>
      </c>
      <c r="F399" s="124" t="s">
        <v>534</v>
      </c>
      <c r="G399" s="125" t="s">
        <v>401</v>
      </c>
      <c r="H399" s="126"/>
      <c r="I399" s="127">
        <v>1</v>
      </c>
      <c r="J399" s="128">
        <v>30429</v>
      </c>
      <c r="K399" s="128">
        <v>30429</v>
      </c>
      <c r="L399" s="188" t="s">
        <v>620</v>
      </c>
      <c r="M399" s="186" t="s">
        <v>408</v>
      </c>
      <c r="N399" s="131"/>
      <c r="O399" s="132"/>
      <c r="P399" s="132"/>
      <c r="Q399" s="132"/>
      <c r="R399" s="132"/>
      <c r="S399" s="132"/>
      <c r="T399" s="132"/>
      <c r="U399" s="132"/>
      <c r="V399" s="132"/>
      <c r="W399" s="132"/>
      <c r="X399" s="132"/>
      <c r="Y399" s="132"/>
      <c r="Z399" s="132"/>
      <c r="AA399" s="132"/>
      <c r="AB399" s="132"/>
    </row>
    <row r="400" spans="1:28" s="133" customFormat="1" ht="15" customHeight="1" outlineLevel="1" x14ac:dyDescent="0.2">
      <c r="A400" s="121">
        <v>6</v>
      </c>
      <c r="B400" s="121">
        <v>71847</v>
      </c>
      <c r="C400" s="122">
        <v>41975</v>
      </c>
      <c r="D400" s="123" t="s">
        <v>986</v>
      </c>
      <c r="E400" s="121" t="s">
        <v>423</v>
      </c>
      <c r="F400" s="124" t="s">
        <v>534</v>
      </c>
      <c r="G400" s="125" t="s">
        <v>428</v>
      </c>
      <c r="H400" s="126"/>
      <c r="I400" s="127">
        <v>1</v>
      </c>
      <c r="J400" s="128">
        <v>30429</v>
      </c>
      <c r="K400" s="128">
        <v>30429</v>
      </c>
      <c r="L400" s="188" t="s">
        <v>620</v>
      </c>
      <c r="M400" s="186" t="s">
        <v>408</v>
      </c>
      <c r="N400" s="131"/>
      <c r="O400" s="132"/>
      <c r="P400" s="132"/>
      <c r="Q400" s="132"/>
      <c r="R400" s="132"/>
      <c r="S400" s="132"/>
      <c r="T400" s="132"/>
      <c r="U400" s="132"/>
      <c r="V400" s="132"/>
      <c r="W400" s="132"/>
      <c r="X400" s="132"/>
      <c r="Y400" s="132"/>
      <c r="Z400" s="132"/>
      <c r="AA400" s="132"/>
      <c r="AB400" s="132"/>
    </row>
    <row r="401" spans="1:28" s="133" customFormat="1" ht="15" customHeight="1" outlineLevel="1" x14ac:dyDescent="0.2">
      <c r="A401" s="121">
        <v>8</v>
      </c>
      <c r="B401" s="121">
        <v>72593</v>
      </c>
      <c r="C401" s="122">
        <v>41976</v>
      </c>
      <c r="D401" s="123" t="s">
        <v>987</v>
      </c>
      <c r="E401" s="121" t="s">
        <v>423</v>
      </c>
      <c r="F401" s="124" t="s">
        <v>534</v>
      </c>
      <c r="G401" s="125" t="s">
        <v>412</v>
      </c>
      <c r="H401" s="126"/>
      <c r="I401" s="127">
        <v>1</v>
      </c>
      <c r="J401" s="128">
        <v>30429</v>
      </c>
      <c r="K401" s="128">
        <v>30429</v>
      </c>
      <c r="L401" s="188" t="s">
        <v>620</v>
      </c>
      <c r="M401" s="186" t="s">
        <v>408</v>
      </c>
      <c r="N401" s="131"/>
      <c r="O401" s="132"/>
      <c r="P401" s="132"/>
      <c r="Q401" s="132"/>
      <c r="R401" s="132"/>
      <c r="S401" s="132"/>
      <c r="T401" s="132"/>
      <c r="U401" s="132"/>
      <c r="V401" s="132"/>
      <c r="W401" s="132"/>
      <c r="X401" s="132"/>
      <c r="Y401" s="132"/>
      <c r="Z401" s="132"/>
      <c r="AA401" s="132"/>
      <c r="AB401" s="132"/>
    </row>
    <row r="402" spans="1:28" s="133" customFormat="1" ht="15" customHeight="1" outlineLevel="1" x14ac:dyDescent="0.2">
      <c r="A402" s="121">
        <v>7</v>
      </c>
      <c r="B402" s="121">
        <v>72609</v>
      </c>
      <c r="C402" s="122">
        <v>41978</v>
      </c>
      <c r="D402" s="123" t="s">
        <v>988</v>
      </c>
      <c r="E402" s="121" t="s">
        <v>423</v>
      </c>
      <c r="F402" s="124" t="s">
        <v>115</v>
      </c>
      <c r="G402" s="125" t="s">
        <v>431</v>
      </c>
      <c r="H402" s="126"/>
      <c r="I402" s="127">
        <v>1</v>
      </c>
      <c r="J402" s="128">
        <v>5274</v>
      </c>
      <c r="K402" s="128">
        <v>5274</v>
      </c>
      <c r="L402" s="188" t="s">
        <v>620</v>
      </c>
      <c r="M402" s="186" t="s">
        <v>408</v>
      </c>
      <c r="N402" s="131"/>
      <c r="O402" s="132"/>
      <c r="P402" s="132"/>
      <c r="Q402" s="132"/>
      <c r="R402" s="132"/>
      <c r="S402" s="132"/>
      <c r="T402" s="132"/>
      <c r="U402" s="132"/>
      <c r="V402" s="132"/>
      <c r="W402" s="132"/>
      <c r="X402" s="132"/>
      <c r="Y402" s="132"/>
      <c r="Z402" s="132"/>
      <c r="AA402" s="132"/>
      <c r="AB402" s="132"/>
    </row>
    <row r="403" spans="1:28" s="133" customFormat="1" ht="15" customHeight="1" outlineLevel="1" x14ac:dyDescent="0.2">
      <c r="A403" s="121">
        <v>9</v>
      </c>
      <c r="B403" s="121">
        <v>72859</v>
      </c>
      <c r="C403" s="122">
        <v>41978</v>
      </c>
      <c r="D403" s="123" t="s">
        <v>989</v>
      </c>
      <c r="E403" s="121" t="s">
        <v>423</v>
      </c>
      <c r="F403" s="124" t="s">
        <v>115</v>
      </c>
      <c r="G403" s="125" t="s">
        <v>565</v>
      </c>
      <c r="H403" s="126"/>
      <c r="I403" s="127">
        <v>1</v>
      </c>
      <c r="J403" s="128">
        <v>5274</v>
      </c>
      <c r="K403" s="128">
        <v>5274</v>
      </c>
      <c r="L403" s="188" t="s">
        <v>620</v>
      </c>
      <c r="M403" s="186" t="s">
        <v>408</v>
      </c>
      <c r="N403" s="131"/>
      <c r="O403" s="132"/>
      <c r="P403" s="132"/>
      <c r="Q403" s="132"/>
      <c r="R403" s="132"/>
      <c r="S403" s="132"/>
      <c r="T403" s="132"/>
      <c r="U403" s="132"/>
      <c r="V403" s="132"/>
      <c r="W403" s="132"/>
      <c r="X403" s="132"/>
      <c r="Y403" s="132"/>
      <c r="Z403" s="132"/>
      <c r="AA403" s="132"/>
      <c r="AB403" s="132"/>
    </row>
    <row r="404" spans="1:28" s="133" customFormat="1" ht="15" customHeight="1" outlineLevel="1" x14ac:dyDescent="0.2">
      <c r="A404" s="121">
        <v>14</v>
      </c>
      <c r="B404" s="121">
        <v>73178</v>
      </c>
      <c r="C404" s="122">
        <v>41978</v>
      </c>
      <c r="D404" s="123" t="s">
        <v>990</v>
      </c>
      <c r="E404" s="121" t="s">
        <v>423</v>
      </c>
      <c r="F404" s="124" t="s">
        <v>115</v>
      </c>
      <c r="G404" s="125" t="s">
        <v>991</v>
      </c>
      <c r="H404" s="126"/>
      <c r="I404" s="127">
        <v>4</v>
      </c>
      <c r="J404" s="128">
        <v>5274</v>
      </c>
      <c r="K404" s="128">
        <v>21096</v>
      </c>
      <c r="L404" s="188" t="s">
        <v>620</v>
      </c>
      <c r="M404" s="186" t="s">
        <v>408</v>
      </c>
      <c r="N404" s="131"/>
      <c r="O404" s="132"/>
      <c r="P404" s="132"/>
      <c r="Q404" s="132"/>
      <c r="R404" s="132"/>
      <c r="S404" s="132"/>
      <c r="T404" s="132"/>
      <c r="U404" s="132"/>
      <c r="V404" s="132"/>
      <c r="W404" s="132"/>
      <c r="X404" s="132"/>
      <c r="Y404" s="132"/>
      <c r="Z404" s="132"/>
      <c r="AA404" s="132"/>
      <c r="AB404" s="132"/>
    </row>
    <row r="405" spans="1:28" s="133" customFormat="1" ht="15" customHeight="1" outlineLevel="1" x14ac:dyDescent="0.2">
      <c r="A405" s="121">
        <v>13</v>
      </c>
      <c r="B405" s="121">
        <v>74226</v>
      </c>
      <c r="C405" s="122">
        <v>41983</v>
      </c>
      <c r="D405" s="123" t="s">
        <v>432</v>
      </c>
      <c r="E405" s="121" t="s">
        <v>423</v>
      </c>
      <c r="F405" s="124" t="s">
        <v>208</v>
      </c>
      <c r="G405" s="125" t="s">
        <v>414</v>
      </c>
      <c r="H405" s="126"/>
      <c r="I405" s="127">
        <v>1</v>
      </c>
      <c r="J405" s="128">
        <v>14099</v>
      </c>
      <c r="K405" s="128">
        <v>14099</v>
      </c>
      <c r="L405" s="188" t="s">
        <v>620</v>
      </c>
      <c r="M405" s="186" t="s">
        <v>408</v>
      </c>
      <c r="N405" s="131"/>
      <c r="O405" s="132"/>
      <c r="P405" s="132"/>
      <c r="Q405" s="132"/>
      <c r="R405" s="132"/>
      <c r="S405" s="132"/>
      <c r="T405" s="132"/>
      <c r="U405" s="132"/>
      <c r="V405" s="132"/>
      <c r="W405" s="132"/>
      <c r="X405" s="132"/>
      <c r="Y405" s="132"/>
      <c r="Z405" s="132"/>
      <c r="AA405" s="132"/>
      <c r="AB405" s="132"/>
    </row>
    <row r="406" spans="1:28" s="133" customFormat="1" ht="15" customHeight="1" outlineLevel="1" x14ac:dyDescent="0.2">
      <c r="A406" s="121">
        <v>12</v>
      </c>
      <c r="B406" s="121">
        <v>74576</v>
      </c>
      <c r="C406" s="122">
        <v>41983</v>
      </c>
      <c r="D406" s="123" t="s">
        <v>992</v>
      </c>
      <c r="E406" s="121" t="s">
        <v>993</v>
      </c>
      <c r="F406" s="124" t="s">
        <v>115</v>
      </c>
      <c r="G406" s="125" t="s">
        <v>389</v>
      </c>
      <c r="H406" s="126"/>
      <c r="I406" s="127">
        <v>1</v>
      </c>
      <c r="J406" s="128">
        <v>5274</v>
      </c>
      <c r="K406" s="128">
        <v>5274</v>
      </c>
      <c r="L406" s="188" t="s">
        <v>620</v>
      </c>
      <c r="M406" s="186" t="s">
        <v>408</v>
      </c>
      <c r="N406" s="131"/>
      <c r="O406" s="132"/>
      <c r="P406" s="132"/>
      <c r="Q406" s="132"/>
      <c r="R406" s="132"/>
      <c r="S406" s="132"/>
      <c r="T406" s="132"/>
      <c r="U406" s="132"/>
      <c r="V406" s="132"/>
      <c r="W406" s="132"/>
      <c r="X406" s="132"/>
      <c r="Y406" s="132"/>
      <c r="Z406" s="132"/>
      <c r="AA406" s="132"/>
      <c r="AB406" s="132"/>
    </row>
    <row r="407" spans="1:28" s="133" customFormat="1" ht="15" customHeight="1" outlineLevel="1" x14ac:dyDescent="0.2">
      <c r="A407" s="121">
        <v>11</v>
      </c>
      <c r="B407" s="121">
        <v>74886</v>
      </c>
      <c r="C407" s="122">
        <v>41985</v>
      </c>
      <c r="D407" s="123" t="s">
        <v>994</v>
      </c>
      <c r="E407" s="121" t="s">
        <v>423</v>
      </c>
      <c r="F407" s="124" t="s">
        <v>534</v>
      </c>
      <c r="G407" s="125" t="s">
        <v>428</v>
      </c>
      <c r="H407" s="126"/>
      <c r="I407" s="127">
        <v>1</v>
      </c>
      <c r="J407" s="128">
        <v>30429</v>
      </c>
      <c r="K407" s="128">
        <v>30429</v>
      </c>
      <c r="L407" s="188" t="s">
        <v>620</v>
      </c>
      <c r="M407" s="186" t="s">
        <v>408</v>
      </c>
      <c r="N407" s="131"/>
      <c r="O407" s="132"/>
      <c r="P407" s="132"/>
      <c r="Q407" s="132"/>
      <c r="R407" s="132"/>
      <c r="S407" s="132"/>
      <c r="T407" s="132"/>
      <c r="U407" s="132"/>
      <c r="V407" s="132"/>
      <c r="W407" s="132"/>
      <c r="X407" s="132"/>
      <c r="Y407" s="132"/>
      <c r="Z407" s="132"/>
      <c r="AA407" s="132"/>
      <c r="AB407" s="132"/>
    </row>
    <row r="408" spans="1:28" s="133" customFormat="1" ht="15" customHeight="1" outlineLevel="1" x14ac:dyDescent="0.2">
      <c r="A408" s="121">
        <v>19</v>
      </c>
      <c r="B408" s="121">
        <v>80215</v>
      </c>
      <c r="C408" s="122">
        <v>41988</v>
      </c>
      <c r="D408" s="123" t="s">
        <v>995</v>
      </c>
      <c r="E408" s="121" t="s">
        <v>996</v>
      </c>
      <c r="F408" s="199" t="s">
        <v>171</v>
      </c>
      <c r="G408" s="125" t="s">
        <v>368</v>
      </c>
      <c r="H408" s="126"/>
      <c r="I408" s="127">
        <v>1</v>
      </c>
      <c r="J408" s="128">
        <v>18764</v>
      </c>
      <c r="K408" s="128">
        <v>18764</v>
      </c>
      <c r="L408" s="188" t="s">
        <v>620</v>
      </c>
      <c r="M408" s="186" t="s">
        <v>408</v>
      </c>
      <c r="N408" s="131"/>
      <c r="O408" s="132"/>
      <c r="P408" s="132"/>
      <c r="Q408" s="132"/>
      <c r="R408" s="132"/>
      <c r="S408" s="132"/>
      <c r="T408" s="132"/>
      <c r="U408" s="132"/>
      <c r="V408" s="132"/>
      <c r="W408" s="132"/>
      <c r="X408" s="132"/>
      <c r="Y408" s="132"/>
      <c r="Z408" s="132"/>
      <c r="AA408" s="132"/>
      <c r="AB408" s="132"/>
    </row>
    <row r="409" spans="1:28" s="133" customFormat="1" ht="15" customHeight="1" outlineLevel="1" x14ac:dyDescent="0.2">
      <c r="A409" s="121">
        <v>16</v>
      </c>
      <c r="B409" s="121">
        <v>80236</v>
      </c>
      <c r="C409" s="122">
        <v>41989</v>
      </c>
      <c r="D409" s="123" t="s">
        <v>997</v>
      </c>
      <c r="E409" s="121" t="s">
        <v>423</v>
      </c>
      <c r="F409" s="124" t="s">
        <v>215</v>
      </c>
      <c r="G409" s="125" t="s">
        <v>368</v>
      </c>
      <c r="H409" s="126"/>
      <c r="I409" s="127">
        <v>1</v>
      </c>
      <c r="J409" s="128">
        <v>44597</v>
      </c>
      <c r="K409" s="128">
        <v>44597</v>
      </c>
      <c r="L409" s="188" t="s">
        <v>620</v>
      </c>
      <c r="M409" s="186" t="s">
        <v>408</v>
      </c>
      <c r="N409" s="131"/>
      <c r="O409" s="132"/>
      <c r="P409" s="132"/>
      <c r="Q409" s="132"/>
      <c r="R409" s="132"/>
      <c r="S409" s="132"/>
      <c r="T409" s="132"/>
      <c r="U409" s="132"/>
      <c r="V409" s="132"/>
      <c r="W409" s="132"/>
      <c r="X409" s="132"/>
      <c r="Y409" s="132"/>
      <c r="Z409" s="132"/>
      <c r="AA409" s="132"/>
      <c r="AB409" s="132"/>
    </row>
    <row r="410" spans="1:28" s="133" customFormat="1" ht="15" customHeight="1" outlineLevel="1" x14ac:dyDescent="0.2">
      <c r="A410" s="121">
        <v>15</v>
      </c>
      <c r="B410" s="121">
        <v>80359</v>
      </c>
      <c r="C410" s="122">
        <v>41991</v>
      </c>
      <c r="D410" s="123" t="s">
        <v>998</v>
      </c>
      <c r="E410" s="121" t="s">
        <v>423</v>
      </c>
      <c r="F410" s="124" t="s">
        <v>534</v>
      </c>
      <c r="G410" s="125" t="s">
        <v>469</v>
      </c>
      <c r="H410" s="126"/>
      <c r="I410" s="127">
        <v>1</v>
      </c>
      <c r="J410" s="128">
        <v>30429</v>
      </c>
      <c r="K410" s="128">
        <v>30429</v>
      </c>
      <c r="L410" s="188" t="s">
        <v>620</v>
      </c>
      <c r="M410" s="186" t="s">
        <v>408</v>
      </c>
      <c r="N410" s="131"/>
      <c r="O410" s="132"/>
      <c r="P410" s="132"/>
      <c r="Q410" s="132"/>
      <c r="R410" s="132"/>
      <c r="S410" s="132"/>
      <c r="T410" s="132"/>
      <c r="U410" s="132"/>
      <c r="V410" s="132"/>
      <c r="W410" s="132"/>
      <c r="X410" s="132"/>
      <c r="Y410" s="132"/>
      <c r="Z410" s="132"/>
      <c r="AA410" s="132"/>
      <c r="AB410" s="132"/>
    </row>
    <row r="411" spans="1:28" s="133" customFormat="1" ht="15" customHeight="1" outlineLevel="1" x14ac:dyDescent="0.2">
      <c r="A411" s="121">
        <v>18</v>
      </c>
      <c r="B411" s="121">
        <v>80518</v>
      </c>
      <c r="C411" s="122">
        <v>41991</v>
      </c>
      <c r="D411" s="123" t="s">
        <v>973</v>
      </c>
      <c r="E411" s="121" t="s">
        <v>423</v>
      </c>
      <c r="F411" s="124" t="s">
        <v>114</v>
      </c>
      <c r="G411" s="125" t="s">
        <v>469</v>
      </c>
      <c r="H411" s="126"/>
      <c r="I411" s="127">
        <v>1</v>
      </c>
      <c r="J411" s="128">
        <v>33370</v>
      </c>
      <c r="K411" s="128">
        <v>33370</v>
      </c>
      <c r="L411" s="188" t="s">
        <v>620</v>
      </c>
      <c r="M411" s="186" t="s">
        <v>408</v>
      </c>
      <c r="N411" s="131"/>
      <c r="O411" s="132"/>
      <c r="P411" s="132"/>
      <c r="Q411" s="132"/>
      <c r="R411" s="132"/>
      <c r="S411" s="132"/>
      <c r="T411" s="132"/>
      <c r="U411" s="132"/>
      <c r="V411" s="132"/>
      <c r="W411" s="132"/>
      <c r="X411" s="132"/>
      <c r="Y411" s="132"/>
      <c r="Z411" s="132"/>
      <c r="AA411" s="132"/>
      <c r="AB411" s="132"/>
    </row>
    <row r="412" spans="1:28" s="133" customFormat="1" ht="15" customHeight="1" outlineLevel="1" x14ac:dyDescent="0.2">
      <c r="A412" s="121">
        <v>21</v>
      </c>
      <c r="B412" s="121">
        <v>81691</v>
      </c>
      <c r="C412" s="122">
        <v>41991</v>
      </c>
      <c r="D412" s="123" t="s">
        <v>999</v>
      </c>
      <c r="E412" s="121" t="s">
        <v>423</v>
      </c>
      <c r="F412" s="124" t="s">
        <v>221</v>
      </c>
      <c r="G412" s="125" t="s">
        <v>368</v>
      </c>
      <c r="H412" s="126"/>
      <c r="I412" s="127">
        <v>1</v>
      </c>
      <c r="J412" s="128">
        <v>40572</v>
      </c>
      <c r="K412" s="128">
        <v>40572</v>
      </c>
      <c r="L412" s="188" t="s">
        <v>620</v>
      </c>
      <c r="M412" s="186" t="s">
        <v>408</v>
      </c>
      <c r="N412" s="131"/>
      <c r="O412" s="132"/>
      <c r="P412" s="132"/>
      <c r="Q412" s="132"/>
      <c r="R412" s="132"/>
      <c r="S412" s="132"/>
      <c r="T412" s="132"/>
      <c r="U412" s="132"/>
      <c r="V412" s="132"/>
      <c r="W412" s="132"/>
      <c r="X412" s="132"/>
      <c r="Y412" s="132"/>
      <c r="Z412" s="132"/>
      <c r="AA412" s="132"/>
      <c r="AB412" s="132"/>
    </row>
    <row r="413" spans="1:28" s="133" customFormat="1" ht="15" customHeight="1" outlineLevel="1" x14ac:dyDescent="0.2">
      <c r="A413" s="121">
        <v>20</v>
      </c>
      <c r="B413" s="121">
        <v>82778</v>
      </c>
      <c r="C413" s="122">
        <v>42003</v>
      </c>
      <c r="D413" s="123" t="s">
        <v>1000</v>
      </c>
      <c r="E413" s="121" t="s">
        <v>423</v>
      </c>
      <c r="F413" s="124" t="s">
        <v>115</v>
      </c>
      <c r="G413" s="125" t="s">
        <v>1001</v>
      </c>
      <c r="H413" s="126"/>
      <c r="I413" s="127">
        <v>4</v>
      </c>
      <c r="J413" s="128">
        <v>5274</v>
      </c>
      <c r="K413" s="128">
        <v>21096</v>
      </c>
      <c r="L413" s="188" t="s">
        <v>620</v>
      </c>
      <c r="M413" s="186" t="s">
        <v>408</v>
      </c>
      <c r="N413" s="131"/>
      <c r="O413" s="132"/>
      <c r="P413" s="132"/>
      <c r="Q413" s="132"/>
      <c r="R413" s="132"/>
      <c r="S413" s="132"/>
      <c r="T413" s="132"/>
      <c r="U413" s="132"/>
      <c r="V413" s="132"/>
      <c r="W413" s="132"/>
      <c r="X413" s="132"/>
      <c r="Y413" s="132"/>
      <c r="Z413" s="132"/>
      <c r="AA413" s="132"/>
      <c r="AB413" s="132"/>
    </row>
    <row r="414" spans="1:28" s="133" customFormat="1" ht="15" customHeight="1" outlineLevel="1" x14ac:dyDescent="0.2">
      <c r="A414" s="121">
        <v>22</v>
      </c>
      <c r="B414" s="121">
        <v>83243</v>
      </c>
      <c r="C414" s="122">
        <v>42003</v>
      </c>
      <c r="D414" s="123" t="s">
        <v>1002</v>
      </c>
      <c r="E414" s="121" t="s">
        <v>423</v>
      </c>
      <c r="F414" s="124" t="s">
        <v>534</v>
      </c>
      <c r="G414" s="125" t="s">
        <v>524</v>
      </c>
      <c r="H414" s="126"/>
      <c r="I414" s="127">
        <v>1</v>
      </c>
      <c r="J414" s="128">
        <v>30429</v>
      </c>
      <c r="K414" s="128">
        <v>30429</v>
      </c>
      <c r="L414" s="188" t="s">
        <v>620</v>
      </c>
      <c r="M414" s="186" t="s">
        <v>408</v>
      </c>
      <c r="N414" s="131"/>
      <c r="O414" s="132"/>
      <c r="P414" s="132"/>
      <c r="Q414" s="132"/>
      <c r="R414" s="132"/>
      <c r="S414" s="132"/>
      <c r="T414" s="132"/>
      <c r="U414" s="132"/>
      <c r="V414" s="132"/>
      <c r="W414" s="132"/>
      <c r="X414" s="132"/>
      <c r="Y414" s="132"/>
      <c r="Z414" s="132"/>
      <c r="AA414" s="132"/>
      <c r="AB414" s="132"/>
    </row>
    <row r="415" spans="1:28" s="133" customFormat="1" ht="15" customHeight="1" outlineLevel="1" x14ac:dyDescent="0.2">
      <c r="A415" s="121">
        <v>27</v>
      </c>
      <c r="B415" s="121">
        <v>83259</v>
      </c>
      <c r="C415" s="122">
        <v>41996</v>
      </c>
      <c r="D415" s="123" t="s">
        <v>1003</v>
      </c>
      <c r="E415" s="121" t="s">
        <v>996</v>
      </c>
      <c r="F415" s="124" t="s">
        <v>1004</v>
      </c>
      <c r="G415" s="125" t="s">
        <v>366</v>
      </c>
      <c r="H415" s="126"/>
      <c r="I415" s="127">
        <v>1</v>
      </c>
      <c r="J415" s="128">
        <v>34587</v>
      </c>
      <c r="K415" s="128">
        <v>34587</v>
      </c>
      <c r="L415" s="188" t="s">
        <v>620</v>
      </c>
      <c r="M415" s="186" t="s">
        <v>408</v>
      </c>
      <c r="N415" s="131"/>
      <c r="O415" s="132"/>
      <c r="P415" s="132"/>
      <c r="Q415" s="132"/>
      <c r="R415" s="132"/>
      <c r="S415" s="132"/>
      <c r="T415" s="132"/>
      <c r="U415" s="132"/>
      <c r="V415" s="132"/>
      <c r="W415" s="132"/>
      <c r="X415" s="132"/>
      <c r="Y415" s="132"/>
      <c r="Z415" s="132"/>
      <c r="AA415" s="132"/>
      <c r="AB415" s="132"/>
    </row>
    <row r="416" spans="1:28" s="133" customFormat="1" ht="15" customHeight="1" outlineLevel="1" x14ac:dyDescent="0.2">
      <c r="A416" s="121">
        <v>23</v>
      </c>
      <c r="B416" s="121">
        <v>83630</v>
      </c>
      <c r="C416" s="122">
        <v>41696</v>
      </c>
      <c r="D416" s="123" t="s">
        <v>974</v>
      </c>
      <c r="E416" s="121" t="s">
        <v>423</v>
      </c>
      <c r="F416" s="124" t="s">
        <v>534</v>
      </c>
      <c r="G416" s="125" t="s">
        <v>524</v>
      </c>
      <c r="H416" s="126"/>
      <c r="I416" s="127">
        <v>1</v>
      </c>
      <c r="J416" s="128">
        <v>30429</v>
      </c>
      <c r="K416" s="128">
        <v>30429</v>
      </c>
      <c r="L416" s="188" t="s">
        <v>620</v>
      </c>
      <c r="M416" s="186" t="s">
        <v>408</v>
      </c>
      <c r="N416" s="131"/>
      <c r="O416" s="132"/>
      <c r="P416" s="132"/>
      <c r="Q416" s="132"/>
      <c r="R416" s="132"/>
      <c r="S416" s="132"/>
      <c r="T416" s="132"/>
      <c r="U416" s="132"/>
      <c r="V416" s="132"/>
      <c r="W416" s="132"/>
      <c r="X416" s="132"/>
      <c r="Y416" s="132"/>
      <c r="Z416" s="132"/>
      <c r="AA416" s="132"/>
      <c r="AB416" s="132"/>
    </row>
    <row r="417" spans="1:28" s="133" customFormat="1" ht="15" customHeight="1" outlineLevel="1" x14ac:dyDescent="0.2">
      <c r="A417" s="121">
        <v>24</v>
      </c>
      <c r="B417" s="121">
        <v>83641</v>
      </c>
      <c r="C417" s="122">
        <v>41999</v>
      </c>
      <c r="D417" s="123" t="s">
        <v>1005</v>
      </c>
      <c r="E417" s="121" t="s">
        <v>423</v>
      </c>
      <c r="F417" s="124" t="s">
        <v>534</v>
      </c>
      <c r="G417" s="125" t="s">
        <v>524</v>
      </c>
      <c r="H417" s="126"/>
      <c r="I417" s="127">
        <v>1</v>
      </c>
      <c r="J417" s="128">
        <v>30429</v>
      </c>
      <c r="K417" s="128">
        <v>30429</v>
      </c>
      <c r="L417" s="188" t="s">
        <v>620</v>
      </c>
      <c r="M417" s="186" t="s">
        <v>408</v>
      </c>
      <c r="N417" s="131"/>
      <c r="O417" s="132"/>
      <c r="P417" s="132"/>
      <c r="Q417" s="132"/>
      <c r="R417" s="132"/>
      <c r="S417" s="132"/>
      <c r="T417" s="132"/>
      <c r="U417" s="132"/>
      <c r="V417" s="132"/>
      <c r="W417" s="132"/>
      <c r="X417" s="132"/>
      <c r="Y417" s="132"/>
      <c r="Z417" s="132"/>
      <c r="AA417" s="132"/>
      <c r="AB417" s="132"/>
    </row>
    <row r="418" spans="1:28" s="133" customFormat="1" ht="15" customHeight="1" outlineLevel="1" x14ac:dyDescent="0.2">
      <c r="A418" s="121">
        <v>26</v>
      </c>
      <c r="B418" s="121">
        <v>84283</v>
      </c>
      <c r="C418" s="122">
        <v>42002</v>
      </c>
      <c r="D418" s="123" t="s">
        <v>1006</v>
      </c>
      <c r="E418" s="121" t="s">
        <v>993</v>
      </c>
      <c r="F418" s="124" t="s">
        <v>115</v>
      </c>
      <c r="G418" s="125" t="s">
        <v>407</v>
      </c>
      <c r="H418" s="126"/>
      <c r="I418" s="127">
        <v>1</v>
      </c>
      <c r="J418" s="128">
        <v>5274</v>
      </c>
      <c r="K418" s="128">
        <v>5274</v>
      </c>
      <c r="L418" s="188" t="s">
        <v>620</v>
      </c>
      <c r="M418" s="186" t="s">
        <v>408</v>
      </c>
      <c r="N418" s="131"/>
      <c r="O418" s="132"/>
      <c r="P418" s="132"/>
      <c r="Q418" s="132"/>
      <c r="R418" s="132"/>
      <c r="S418" s="132"/>
      <c r="T418" s="132"/>
      <c r="U418" s="132"/>
      <c r="V418" s="132"/>
      <c r="W418" s="132"/>
      <c r="X418" s="132"/>
      <c r="Y418" s="132"/>
      <c r="Z418" s="132"/>
      <c r="AA418" s="132"/>
      <c r="AB418" s="132"/>
    </row>
    <row r="419" spans="1:28" s="133" customFormat="1" ht="15" customHeight="1" outlineLevel="1" x14ac:dyDescent="0.2">
      <c r="A419" s="121">
        <v>25</v>
      </c>
      <c r="B419" s="121">
        <v>84606</v>
      </c>
      <c r="C419" s="122">
        <v>42003</v>
      </c>
      <c r="D419" s="123" t="s">
        <v>1007</v>
      </c>
      <c r="E419" s="121" t="s">
        <v>423</v>
      </c>
      <c r="F419" s="124" t="s">
        <v>208</v>
      </c>
      <c r="G419" s="125" t="s">
        <v>404</v>
      </c>
      <c r="H419" s="126"/>
      <c r="I419" s="127">
        <v>1</v>
      </c>
      <c r="J419" s="128">
        <v>14099</v>
      </c>
      <c r="K419" s="128">
        <v>14099</v>
      </c>
      <c r="L419" s="188" t="s">
        <v>620</v>
      </c>
      <c r="M419" s="186" t="s">
        <v>408</v>
      </c>
      <c r="N419" s="131"/>
      <c r="O419" s="132"/>
      <c r="P419" s="132"/>
      <c r="Q419" s="132"/>
      <c r="R419" s="132"/>
      <c r="S419" s="132"/>
      <c r="T419" s="132"/>
      <c r="U419" s="132"/>
      <c r="V419" s="132"/>
      <c r="W419" s="132"/>
      <c r="X419" s="132"/>
      <c r="Y419" s="132"/>
      <c r="Z419" s="132"/>
      <c r="AA419" s="132"/>
      <c r="AB419" s="132"/>
    </row>
    <row r="420" spans="1:28" s="133" customFormat="1" ht="15" customHeight="1" outlineLevel="1" x14ac:dyDescent="0.2">
      <c r="A420" s="121">
        <v>28</v>
      </c>
      <c r="B420" s="121">
        <v>84782</v>
      </c>
      <c r="C420" s="122">
        <v>42003</v>
      </c>
      <c r="D420" s="123" t="s">
        <v>467</v>
      </c>
      <c r="E420" s="121" t="s">
        <v>423</v>
      </c>
      <c r="F420" s="124" t="s">
        <v>1008</v>
      </c>
      <c r="G420" s="125" t="s">
        <v>384</v>
      </c>
      <c r="H420" s="126"/>
      <c r="I420" s="127">
        <v>2</v>
      </c>
      <c r="J420" s="128">
        <v>9129</v>
      </c>
      <c r="K420" s="128">
        <v>18258</v>
      </c>
      <c r="L420" s="188" t="s">
        <v>620</v>
      </c>
      <c r="M420" s="186" t="s">
        <v>408</v>
      </c>
      <c r="N420" s="131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  <c r="Y420" s="132"/>
      <c r="Z420" s="132"/>
      <c r="AA420" s="132"/>
      <c r="AB420" s="132"/>
    </row>
    <row r="421" spans="1:28" s="133" customFormat="1" ht="15" customHeight="1" outlineLevel="1" x14ac:dyDescent="0.2">
      <c r="A421" s="121">
        <v>29</v>
      </c>
      <c r="B421" s="121">
        <v>84804</v>
      </c>
      <c r="C421" s="122">
        <v>42003</v>
      </c>
      <c r="D421" s="123" t="s">
        <v>1009</v>
      </c>
      <c r="E421" s="121" t="s">
        <v>423</v>
      </c>
      <c r="F421" s="124" t="s">
        <v>534</v>
      </c>
      <c r="G421" s="125" t="s">
        <v>412</v>
      </c>
      <c r="H421" s="126"/>
      <c r="I421" s="127">
        <v>1</v>
      </c>
      <c r="J421" s="128">
        <v>30429</v>
      </c>
      <c r="K421" s="128">
        <v>30429</v>
      </c>
      <c r="L421" s="188" t="s">
        <v>620</v>
      </c>
      <c r="M421" s="186" t="s">
        <v>408</v>
      </c>
      <c r="N421" s="131"/>
      <c r="O421" s="132"/>
      <c r="P421" s="132"/>
      <c r="Q421" s="132"/>
      <c r="R421" s="132"/>
      <c r="S421" s="132"/>
      <c r="T421" s="132"/>
      <c r="U421" s="132"/>
      <c r="V421" s="132"/>
      <c r="W421" s="132"/>
      <c r="X421" s="132"/>
      <c r="Y421" s="132"/>
      <c r="Z421" s="132"/>
      <c r="AA421" s="132"/>
      <c r="AB421" s="132"/>
    </row>
    <row r="422" spans="1:28" s="133" customFormat="1" ht="15" customHeight="1" outlineLevel="1" x14ac:dyDescent="0.2">
      <c r="A422" s="121">
        <v>2</v>
      </c>
      <c r="B422" s="121">
        <v>85685</v>
      </c>
      <c r="C422" s="122">
        <v>41641</v>
      </c>
      <c r="D422" s="123" t="s">
        <v>1010</v>
      </c>
      <c r="E422" s="121" t="s">
        <v>1011</v>
      </c>
      <c r="F422" s="124" t="s">
        <v>843</v>
      </c>
      <c r="G422" s="125" t="s">
        <v>368</v>
      </c>
      <c r="H422" s="126"/>
      <c r="I422" s="127">
        <v>1</v>
      </c>
      <c r="J422" s="128">
        <v>334719</v>
      </c>
      <c r="K422" s="676" t="s">
        <v>1012</v>
      </c>
      <c r="L422" s="200" t="s">
        <v>552</v>
      </c>
      <c r="M422" s="186" t="s">
        <v>34</v>
      </c>
      <c r="N422" s="131"/>
      <c r="O422" s="132"/>
      <c r="P422" s="132"/>
      <c r="Q422" s="132"/>
      <c r="R422" s="132"/>
      <c r="S422" s="132"/>
      <c r="T422" s="132"/>
      <c r="U422" s="132"/>
      <c r="V422" s="132"/>
      <c r="W422" s="132"/>
      <c r="X422" s="132"/>
      <c r="Y422" s="132"/>
      <c r="Z422" s="132"/>
      <c r="AA422" s="132"/>
      <c r="AB422" s="132"/>
    </row>
    <row r="423" spans="1:28" s="133" customFormat="1" ht="15" customHeight="1" outlineLevel="1" x14ac:dyDescent="0.2">
      <c r="A423" s="121">
        <v>3</v>
      </c>
      <c r="B423" s="121">
        <v>80316</v>
      </c>
      <c r="C423" s="122">
        <v>41985</v>
      </c>
      <c r="D423" s="123" t="s">
        <v>1010</v>
      </c>
      <c r="E423" s="121" t="s">
        <v>1011</v>
      </c>
      <c r="F423" s="124" t="s">
        <v>834</v>
      </c>
      <c r="G423" s="125" t="s">
        <v>368</v>
      </c>
      <c r="H423" s="126"/>
      <c r="I423" s="127">
        <v>1</v>
      </c>
      <c r="J423" s="128">
        <v>110520</v>
      </c>
      <c r="K423" s="677"/>
      <c r="L423" s="200" t="s">
        <v>552</v>
      </c>
      <c r="M423" s="186" t="s">
        <v>34</v>
      </c>
      <c r="N423" s="131"/>
      <c r="O423" s="132"/>
      <c r="P423" s="132"/>
      <c r="Q423" s="132"/>
      <c r="R423" s="132"/>
      <c r="S423" s="132"/>
      <c r="T423" s="132"/>
      <c r="U423" s="132"/>
      <c r="V423" s="132"/>
      <c r="W423" s="132"/>
      <c r="X423" s="132"/>
      <c r="Y423" s="132"/>
      <c r="Z423" s="132"/>
      <c r="AA423" s="132"/>
      <c r="AB423" s="132"/>
    </row>
    <row r="424" spans="1:28" s="133" customFormat="1" ht="15" customHeight="1" outlineLevel="1" x14ac:dyDescent="0.2">
      <c r="A424" s="165">
        <v>5</v>
      </c>
      <c r="B424" s="121">
        <v>91174</v>
      </c>
      <c r="C424" s="122">
        <v>41663</v>
      </c>
      <c r="D424" s="123" t="s">
        <v>1013</v>
      </c>
      <c r="E424" s="121" t="s">
        <v>488</v>
      </c>
      <c r="F424" s="124" t="s">
        <v>190</v>
      </c>
      <c r="G424" s="125" t="s">
        <v>442</v>
      </c>
      <c r="H424" s="126" t="s">
        <v>1014</v>
      </c>
      <c r="I424" s="127">
        <v>1</v>
      </c>
      <c r="J424" s="128">
        <v>57960</v>
      </c>
      <c r="K424" s="128" t="s">
        <v>1015</v>
      </c>
      <c r="L424" s="200" t="s">
        <v>552</v>
      </c>
      <c r="M424" s="186" t="s">
        <v>34</v>
      </c>
      <c r="N424" s="131"/>
      <c r="O424" s="132"/>
      <c r="P424" s="132"/>
      <c r="Q424" s="132"/>
      <c r="R424" s="132"/>
      <c r="S424" s="132"/>
      <c r="T424" s="132"/>
      <c r="U424" s="132"/>
      <c r="V424" s="132"/>
      <c r="W424" s="132"/>
      <c r="X424" s="132"/>
      <c r="Y424" s="132"/>
      <c r="Z424" s="132"/>
      <c r="AA424" s="132"/>
      <c r="AB424" s="132"/>
    </row>
    <row r="425" spans="1:28" s="144" customFormat="1" ht="15" customHeight="1" outlineLevel="1" x14ac:dyDescent="0.2">
      <c r="A425" s="134">
        <v>1</v>
      </c>
      <c r="B425" s="134">
        <v>96744</v>
      </c>
      <c r="C425" s="135">
        <v>41689</v>
      </c>
      <c r="D425" s="136" t="s">
        <v>1016</v>
      </c>
      <c r="E425" s="134" t="s">
        <v>1017</v>
      </c>
      <c r="F425" s="137" t="s">
        <v>577</v>
      </c>
      <c r="G425" s="138" t="s">
        <v>368</v>
      </c>
      <c r="H425" s="139"/>
      <c r="I425" s="140">
        <v>1</v>
      </c>
      <c r="J425" s="141">
        <v>25800</v>
      </c>
      <c r="K425" s="141">
        <v>25800</v>
      </c>
      <c r="L425" s="643" t="s">
        <v>555</v>
      </c>
      <c r="M425" s="167" t="s">
        <v>34</v>
      </c>
      <c r="N425" s="142"/>
      <c r="O425" s="143"/>
      <c r="P425" s="143"/>
      <c r="Q425" s="143"/>
      <c r="R425" s="143"/>
      <c r="S425" s="143"/>
      <c r="T425" s="143"/>
      <c r="U425" s="143"/>
      <c r="V425" s="143"/>
      <c r="W425" s="143"/>
      <c r="X425" s="143"/>
      <c r="Y425" s="143"/>
      <c r="Z425" s="143"/>
      <c r="AA425" s="143"/>
      <c r="AB425" s="143"/>
    </row>
    <row r="426" spans="1:28" s="144" customFormat="1" ht="15" customHeight="1" outlineLevel="1" x14ac:dyDescent="0.2">
      <c r="A426" s="134">
        <v>2</v>
      </c>
      <c r="B426" s="134">
        <v>95899</v>
      </c>
      <c r="C426" s="135">
        <v>41687</v>
      </c>
      <c r="D426" s="136" t="s">
        <v>1018</v>
      </c>
      <c r="E426" s="134" t="s">
        <v>1011</v>
      </c>
      <c r="F426" s="137" t="s">
        <v>115</v>
      </c>
      <c r="G426" s="138" t="s">
        <v>401</v>
      </c>
      <c r="H426" s="139" t="s">
        <v>486</v>
      </c>
      <c r="I426" s="140">
        <v>1</v>
      </c>
      <c r="J426" s="141">
        <v>5274</v>
      </c>
      <c r="K426" s="141">
        <v>5274</v>
      </c>
      <c r="L426" s="644"/>
      <c r="M426" s="167" t="s">
        <v>34</v>
      </c>
      <c r="N426" s="142"/>
      <c r="O426" s="143"/>
      <c r="P426" s="143"/>
      <c r="Q426" s="143"/>
      <c r="R426" s="143"/>
      <c r="S426" s="143"/>
      <c r="T426" s="143"/>
      <c r="U426" s="143"/>
      <c r="V426" s="143"/>
      <c r="W426" s="143"/>
      <c r="X426" s="143"/>
      <c r="Y426" s="143"/>
      <c r="Z426" s="143"/>
      <c r="AA426" s="143"/>
      <c r="AB426" s="143"/>
    </row>
    <row r="427" spans="1:28" s="144" customFormat="1" ht="15" customHeight="1" outlineLevel="1" x14ac:dyDescent="0.2">
      <c r="A427" s="134">
        <v>3</v>
      </c>
      <c r="B427" s="134">
        <v>95758</v>
      </c>
      <c r="C427" s="135">
        <v>41682</v>
      </c>
      <c r="D427" s="136" t="s">
        <v>1019</v>
      </c>
      <c r="E427" s="134" t="s">
        <v>596</v>
      </c>
      <c r="F427" s="137" t="s">
        <v>115</v>
      </c>
      <c r="G427" s="138" t="s">
        <v>1020</v>
      </c>
      <c r="H427" s="139"/>
      <c r="I427" s="140">
        <v>3</v>
      </c>
      <c r="J427" s="141">
        <v>5274</v>
      </c>
      <c r="K427" s="141">
        <v>15822</v>
      </c>
      <c r="L427" s="644"/>
      <c r="M427" s="167" t="s">
        <v>34</v>
      </c>
      <c r="N427" s="142"/>
      <c r="O427" s="143"/>
      <c r="P427" s="143"/>
      <c r="Q427" s="143"/>
      <c r="R427" s="143"/>
      <c r="S427" s="143"/>
      <c r="T427" s="143"/>
      <c r="U427" s="143"/>
      <c r="V427" s="143"/>
      <c r="W427" s="143"/>
      <c r="X427" s="143"/>
      <c r="Y427" s="143"/>
      <c r="Z427" s="143"/>
      <c r="AA427" s="143"/>
      <c r="AB427" s="143"/>
    </row>
    <row r="428" spans="1:28" s="144" customFormat="1" ht="15" customHeight="1" outlineLevel="1" x14ac:dyDescent="0.2">
      <c r="A428" s="134">
        <v>4</v>
      </c>
      <c r="B428" s="201">
        <v>96626</v>
      </c>
      <c r="C428" s="202">
        <v>41687</v>
      </c>
      <c r="D428" s="198" t="s">
        <v>1021</v>
      </c>
      <c r="E428" s="201" t="s">
        <v>1022</v>
      </c>
      <c r="F428" s="198" t="s">
        <v>577</v>
      </c>
      <c r="G428" s="203" t="s">
        <v>368</v>
      </c>
      <c r="H428" s="203"/>
      <c r="I428" s="204">
        <v>1</v>
      </c>
      <c r="J428" s="179">
        <v>25800</v>
      </c>
      <c r="K428" s="179" t="s">
        <v>1023</v>
      </c>
      <c r="L428" s="644"/>
      <c r="M428" s="167" t="s">
        <v>34</v>
      </c>
      <c r="N428" s="142"/>
      <c r="O428" s="143"/>
      <c r="P428" s="143"/>
      <c r="Q428" s="143"/>
      <c r="R428" s="143"/>
      <c r="S428" s="143"/>
      <c r="T428" s="143"/>
      <c r="U428" s="143"/>
      <c r="V428" s="143"/>
      <c r="W428" s="143"/>
      <c r="X428" s="143"/>
      <c r="Y428" s="143"/>
      <c r="Z428" s="143"/>
      <c r="AA428" s="143"/>
      <c r="AB428" s="143"/>
    </row>
    <row r="429" spans="1:28" s="144" customFormat="1" ht="15" customHeight="1" outlineLevel="1" x14ac:dyDescent="0.2">
      <c r="A429" s="134">
        <v>5</v>
      </c>
      <c r="B429" s="134">
        <v>98429</v>
      </c>
      <c r="C429" s="135">
        <v>41695</v>
      </c>
      <c r="D429" s="136" t="s">
        <v>1024</v>
      </c>
      <c r="E429" s="134" t="s">
        <v>596</v>
      </c>
      <c r="F429" s="137" t="s">
        <v>534</v>
      </c>
      <c r="G429" s="138" t="s">
        <v>1025</v>
      </c>
      <c r="H429" s="139" t="s">
        <v>580</v>
      </c>
      <c r="I429" s="140">
        <v>2</v>
      </c>
      <c r="J429" s="141">
        <v>30429</v>
      </c>
      <c r="K429" s="141">
        <v>60858</v>
      </c>
      <c r="L429" s="644"/>
      <c r="M429" s="167" t="s">
        <v>34</v>
      </c>
      <c r="N429" s="142"/>
      <c r="O429" s="143"/>
      <c r="P429" s="143"/>
      <c r="Q429" s="143"/>
      <c r="R429" s="143"/>
      <c r="S429" s="143"/>
      <c r="T429" s="143"/>
      <c r="U429" s="143"/>
      <c r="V429" s="143"/>
      <c r="W429" s="143"/>
      <c r="X429" s="143"/>
      <c r="Y429" s="143"/>
      <c r="Z429" s="143"/>
      <c r="AA429" s="143"/>
      <c r="AB429" s="143"/>
    </row>
    <row r="430" spans="1:28" s="144" customFormat="1" ht="15" customHeight="1" outlineLevel="1" x14ac:dyDescent="0.2">
      <c r="A430" s="134">
        <v>6</v>
      </c>
      <c r="B430" s="134">
        <v>97150</v>
      </c>
      <c r="C430" s="135">
        <v>41689</v>
      </c>
      <c r="D430" s="136" t="s">
        <v>1026</v>
      </c>
      <c r="E430" s="134" t="s">
        <v>1027</v>
      </c>
      <c r="F430" s="137" t="s">
        <v>577</v>
      </c>
      <c r="G430" s="138" t="s">
        <v>368</v>
      </c>
      <c r="H430" s="139"/>
      <c r="I430" s="140">
        <v>1</v>
      </c>
      <c r="J430" s="141">
        <v>25800</v>
      </c>
      <c r="K430" s="141">
        <v>25800</v>
      </c>
      <c r="L430" s="644"/>
      <c r="M430" s="167" t="s">
        <v>34</v>
      </c>
      <c r="N430" s="142"/>
      <c r="O430" s="143"/>
      <c r="P430" s="143"/>
      <c r="Q430" s="143"/>
      <c r="R430" s="143"/>
      <c r="S430" s="143"/>
      <c r="T430" s="143"/>
      <c r="U430" s="143"/>
      <c r="V430" s="143"/>
      <c r="W430" s="143"/>
      <c r="X430" s="143"/>
      <c r="Y430" s="143"/>
      <c r="Z430" s="143"/>
      <c r="AA430" s="143"/>
      <c r="AB430" s="143"/>
    </row>
    <row r="431" spans="1:28" s="144" customFormat="1" ht="15" customHeight="1" outlineLevel="1" x14ac:dyDescent="0.2">
      <c r="A431" s="134">
        <v>7</v>
      </c>
      <c r="B431" s="134">
        <v>98075</v>
      </c>
      <c r="C431" s="135">
        <v>41694</v>
      </c>
      <c r="D431" s="136" t="s">
        <v>451</v>
      </c>
      <c r="E431" s="134" t="s">
        <v>1011</v>
      </c>
      <c r="F431" s="137" t="s">
        <v>114</v>
      </c>
      <c r="G431" s="138" t="s">
        <v>404</v>
      </c>
      <c r="H431" s="139" t="s">
        <v>626</v>
      </c>
      <c r="I431" s="140">
        <v>1</v>
      </c>
      <c r="J431" s="141">
        <v>33370</v>
      </c>
      <c r="K431" s="141">
        <v>33370</v>
      </c>
      <c r="L431" s="644"/>
      <c r="M431" s="167" t="s">
        <v>34</v>
      </c>
      <c r="N431" s="142"/>
      <c r="O431" s="143"/>
      <c r="P431" s="143"/>
      <c r="Q431" s="143"/>
      <c r="R431" s="143"/>
      <c r="S431" s="143"/>
      <c r="T431" s="143"/>
      <c r="U431" s="143"/>
      <c r="V431" s="143"/>
      <c r="W431" s="143"/>
      <c r="X431" s="143"/>
      <c r="Y431" s="143"/>
      <c r="Z431" s="143"/>
      <c r="AA431" s="143"/>
      <c r="AB431" s="143"/>
    </row>
    <row r="432" spans="1:28" s="144" customFormat="1" ht="15" customHeight="1" outlineLevel="1" x14ac:dyDescent="0.2">
      <c r="A432" s="134">
        <v>8</v>
      </c>
      <c r="B432" s="134">
        <v>98917</v>
      </c>
      <c r="C432" s="135">
        <v>41697</v>
      </c>
      <c r="D432" s="136" t="s">
        <v>1028</v>
      </c>
      <c r="E432" s="134" t="s">
        <v>596</v>
      </c>
      <c r="F432" s="137" t="s">
        <v>534</v>
      </c>
      <c r="G432" s="138" t="s">
        <v>508</v>
      </c>
      <c r="H432" s="139" t="s">
        <v>560</v>
      </c>
      <c r="I432" s="140">
        <v>1</v>
      </c>
      <c r="J432" s="141">
        <v>30429</v>
      </c>
      <c r="K432" s="141">
        <v>30429</v>
      </c>
      <c r="L432" s="644"/>
      <c r="M432" s="167" t="s">
        <v>34</v>
      </c>
      <c r="N432" s="142"/>
      <c r="O432" s="143"/>
      <c r="P432" s="143"/>
      <c r="Q432" s="143"/>
      <c r="R432" s="143"/>
      <c r="S432" s="143"/>
      <c r="T432" s="143"/>
      <c r="U432" s="143"/>
      <c r="V432" s="143"/>
      <c r="W432" s="143"/>
      <c r="X432" s="143"/>
      <c r="Y432" s="143"/>
      <c r="Z432" s="143"/>
      <c r="AA432" s="143"/>
      <c r="AB432" s="143"/>
    </row>
    <row r="433" spans="1:28" s="144" customFormat="1" ht="15" customHeight="1" outlineLevel="1" x14ac:dyDescent="0.2">
      <c r="A433" s="134">
        <v>9</v>
      </c>
      <c r="B433" s="134">
        <v>94819</v>
      </c>
      <c r="C433" s="135">
        <v>41676</v>
      </c>
      <c r="D433" s="136" t="s">
        <v>1029</v>
      </c>
      <c r="E433" s="134" t="s">
        <v>596</v>
      </c>
      <c r="F433" s="137" t="s">
        <v>235</v>
      </c>
      <c r="G433" s="138" t="s">
        <v>366</v>
      </c>
      <c r="H433" s="139"/>
      <c r="I433" s="140">
        <v>1</v>
      </c>
      <c r="J433" s="141">
        <v>10401</v>
      </c>
      <c r="K433" s="141">
        <v>10401</v>
      </c>
      <c r="L433" s="644"/>
      <c r="M433" s="167" t="s">
        <v>34</v>
      </c>
      <c r="N433" s="142"/>
      <c r="O433" s="143"/>
      <c r="P433" s="143"/>
      <c r="Q433" s="143"/>
      <c r="R433" s="143"/>
      <c r="S433" s="143"/>
      <c r="T433" s="143"/>
      <c r="U433" s="143"/>
      <c r="V433" s="143"/>
      <c r="W433" s="143"/>
      <c r="X433" s="143"/>
      <c r="Y433" s="143"/>
      <c r="Z433" s="143"/>
      <c r="AA433" s="143"/>
      <c r="AB433" s="143"/>
    </row>
    <row r="434" spans="1:28" s="144" customFormat="1" ht="15" customHeight="1" outlineLevel="1" x14ac:dyDescent="0.2">
      <c r="A434" s="134">
        <v>10</v>
      </c>
      <c r="B434" s="134">
        <v>96175</v>
      </c>
      <c r="C434" s="135">
        <v>41683</v>
      </c>
      <c r="D434" s="136" t="s">
        <v>1030</v>
      </c>
      <c r="E434" s="134" t="s">
        <v>596</v>
      </c>
      <c r="F434" s="137" t="s">
        <v>186</v>
      </c>
      <c r="G434" s="138" t="s">
        <v>389</v>
      </c>
      <c r="H434" s="139"/>
      <c r="I434" s="140">
        <v>1</v>
      </c>
      <c r="J434" s="141">
        <v>42601</v>
      </c>
      <c r="K434" s="141">
        <v>42601</v>
      </c>
      <c r="L434" s="644"/>
      <c r="M434" s="167" t="s">
        <v>34</v>
      </c>
      <c r="N434" s="142"/>
      <c r="O434" s="143"/>
      <c r="P434" s="143"/>
      <c r="Q434" s="143"/>
      <c r="R434" s="143"/>
      <c r="S434" s="143"/>
      <c r="T434" s="143"/>
      <c r="U434" s="143"/>
      <c r="V434" s="143"/>
      <c r="W434" s="143"/>
      <c r="X434" s="143"/>
      <c r="Y434" s="143"/>
      <c r="Z434" s="143"/>
      <c r="AA434" s="143"/>
      <c r="AB434" s="143"/>
    </row>
    <row r="435" spans="1:28" s="144" customFormat="1" ht="15" customHeight="1" outlineLevel="1" x14ac:dyDescent="0.2">
      <c r="A435" s="134">
        <v>11</v>
      </c>
      <c r="B435" s="134">
        <v>95679</v>
      </c>
      <c r="C435" s="135">
        <v>41681</v>
      </c>
      <c r="D435" s="136" t="s">
        <v>1031</v>
      </c>
      <c r="E435" s="134" t="s">
        <v>596</v>
      </c>
      <c r="F435" s="137" t="s">
        <v>1032</v>
      </c>
      <c r="G435" s="138" t="s">
        <v>366</v>
      </c>
      <c r="H435" s="139"/>
      <c r="I435" s="140">
        <v>1</v>
      </c>
      <c r="J435" s="141">
        <v>10143</v>
      </c>
      <c r="K435" s="141" t="s">
        <v>1033</v>
      </c>
      <c r="L435" s="644"/>
      <c r="M435" s="167" t="s">
        <v>34</v>
      </c>
      <c r="N435" s="142"/>
      <c r="O435" s="143"/>
      <c r="P435" s="143"/>
      <c r="Q435" s="143"/>
      <c r="R435" s="143"/>
      <c r="S435" s="143"/>
      <c r="T435" s="143"/>
      <c r="U435" s="143"/>
      <c r="V435" s="143"/>
      <c r="W435" s="143"/>
      <c r="X435" s="143"/>
      <c r="Y435" s="143"/>
      <c r="Z435" s="143"/>
      <c r="AA435" s="143"/>
      <c r="AB435" s="143"/>
    </row>
    <row r="436" spans="1:28" s="144" customFormat="1" ht="15" customHeight="1" outlineLevel="1" x14ac:dyDescent="0.2">
      <c r="A436" s="134">
        <v>12</v>
      </c>
      <c r="B436" s="134">
        <v>95679</v>
      </c>
      <c r="C436" s="135">
        <v>41681</v>
      </c>
      <c r="D436" s="136" t="s">
        <v>1031</v>
      </c>
      <c r="E436" s="134" t="s">
        <v>596</v>
      </c>
      <c r="F436" s="137" t="s">
        <v>235</v>
      </c>
      <c r="G436" s="138" t="s">
        <v>366</v>
      </c>
      <c r="H436" s="139"/>
      <c r="I436" s="140">
        <v>1</v>
      </c>
      <c r="J436" s="141">
        <v>10401</v>
      </c>
      <c r="K436" s="141">
        <v>10401</v>
      </c>
      <c r="L436" s="644"/>
      <c r="M436" s="167" t="s">
        <v>34</v>
      </c>
      <c r="N436" s="142"/>
      <c r="O436" s="143"/>
      <c r="P436" s="143"/>
      <c r="Q436" s="143"/>
      <c r="R436" s="143"/>
      <c r="S436" s="143"/>
      <c r="T436" s="143"/>
      <c r="U436" s="143"/>
      <c r="V436" s="143"/>
      <c r="W436" s="143"/>
      <c r="X436" s="143"/>
      <c r="Y436" s="143"/>
      <c r="Z436" s="143"/>
      <c r="AA436" s="143"/>
      <c r="AB436" s="143"/>
    </row>
    <row r="437" spans="1:28" s="144" customFormat="1" ht="15" customHeight="1" outlineLevel="1" x14ac:dyDescent="0.2">
      <c r="A437" s="134">
        <v>13</v>
      </c>
      <c r="B437" s="134">
        <v>98922</v>
      </c>
      <c r="C437" s="135">
        <v>41698</v>
      </c>
      <c r="D437" s="136" t="s">
        <v>1034</v>
      </c>
      <c r="E437" s="134" t="s">
        <v>596</v>
      </c>
      <c r="F437" s="137" t="s">
        <v>534</v>
      </c>
      <c r="G437" s="138" t="s">
        <v>389</v>
      </c>
      <c r="H437" s="139" t="s">
        <v>560</v>
      </c>
      <c r="I437" s="140">
        <v>1</v>
      </c>
      <c r="J437" s="141">
        <v>30429</v>
      </c>
      <c r="K437" s="141">
        <v>30429</v>
      </c>
      <c r="L437" s="644"/>
      <c r="M437" s="167" t="s">
        <v>34</v>
      </c>
      <c r="N437" s="142"/>
      <c r="O437" s="143"/>
      <c r="P437" s="143"/>
      <c r="Q437" s="143"/>
      <c r="R437" s="143"/>
      <c r="S437" s="143"/>
      <c r="T437" s="143"/>
      <c r="U437" s="143"/>
      <c r="V437" s="143"/>
      <c r="W437" s="143"/>
      <c r="X437" s="143"/>
      <c r="Y437" s="143"/>
      <c r="Z437" s="143"/>
      <c r="AA437" s="143"/>
      <c r="AB437" s="143"/>
    </row>
    <row r="438" spans="1:28" s="144" customFormat="1" ht="15" customHeight="1" outlineLevel="1" x14ac:dyDescent="0.2">
      <c r="A438" s="134">
        <v>14</v>
      </c>
      <c r="B438" s="134">
        <v>96841</v>
      </c>
      <c r="C438" s="135">
        <v>41689</v>
      </c>
      <c r="D438" s="136" t="s">
        <v>1035</v>
      </c>
      <c r="E438" s="134" t="s">
        <v>1036</v>
      </c>
      <c r="F438" s="137" t="s">
        <v>115</v>
      </c>
      <c r="G438" s="138" t="s">
        <v>524</v>
      </c>
      <c r="H438" s="139" t="s">
        <v>700</v>
      </c>
      <c r="I438" s="140">
        <v>1</v>
      </c>
      <c r="J438" s="141">
        <v>5274</v>
      </c>
      <c r="K438" s="141">
        <v>5274</v>
      </c>
      <c r="L438" s="644"/>
      <c r="M438" s="167" t="s">
        <v>34</v>
      </c>
      <c r="N438" s="142"/>
      <c r="O438" s="143"/>
      <c r="P438" s="143"/>
      <c r="Q438" s="143"/>
      <c r="R438" s="143"/>
      <c r="S438" s="143"/>
      <c r="T438" s="143"/>
      <c r="U438" s="143"/>
      <c r="V438" s="143"/>
      <c r="W438" s="143"/>
      <c r="X438" s="143"/>
      <c r="Y438" s="143"/>
      <c r="Z438" s="143"/>
      <c r="AA438" s="143"/>
      <c r="AB438" s="143"/>
    </row>
    <row r="439" spans="1:28" s="144" customFormat="1" ht="15" customHeight="1" outlineLevel="1" x14ac:dyDescent="0.2">
      <c r="A439" s="134">
        <v>15</v>
      </c>
      <c r="B439" s="201">
        <v>96717</v>
      </c>
      <c r="C439" s="202">
        <v>41689</v>
      </c>
      <c r="D439" s="198" t="s">
        <v>1037</v>
      </c>
      <c r="E439" s="201" t="s">
        <v>1017</v>
      </c>
      <c r="F439" s="198" t="s">
        <v>577</v>
      </c>
      <c r="G439" s="203" t="s">
        <v>368</v>
      </c>
      <c r="H439" s="203"/>
      <c r="I439" s="204">
        <v>1</v>
      </c>
      <c r="J439" s="179">
        <v>25800</v>
      </c>
      <c r="K439" s="179" t="s">
        <v>1023</v>
      </c>
      <c r="L439" s="644"/>
      <c r="M439" s="167" t="s">
        <v>34</v>
      </c>
      <c r="N439" s="142"/>
      <c r="O439" s="143"/>
      <c r="P439" s="143"/>
      <c r="Q439" s="143"/>
      <c r="R439" s="143"/>
      <c r="S439" s="143"/>
      <c r="T439" s="143"/>
      <c r="U439" s="143"/>
      <c r="V439" s="143"/>
      <c r="W439" s="143"/>
      <c r="X439" s="143"/>
      <c r="Y439" s="143"/>
      <c r="Z439" s="143"/>
      <c r="AA439" s="143"/>
      <c r="AB439" s="143"/>
    </row>
    <row r="440" spans="1:28" s="144" customFormat="1" ht="15" customHeight="1" outlineLevel="1" x14ac:dyDescent="0.2">
      <c r="A440" s="134">
        <v>16</v>
      </c>
      <c r="B440" s="134">
        <v>97439</v>
      </c>
      <c r="C440" s="135">
        <v>41694</v>
      </c>
      <c r="D440" s="136" t="s">
        <v>1038</v>
      </c>
      <c r="E440" s="134" t="s">
        <v>1011</v>
      </c>
      <c r="F440" s="137" t="s">
        <v>115</v>
      </c>
      <c r="G440" s="138" t="s">
        <v>494</v>
      </c>
      <c r="H440" s="139" t="s">
        <v>486</v>
      </c>
      <c r="I440" s="140">
        <v>2</v>
      </c>
      <c r="J440" s="141">
        <v>5274</v>
      </c>
      <c r="K440" s="141">
        <v>10548</v>
      </c>
      <c r="L440" s="644"/>
      <c r="M440" s="167" t="s">
        <v>34</v>
      </c>
      <c r="N440" s="142"/>
      <c r="O440" s="143"/>
      <c r="P440" s="143"/>
      <c r="Q440" s="143"/>
      <c r="R440" s="143"/>
      <c r="S440" s="143"/>
      <c r="T440" s="143"/>
      <c r="U440" s="143"/>
      <c r="V440" s="143"/>
      <c r="W440" s="143"/>
      <c r="X440" s="143"/>
      <c r="Y440" s="143"/>
      <c r="Z440" s="143"/>
      <c r="AA440" s="143"/>
      <c r="AB440" s="143"/>
    </row>
    <row r="441" spans="1:28" s="144" customFormat="1" ht="15" customHeight="1" outlineLevel="1" x14ac:dyDescent="0.2">
      <c r="A441" s="134">
        <v>17</v>
      </c>
      <c r="B441" s="134">
        <v>97297</v>
      </c>
      <c r="C441" s="135">
        <v>41691</v>
      </c>
      <c r="D441" s="136" t="s">
        <v>1039</v>
      </c>
      <c r="E441" s="134" t="s">
        <v>1022</v>
      </c>
      <c r="F441" s="137" t="s">
        <v>577</v>
      </c>
      <c r="G441" s="138" t="s">
        <v>368</v>
      </c>
      <c r="H441" s="139"/>
      <c r="I441" s="140">
        <v>1</v>
      </c>
      <c r="J441" s="141">
        <v>25800</v>
      </c>
      <c r="K441" s="141">
        <v>25800</v>
      </c>
      <c r="L441" s="644"/>
      <c r="M441" s="167" t="s">
        <v>34</v>
      </c>
      <c r="N441" s="142"/>
      <c r="O441" s="143"/>
      <c r="P441" s="143"/>
      <c r="Q441" s="143"/>
      <c r="R441" s="143"/>
      <c r="S441" s="143"/>
      <c r="T441" s="143"/>
      <c r="U441" s="143"/>
      <c r="V441" s="143"/>
      <c r="W441" s="143"/>
      <c r="X441" s="143"/>
      <c r="Y441" s="143"/>
      <c r="Z441" s="143"/>
      <c r="AA441" s="143"/>
      <c r="AB441" s="143"/>
    </row>
    <row r="442" spans="1:28" s="144" customFormat="1" ht="15" customHeight="1" outlineLevel="1" x14ac:dyDescent="0.2">
      <c r="A442" s="134">
        <v>18</v>
      </c>
      <c r="B442" s="134">
        <v>95473</v>
      </c>
      <c r="C442" s="135">
        <v>41681</v>
      </c>
      <c r="D442" s="136" t="s">
        <v>1040</v>
      </c>
      <c r="E442" s="134" t="s">
        <v>596</v>
      </c>
      <c r="F442" s="137" t="s">
        <v>534</v>
      </c>
      <c r="G442" s="138" t="s">
        <v>469</v>
      </c>
      <c r="H442" s="139" t="s">
        <v>580</v>
      </c>
      <c r="I442" s="140">
        <v>1</v>
      </c>
      <c r="J442" s="141">
        <v>30429</v>
      </c>
      <c r="K442" s="141">
        <v>30429</v>
      </c>
      <c r="L442" s="644"/>
      <c r="M442" s="167" t="s">
        <v>34</v>
      </c>
      <c r="N442" s="142"/>
      <c r="O442" s="143"/>
      <c r="P442" s="143"/>
      <c r="Q442" s="143"/>
      <c r="R442" s="143"/>
      <c r="S442" s="143"/>
      <c r="T442" s="143"/>
      <c r="U442" s="143"/>
      <c r="V442" s="143"/>
      <c r="W442" s="143"/>
      <c r="X442" s="143"/>
      <c r="Y442" s="143"/>
      <c r="Z442" s="143"/>
      <c r="AA442" s="143"/>
      <c r="AB442" s="143"/>
    </row>
    <row r="443" spans="1:28" s="144" customFormat="1" ht="15" customHeight="1" outlineLevel="1" x14ac:dyDescent="0.2">
      <c r="A443" s="134">
        <v>19</v>
      </c>
      <c r="B443" s="134">
        <v>95770</v>
      </c>
      <c r="C443" s="135">
        <v>41682</v>
      </c>
      <c r="D443" s="136" t="s">
        <v>1041</v>
      </c>
      <c r="E443" s="134" t="s">
        <v>1022</v>
      </c>
      <c r="F443" s="137" t="s">
        <v>577</v>
      </c>
      <c r="G443" s="138" t="s">
        <v>368</v>
      </c>
      <c r="H443" s="139"/>
      <c r="I443" s="140">
        <v>1</v>
      </c>
      <c r="J443" s="141">
        <v>25800</v>
      </c>
      <c r="K443" s="141">
        <v>25800</v>
      </c>
      <c r="L443" s="644"/>
      <c r="M443" s="167" t="s">
        <v>34</v>
      </c>
      <c r="N443" s="142"/>
      <c r="O443" s="143"/>
      <c r="P443" s="143"/>
      <c r="Q443" s="143"/>
      <c r="R443" s="143"/>
      <c r="S443" s="143"/>
      <c r="T443" s="143"/>
      <c r="U443" s="143"/>
      <c r="V443" s="143"/>
      <c r="W443" s="143"/>
      <c r="X443" s="143"/>
      <c r="Y443" s="143"/>
      <c r="Z443" s="143"/>
      <c r="AA443" s="143"/>
      <c r="AB443" s="143"/>
    </row>
    <row r="444" spans="1:28" s="144" customFormat="1" ht="15" customHeight="1" outlineLevel="1" x14ac:dyDescent="0.2">
      <c r="A444" s="134">
        <v>20</v>
      </c>
      <c r="B444" s="134">
        <v>99612</v>
      </c>
      <c r="C444" s="135">
        <v>41688</v>
      </c>
      <c r="D444" s="136" t="s">
        <v>1042</v>
      </c>
      <c r="E444" s="134" t="s">
        <v>596</v>
      </c>
      <c r="F444" s="137" t="s">
        <v>115</v>
      </c>
      <c r="G444" s="138" t="s">
        <v>389</v>
      </c>
      <c r="H444" s="139" t="s">
        <v>486</v>
      </c>
      <c r="I444" s="140">
        <v>1</v>
      </c>
      <c r="J444" s="141">
        <v>5274</v>
      </c>
      <c r="K444" s="141">
        <v>5274</v>
      </c>
      <c r="L444" s="644"/>
      <c r="M444" s="167" t="s">
        <v>34</v>
      </c>
      <c r="N444" s="142"/>
      <c r="O444" s="143"/>
      <c r="P444" s="143"/>
      <c r="Q444" s="143"/>
      <c r="R444" s="143"/>
      <c r="S444" s="143"/>
      <c r="T444" s="143"/>
      <c r="U444" s="143"/>
      <c r="V444" s="143"/>
      <c r="W444" s="143"/>
      <c r="X444" s="143"/>
      <c r="Y444" s="143"/>
      <c r="Z444" s="143"/>
      <c r="AA444" s="143"/>
      <c r="AB444" s="143"/>
    </row>
    <row r="445" spans="1:28" s="144" customFormat="1" ht="15" customHeight="1" outlineLevel="1" x14ac:dyDescent="0.2">
      <c r="A445" s="134">
        <v>21</v>
      </c>
      <c r="B445" s="134">
        <v>97223</v>
      </c>
      <c r="C445" s="135">
        <v>41689</v>
      </c>
      <c r="D445" s="136" t="s">
        <v>1043</v>
      </c>
      <c r="E445" s="134" t="s">
        <v>596</v>
      </c>
      <c r="F445" s="137" t="s">
        <v>114</v>
      </c>
      <c r="G445" s="138" t="s">
        <v>524</v>
      </c>
      <c r="H445" s="139" t="s">
        <v>1044</v>
      </c>
      <c r="I445" s="140">
        <v>1</v>
      </c>
      <c r="J445" s="141">
        <v>33370</v>
      </c>
      <c r="K445" s="141">
        <v>33370</v>
      </c>
      <c r="L445" s="644"/>
      <c r="M445" s="167" t="s">
        <v>34</v>
      </c>
      <c r="N445" s="142"/>
      <c r="O445" s="143"/>
      <c r="P445" s="143"/>
      <c r="Q445" s="143"/>
      <c r="R445" s="143"/>
      <c r="S445" s="143"/>
      <c r="T445" s="143"/>
      <c r="U445" s="143"/>
      <c r="V445" s="143"/>
      <c r="W445" s="143"/>
      <c r="X445" s="143"/>
      <c r="Y445" s="143"/>
      <c r="Z445" s="143"/>
      <c r="AA445" s="143"/>
      <c r="AB445" s="143"/>
    </row>
    <row r="446" spans="1:28" s="144" customFormat="1" ht="15" customHeight="1" outlineLevel="1" x14ac:dyDescent="0.2">
      <c r="A446" s="134">
        <v>22</v>
      </c>
      <c r="B446" s="134">
        <v>98495</v>
      </c>
      <c r="C446" s="135">
        <v>41695</v>
      </c>
      <c r="D446" s="136" t="s">
        <v>1045</v>
      </c>
      <c r="E446" s="134" t="s">
        <v>596</v>
      </c>
      <c r="F446" s="137" t="s">
        <v>1046</v>
      </c>
      <c r="G446" s="138" t="s">
        <v>397</v>
      </c>
      <c r="H446" s="139" t="s">
        <v>580</v>
      </c>
      <c r="I446" s="140">
        <v>2</v>
      </c>
      <c r="J446" s="141">
        <v>69405</v>
      </c>
      <c r="K446" s="141">
        <v>138810</v>
      </c>
      <c r="L446" s="644"/>
      <c r="M446" s="167" t="s">
        <v>34</v>
      </c>
      <c r="N446" s="142"/>
      <c r="O446" s="143"/>
      <c r="P446" s="143"/>
      <c r="Q446" s="143"/>
      <c r="R446" s="143"/>
      <c r="S446" s="143"/>
      <c r="T446" s="143"/>
      <c r="U446" s="143"/>
      <c r="V446" s="143"/>
      <c r="W446" s="143"/>
      <c r="X446" s="143"/>
      <c r="Y446" s="143"/>
      <c r="Z446" s="143"/>
      <c r="AA446" s="143"/>
      <c r="AB446" s="143"/>
    </row>
    <row r="447" spans="1:28" s="144" customFormat="1" ht="15" customHeight="1" outlineLevel="1" x14ac:dyDescent="0.2">
      <c r="A447" s="134">
        <v>23</v>
      </c>
      <c r="B447" s="134">
        <v>98520</v>
      </c>
      <c r="C447" s="135">
        <v>41695</v>
      </c>
      <c r="D447" s="136" t="s">
        <v>1047</v>
      </c>
      <c r="E447" s="134" t="s">
        <v>596</v>
      </c>
      <c r="F447" s="137" t="s">
        <v>534</v>
      </c>
      <c r="G447" s="138" t="s">
        <v>559</v>
      </c>
      <c r="H447" s="139" t="s">
        <v>1048</v>
      </c>
      <c r="I447" s="140">
        <v>1</v>
      </c>
      <c r="J447" s="141">
        <v>30429</v>
      </c>
      <c r="K447" s="141">
        <v>30429</v>
      </c>
      <c r="L447" s="644"/>
      <c r="M447" s="167" t="s">
        <v>34</v>
      </c>
      <c r="N447" s="142"/>
      <c r="O447" s="143"/>
      <c r="P447" s="143"/>
      <c r="Q447" s="143"/>
      <c r="R447" s="143"/>
      <c r="S447" s="143"/>
      <c r="T447" s="143"/>
      <c r="U447" s="143"/>
      <c r="V447" s="143"/>
      <c r="W447" s="143"/>
      <c r="X447" s="143"/>
      <c r="Y447" s="143"/>
      <c r="Z447" s="143"/>
      <c r="AA447" s="143"/>
      <c r="AB447" s="143"/>
    </row>
    <row r="448" spans="1:28" s="144" customFormat="1" ht="15" customHeight="1" outlineLevel="1" x14ac:dyDescent="0.2">
      <c r="A448" s="134">
        <v>24</v>
      </c>
      <c r="B448" s="134">
        <v>98858</v>
      </c>
      <c r="C448" s="135">
        <v>41697</v>
      </c>
      <c r="D448" s="136" t="s">
        <v>1049</v>
      </c>
      <c r="E448" s="134" t="s">
        <v>596</v>
      </c>
      <c r="F448" s="137" t="s">
        <v>1050</v>
      </c>
      <c r="G448" s="138" t="s">
        <v>414</v>
      </c>
      <c r="H448" s="139" t="s">
        <v>1051</v>
      </c>
      <c r="I448" s="140">
        <v>1</v>
      </c>
      <c r="J448" s="141">
        <v>57960</v>
      </c>
      <c r="K448" s="141">
        <v>57960</v>
      </c>
      <c r="L448" s="644"/>
      <c r="M448" s="167" t="s">
        <v>34</v>
      </c>
      <c r="N448" s="142"/>
      <c r="O448" s="143"/>
      <c r="P448" s="143"/>
      <c r="Q448" s="143"/>
      <c r="R448" s="143"/>
      <c r="S448" s="143"/>
      <c r="T448" s="143"/>
      <c r="U448" s="143"/>
      <c r="V448" s="143"/>
      <c r="W448" s="143"/>
      <c r="X448" s="143"/>
      <c r="Y448" s="143"/>
      <c r="Z448" s="143"/>
      <c r="AA448" s="143"/>
      <c r="AB448" s="143"/>
    </row>
    <row r="449" spans="1:28" s="144" customFormat="1" ht="15" customHeight="1" outlineLevel="1" x14ac:dyDescent="0.2">
      <c r="A449" s="134">
        <v>25</v>
      </c>
      <c r="B449" s="134">
        <v>94464</v>
      </c>
      <c r="C449" s="135">
        <v>41675</v>
      </c>
      <c r="D449" s="136" t="s">
        <v>1052</v>
      </c>
      <c r="E449" s="134" t="s">
        <v>1053</v>
      </c>
      <c r="F449" s="137" t="s">
        <v>233</v>
      </c>
      <c r="G449" s="138" t="s">
        <v>366</v>
      </c>
      <c r="H449" s="139"/>
      <c r="I449" s="140">
        <v>1</v>
      </c>
      <c r="J449" s="141">
        <v>12499</v>
      </c>
      <c r="K449" s="141">
        <v>12499</v>
      </c>
      <c r="L449" s="644"/>
      <c r="M449" s="167" t="s">
        <v>34</v>
      </c>
      <c r="N449" s="142"/>
      <c r="O449" s="143"/>
      <c r="P449" s="143"/>
      <c r="Q449" s="143"/>
      <c r="R449" s="143"/>
      <c r="S449" s="143"/>
      <c r="T449" s="143"/>
      <c r="U449" s="143"/>
      <c r="V449" s="143"/>
      <c r="W449" s="143"/>
      <c r="X449" s="143"/>
      <c r="Y449" s="143"/>
      <c r="Z449" s="143"/>
      <c r="AA449" s="143"/>
      <c r="AB449" s="143"/>
    </row>
    <row r="450" spans="1:28" s="144" customFormat="1" ht="15" customHeight="1" outlineLevel="1" x14ac:dyDescent="0.2">
      <c r="A450" s="134">
        <v>26</v>
      </c>
      <c r="B450" s="134">
        <v>96642</v>
      </c>
      <c r="C450" s="135">
        <v>41688</v>
      </c>
      <c r="D450" s="136" t="s">
        <v>1054</v>
      </c>
      <c r="E450" s="134" t="s">
        <v>596</v>
      </c>
      <c r="F450" s="137" t="s">
        <v>534</v>
      </c>
      <c r="G450" s="138" t="s">
        <v>414</v>
      </c>
      <c r="H450" s="139" t="s">
        <v>566</v>
      </c>
      <c r="I450" s="140">
        <v>1</v>
      </c>
      <c r="J450" s="141">
        <v>30429</v>
      </c>
      <c r="K450" s="141">
        <v>30429</v>
      </c>
      <c r="L450" s="645"/>
      <c r="M450" s="167" t="s">
        <v>34</v>
      </c>
      <c r="N450" s="142"/>
      <c r="O450" s="143"/>
      <c r="P450" s="143"/>
      <c r="Q450" s="143"/>
      <c r="R450" s="143"/>
      <c r="S450" s="143"/>
      <c r="T450" s="143"/>
      <c r="U450" s="143"/>
      <c r="V450" s="143"/>
      <c r="W450" s="143"/>
      <c r="X450" s="143"/>
      <c r="Y450" s="143"/>
      <c r="Z450" s="143"/>
      <c r="AA450" s="143"/>
      <c r="AB450" s="143"/>
    </row>
    <row r="451" spans="1:28" s="133" customFormat="1" ht="15" customHeight="1" outlineLevel="1" x14ac:dyDescent="0.2">
      <c r="A451" s="121">
        <v>1</v>
      </c>
      <c r="B451" s="134">
        <v>39870</v>
      </c>
      <c r="C451" s="135">
        <v>41855</v>
      </c>
      <c r="D451" s="136" t="s">
        <v>1055</v>
      </c>
      <c r="E451" s="134" t="s">
        <v>393</v>
      </c>
      <c r="F451" s="137" t="s">
        <v>115</v>
      </c>
      <c r="G451" s="138" t="s">
        <v>404</v>
      </c>
      <c r="H451" s="139" t="s">
        <v>1056</v>
      </c>
      <c r="I451" s="140">
        <v>1</v>
      </c>
      <c r="J451" s="141">
        <v>5274</v>
      </c>
      <c r="K451" s="141">
        <v>5274</v>
      </c>
      <c r="L451" s="181" t="s">
        <v>785</v>
      </c>
      <c r="M451" s="166" t="s">
        <v>35</v>
      </c>
      <c r="N451" s="205"/>
      <c r="O451" s="132"/>
      <c r="P451" s="132"/>
      <c r="Q451" s="132"/>
      <c r="R451" s="132"/>
      <c r="S451" s="132"/>
      <c r="T451" s="132"/>
      <c r="U451" s="132"/>
      <c r="V451" s="132"/>
      <c r="W451" s="132"/>
      <c r="X451" s="132"/>
      <c r="Y451" s="132"/>
      <c r="Z451" s="132"/>
      <c r="AA451" s="132"/>
      <c r="AB451" s="132"/>
    </row>
    <row r="452" spans="1:28" s="133" customFormat="1" ht="15" customHeight="1" outlineLevel="1" x14ac:dyDescent="0.2">
      <c r="A452" s="121">
        <v>2</v>
      </c>
      <c r="B452" s="134">
        <v>46407</v>
      </c>
      <c r="C452" s="135">
        <v>41876</v>
      </c>
      <c r="D452" s="136" t="s">
        <v>1055</v>
      </c>
      <c r="E452" s="134" t="s">
        <v>393</v>
      </c>
      <c r="F452" s="137" t="s">
        <v>190</v>
      </c>
      <c r="G452" s="138" t="s">
        <v>404</v>
      </c>
      <c r="H452" s="139"/>
      <c r="I452" s="140">
        <v>1</v>
      </c>
      <c r="J452" s="141">
        <v>57960</v>
      </c>
      <c r="K452" s="141">
        <v>57960</v>
      </c>
      <c r="L452" s="181" t="s">
        <v>785</v>
      </c>
      <c r="M452" s="166" t="s">
        <v>35</v>
      </c>
      <c r="N452" s="205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  <c r="Y452" s="132"/>
      <c r="Z452" s="132"/>
      <c r="AA452" s="132"/>
      <c r="AB452" s="132"/>
    </row>
    <row r="453" spans="1:28" s="133" customFormat="1" ht="15" customHeight="1" outlineLevel="1" x14ac:dyDescent="0.2">
      <c r="A453" s="121">
        <v>3</v>
      </c>
      <c r="B453" s="134">
        <v>47243</v>
      </c>
      <c r="C453" s="135">
        <v>41878</v>
      </c>
      <c r="D453" s="136" t="s">
        <v>1057</v>
      </c>
      <c r="E453" s="134" t="s">
        <v>393</v>
      </c>
      <c r="F453" s="137" t="s">
        <v>208</v>
      </c>
      <c r="G453" s="138" t="s">
        <v>439</v>
      </c>
      <c r="H453" s="139"/>
      <c r="I453" s="140">
        <v>1</v>
      </c>
      <c r="J453" s="141">
        <v>14099</v>
      </c>
      <c r="K453" s="141">
        <v>14099</v>
      </c>
      <c r="L453" s="181" t="s">
        <v>785</v>
      </c>
      <c r="M453" s="166" t="s">
        <v>35</v>
      </c>
      <c r="N453" s="205"/>
      <c r="O453" s="132"/>
      <c r="P453" s="132"/>
      <c r="Q453" s="132"/>
      <c r="R453" s="132"/>
      <c r="S453" s="132"/>
      <c r="T453" s="132"/>
      <c r="U453" s="132"/>
      <c r="V453" s="132"/>
      <c r="W453" s="132"/>
      <c r="X453" s="132"/>
      <c r="Y453" s="132"/>
      <c r="Z453" s="132"/>
      <c r="AA453" s="132"/>
      <c r="AB453" s="132"/>
    </row>
    <row r="454" spans="1:28" s="133" customFormat="1" ht="15" customHeight="1" outlineLevel="1" x14ac:dyDescent="0.2">
      <c r="A454" s="121">
        <v>4</v>
      </c>
      <c r="B454" s="134">
        <v>44517</v>
      </c>
      <c r="C454" s="135">
        <v>41869</v>
      </c>
      <c r="D454" s="136" t="s">
        <v>438</v>
      </c>
      <c r="E454" s="134" t="s">
        <v>393</v>
      </c>
      <c r="F454" s="137" t="s">
        <v>115</v>
      </c>
      <c r="G454" s="138" t="s">
        <v>439</v>
      </c>
      <c r="H454" s="139"/>
      <c r="I454" s="140">
        <v>1</v>
      </c>
      <c r="J454" s="141">
        <v>5274</v>
      </c>
      <c r="K454" s="141">
        <v>5274</v>
      </c>
      <c r="L454" s="181" t="s">
        <v>785</v>
      </c>
      <c r="M454" s="166" t="s">
        <v>35</v>
      </c>
      <c r="N454" s="205"/>
      <c r="O454" s="132"/>
      <c r="P454" s="132"/>
      <c r="Q454" s="132"/>
      <c r="R454" s="132"/>
      <c r="S454" s="132"/>
      <c r="T454" s="132"/>
      <c r="U454" s="132"/>
      <c r="V454" s="132"/>
      <c r="W454" s="132"/>
      <c r="X454" s="132"/>
      <c r="Y454" s="132"/>
      <c r="Z454" s="132"/>
      <c r="AA454" s="132"/>
      <c r="AB454" s="132"/>
    </row>
    <row r="455" spans="1:28" s="133" customFormat="1" ht="15" customHeight="1" outlineLevel="1" x14ac:dyDescent="0.2">
      <c r="A455" s="121">
        <v>5</v>
      </c>
      <c r="B455" s="134">
        <v>44649</v>
      </c>
      <c r="C455" s="135">
        <v>41870</v>
      </c>
      <c r="D455" s="136" t="s">
        <v>1058</v>
      </c>
      <c r="E455" s="134" t="s">
        <v>393</v>
      </c>
      <c r="F455" s="137" t="s">
        <v>215</v>
      </c>
      <c r="G455" s="138" t="s">
        <v>368</v>
      </c>
      <c r="H455" s="139"/>
      <c r="I455" s="140">
        <v>1</v>
      </c>
      <c r="J455" s="141">
        <v>44597</v>
      </c>
      <c r="K455" s="141">
        <v>44597</v>
      </c>
      <c r="L455" s="181" t="s">
        <v>785</v>
      </c>
      <c r="M455" s="166" t="s">
        <v>35</v>
      </c>
      <c r="N455" s="205"/>
      <c r="O455" s="132"/>
      <c r="P455" s="132"/>
      <c r="Q455" s="132"/>
      <c r="R455" s="132"/>
      <c r="S455" s="132"/>
      <c r="T455" s="132"/>
      <c r="U455" s="132"/>
      <c r="V455" s="132"/>
      <c r="W455" s="132"/>
      <c r="X455" s="132"/>
      <c r="Y455" s="132"/>
      <c r="Z455" s="132"/>
      <c r="AA455" s="132"/>
      <c r="AB455" s="132"/>
    </row>
    <row r="456" spans="1:28" s="133" customFormat="1" ht="15" customHeight="1" outlineLevel="1" x14ac:dyDescent="0.2">
      <c r="A456" s="121">
        <v>6</v>
      </c>
      <c r="B456" s="134">
        <v>44746</v>
      </c>
      <c r="C456" s="135">
        <v>41870</v>
      </c>
      <c r="D456" s="136" t="s">
        <v>1059</v>
      </c>
      <c r="E456" s="134" t="s">
        <v>393</v>
      </c>
      <c r="F456" s="137" t="s">
        <v>208</v>
      </c>
      <c r="G456" s="138" t="s">
        <v>416</v>
      </c>
      <c r="H456" s="139"/>
      <c r="I456" s="140">
        <v>1</v>
      </c>
      <c r="J456" s="141">
        <v>14099</v>
      </c>
      <c r="K456" s="141">
        <v>14099</v>
      </c>
      <c r="L456" s="181" t="s">
        <v>785</v>
      </c>
      <c r="M456" s="166" t="s">
        <v>35</v>
      </c>
      <c r="N456" s="205"/>
      <c r="O456" s="132"/>
      <c r="P456" s="132"/>
      <c r="Q456" s="132"/>
      <c r="R456" s="132"/>
      <c r="S456" s="132"/>
      <c r="T456" s="132"/>
      <c r="U456" s="132"/>
      <c r="V456" s="132"/>
      <c r="W456" s="132"/>
      <c r="X456" s="132"/>
      <c r="Y456" s="132"/>
      <c r="Z456" s="132"/>
      <c r="AA456" s="132"/>
      <c r="AB456" s="132"/>
    </row>
    <row r="457" spans="1:28" s="133" customFormat="1" ht="15" customHeight="1" outlineLevel="1" x14ac:dyDescent="0.2">
      <c r="A457" s="121">
        <v>7</v>
      </c>
      <c r="B457" s="134">
        <v>45734</v>
      </c>
      <c r="C457" s="135">
        <v>41873</v>
      </c>
      <c r="D457" s="136" t="s">
        <v>1059</v>
      </c>
      <c r="E457" s="134" t="s">
        <v>393</v>
      </c>
      <c r="F457" s="137" t="s">
        <v>115</v>
      </c>
      <c r="G457" s="138" t="s">
        <v>416</v>
      </c>
      <c r="H457" s="139"/>
      <c r="I457" s="140">
        <v>1</v>
      </c>
      <c r="J457" s="141">
        <v>5274</v>
      </c>
      <c r="K457" s="141">
        <v>5274</v>
      </c>
      <c r="L457" s="181" t="s">
        <v>785</v>
      </c>
      <c r="M457" s="166" t="s">
        <v>35</v>
      </c>
      <c r="N457" s="205"/>
      <c r="O457" s="132"/>
      <c r="P457" s="132"/>
      <c r="Q457" s="132"/>
      <c r="R457" s="132"/>
      <c r="S457" s="132"/>
      <c r="T457" s="132"/>
      <c r="U457" s="132"/>
      <c r="V457" s="132"/>
      <c r="W457" s="132"/>
      <c r="X457" s="132"/>
      <c r="Y457" s="132"/>
      <c r="Z457" s="132"/>
      <c r="AA457" s="132"/>
      <c r="AB457" s="132"/>
    </row>
    <row r="458" spans="1:28" s="133" customFormat="1" ht="15" customHeight="1" outlineLevel="1" x14ac:dyDescent="0.2">
      <c r="A458" s="121">
        <v>8</v>
      </c>
      <c r="B458" s="134">
        <v>42036</v>
      </c>
      <c r="C458" s="135">
        <v>41862</v>
      </c>
      <c r="D458" s="136" t="s">
        <v>1060</v>
      </c>
      <c r="E458" s="134" t="s">
        <v>393</v>
      </c>
      <c r="F458" s="137" t="s">
        <v>115</v>
      </c>
      <c r="G458" s="138" t="s">
        <v>442</v>
      </c>
      <c r="H458" s="139" t="s">
        <v>1061</v>
      </c>
      <c r="I458" s="140">
        <v>1</v>
      </c>
      <c r="J458" s="141">
        <v>5274</v>
      </c>
      <c r="K458" s="141">
        <v>5274</v>
      </c>
      <c r="L458" s="181" t="s">
        <v>785</v>
      </c>
      <c r="M458" s="166" t="s">
        <v>35</v>
      </c>
      <c r="N458" s="205"/>
      <c r="O458" s="132"/>
      <c r="P458" s="132"/>
      <c r="Q458" s="132"/>
      <c r="R458" s="132"/>
      <c r="S458" s="132"/>
      <c r="T458" s="132"/>
      <c r="U458" s="132"/>
      <c r="V458" s="132"/>
      <c r="W458" s="132"/>
      <c r="X458" s="132"/>
      <c r="Y458" s="132"/>
      <c r="Z458" s="132"/>
      <c r="AA458" s="132"/>
      <c r="AB458" s="132"/>
    </row>
    <row r="459" spans="1:28" s="133" customFormat="1" ht="15" customHeight="1" outlineLevel="1" x14ac:dyDescent="0.2">
      <c r="A459" s="121">
        <v>9</v>
      </c>
      <c r="B459" s="134">
        <v>42036</v>
      </c>
      <c r="C459" s="135">
        <v>41862</v>
      </c>
      <c r="D459" s="136" t="s">
        <v>1060</v>
      </c>
      <c r="E459" s="134" t="s">
        <v>393</v>
      </c>
      <c r="F459" s="137" t="s">
        <v>208</v>
      </c>
      <c r="G459" s="138" t="s">
        <v>442</v>
      </c>
      <c r="H459" s="139"/>
      <c r="I459" s="140">
        <v>1</v>
      </c>
      <c r="J459" s="141">
        <v>14099</v>
      </c>
      <c r="K459" s="141">
        <v>14099</v>
      </c>
      <c r="L459" s="181" t="s">
        <v>785</v>
      </c>
      <c r="M459" s="166" t="s">
        <v>35</v>
      </c>
      <c r="N459" s="205"/>
      <c r="O459" s="132"/>
      <c r="P459" s="132"/>
      <c r="Q459" s="132"/>
      <c r="R459" s="132"/>
      <c r="S459" s="132"/>
      <c r="T459" s="132"/>
      <c r="U459" s="132"/>
      <c r="V459" s="132"/>
      <c r="W459" s="132"/>
      <c r="X459" s="132"/>
      <c r="Y459" s="132"/>
      <c r="Z459" s="132"/>
      <c r="AA459" s="132"/>
      <c r="AB459" s="132"/>
    </row>
    <row r="460" spans="1:28" s="133" customFormat="1" ht="15" customHeight="1" outlineLevel="1" x14ac:dyDescent="0.2">
      <c r="A460" s="121">
        <v>10</v>
      </c>
      <c r="B460" s="134">
        <v>39690</v>
      </c>
      <c r="C460" s="135">
        <v>41855</v>
      </c>
      <c r="D460" s="136" t="s">
        <v>1062</v>
      </c>
      <c r="E460" s="134" t="s">
        <v>393</v>
      </c>
      <c r="F460" s="137" t="s">
        <v>115</v>
      </c>
      <c r="G460" s="138" t="s">
        <v>1063</v>
      </c>
      <c r="H460" s="139" t="s">
        <v>566</v>
      </c>
      <c r="I460" s="140">
        <v>3</v>
      </c>
      <c r="J460" s="141">
        <v>5274</v>
      </c>
      <c r="K460" s="141">
        <v>15822</v>
      </c>
      <c r="L460" s="181" t="s">
        <v>785</v>
      </c>
      <c r="M460" s="166" t="s">
        <v>35</v>
      </c>
      <c r="N460" s="205"/>
      <c r="O460" s="132"/>
      <c r="P460" s="132"/>
      <c r="Q460" s="132"/>
      <c r="R460" s="132"/>
      <c r="S460" s="132"/>
      <c r="T460" s="132"/>
      <c r="U460" s="132"/>
      <c r="V460" s="132"/>
      <c r="W460" s="132"/>
      <c r="X460" s="132"/>
      <c r="Y460" s="132"/>
      <c r="Z460" s="132"/>
      <c r="AA460" s="132"/>
      <c r="AB460" s="132"/>
    </row>
    <row r="461" spans="1:28" s="133" customFormat="1" ht="15" customHeight="1" outlineLevel="1" x14ac:dyDescent="0.2">
      <c r="A461" s="121">
        <v>11</v>
      </c>
      <c r="B461" s="134">
        <v>46479</v>
      </c>
      <c r="C461" s="135">
        <v>41876</v>
      </c>
      <c r="D461" s="136" t="s">
        <v>1064</v>
      </c>
      <c r="E461" s="134" t="s">
        <v>1065</v>
      </c>
      <c r="F461" s="137" t="s">
        <v>1066</v>
      </c>
      <c r="G461" s="138" t="s">
        <v>368</v>
      </c>
      <c r="H461" s="139"/>
      <c r="I461" s="140">
        <v>1</v>
      </c>
      <c r="J461" s="141">
        <v>18764</v>
      </c>
      <c r="K461" s="141">
        <v>18764</v>
      </c>
      <c r="L461" s="181" t="s">
        <v>785</v>
      </c>
      <c r="M461" s="166" t="s">
        <v>35</v>
      </c>
      <c r="N461" s="205"/>
      <c r="O461" s="132"/>
      <c r="P461" s="132"/>
      <c r="Q461" s="132"/>
      <c r="R461" s="132"/>
      <c r="S461" s="132"/>
      <c r="T461" s="132"/>
      <c r="U461" s="132"/>
      <c r="V461" s="132"/>
      <c r="W461" s="132"/>
      <c r="X461" s="132"/>
      <c r="Y461" s="132"/>
      <c r="Z461" s="132"/>
      <c r="AA461" s="132"/>
      <c r="AB461" s="132"/>
    </row>
    <row r="462" spans="1:28" s="133" customFormat="1" ht="15" customHeight="1" outlineLevel="1" x14ac:dyDescent="0.2">
      <c r="A462" s="121">
        <v>12</v>
      </c>
      <c r="B462" s="134">
        <v>44541</v>
      </c>
      <c r="C462" s="135">
        <v>41870</v>
      </c>
      <c r="D462" s="136" t="s">
        <v>1067</v>
      </c>
      <c r="E462" s="134" t="s">
        <v>393</v>
      </c>
      <c r="F462" s="137" t="s">
        <v>115</v>
      </c>
      <c r="G462" s="138" t="s">
        <v>407</v>
      </c>
      <c r="H462" s="139"/>
      <c r="I462" s="140">
        <v>1</v>
      </c>
      <c r="J462" s="141">
        <v>5274</v>
      </c>
      <c r="K462" s="141">
        <v>5274</v>
      </c>
      <c r="L462" s="181" t="s">
        <v>785</v>
      </c>
      <c r="M462" s="166" t="s">
        <v>35</v>
      </c>
      <c r="N462" s="205"/>
      <c r="O462" s="132"/>
      <c r="P462" s="132"/>
      <c r="Q462" s="132"/>
      <c r="R462" s="132"/>
      <c r="S462" s="132"/>
      <c r="T462" s="132"/>
      <c r="U462" s="132"/>
      <c r="V462" s="132"/>
      <c r="W462" s="132"/>
      <c r="X462" s="132"/>
      <c r="Y462" s="132"/>
      <c r="Z462" s="132"/>
      <c r="AA462" s="132"/>
      <c r="AB462" s="132"/>
    </row>
    <row r="463" spans="1:28" s="133" customFormat="1" ht="15" customHeight="1" outlineLevel="1" x14ac:dyDescent="0.2">
      <c r="A463" s="121">
        <v>13</v>
      </c>
      <c r="B463" s="134">
        <v>44541</v>
      </c>
      <c r="C463" s="135">
        <v>41870</v>
      </c>
      <c r="D463" s="136" t="s">
        <v>1067</v>
      </c>
      <c r="E463" s="134" t="s">
        <v>393</v>
      </c>
      <c r="F463" s="137" t="s">
        <v>208</v>
      </c>
      <c r="G463" s="138" t="s">
        <v>407</v>
      </c>
      <c r="H463" s="139"/>
      <c r="I463" s="140">
        <v>1</v>
      </c>
      <c r="J463" s="141">
        <v>14099</v>
      </c>
      <c r="K463" s="141">
        <v>14099</v>
      </c>
      <c r="L463" s="181" t="s">
        <v>785</v>
      </c>
      <c r="M463" s="166" t="s">
        <v>35</v>
      </c>
      <c r="N463" s="205"/>
      <c r="O463" s="132"/>
      <c r="P463" s="132"/>
      <c r="Q463" s="132"/>
      <c r="R463" s="132"/>
      <c r="S463" s="132"/>
      <c r="T463" s="132"/>
      <c r="U463" s="132"/>
      <c r="V463" s="132"/>
      <c r="W463" s="132"/>
      <c r="X463" s="132"/>
      <c r="Y463" s="132"/>
      <c r="Z463" s="132"/>
      <c r="AA463" s="132"/>
      <c r="AB463" s="132"/>
    </row>
    <row r="464" spans="1:28" s="133" customFormat="1" ht="15" customHeight="1" outlineLevel="1" x14ac:dyDescent="0.2">
      <c r="A464" s="121">
        <v>14</v>
      </c>
      <c r="B464" s="134">
        <v>40021</v>
      </c>
      <c r="C464" s="135">
        <v>41855</v>
      </c>
      <c r="D464" s="136" t="s">
        <v>1068</v>
      </c>
      <c r="E464" s="134" t="s">
        <v>393</v>
      </c>
      <c r="F464" s="137" t="s">
        <v>534</v>
      </c>
      <c r="G464" s="138" t="s">
        <v>508</v>
      </c>
      <c r="H464" s="139" t="s">
        <v>639</v>
      </c>
      <c r="I464" s="140">
        <v>1</v>
      </c>
      <c r="J464" s="141">
        <v>30429</v>
      </c>
      <c r="K464" s="141">
        <v>30429</v>
      </c>
      <c r="L464" s="181" t="s">
        <v>785</v>
      </c>
      <c r="M464" s="166" t="s">
        <v>35</v>
      </c>
      <c r="N464" s="205"/>
      <c r="O464" s="132"/>
      <c r="P464" s="132"/>
      <c r="Q464" s="132"/>
      <c r="R464" s="132"/>
      <c r="S464" s="132"/>
      <c r="T464" s="132"/>
      <c r="U464" s="132"/>
      <c r="V464" s="132"/>
      <c r="W464" s="132"/>
      <c r="X464" s="132"/>
      <c r="Y464" s="132"/>
      <c r="Z464" s="132"/>
      <c r="AA464" s="132"/>
      <c r="AB464" s="132"/>
    </row>
    <row r="465" spans="1:28" s="133" customFormat="1" ht="15" customHeight="1" outlineLevel="1" x14ac:dyDescent="0.2">
      <c r="A465" s="121">
        <v>15</v>
      </c>
      <c r="B465" s="134">
        <v>40362</v>
      </c>
      <c r="C465" s="135">
        <v>41855</v>
      </c>
      <c r="D465" s="136" t="s">
        <v>1069</v>
      </c>
      <c r="E465" s="134" t="s">
        <v>393</v>
      </c>
      <c r="F465" s="137" t="s">
        <v>534</v>
      </c>
      <c r="G465" s="138" t="s">
        <v>389</v>
      </c>
      <c r="H465" s="139" t="s">
        <v>551</v>
      </c>
      <c r="I465" s="140">
        <v>1</v>
      </c>
      <c r="J465" s="141">
        <v>30429</v>
      </c>
      <c r="K465" s="141">
        <v>30429</v>
      </c>
      <c r="L465" s="181" t="s">
        <v>785</v>
      </c>
      <c r="M465" s="166" t="s">
        <v>35</v>
      </c>
      <c r="N465" s="205"/>
      <c r="O465" s="132"/>
      <c r="P465" s="132"/>
      <c r="Q465" s="132"/>
      <c r="R465" s="132"/>
      <c r="S465" s="132"/>
      <c r="T465" s="132"/>
      <c r="U465" s="132"/>
      <c r="V465" s="132"/>
      <c r="W465" s="132"/>
      <c r="X465" s="132"/>
      <c r="Y465" s="132"/>
      <c r="Z465" s="132"/>
      <c r="AA465" s="132"/>
      <c r="AB465" s="132"/>
    </row>
    <row r="466" spans="1:28" s="133" customFormat="1" ht="15" customHeight="1" outlineLevel="1" x14ac:dyDescent="0.2">
      <c r="A466" s="121">
        <v>16</v>
      </c>
      <c r="B466" s="134">
        <v>42379</v>
      </c>
      <c r="C466" s="135">
        <v>41862</v>
      </c>
      <c r="D466" s="136" t="s">
        <v>436</v>
      </c>
      <c r="E466" s="134" t="s">
        <v>393</v>
      </c>
      <c r="F466" s="137" t="s">
        <v>577</v>
      </c>
      <c r="G466" s="138" t="s">
        <v>368</v>
      </c>
      <c r="H466" s="139"/>
      <c r="I466" s="140">
        <v>1</v>
      </c>
      <c r="J466" s="141">
        <v>25800</v>
      </c>
      <c r="K466" s="141">
        <v>25800</v>
      </c>
      <c r="L466" s="181" t="s">
        <v>785</v>
      </c>
      <c r="M466" s="166" t="s">
        <v>35</v>
      </c>
      <c r="N466" s="205"/>
      <c r="O466" s="132"/>
      <c r="P466" s="132"/>
      <c r="Q466" s="132"/>
      <c r="R466" s="132"/>
      <c r="S466" s="132"/>
      <c r="T466" s="132"/>
      <c r="U466" s="132"/>
      <c r="V466" s="132"/>
      <c r="W466" s="132"/>
      <c r="X466" s="132"/>
      <c r="Y466" s="132"/>
      <c r="Z466" s="132"/>
      <c r="AA466" s="132"/>
      <c r="AB466" s="132"/>
    </row>
    <row r="467" spans="1:28" s="133" customFormat="1" ht="15" customHeight="1" outlineLevel="1" x14ac:dyDescent="0.2">
      <c r="A467" s="121">
        <v>17</v>
      </c>
      <c r="B467" s="134">
        <v>46506</v>
      </c>
      <c r="C467" s="135">
        <v>41876</v>
      </c>
      <c r="D467" s="136" t="s">
        <v>1070</v>
      </c>
      <c r="E467" s="134" t="s">
        <v>393</v>
      </c>
      <c r="F467" s="137" t="s">
        <v>534</v>
      </c>
      <c r="G467" s="138" t="s">
        <v>428</v>
      </c>
      <c r="H467" s="139"/>
      <c r="I467" s="140">
        <v>1</v>
      </c>
      <c r="J467" s="141">
        <v>30429</v>
      </c>
      <c r="K467" s="141">
        <v>30429</v>
      </c>
      <c r="L467" s="181" t="s">
        <v>785</v>
      </c>
      <c r="M467" s="166" t="s">
        <v>35</v>
      </c>
      <c r="N467" s="205"/>
      <c r="O467" s="132"/>
      <c r="P467" s="132"/>
      <c r="Q467" s="132"/>
      <c r="R467" s="132"/>
      <c r="S467" s="132"/>
      <c r="T467" s="132"/>
      <c r="U467" s="132"/>
      <c r="V467" s="132"/>
      <c r="W467" s="132"/>
      <c r="X467" s="132"/>
      <c r="Y467" s="132"/>
      <c r="Z467" s="132"/>
      <c r="AA467" s="132"/>
      <c r="AB467" s="132"/>
    </row>
    <row r="468" spans="1:28" s="133" customFormat="1" ht="15" customHeight="1" outlineLevel="1" x14ac:dyDescent="0.2">
      <c r="A468" s="121">
        <v>1</v>
      </c>
      <c r="B468" s="134">
        <v>54351</v>
      </c>
      <c r="C468" s="135">
        <v>41906</v>
      </c>
      <c r="D468" s="136" t="s">
        <v>1071</v>
      </c>
      <c r="E468" s="134" t="s">
        <v>1072</v>
      </c>
      <c r="F468" s="137" t="s">
        <v>193</v>
      </c>
      <c r="G468" s="138" t="s">
        <v>368</v>
      </c>
      <c r="H468" s="139"/>
      <c r="I468" s="140">
        <v>1</v>
      </c>
      <c r="J468" s="141">
        <v>36514.799999999996</v>
      </c>
      <c r="K468" s="141">
        <v>36514.799999999996</v>
      </c>
      <c r="L468" s="181" t="s">
        <v>614</v>
      </c>
      <c r="M468" s="166" t="s">
        <v>35</v>
      </c>
      <c r="N468" s="205"/>
      <c r="O468" s="132"/>
      <c r="P468" s="132"/>
      <c r="Q468" s="132"/>
      <c r="R468" s="132"/>
      <c r="S468" s="132"/>
      <c r="T468" s="132"/>
      <c r="U468" s="132"/>
      <c r="V468" s="132"/>
      <c r="W468" s="132"/>
      <c r="X468" s="132"/>
      <c r="Y468" s="132"/>
      <c r="Z468" s="132"/>
      <c r="AA468" s="132"/>
      <c r="AB468" s="132"/>
    </row>
    <row r="469" spans="1:28" s="133" customFormat="1" ht="15" customHeight="1" outlineLevel="1" x14ac:dyDescent="0.2">
      <c r="A469" s="121">
        <v>2</v>
      </c>
      <c r="B469" s="134">
        <v>55404</v>
      </c>
      <c r="C469" s="135">
        <v>41908</v>
      </c>
      <c r="D469" s="136" t="s">
        <v>1071</v>
      </c>
      <c r="E469" s="134" t="s">
        <v>1072</v>
      </c>
      <c r="F469" s="137" t="s">
        <v>193</v>
      </c>
      <c r="G469" s="138" t="s">
        <v>368</v>
      </c>
      <c r="H469" s="139"/>
      <c r="I469" s="140">
        <v>1</v>
      </c>
      <c r="J469" s="141">
        <v>36514.799999999996</v>
      </c>
      <c r="K469" s="141">
        <v>36514.799999999996</v>
      </c>
      <c r="L469" s="181" t="s">
        <v>614</v>
      </c>
      <c r="M469" s="166" t="s">
        <v>35</v>
      </c>
      <c r="N469" s="205"/>
      <c r="O469" s="132"/>
      <c r="P469" s="132"/>
      <c r="Q469" s="132"/>
      <c r="R469" s="132"/>
      <c r="S469" s="132"/>
      <c r="T469" s="132"/>
      <c r="U469" s="132"/>
      <c r="V469" s="132"/>
      <c r="W469" s="132"/>
      <c r="X469" s="132"/>
      <c r="Y469" s="132"/>
      <c r="Z469" s="132"/>
      <c r="AA469" s="132"/>
      <c r="AB469" s="132"/>
    </row>
    <row r="470" spans="1:28" s="133" customFormat="1" ht="15" customHeight="1" outlineLevel="1" x14ac:dyDescent="0.2">
      <c r="A470" s="121">
        <v>3</v>
      </c>
      <c r="B470" s="134">
        <v>54201</v>
      </c>
      <c r="C470" s="135">
        <v>41904</v>
      </c>
      <c r="D470" s="136" t="s">
        <v>1073</v>
      </c>
      <c r="E470" s="134" t="s">
        <v>393</v>
      </c>
      <c r="F470" s="137" t="s">
        <v>215</v>
      </c>
      <c r="G470" s="138" t="s">
        <v>368</v>
      </c>
      <c r="H470" s="139"/>
      <c r="I470" s="140">
        <v>1</v>
      </c>
      <c r="J470" s="141">
        <v>44597</v>
      </c>
      <c r="K470" s="141">
        <v>44597</v>
      </c>
      <c r="L470" s="181" t="s">
        <v>614</v>
      </c>
      <c r="M470" s="166" t="s">
        <v>35</v>
      </c>
      <c r="N470" s="205"/>
      <c r="O470" s="132"/>
      <c r="P470" s="132"/>
      <c r="Q470" s="132"/>
      <c r="R470" s="132"/>
      <c r="S470" s="132"/>
      <c r="T470" s="132"/>
      <c r="U470" s="132"/>
      <c r="V470" s="132"/>
      <c r="W470" s="132"/>
      <c r="X470" s="132"/>
      <c r="Y470" s="132"/>
      <c r="Z470" s="132"/>
      <c r="AA470" s="132"/>
      <c r="AB470" s="132"/>
    </row>
    <row r="471" spans="1:28" s="133" customFormat="1" ht="15" customHeight="1" outlineLevel="1" x14ac:dyDescent="0.2">
      <c r="A471" s="121">
        <v>4</v>
      </c>
      <c r="B471" s="134">
        <v>52609</v>
      </c>
      <c r="C471" s="135">
        <v>41894</v>
      </c>
      <c r="D471" s="136" t="s">
        <v>1074</v>
      </c>
      <c r="E471" s="134" t="s">
        <v>393</v>
      </c>
      <c r="F471" s="137" t="s">
        <v>208</v>
      </c>
      <c r="G471" s="138" t="s">
        <v>439</v>
      </c>
      <c r="H471" s="139"/>
      <c r="I471" s="140">
        <v>1</v>
      </c>
      <c r="J471" s="141">
        <v>14099</v>
      </c>
      <c r="K471" s="141">
        <v>14099</v>
      </c>
      <c r="L471" s="181" t="s">
        <v>614</v>
      </c>
      <c r="M471" s="166" t="s">
        <v>35</v>
      </c>
      <c r="N471" s="205"/>
      <c r="O471" s="132"/>
      <c r="P471" s="132"/>
      <c r="Q471" s="132"/>
      <c r="R471" s="132"/>
      <c r="S471" s="132"/>
      <c r="T471" s="132"/>
      <c r="U471" s="132"/>
      <c r="V471" s="132"/>
      <c r="W471" s="132"/>
      <c r="X471" s="132"/>
      <c r="Y471" s="132"/>
      <c r="Z471" s="132"/>
      <c r="AA471" s="132"/>
      <c r="AB471" s="132"/>
    </row>
    <row r="472" spans="1:28" s="133" customFormat="1" ht="15" customHeight="1" outlineLevel="1" x14ac:dyDescent="0.2">
      <c r="A472" s="121">
        <v>5</v>
      </c>
      <c r="B472" s="134">
        <v>55287</v>
      </c>
      <c r="C472" s="135">
        <v>41911</v>
      </c>
      <c r="D472" s="136" t="s">
        <v>438</v>
      </c>
      <c r="E472" s="134" t="s">
        <v>393</v>
      </c>
      <c r="F472" s="137" t="s">
        <v>534</v>
      </c>
      <c r="G472" s="138" t="s">
        <v>428</v>
      </c>
      <c r="H472" s="139"/>
      <c r="I472" s="140">
        <v>1</v>
      </c>
      <c r="J472" s="141">
        <v>30429</v>
      </c>
      <c r="K472" s="141">
        <v>30429</v>
      </c>
      <c r="L472" s="181" t="s">
        <v>614</v>
      </c>
      <c r="M472" s="166" t="s">
        <v>35</v>
      </c>
      <c r="N472" s="205"/>
      <c r="O472" s="132"/>
      <c r="P472" s="132"/>
      <c r="Q472" s="132"/>
      <c r="R472" s="132"/>
      <c r="S472" s="132"/>
      <c r="T472" s="132"/>
      <c r="U472" s="132"/>
      <c r="V472" s="132"/>
      <c r="W472" s="132"/>
      <c r="X472" s="132"/>
      <c r="Y472" s="132"/>
      <c r="Z472" s="132"/>
      <c r="AA472" s="132"/>
      <c r="AB472" s="132"/>
    </row>
    <row r="473" spans="1:28" s="133" customFormat="1" ht="15" customHeight="1" outlineLevel="1" x14ac:dyDescent="0.2">
      <c r="A473" s="121">
        <v>6</v>
      </c>
      <c r="B473" s="134">
        <v>55266</v>
      </c>
      <c r="C473" s="135">
        <v>41911</v>
      </c>
      <c r="D473" s="136" t="s">
        <v>1075</v>
      </c>
      <c r="E473" s="134" t="s">
        <v>393</v>
      </c>
      <c r="F473" s="137" t="s">
        <v>115</v>
      </c>
      <c r="G473" s="138" t="s">
        <v>439</v>
      </c>
      <c r="H473" s="139"/>
      <c r="I473" s="140">
        <v>1</v>
      </c>
      <c r="J473" s="141">
        <v>5274</v>
      </c>
      <c r="K473" s="141">
        <v>5274</v>
      </c>
      <c r="L473" s="181" t="s">
        <v>614</v>
      </c>
      <c r="M473" s="166" t="s">
        <v>35</v>
      </c>
      <c r="N473" s="205"/>
      <c r="O473" s="132"/>
      <c r="P473" s="132"/>
      <c r="Q473" s="132"/>
      <c r="R473" s="132"/>
      <c r="S473" s="132"/>
      <c r="T473" s="132"/>
      <c r="U473" s="132"/>
      <c r="V473" s="132"/>
      <c r="W473" s="132"/>
      <c r="X473" s="132"/>
      <c r="Y473" s="132"/>
      <c r="Z473" s="132"/>
      <c r="AA473" s="132"/>
      <c r="AB473" s="132"/>
    </row>
    <row r="474" spans="1:28" s="133" customFormat="1" ht="15" customHeight="1" outlineLevel="1" x14ac:dyDescent="0.2">
      <c r="A474" s="121">
        <v>7</v>
      </c>
      <c r="B474" s="134">
        <v>48674</v>
      </c>
      <c r="C474" s="135">
        <v>41883</v>
      </c>
      <c r="D474" s="136" t="s">
        <v>1076</v>
      </c>
      <c r="E474" s="134" t="s">
        <v>393</v>
      </c>
      <c r="F474" s="137" t="s">
        <v>208</v>
      </c>
      <c r="G474" s="138" t="s">
        <v>589</v>
      </c>
      <c r="H474" s="139"/>
      <c r="I474" s="140">
        <v>2</v>
      </c>
      <c r="J474" s="141">
        <v>14099</v>
      </c>
      <c r="K474" s="141">
        <v>28198</v>
      </c>
      <c r="L474" s="181" t="s">
        <v>614</v>
      </c>
      <c r="M474" s="166" t="s">
        <v>35</v>
      </c>
      <c r="N474" s="205"/>
      <c r="O474" s="132"/>
      <c r="P474" s="132"/>
      <c r="Q474" s="132"/>
      <c r="R474" s="132"/>
      <c r="S474" s="132"/>
      <c r="T474" s="132"/>
      <c r="U474" s="132"/>
      <c r="V474" s="132"/>
      <c r="W474" s="132"/>
      <c r="X474" s="132"/>
      <c r="Y474" s="132"/>
      <c r="Z474" s="132"/>
      <c r="AA474" s="132"/>
      <c r="AB474" s="132"/>
    </row>
    <row r="475" spans="1:28" s="133" customFormat="1" ht="15" customHeight="1" outlineLevel="1" x14ac:dyDescent="0.2">
      <c r="A475" s="121">
        <v>8</v>
      </c>
      <c r="B475" s="134">
        <v>52782</v>
      </c>
      <c r="C475" s="135">
        <v>41898</v>
      </c>
      <c r="D475" s="136" t="s">
        <v>1076</v>
      </c>
      <c r="E475" s="134" t="s">
        <v>393</v>
      </c>
      <c r="F475" s="137" t="s">
        <v>115</v>
      </c>
      <c r="G475" s="138" t="s">
        <v>589</v>
      </c>
      <c r="H475" s="139"/>
      <c r="I475" s="140">
        <v>2</v>
      </c>
      <c r="J475" s="141">
        <v>5274</v>
      </c>
      <c r="K475" s="141">
        <v>10548</v>
      </c>
      <c r="L475" s="181" t="s">
        <v>614</v>
      </c>
      <c r="M475" s="166" t="s">
        <v>35</v>
      </c>
      <c r="N475" s="205"/>
      <c r="O475" s="132"/>
      <c r="P475" s="132"/>
      <c r="Q475" s="132"/>
      <c r="R475" s="132"/>
      <c r="S475" s="132"/>
      <c r="T475" s="132"/>
      <c r="U475" s="132"/>
      <c r="V475" s="132"/>
      <c r="W475" s="132"/>
      <c r="X475" s="132"/>
      <c r="Y475" s="132"/>
      <c r="Z475" s="132"/>
      <c r="AA475" s="132"/>
      <c r="AB475" s="132"/>
    </row>
    <row r="476" spans="1:28" s="133" customFormat="1" ht="15" customHeight="1" outlineLevel="1" x14ac:dyDescent="0.2">
      <c r="A476" s="121">
        <v>9</v>
      </c>
      <c r="B476" s="134">
        <v>51495</v>
      </c>
      <c r="C476" s="135">
        <v>41892</v>
      </c>
      <c r="D476" s="136" t="s">
        <v>1077</v>
      </c>
      <c r="E476" s="134" t="s">
        <v>453</v>
      </c>
      <c r="F476" s="137" t="s">
        <v>215</v>
      </c>
      <c r="G476" s="138" t="s">
        <v>366</v>
      </c>
      <c r="H476" s="139"/>
      <c r="I476" s="140">
        <v>1</v>
      </c>
      <c r="J476" s="141">
        <v>44597</v>
      </c>
      <c r="K476" s="141">
        <v>44597</v>
      </c>
      <c r="L476" s="181" t="s">
        <v>614</v>
      </c>
      <c r="M476" s="166" t="s">
        <v>35</v>
      </c>
      <c r="N476" s="205"/>
      <c r="O476" s="132"/>
      <c r="P476" s="132"/>
      <c r="Q476" s="132"/>
      <c r="R476" s="132"/>
      <c r="S476" s="132"/>
      <c r="T476" s="132"/>
      <c r="U476" s="132"/>
      <c r="V476" s="132"/>
      <c r="W476" s="132"/>
      <c r="X476" s="132"/>
      <c r="Y476" s="132"/>
      <c r="Z476" s="132"/>
      <c r="AA476" s="132"/>
      <c r="AB476" s="132"/>
    </row>
    <row r="477" spans="1:28" s="133" customFormat="1" ht="15" customHeight="1" outlineLevel="1" x14ac:dyDescent="0.2">
      <c r="A477" s="121">
        <v>10</v>
      </c>
      <c r="B477" s="134">
        <v>50471</v>
      </c>
      <c r="C477" s="135">
        <v>41887</v>
      </c>
      <c r="D477" s="136" t="s">
        <v>1078</v>
      </c>
      <c r="E477" s="134" t="s">
        <v>393</v>
      </c>
      <c r="F477" s="137" t="s">
        <v>115</v>
      </c>
      <c r="G477" s="138" t="s">
        <v>428</v>
      </c>
      <c r="H477" s="139"/>
      <c r="I477" s="140">
        <v>1</v>
      </c>
      <c r="J477" s="141">
        <v>5274</v>
      </c>
      <c r="K477" s="141">
        <v>5274</v>
      </c>
      <c r="L477" s="181" t="s">
        <v>614</v>
      </c>
      <c r="M477" s="166" t="s">
        <v>35</v>
      </c>
      <c r="N477" s="205"/>
      <c r="O477" s="132"/>
      <c r="P477" s="132"/>
      <c r="Q477" s="132"/>
      <c r="R477" s="132"/>
      <c r="S477" s="132"/>
      <c r="T477" s="132"/>
      <c r="U477" s="132"/>
      <c r="V477" s="132"/>
      <c r="W477" s="132"/>
      <c r="X477" s="132"/>
      <c r="Y477" s="132"/>
      <c r="Z477" s="132"/>
      <c r="AA477" s="132"/>
      <c r="AB477" s="132"/>
    </row>
    <row r="478" spans="1:28" s="133" customFormat="1" ht="15" customHeight="1" outlineLevel="1" x14ac:dyDescent="0.2">
      <c r="A478" s="121">
        <v>11</v>
      </c>
      <c r="B478" s="134">
        <v>50471</v>
      </c>
      <c r="C478" s="135">
        <v>41887</v>
      </c>
      <c r="D478" s="136" t="s">
        <v>1078</v>
      </c>
      <c r="E478" s="134" t="s">
        <v>393</v>
      </c>
      <c r="F478" s="137" t="s">
        <v>208</v>
      </c>
      <c r="G478" s="138" t="s">
        <v>428</v>
      </c>
      <c r="H478" s="139"/>
      <c r="I478" s="140">
        <v>1</v>
      </c>
      <c r="J478" s="141">
        <v>14099</v>
      </c>
      <c r="K478" s="141">
        <v>14099</v>
      </c>
      <c r="L478" s="181" t="s">
        <v>614</v>
      </c>
      <c r="M478" s="166" t="s">
        <v>35</v>
      </c>
      <c r="N478" s="205"/>
      <c r="O478" s="132"/>
      <c r="P478" s="132"/>
      <c r="Q478" s="132"/>
      <c r="R478" s="132"/>
      <c r="S478" s="132"/>
      <c r="T478" s="132"/>
      <c r="U478" s="132"/>
      <c r="V478" s="132"/>
      <c r="W478" s="132"/>
      <c r="X478" s="132"/>
      <c r="Y478" s="132"/>
      <c r="Z478" s="132"/>
      <c r="AA478" s="132"/>
      <c r="AB478" s="132"/>
    </row>
    <row r="479" spans="1:28" s="133" customFormat="1" ht="15" customHeight="1" outlineLevel="1" x14ac:dyDescent="0.2">
      <c r="A479" s="121">
        <v>12</v>
      </c>
      <c r="B479" s="134">
        <v>53645</v>
      </c>
      <c r="C479" s="135">
        <v>41904</v>
      </c>
      <c r="D479" s="136" t="s">
        <v>443</v>
      </c>
      <c r="E479" s="134" t="s">
        <v>393</v>
      </c>
      <c r="F479" s="137" t="s">
        <v>115</v>
      </c>
      <c r="G479" s="138" t="s">
        <v>414</v>
      </c>
      <c r="H479" s="139"/>
      <c r="I479" s="140">
        <v>1</v>
      </c>
      <c r="J479" s="141">
        <v>5274</v>
      </c>
      <c r="K479" s="141">
        <v>5274</v>
      </c>
      <c r="L479" s="181" t="s">
        <v>614</v>
      </c>
      <c r="M479" s="166" t="s">
        <v>35</v>
      </c>
      <c r="N479" s="205"/>
      <c r="O479" s="132"/>
      <c r="P479" s="132"/>
      <c r="Q479" s="132"/>
      <c r="R479" s="132"/>
      <c r="S479" s="132"/>
      <c r="T479" s="132"/>
      <c r="U479" s="132"/>
      <c r="V479" s="132"/>
      <c r="W479" s="132"/>
      <c r="X479" s="132"/>
      <c r="Y479" s="132"/>
      <c r="Z479" s="132"/>
      <c r="AA479" s="132"/>
      <c r="AB479" s="132"/>
    </row>
    <row r="480" spans="1:28" s="133" customFormat="1" ht="15" customHeight="1" outlineLevel="1" x14ac:dyDescent="0.2">
      <c r="A480" s="121">
        <v>13</v>
      </c>
      <c r="B480" s="134">
        <v>56658</v>
      </c>
      <c r="C480" s="174">
        <v>41912</v>
      </c>
      <c r="D480" s="136" t="s">
        <v>443</v>
      </c>
      <c r="E480" s="134" t="s">
        <v>393</v>
      </c>
      <c r="F480" s="137" t="s">
        <v>208</v>
      </c>
      <c r="G480" s="138" t="s">
        <v>414</v>
      </c>
      <c r="H480" s="139"/>
      <c r="I480" s="140">
        <v>1</v>
      </c>
      <c r="J480" s="141">
        <v>14099</v>
      </c>
      <c r="K480" s="141">
        <v>14099</v>
      </c>
      <c r="L480" s="181" t="s">
        <v>614</v>
      </c>
      <c r="M480" s="166" t="s">
        <v>35</v>
      </c>
      <c r="N480" s="205"/>
      <c r="O480" s="132"/>
      <c r="P480" s="132"/>
      <c r="Q480" s="132"/>
      <c r="R480" s="132"/>
      <c r="S480" s="132"/>
      <c r="T480" s="132"/>
      <c r="U480" s="132"/>
      <c r="V480" s="132"/>
      <c r="W480" s="132"/>
      <c r="X480" s="132"/>
      <c r="Y480" s="132"/>
      <c r="Z480" s="132"/>
      <c r="AA480" s="132"/>
      <c r="AB480" s="132"/>
    </row>
    <row r="481" spans="1:28" s="133" customFormat="1" ht="15" customHeight="1" outlineLevel="1" x14ac:dyDescent="0.2">
      <c r="A481" s="121">
        <v>14</v>
      </c>
      <c r="B481" s="134">
        <v>55486</v>
      </c>
      <c r="C481" s="135">
        <v>41912</v>
      </c>
      <c r="D481" s="136" t="s">
        <v>1079</v>
      </c>
      <c r="E481" s="134" t="s">
        <v>393</v>
      </c>
      <c r="F481" s="137" t="s">
        <v>115</v>
      </c>
      <c r="G481" s="138" t="s">
        <v>416</v>
      </c>
      <c r="H481" s="139"/>
      <c r="I481" s="140">
        <v>1</v>
      </c>
      <c r="J481" s="141">
        <v>5274</v>
      </c>
      <c r="K481" s="141">
        <v>5274</v>
      </c>
      <c r="L481" s="181" t="s">
        <v>614</v>
      </c>
      <c r="M481" s="166" t="s">
        <v>35</v>
      </c>
      <c r="N481" s="205"/>
      <c r="O481" s="132"/>
      <c r="P481" s="132"/>
      <c r="Q481" s="132"/>
      <c r="R481" s="132"/>
      <c r="S481" s="132"/>
      <c r="T481" s="132"/>
      <c r="U481" s="132"/>
      <c r="V481" s="132"/>
      <c r="W481" s="132"/>
      <c r="X481" s="132"/>
      <c r="Y481" s="132"/>
      <c r="Z481" s="132"/>
      <c r="AA481" s="132"/>
      <c r="AB481" s="132"/>
    </row>
    <row r="482" spans="1:28" s="133" customFormat="1" ht="15" customHeight="1" outlineLevel="1" x14ac:dyDescent="0.2">
      <c r="A482" s="121">
        <v>15</v>
      </c>
      <c r="B482" s="134">
        <v>55486</v>
      </c>
      <c r="C482" s="135">
        <v>41912</v>
      </c>
      <c r="D482" s="136" t="s">
        <v>1079</v>
      </c>
      <c r="E482" s="134" t="s">
        <v>393</v>
      </c>
      <c r="F482" s="137" t="s">
        <v>208</v>
      </c>
      <c r="G482" s="138" t="s">
        <v>416</v>
      </c>
      <c r="H482" s="139"/>
      <c r="I482" s="140">
        <v>1</v>
      </c>
      <c r="J482" s="141">
        <v>14099</v>
      </c>
      <c r="K482" s="141">
        <v>14099</v>
      </c>
      <c r="L482" s="181" t="s">
        <v>614</v>
      </c>
      <c r="M482" s="166" t="s">
        <v>35</v>
      </c>
      <c r="N482" s="205"/>
      <c r="O482" s="132"/>
      <c r="P482" s="132"/>
      <c r="Q482" s="132"/>
      <c r="R482" s="132"/>
      <c r="S482" s="132"/>
      <c r="T482" s="132"/>
      <c r="U482" s="132"/>
      <c r="V482" s="132"/>
      <c r="W482" s="132"/>
      <c r="X482" s="132"/>
      <c r="Y482" s="132"/>
      <c r="Z482" s="132"/>
      <c r="AA482" s="132"/>
      <c r="AB482" s="132"/>
    </row>
    <row r="483" spans="1:28" s="133" customFormat="1" ht="15" customHeight="1" outlineLevel="1" x14ac:dyDescent="0.2">
      <c r="A483" s="121">
        <v>16</v>
      </c>
      <c r="B483" s="134">
        <v>53287</v>
      </c>
      <c r="C483" s="135">
        <v>41897</v>
      </c>
      <c r="D483" s="136" t="s">
        <v>1059</v>
      </c>
      <c r="E483" s="134" t="s">
        <v>393</v>
      </c>
      <c r="F483" s="137" t="s">
        <v>114</v>
      </c>
      <c r="G483" s="138" t="s">
        <v>416</v>
      </c>
      <c r="H483" s="139"/>
      <c r="I483" s="140">
        <v>1</v>
      </c>
      <c r="J483" s="141">
        <v>33370</v>
      </c>
      <c r="K483" s="141">
        <v>33370</v>
      </c>
      <c r="L483" s="181" t="s">
        <v>614</v>
      </c>
      <c r="M483" s="166" t="s">
        <v>35</v>
      </c>
      <c r="N483" s="205"/>
      <c r="O483" s="132"/>
      <c r="P483" s="132"/>
      <c r="Q483" s="132"/>
      <c r="R483" s="132"/>
      <c r="S483" s="132"/>
      <c r="T483" s="132"/>
      <c r="U483" s="132"/>
      <c r="V483" s="132"/>
      <c r="W483" s="132"/>
      <c r="X483" s="132"/>
      <c r="Y483" s="132"/>
      <c r="Z483" s="132"/>
      <c r="AA483" s="132"/>
      <c r="AB483" s="132"/>
    </row>
    <row r="484" spans="1:28" s="133" customFormat="1" ht="15" customHeight="1" outlineLevel="1" x14ac:dyDescent="0.2">
      <c r="A484" s="121">
        <v>17</v>
      </c>
      <c r="B484" s="134">
        <v>53630</v>
      </c>
      <c r="C484" s="135">
        <v>41898</v>
      </c>
      <c r="D484" s="136" t="s">
        <v>1080</v>
      </c>
      <c r="E484" s="134" t="s">
        <v>393</v>
      </c>
      <c r="F484" s="137" t="s">
        <v>577</v>
      </c>
      <c r="G484" s="138" t="s">
        <v>368</v>
      </c>
      <c r="H484" s="139"/>
      <c r="I484" s="140">
        <v>1</v>
      </c>
      <c r="J484" s="141">
        <v>25800</v>
      </c>
      <c r="K484" s="141">
        <v>25800</v>
      </c>
      <c r="L484" s="181" t="s">
        <v>614</v>
      </c>
      <c r="M484" s="166" t="s">
        <v>35</v>
      </c>
      <c r="N484" s="205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  <c r="Y484" s="132"/>
      <c r="Z484" s="132"/>
      <c r="AA484" s="132"/>
      <c r="AB484" s="132"/>
    </row>
    <row r="485" spans="1:28" s="133" customFormat="1" ht="15" customHeight="1" outlineLevel="1" x14ac:dyDescent="0.2">
      <c r="A485" s="121">
        <v>18</v>
      </c>
      <c r="B485" s="134">
        <v>50122</v>
      </c>
      <c r="C485" s="135">
        <v>41887</v>
      </c>
      <c r="D485" s="136" t="s">
        <v>1081</v>
      </c>
      <c r="E485" s="134" t="s">
        <v>393</v>
      </c>
      <c r="F485" s="137" t="s">
        <v>534</v>
      </c>
      <c r="G485" s="138" t="s">
        <v>559</v>
      </c>
      <c r="H485" s="139"/>
      <c r="I485" s="140">
        <v>1</v>
      </c>
      <c r="J485" s="141">
        <v>30429</v>
      </c>
      <c r="K485" s="141">
        <v>30429</v>
      </c>
      <c r="L485" s="181" t="s">
        <v>614</v>
      </c>
      <c r="M485" s="166" t="s">
        <v>35</v>
      </c>
      <c r="N485" s="205"/>
      <c r="O485" s="132"/>
      <c r="P485" s="132"/>
      <c r="Q485" s="132"/>
      <c r="R485" s="132"/>
      <c r="S485" s="132"/>
      <c r="T485" s="132"/>
      <c r="U485" s="132"/>
      <c r="V485" s="132"/>
      <c r="W485" s="132"/>
      <c r="X485" s="132"/>
      <c r="Y485" s="132"/>
      <c r="Z485" s="132"/>
      <c r="AA485" s="132"/>
      <c r="AB485" s="132"/>
    </row>
    <row r="486" spans="1:28" s="133" customFormat="1" ht="15" customHeight="1" outlineLevel="1" x14ac:dyDescent="0.2">
      <c r="A486" s="121">
        <v>19</v>
      </c>
      <c r="B486" s="134">
        <v>53935</v>
      </c>
      <c r="C486" s="135">
        <v>41904</v>
      </c>
      <c r="D486" s="136" t="s">
        <v>1082</v>
      </c>
      <c r="E486" s="134" t="s">
        <v>1065</v>
      </c>
      <c r="F486" s="137" t="s">
        <v>177</v>
      </c>
      <c r="G486" s="138" t="s">
        <v>368</v>
      </c>
      <c r="H486" s="139"/>
      <c r="I486" s="140">
        <v>1</v>
      </c>
      <c r="J486" s="141">
        <v>18764</v>
      </c>
      <c r="K486" s="141">
        <v>18764</v>
      </c>
      <c r="L486" s="181" t="s">
        <v>614</v>
      </c>
      <c r="M486" s="166" t="s">
        <v>35</v>
      </c>
      <c r="N486" s="205"/>
      <c r="O486" s="132"/>
      <c r="P486" s="132"/>
      <c r="Q486" s="132"/>
      <c r="R486" s="132"/>
      <c r="S486" s="132"/>
      <c r="T486" s="132"/>
      <c r="U486" s="132"/>
      <c r="V486" s="132"/>
      <c r="W486" s="132"/>
      <c r="X486" s="132"/>
      <c r="Y486" s="132"/>
      <c r="Z486" s="132"/>
      <c r="AA486" s="132"/>
      <c r="AB486" s="132"/>
    </row>
    <row r="487" spans="1:28" s="133" customFormat="1" ht="15" customHeight="1" outlineLevel="1" x14ac:dyDescent="0.2">
      <c r="A487" s="121">
        <v>20</v>
      </c>
      <c r="B487" s="134">
        <v>54495</v>
      </c>
      <c r="C487" s="135">
        <v>41906</v>
      </c>
      <c r="D487" s="136" t="s">
        <v>1083</v>
      </c>
      <c r="E487" s="134" t="s">
        <v>1065</v>
      </c>
      <c r="F487" s="137" t="s">
        <v>171</v>
      </c>
      <c r="G487" s="138" t="s">
        <v>368</v>
      </c>
      <c r="H487" s="139"/>
      <c r="I487" s="140">
        <v>1</v>
      </c>
      <c r="J487" s="141">
        <v>18764</v>
      </c>
      <c r="K487" s="141">
        <v>18764</v>
      </c>
      <c r="L487" s="181" t="s">
        <v>614</v>
      </c>
      <c r="M487" s="166" t="s">
        <v>35</v>
      </c>
      <c r="N487" s="205"/>
      <c r="O487" s="132"/>
      <c r="P487" s="132"/>
      <c r="Q487" s="132"/>
      <c r="R487" s="132"/>
      <c r="S487" s="132"/>
      <c r="T487" s="132"/>
      <c r="U487" s="132"/>
      <c r="V487" s="132"/>
      <c r="W487" s="132"/>
      <c r="X487" s="132"/>
      <c r="Y487" s="132"/>
      <c r="Z487" s="132"/>
      <c r="AA487" s="132"/>
      <c r="AB487" s="132"/>
    </row>
    <row r="488" spans="1:28" s="133" customFormat="1" ht="15" customHeight="1" outlineLevel="1" x14ac:dyDescent="0.2">
      <c r="A488" s="121">
        <v>21</v>
      </c>
      <c r="B488" s="134">
        <v>56045</v>
      </c>
      <c r="C488" s="174">
        <v>41912</v>
      </c>
      <c r="D488" s="136" t="s">
        <v>1084</v>
      </c>
      <c r="E488" s="134" t="s">
        <v>393</v>
      </c>
      <c r="F488" s="137" t="s">
        <v>115</v>
      </c>
      <c r="G488" s="138" t="s">
        <v>559</v>
      </c>
      <c r="H488" s="139"/>
      <c r="I488" s="140">
        <v>1</v>
      </c>
      <c r="J488" s="141">
        <v>5274</v>
      </c>
      <c r="K488" s="141">
        <v>5274</v>
      </c>
      <c r="L488" s="181" t="s">
        <v>614</v>
      </c>
      <c r="M488" s="166" t="s">
        <v>35</v>
      </c>
      <c r="N488" s="205"/>
      <c r="O488" s="132"/>
      <c r="P488" s="132"/>
      <c r="Q488" s="132"/>
      <c r="R488" s="132"/>
      <c r="S488" s="132"/>
      <c r="T488" s="132"/>
      <c r="U488" s="132"/>
      <c r="V488" s="132"/>
      <c r="W488" s="132"/>
      <c r="X488" s="132"/>
      <c r="Y488" s="132"/>
      <c r="Z488" s="132"/>
      <c r="AA488" s="132"/>
      <c r="AB488" s="132"/>
    </row>
    <row r="489" spans="1:28" s="133" customFormat="1" ht="15" customHeight="1" outlineLevel="1" x14ac:dyDescent="0.2">
      <c r="A489" s="121">
        <v>22</v>
      </c>
      <c r="B489" s="134">
        <v>55836</v>
      </c>
      <c r="C489" s="135">
        <v>41905</v>
      </c>
      <c r="D489" s="136" t="s">
        <v>1085</v>
      </c>
      <c r="E489" s="134" t="s">
        <v>393</v>
      </c>
      <c r="F489" s="137" t="s">
        <v>215</v>
      </c>
      <c r="G489" s="138" t="s">
        <v>366</v>
      </c>
      <c r="H489" s="139"/>
      <c r="I489" s="140">
        <v>1</v>
      </c>
      <c r="J489" s="141">
        <v>44597</v>
      </c>
      <c r="K489" s="141">
        <v>44597</v>
      </c>
      <c r="L489" s="181" t="s">
        <v>614</v>
      </c>
      <c r="M489" s="166" t="s">
        <v>35</v>
      </c>
      <c r="N489" s="205"/>
      <c r="O489" s="132"/>
      <c r="P489" s="132"/>
      <c r="Q489" s="132"/>
      <c r="R489" s="132"/>
      <c r="S489" s="132"/>
      <c r="T489" s="132"/>
      <c r="U489" s="132"/>
      <c r="V489" s="132"/>
      <c r="W489" s="132"/>
      <c r="X489" s="132"/>
      <c r="Y489" s="132"/>
      <c r="Z489" s="132"/>
      <c r="AA489" s="132"/>
      <c r="AB489" s="132"/>
    </row>
    <row r="490" spans="1:28" s="133" customFormat="1" ht="15" customHeight="1" outlineLevel="1" x14ac:dyDescent="0.2">
      <c r="A490" s="121">
        <v>23</v>
      </c>
      <c r="B490" s="134">
        <v>55126</v>
      </c>
      <c r="C490" s="135">
        <v>41906</v>
      </c>
      <c r="D490" s="136" t="s">
        <v>1086</v>
      </c>
      <c r="E490" s="134" t="s">
        <v>393</v>
      </c>
      <c r="F490" s="137" t="s">
        <v>679</v>
      </c>
      <c r="G490" s="138" t="s">
        <v>366</v>
      </c>
      <c r="H490" s="139"/>
      <c r="I490" s="140">
        <v>1</v>
      </c>
      <c r="J490" s="141">
        <v>55058</v>
      </c>
      <c r="K490" s="141">
        <v>55058</v>
      </c>
      <c r="L490" s="181" t="s">
        <v>614</v>
      </c>
      <c r="M490" s="166" t="s">
        <v>35</v>
      </c>
      <c r="N490" s="205"/>
      <c r="O490" s="132"/>
      <c r="P490" s="132"/>
      <c r="Q490" s="132"/>
      <c r="R490" s="132"/>
      <c r="S490" s="132"/>
      <c r="T490" s="132"/>
      <c r="U490" s="132"/>
      <c r="V490" s="132"/>
      <c r="W490" s="132"/>
      <c r="X490" s="132"/>
      <c r="Y490" s="132"/>
      <c r="Z490" s="132"/>
      <c r="AA490" s="132"/>
      <c r="AB490" s="132"/>
    </row>
    <row r="491" spans="1:28" s="133" customFormat="1" ht="15" customHeight="1" outlineLevel="1" x14ac:dyDescent="0.2">
      <c r="A491" s="121">
        <v>24</v>
      </c>
      <c r="B491" s="134">
        <v>52840</v>
      </c>
      <c r="C491" s="135">
        <v>41897</v>
      </c>
      <c r="D491" s="136" t="s">
        <v>1087</v>
      </c>
      <c r="E491" s="134" t="s">
        <v>1072</v>
      </c>
      <c r="F491" s="137" t="s">
        <v>171</v>
      </c>
      <c r="G491" s="138" t="s">
        <v>384</v>
      </c>
      <c r="H491" s="139"/>
      <c r="I491" s="140">
        <v>2</v>
      </c>
      <c r="J491" s="141">
        <v>18764</v>
      </c>
      <c r="K491" s="141">
        <v>37528</v>
      </c>
      <c r="L491" s="181" t="s">
        <v>614</v>
      </c>
      <c r="M491" s="166" t="s">
        <v>35</v>
      </c>
      <c r="N491" s="205"/>
      <c r="O491" s="132"/>
      <c r="P491" s="132"/>
      <c r="Q491" s="132"/>
      <c r="R491" s="132"/>
      <c r="S491" s="132"/>
      <c r="T491" s="132"/>
      <c r="U491" s="132"/>
      <c r="V491" s="132"/>
      <c r="W491" s="132"/>
      <c r="X491" s="132"/>
      <c r="Y491" s="132"/>
      <c r="Z491" s="132"/>
      <c r="AA491" s="132"/>
      <c r="AB491" s="132"/>
    </row>
    <row r="492" spans="1:28" s="133" customFormat="1" ht="15" customHeight="1" outlineLevel="1" x14ac:dyDescent="0.2">
      <c r="A492" s="121">
        <v>25</v>
      </c>
      <c r="B492" s="134">
        <v>53936</v>
      </c>
      <c r="C492" s="135">
        <v>41904</v>
      </c>
      <c r="D492" s="136" t="s">
        <v>1088</v>
      </c>
      <c r="E492" s="134" t="s">
        <v>1065</v>
      </c>
      <c r="F492" s="137" t="s">
        <v>177</v>
      </c>
      <c r="G492" s="138" t="s">
        <v>368</v>
      </c>
      <c r="H492" s="139"/>
      <c r="I492" s="140">
        <v>1</v>
      </c>
      <c r="J492" s="141">
        <v>18764</v>
      </c>
      <c r="K492" s="141">
        <v>18764</v>
      </c>
      <c r="L492" s="181" t="s">
        <v>614</v>
      </c>
      <c r="M492" s="166" t="s">
        <v>35</v>
      </c>
      <c r="N492" s="205"/>
      <c r="O492" s="132"/>
      <c r="P492" s="132"/>
      <c r="Q492" s="132"/>
      <c r="R492" s="132"/>
      <c r="S492" s="132"/>
      <c r="T492" s="132"/>
      <c r="U492" s="132"/>
      <c r="V492" s="132"/>
      <c r="W492" s="132"/>
      <c r="X492" s="132"/>
      <c r="Y492" s="132"/>
      <c r="Z492" s="132"/>
      <c r="AA492" s="132"/>
      <c r="AB492" s="132"/>
    </row>
    <row r="493" spans="1:28" s="133" customFormat="1" ht="15" customHeight="1" outlineLevel="1" x14ac:dyDescent="0.2">
      <c r="A493" s="121">
        <v>26</v>
      </c>
      <c r="B493" s="134">
        <v>48861</v>
      </c>
      <c r="C493" s="135">
        <v>41883</v>
      </c>
      <c r="D493" s="136" t="s">
        <v>1089</v>
      </c>
      <c r="E493" s="134" t="s">
        <v>393</v>
      </c>
      <c r="F493" s="137" t="s">
        <v>534</v>
      </c>
      <c r="G493" s="138" t="s">
        <v>401</v>
      </c>
      <c r="H493" s="139"/>
      <c r="I493" s="140">
        <v>1</v>
      </c>
      <c r="J493" s="141">
        <v>30429</v>
      </c>
      <c r="K493" s="141">
        <v>30429</v>
      </c>
      <c r="L493" s="181" t="s">
        <v>614</v>
      </c>
      <c r="M493" s="166" t="s">
        <v>35</v>
      </c>
      <c r="N493" s="205"/>
      <c r="O493" s="132"/>
      <c r="P493" s="132"/>
      <c r="Q493" s="132"/>
      <c r="R493" s="132"/>
      <c r="S493" s="132"/>
      <c r="T493" s="132"/>
      <c r="U493" s="132"/>
      <c r="V493" s="132"/>
      <c r="W493" s="132"/>
      <c r="X493" s="132"/>
      <c r="Y493" s="132"/>
      <c r="Z493" s="132"/>
      <c r="AA493" s="132"/>
      <c r="AB493" s="132"/>
    </row>
    <row r="494" spans="1:28" s="133" customFormat="1" ht="15" customHeight="1" outlineLevel="1" x14ac:dyDescent="0.2">
      <c r="A494" s="121">
        <v>27</v>
      </c>
      <c r="B494" s="134">
        <v>54494</v>
      </c>
      <c r="C494" s="135">
        <v>41907</v>
      </c>
      <c r="D494" s="136" t="s">
        <v>1090</v>
      </c>
      <c r="E494" s="134" t="s">
        <v>1065</v>
      </c>
      <c r="F494" s="137" t="s">
        <v>193</v>
      </c>
      <c r="G494" s="138" t="s">
        <v>368</v>
      </c>
      <c r="H494" s="139"/>
      <c r="I494" s="140">
        <v>1</v>
      </c>
      <c r="J494" s="141">
        <v>36514.799999999996</v>
      </c>
      <c r="K494" s="141">
        <v>36514.799999999996</v>
      </c>
      <c r="L494" s="181" t="s">
        <v>614</v>
      </c>
      <c r="M494" s="166" t="s">
        <v>35</v>
      </c>
      <c r="N494" s="205"/>
      <c r="O494" s="132"/>
      <c r="P494" s="132"/>
      <c r="Q494" s="132"/>
      <c r="R494" s="132"/>
      <c r="S494" s="132"/>
      <c r="T494" s="132"/>
      <c r="U494" s="132"/>
      <c r="V494" s="132"/>
      <c r="W494" s="132"/>
      <c r="X494" s="132"/>
      <c r="Y494" s="132"/>
      <c r="Z494" s="132"/>
      <c r="AA494" s="132"/>
      <c r="AB494" s="132"/>
    </row>
    <row r="495" spans="1:28" s="133" customFormat="1" ht="15" customHeight="1" outlineLevel="1" x14ac:dyDescent="0.2">
      <c r="A495" s="121">
        <v>28</v>
      </c>
      <c r="B495" s="134">
        <v>54906</v>
      </c>
      <c r="C495" s="135">
        <v>41906</v>
      </c>
      <c r="D495" s="136" t="s">
        <v>1091</v>
      </c>
      <c r="E495" s="134" t="s">
        <v>393</v>
      </c>
      <c r="F495" s="137" t="s">
        <v>679</v>
      </c>
      <c r="G495" s="138" t="s">
        <v>368</v>
      </c>
      <c r="H495" s="139"/>
      <c r="I495" s="140">
        <v>1</v>
      </c>
      <c r="J495" s="141">
        <v>55058</v>
      </c>
      <c r="K495" s="141">
        <v>55058</v>
      </c>
      <c r="L495" s="181" t="s">
        <v>614</v>
      </c>
      <c r="M495" s="166" t="s">
        <v>35</v>
      </c>
      <c r="N495" s="205"/>
      <c r="O495" s="132"/>
      <c r="P495" s="132"/>
      <c r="Q495" s="132"/>
      <c r="R495" s="132"/>
      <c r="S495" s="132"/>
      <c r="T495" s="132"/>
      <c r="U495" s="132"/>
      <c r="V495" s="132"/>
      <c r="W495" s="132"/>
      <c r="X495" s="132"/>
      <c r="Y495" s="132"/>
      <c r="Z495" s="132"/>
      <c r="AA495" s="132"/>
      <c r="AB495" s="132"/>
    </row>
    <row r="496" spans="1:28" s="133" customFormat="1" ht="15" customHeight="1" outlineLevel="1" x14ac:dyDescent="0.2">
      <c r="A496" s="121">
        <v>29</v>
      </c>
      <c r="B496" s="134">
        <v>50099</v>
      </c>
      <c r="C496" s="135">
        <v>41887</v>
      </c>
      <c r="D496" s="136" t="s">
        <v>1092</v>
      </c>
      <c r="E496" s="134" t="s">
        <v>393</v>
      </c>
      <c r="F496" s="137" t="s">
        <v>115</v>
      </c>
      <c r="G496" s="138" t="s">
        <v>1093</v>
      </c>
      <c r="H496" s="139"/>
      <c r="I496" s="140">
        <v>2</v>
      </c>
      <c r="J496" s="141">
        <v>5274</v>
      </c>
      <c r="K496" s="141">
        <v>10548</v>
      </c>
      <c r="L496" s="181" t="s">
        <v>614</v>
      </c>
      <c r="M496" s="166" t="s">
        <v>35</v>
      </c>
      <c r="N496" s="205"/>
      <c r="O496" s="132"/>
      <c r="P496" s="132"/>
      <c r="Q496" s="132"/>
      <c r="R496" s="132"/>
      <c r="S496" s="132"/>
      <c r="T496" s="132"/>
      <c r="U496" s="132"/>
      <c r="V496" s="132"/>
      <c r="W496" s="132"/>
      <c r="X496" s="132"/>
      <c r="Y496" s="132"/>
      <c r="Z496" s="132"/>
      <c r="AA496" s="132"/>
      <c r="AB496" s="132"/>
    </row>
    <row r="497" spans="1:28" s="133" customFormat="1" ht="15" customHeight="1" outlineLevel="1" x14ac:dyDescent="0.2">
      <c r="A497" s="121">
        <v>30</v>
      </c>
      <c r="B497" s="134">
        <v>52780</v>
      </c>
      <c r="C497" s="135">
        <v>41897</v>
      </c>
      <c r="D497" s="136" t="s">
        <v>1094</v>
      </c>
      <c r="E497" s="134" t="s">
        <v>453</v>
      </c>
      <c r="F497" s="137" t="s">
        <v>115</v>
      </c>
      <c r="G497" s="138" t="s">
        <v>1095</v>
      </c>
      <c r="H497" s="139"/>
      <c r="I497" s="140">
        <v>2</v>
      </c>
      <c r="J497" s="141">
        <v>5274</v>
      </c>
      <c r="K497" s="141">
        <v>10548</v>
      </c>
      <c r="L497" s="181" t="s">
        <v>614</v>
      </c>
      <c r="M497" s="166" t="s">
        <v>35</v>
      </c>
      <c r="N497" s="205"/>
      <c r="O497" s="132"/>
      <c r="P497" s="132"/>
      <c r="Q497" s="132"/>
      <c r="R497" s="132"/>
      <c r="S497" s="132"/>
      <c r="T497" s="132"/>
      <c r="U497" s="132"/>
      <c r="V497" s="132"/>
      <c r="W497" s="132"/>
      <c r="X497" s="132"/>
      <c r="Y497" s="132"/>
      <c r="Z497" s="132"/>
      <c r="AA497" s="132"/>
      <c r="AB497" s="132"/>
    </row>
    <row r="498" spans="1:28" s="133" customFormat="1" ht="15" customHeight="1" outlineLevel="1" x14ac:dyDescent="0.2">
      <c r="A498" s="121">
        <v>31</v>
      </c>
      <c r="B498" s="134">
        <v>50094</v>
      </c>
      <c r="C498" s="135">
        <v>41887</v>
      </c>
      <c r="D498" s="136" t="s">
        <v>1096</v>
      </c>
      <c r="E498" s="134" t="s">
        <v>393</v>
      </c>
      <c r="F498" s="137" t="s">
        <v>115</v>
      </c>
      <c r="G498" s="138" t="s">
        <v>442</v>
      </c>
      <c r="H498" s="139"/>
      <c r="I498" s="140">
        <v>1</v>
      </c>
      <c r="J498" s="141">
        <v>5274</v>
      </c>
      <c r="K498" s="141">
        <v>5274</v>
      </c>
      <c r="L498" s="181" t="s">
        <v>614</v>
      </c>
      <c r="M498" s="166" t="s">
        <v>35</v>
      </c>
      <c r="N498" s="205"/>
      <c r="O498" s="132"/>
      <c r="P498" s="132"/>
      <c r="Q498" s="132"/>
      <c r="R498" s="132"/>
      <c r="S498" s="132"/>
      <c r="T498" s="132"/>
      <c r="U498" s="132"/>
      <c r="V498" s="132"/>
      <c r="W498" s="132"/>
      <c r="X498" s="132"/>
      <c r="Y498" s="132"/>
      <c r="Z498" s="132"/>
      <c r="AA498" s="132"/>
      <c r="AB498" s="132"/>
    </row>
    <row r="499" spans="1:28" s="133" customFormat="1" ht="15" customHeight="1" outlineLevel="1" x14ac:dyDescent="0.2">
      <c r="A499" s="121">
        <v>32</v>
      </c>
      <c r="B499" s="134">
        <v>56069</v>
      </c>
      <c r="C499" s="174">
        <v>41912</v>
      </c>
      <c r="D499" s="136" t="s">
        <v>1097</v>
      </c>
      <c r="E499" s="134" t="s">
        <v>393</v>
      </c>
      <c r="F499" s="137" t="s">
        <v>679</v>
      </c>
      <c r="G499" s="138" t="s">
        <v>368</v>
      </c>
      <c r="H499" s="139"/>
      <c r="I499" s="140">
        <v>1</v>
      </c>
      <c r="J499" s="141">
        <v>55058</v>
      </c>
      <c r="K499" s="141">
        <v>55058</v>
      </c>
      <c r="L499" s="181" t="s">
        <v>614</v>
      </c>
      <c r="M499" s="166" t="s">
        <v>35</v>
      </c>
      <c r="N499" s="205"/>
      <c r="O499" s="132"/>
      <c r="P499" s="132"/>
      <c r="Q499" s="132"/>
      <c r="R499" s="132"/>
      <c r="S499" s="132"/>
      <c r="T499" s="132"/>
      <c r="U499" s="132"/>
      <c r="V499" s="132"/>
      <c r="W499" s="132"/>
      <c r="X499" s="132"/>
      <c r="Y499" s="132"/>
      <c r="Z499" s="132"/>
      <c r="AA499" s="132"/>
      <c r="AB499" s="132"/>
    </row>
    <row r="500" spans="1:28" s="133" customFormat="1" ht="15" customHeight="1" outlineLevel="1" x14ac:dyDescent="0.2">
      <c r="A500" s="121">
        <v>33</v>
      </c>
      <c r="B500" s="134">
        <v>53713</v>
      </c>
      <c r="C500" s="135">
        <v>41898</v>
      </c>
      <c r="D500" s="136" t="s">
        <v>1098</v>
      </c>
      <c r="E500" s="134" t="s">
        <v>393</v>
      </c>
      <c r="F500" s="137" t="s">
        <v>534</v>
      </c>
      <c r="G500" s="138" t="s">
        <v>416</v>
      </c>
      <c r="H500" s="139"/>
      <c r="I500" s="140">
        <v>1</v>
      </c>
      <c r="J500" s="141">
        <v>30429</v>
      </c>
      <c r="K500" s="141">
        <v>30429</v>
      </c>
      <c r="L500" s="181" t="s">
        <v>614</v>
      </c>
      <c r="M500" s="166" t="s">
        <v>35</v>
      </c>
      <c r="N500" s="205"/>
      <c r="O500" s="132"/>
      <c r="P500" s="132"/>
      <c r="Q500" s="132"/>
      <c r="R500" s="132"/>
      <c r="S500" s="132"/>
      <c r="T500" s="132"/>
      <c r="U500" s="132"/>
      <c r="V500" s="132"/>
      <c r="W500" s="132"/>
      <c r="X500" s="132"/>
      <c r="Y500" s="132"/>
      <c r="Z500" s="132"/>
      <c r="AA500" s="132"/>
      <c r="AB500" s="132"/>
    </row>
    <row r="501" spans="1:28" s="133" customFormat="1" ht="15" customHeight="1" outlineLevel="1" x14ac:dyDescent="0.2">
      <c r="A501" s="121">
        <v>34</v>
      </c>
      <c r="B501" s="134">
        <v>49362</v>
      </c>
      <c r="C501" s="135">
        <v>41884</v>
      </c>
      <c r="D501" s="136" t="s">
        <v>1099</v>
      </c>
      <c r="E501" s="134" t="s">
        <v>393</v>
      </c>
      <c r="F501" s="137" t="s">
        <v>215</v>
      </c>
      <c r="G501" s="138" t="s">
        <v>368</v>
      </c>
      <c r="H501" s="139"/>
      <c r="I501" s="140">
        <v>1</v>
      </c>
      <c r="J501" s="141">
        <v>44597</v>
      </c>
      <c r="K501" s="141">
        <v>44597</v>
      </c>
      <c r="L501" s="181" t="s">
        <v>614</v>
      </c>
      <c r="M501" s="166" t="s">
        <v>35</v>
      </c>
      <c r="N501" s="205"/>
      <c r="O501" s="132"/>
      <c r="P501" s="132"/>
      <c r="Q501" s="132"/>
      <c r="R501" s="132"/>
      <c r="S501" s="132"/>
      <c r="T501" s="132"/>
      <c r="U501" s="132"/>
      <c r="V501" s="132"/>
      <c r="W501" s="132"/>
      <c r="X501" s="132"/>
      <c r="Y501" s="132"/>
      <c r="Z501" s="132"/>
      <c r="AA501" s="132"/>
      <c r="AB501" s="132"/>
    </row>
    <row r="502" spans="1:28" s="133" customFormat="1" ht="15" customHeight="1" outlineLevel="1" x14ac:dyDescent="0.2">
      <c r="A502" s="121">
        <v>1</v>
      </c>
      <c r="B502" s="134">
        <v>53208</v>
      </c>
      <c r="C502" s="135">
        <v>41926</v>
      </c>
      <c r="D502" s="136" t="s">
        <v>1100</v>
      </c>
      <c r="E502" s="134" t="s">
        <v>393</v>
      </c>
      <c r="F502" s="137" t="s">
        <v>215</v>
      </c>
      <c r="G502" s="138" t="s">
        <v>519</v>
      </c>
      <c r="H502" s="139"/>
      <c r="I502" s="140">
        <v>1</v>
      </c>
      <c r="J502" s="141">
        <v>44597</v>
      </c>
      <c r="K502" s="141">
        <v>44597</v>
      </c>
      <c r="L502" s="646" t="s">
        <v>617</v>
      </c>
      <c r="M502" s="636" t="s">
        <v>35</v>
      </c>
      <c r="N502" s="205"/>
      <c r="O502" s="132"/>
      <c r="P502" s="132"/>
      <c r="Q502" s="132"/>
      <c r="R502" s="132"/>
      <c r="S502" s="132"/>
      <c r="T502" s="132"/>
      <c r="U502" s="132"/>
      <c r="V502" s="132"/>
      <c r="W502" s="132"/>
      <c r="X502" s="132"/>
      <c r="Y502" s="132"/>
      <c r="Z502" s="132"/>
      <c r="AA502" s="132"/>
      <c r="AB502" s="132"/>
    </row>
    <row r="503" spans="1:28" s="133" customFormat="1" ht="15" customHeight="1" outlineLevel="1" x14ac:dyDescent="0.2">
      <c r="A503" s="121">
        <v>2</v>
      </c>
      <c r="B503" s="134">
        <v>56944</v>
      </c>
      <c r="C503" s="135">
        <v>41934</v>
      </c>
      <c r="D503" s="136" t="s">
        <v>1055</v>
      </c>
      <c r="E503" s="134" t="s">
        <v>393</v>
      </c>
      <c r="F503" s="137" t="s">
        <v>679</v>
      </c>
      <c r="G503" s="138" t="s">
        <v>384</v>
      </c>
      <c r="H503" s="139"/>
      <c r="I503" s="140">
        <v>2</v>
      </c>
      <c r="J503" s="141">
        <v>55058</v>
      </c>
      <c r="K503" s="141">
        <v>110116</v>
      </c>
      <c r="L503" s="647"/>
      <c r="M503" s="637"/>
      <c r="N503" s="205"/>
      <c r="O503" s="132"/>
      <c r="P503" s="132"/>
      <c r="Q503" s="132"/>
      <c r="R503" s="132"/>
      <c r="S503" s="132"/>
      <c r="T503" s="132"/>
      <c r="U503" s="132"/>
      <c r="V503" s="132"/>
      <c r="W503" s="132"/>
      <c r="X503" s="132"/>
      <c r="Y503" s="132"/>
      <c r="Z503" s="132"/>
      <c r="AA503" s="132"/>
      <c r="AB503" s="132"/>
    </row>
    <row r="504" spans="1:28" s="133" customFormat="1" ht="15" customHeight="1" outlineLevel="1" x14ac:dyDescent="0.2">
      <c r="A504" s="121">
        <v>3</v>
      </c>
      <c r="B504" s="134">
        <v>59281</v>
      </c>
      <c r="C504" s="135">
        <v>41941</v>
      </c>
      <c r="D504" s="136" t="s">
        <v>1101</v>
      </c>
      <c r="E504" s="134" t="s">
        <v>393</v>
      </c>
      <c r="F504" s="137" t="s">
        <v>215</v>
      </c>
      <c r="G504" s="138" t="s">
        <v>368</v>
      </c>
      <c r="H504" s="139"/>
      <c r="I504" s="140">
        <v>1</v>
      </c>
      <c r="J504" s="141">
        <v>44597</v>
      </c>
      <c r="K504" s="141">
        <v>44597</v>
      </c>
      <c r="L504" s="647"/>
      <c r="M504" s="637"/>
      <c r="N504" s="205"/>
      <c r="O504" s="132"/>
      <c r="P504" s="132"/>
      <c r="Q504" s="132"/>
      <c r="R504" s="132"/>
      <c r="S504" s="132"/>
      <c r="T504" s="132"/>
      <c r="U504" s="132"/>
      <c r="V504" s="132"/>
      <c r="W504" s="132"/>
      <c r="X504" s="132"/>
      <c r="Y504" s="132"/>
      <c r="Z504" s="132"/>
      <c r="AA504" s="132"/>
      <c r="AB504" s="132"/>
    </row>
    <row r="505" spans="1:28" s="133" customFormat="1" ht="15" customHeight="1" outlineLevel="1" x14ac:dyDescent="0.2">
      <c r="A505" s="121">
        <v>4</v>
      </c>
      <c r="B505" s="134">
        <v>57367</v>
      </c>
      <c r="C505" s="135">
        <v>41935</v>
      </c>
      <c r="D505" s="136" t="s">
        <v>1102</v>
      </c>
      <c r="E505" s="134" t="s">
        <v>393</v>
      </c>
      <c r="F505" s="137" t="s">
        <v>215</v>
      </c>
      <c r="G505" s="138" t="s">
        <v>366</v>
      </c>
      <c r="H505" s="139"/>
      <c r="I505" s="140">
        <v>1</v>
      </c>
      <c r="J505" s="141">
        <v>44597</v>
      </c>
      <c r="K505" s="141">
        <v>44597</v>
      </c>
      <c r="L505" s="647"/>
      <c r="M505" s="637"/>
      <c r="N505" s="205"/>
      <c r="O505" s="132"/>
      <c r="P505" s="132"/>
      <c r="Q505" s="132"/>
      <c r="R505" s="132"/>
      <c r="S505" s="132"/>
      <c r="T505" s="132"/>
      <c r="U505" s="132"/>
      <c r="V505" s="132"/>
      <c r="W505" s="132"/>
      <c r="X505" s="132"/>
      <c r="Y505" s="132"/>
      <c r="Z505" s="132"/>
      <c r="AA505" s="132"/>
      <c r="AB505" s="132"/>
    </row>
    <row r="506" spans="1:28" s="133" customFormat="1" ht="15" customHeight="1" outlineLevel="1" x14ac:dyDescent="0.2">
      <c r="A506" s="121">
        <v>5</v>
      </c>
      <c r="B506" s="134">
        <v>54261</v>
      </c>
      <c r="C506" s="135">
        <v>41927</v>
      </c>
      <c r="D506" s="136" t="s">
        <v>1078</v>
      </c>
      <c r="E506" s="134" t="s">
        <v>393</v>
      </c>
      <c r="F506" s="137" t="s">
        <v>208</v>
      </c>
      <c r="G506" s="138" t="s">
        <v>414</v>
      </c>
      <c r="H506" s="139"/>
      <c r="I506" s="140">
        <v>1</v>
      </c>
      <c r="J506" s="141">
        <v>14099</v>
      </c>
      <c r="K506" s="141">
        <v>14099</v>
      </c>
      <c r="L506" s="647"/>
      <c r="M506" s="637"/>
      <c r="N506" s="205"/>
      <c r="O506" s="132"/>
      <c r="P506" s="132"/>
      <c r="Q506" s="132"/>
      <c r="R506" s="132"/>
      <c r="S506" s="132"/>
      <c r="T506" s="132"/>
      <c r="U506" s="132"/>
      <c r="V506" s="132"/>
      <c r="W506" s="132"/>
      <c r="X506" s="132"/>
      <c r="Y506" s="132"/>
      <c r="Z506" s="132"/>
      <c r="AA506" s="132"/>
      <c r="AB506" s="132"/>
    </row>
    <row r="507" spans="1:28" s="133" customFormat="1" ht="15" customHeight="1" outlineLevel="1" x14ac:dyDescent="0.2">
      <c r="A507" s="121">
        <v>6</v>
      </c>
      <c r="B507" s="134">
        <v>57220</v>
      </c>
      <c r="C507" s="135">
        <v>41934</v>
      </c>
      <c r="D507" s="136" t="s">
        <v>443</v>
      </c>
      <c r="E507" s="134" t="s">
        <v>393</v>
      </c>
      <c r="F507" s="137" t="s">
        <v>114</v>
      </c>
      <c r="G507" s="138" t="s">
        <v>414</v>
      </c>
      <c r="H507" s="139"/>
      <c r="I507" s="140">
        <v>1</v>
      </c>
      <c r="J507" s="141">
        <v>33370</v>
      </c>
      <c r="K507" s="141">
        <v>33370</v>
      </c>
      <c r="L507" s="647"/>
      <c r="M507" s="637"/>
      <c r="N507" s="205"/>
      <c r="O507" s="132"/>
      <c r="P507" s="132"/>
      <c r="Q507" s="132"/>
      <c r="R507" s="132"/>
      <c r="S507" s="132"/>
      <c r="T507" s="132"/>
      <c r="U507" s="132"/>
      <c r="V507" s="132"/>
      <c r="W507" s="132"/>
      <c r="X507" s="132"/>
      <c r="Y507" s="132"/>
      <c r="Z507" s="132"/>
      <c r="AA507" s="132"/>
      <c r="AB507" s="132"/>
    </row>
    <row r="508" spans="1:28" s="133" customFormat="1" ht="15" customHeight="1" outlineLevel="1" x14ac:dyDescent="0.2">
      <c r="A508" s="121">
        <v>7</v>
      </c>
      <c r="B508" s="134">
        <v>53518</v>
      </c>
      <c r="C508" s="135">
        <v>41925</v>
      </c>
      <c r="D508" s="136" t="s">
        <v>1103</v>
      </c>
      <c r="E508" s="134" t="s">
        <v>393</v>
      </c>
      <c r="F508" s="137" t="s">
        <v>534</v>
      </c>
      <c r="G508" s="138" t="s">
        <v>524</v>
      </c>
      <c r="H508" s="139"/>
      <c r="I508" s="140">
        <v>1</v>
      </c>
      <c r="J508" s="141">
        <v>30429</v>
      </c>
      <c r="K508" s="141">
        <v>30429</v>
      </c>
      <c r="L508" s="647"/>
      <c r="M508" s="637"/>
      <c r="N508" s="205"/>
      <c r="O508" s="132"/>
      <c r="P508" s="132"/>
      <c r="Q508" s="132"/>
      <c r="R508" s="132"/>
      <c r="S508" s="132"/>
      <c r="T508" s="132"/>
      <c r="U508" s="132"/>
      <c r="V508" s="132"/>
      <c r="W508" s="132"/>
      <c r="X508" s="132"/>
      <c r="Y508" s="132"/>
      <c r="Z508" s="132"/>
      <c r="AA508" s="132"/>
      <c r="AB508" s="132"/>
    </row>
    <row r="509" spans="1:28" s="133" customFormat="1" ht="15" customHeight="1" outlineLevel="1" x14ac:dyDescent="0.2">
      <c r="A509" s="121">
        <v>8</v>
      </c>
      <c r="B509" s="134">
        <v>57658</v>
      </c>
      <c r="C509" s="135">
        <v>41935</v>
      </c>
      <c r="D509" s="136" t="s">
        <v>1058</v>
      </c>
      <c r="E509" s="134" t="s">
        <v>393</v>
      </c>
      <c r="F509" s="137" t="s">
        <v>230</v>
      </c>
      <c r="G509" s="138" t="s">
        <v>368</v>
      </c>
      <c r="H509" s="139"/>
      <c r="I509" s="140">
        <v>1</v>
      </c>
      <c r="J509" s="141">
        <v>17244</v>
      </c>
      <c r="K509" s="141">
        <v>17244</v>
      </c>
      <c r="L509" s="647"/>
      <c r="M509" s="637"/>
      <c r="N509" s="205"/>
      <c r="O509" s="132"/>
      <c r="P509" s="132"/>
      <c r="Q509" s="132"/>
      <c r="R509" s="132"/>
      <c r="S509" s="132"/>
      <c r="T509" s="132"/>
      <c r="U509" s="132"/>
      <c r="V509" s="132"/>
      <c r="W509" s="132"/>
      <c r="X509" s="132"/>
      <c r="Y509" s="132"/>
      <c r="Z509" s="132"/>
      <c r="AA509" s="132"/>
      <c r="AB509" s="132"/>
    </row>
    <row r="510" spans="1:28" s="133" customFormat="1" ht="15" customHeight="1" outlineLevel="1" x14ac:dyDescent="0.2">
      <c r="A510" s="121">
        <v>9</v>
      </c>
      <c r="B510" s="134">
        <v>53650</v>
      </c>
      <c r="C510" s="135">
        <v>41925</v>
      </c>
      <c r="D510" s="136" t="s">
        <v>1079</v>
      </c>
      <c r="E510" s="134" t="s">
        <v>393</v>
      </c>
      <c r="F510" s="137" t="s">
        <v>114</v>
      </c>
      <c r="G510" s="138" t="s">
        <v>416</v>
      </c>
      <c r="H510" s="139"/>
      <c r="I510" s="140">
        <v>1</v>
      </c>
      <c r="J510" s="141">
        <v>33370</v>
      </c>
      <c r="K510" s="141">
        <v>33370</v>
      </c>
      <c r="L510" s="647"/>
      <c r="M510" s="637"/>
      <c r="N510" s="205"/>
      <c r="O510" s="132"/>
      <c r="P510" s="132"/>
      <c r="Q510" s="132"/>
      <c r="R510" s="132"/>
      <c r="S510" s="132"/>
      <c r="T510" s="132"/>
      <c r="U510" s="132"/>
      <c r="V510" s="132"/>
      <c r="W510" s="132"/>
      <c r="X510" s="132"/>
      <c r="Y510" s="132"/>
      <c r="Z510" s="132"/>
      <c r="AA510" s="132"/>
      <c r="AB510" s="132"/>
    </row>
    <row r="511" spans="1:28" s="133" customFormat="1" ht="15" customHeight="1" outlineLevel="1" x14ac:dyDescent="0.2">
      <c r="A511" s="121">
        <v>10</v>
      </c>
      <c r="B511" s="134">
        <v>53042</v>
      </c>
      <c r="C511" s="135">
        <v>41925</v>
      </c>
      <c r="D511" s="136" t="s">
        <v>1104</v>
      </c>
      <c r="E511" s="134" t="s">
        <v>393</v>
      </c>
      <c r="F511" s="137" t="s">
        <v>215</v>
      </c>
      <c r="G511" s="138" t="s">
        <v>384</v>
      </c>
      <c r="H511" s="139"/>
      <c r="I511" s="140">
        <v>2</v>
      </c>
      <c r="J511" s="141">
        <v>44597</v>
      </c>
      <c r="K511" s="141">
        <v>89194</v>
      </c>
      <c r="L511" s="647"/>
      <c r="M511" s="637"/>
      <c r="N511" s="205"/>
      <c r="O511" s="132"/>
      <c r="P511" s="132"/>
      <c r="Q511" s="132"/>
      <c r="R511" s="132"/>
      <c r="S511" s="132"/>
      <c r="T511" s="132"/>
      <c r="U511" s="132"/>
      <c r="V511" s="132"/>
      <c r="W511" s="132"/>
      <c r="X511" s="132"/>
      <c r="Y511" s="132"/>
      <c r="Z511" s="132"/>
      <c r="AA511" s="132"/>
      <c r="AB511" s="132"/>
    </row>
    <row r="512" spans="1:28" s="133" customFormat="1" ht="15" customHeight="1" outlineLevel="1" x14ac:dyDescent="0.2">
      <c r="A512" s="121">
        <v>11</v>
      </c>
      <c r="B512" s="134">
        <v>58668</v>
      </c>
      <c r="C512" s="135">
        <v>41940</v>
      </c>
      <c r="D512" s="136" t="s">
        <v>1105</v>
      </c>
      <c r="E512" s="134" t="s">
        <v>393</v>
      </c>
      <c r="F512" s="137" t="s">
        <v>115</v>
      </c>
      <c r="G512" s="138" t="s">
        <v>1106</v>
      </c>
      <c r="H512" s="139"/>
      <c r="I512" s="140">
        <v>4</v>
      </c>
      <c r="J512" s="141">
        <v>5274</v>
      </c>
      <c r="K512" s="141">
        <v>21096</v>
      </c>
      <c r="L512" s="647"/>
      <c r="M512" s="637"/>
      <c r="N512" s="205"/>
      <c r="O512" s="132"/>
      <c r="P512" s="132"/>
      <c r="Q512" s="132"/>
      <c r="R512" s="132"/>
      <c r="S512" s="132"/>
      <c r="T512" s="132"/>
      <c r="U512" s="132"/>
      <c r="V512" s="132"/>
      <c r="W512" s="132"/>
      <c r="X512" s="132"/>
      <c r="Y512" s="132"/>
      <c r="Z512" s="132"/>
      <c r="AA512" s="132"/>
      <c r="AB512" s="132"/>
    </row>
    <row r="513" spans="1:28" s="133" customFormat="1" ht="15" customHeight="1" outlineLevel="1" x14ac:dyDescent="0.2">
      <c r="A513" s="121">
        <v>12</v>
      </c>
      <c r="B513" s="134">
        <v>52883</v>
      </c>
      <c r="C513" s="135">
        <v>41926</v>
      </c>
      <c r="D513" s="136" t="s">
        <v>1107</v>
      </c>
      <c r="E513" s="134" t="s">
        <v>393</v>
      </c>
      <c r="F513" s="137" t="s">
        <v>115</v>
      </c>
      <c r="G513" s="138" t="s">
        <v>1108</v>
      </c>
      <c r="H513" s="139"/>
      <c r="I513" s="140">
        <v>1</v>
      </c>
      <c r="J513" s="141">
        <v>5274</v>
      </c>
      <c r="K513" s="141">
        <v>5274</v>
      </c>
      <c r="L513" s="647"/>
      <c r="M513" s="637"/>
      <c r="N513" s="205"/>
      <c r="O513" s="132"/>
      <c r="P513" s="132"/>
      <c r="Q513" s="132"/>
      <c r="R513" s="132"/>
      <c r="S513" s="132"/>
      <c r="T513" s="132"/>
      <c r="U513" s="132"/>
      <c r="V513" s="132"/>
      <c r="W513" s="132"/>
      <c r="X513" s="132"/>
      <c r="Y513" s="132"/>
      <c r="Z513" s="132"/>
      <c r="AA513" s="132"/>
      <c r="AB513" s="132"/>
    </row>
    <row r="514" spans="1:28" s="133" customFormat="1" ht="15" customHeight="1" outlineLevel="1" x14ac:dyDescent="0.2">
      <c r="A514" s="121">
        <v>13</v>
      </c>
      <c r="B514" s="134">
        <v>57963</v>
      </c>
      <c r="C514" s="135">
        <v>41917</v>
      </c>
      <c r="D514" s="136" t="s">
        <v>440</v>
      </c>
      <c r="E514" s="134" t="s">
        <v>393</v>
      </c>
      <c r="F514" s="137" t="s">
        <v>215</v>
      </c>
      <c r="G514" s="138" t="s">
        <v>368</v>
      </c>
      <c r="H514" s="139"/>
      <c r="I514" s="140">
        <v>1</v>
      </c>
      <c r="J514" s="141">
        <v>44597</v>
      </c>
      <c r="K514" s="141">
        <v>44597</v>
      </c>
      <c r="L514" s="647"/>
      <c r="M514" s="637"/>
      <c r="N514" s="205"/>
      <c r="O514" s="132"/>
      <c r="P514" s="132"/>
      <c r="Q514" s="132"/>
      <c r="R514" s="132"/>
      <c r="S514" s="132"/>
      <c r="T514" s="132"/>
      <c r="U514" s="132"/>
      <c r="V514" s="132"/>
      <c r="W514" s="132"/>
      <c r="X514" s="132"/>
      <c r="Y514" s="132"/>
      <c r="Z514" s="132"/>
      <c r="AA514" s="132"/>
      <c r="AB514" s="132"/>
    </row>
    <row r="515" spans="1:28" s="133" customFormat="1" ht="15" customHeight="1" outlineLevel="1" x14ac:dyDescent="0.2">
      <c r="A515" s="121">
        <v>14</v>
      </c>
      <c r="B515" s="134">
        <v>57230</v>
      </c>
      <c r="C515" s="135">
        <v>41934</v>
      </c>
      <c r="D515" s="136" t="s">
        <v>449</v>
      </c>
      <c r="E515" s="134" t="s">
        <v>393</v>
      </c>
      <c r="F515" s="137" t="s">
        <v>114</v>
      </c>
      <c r="G515" s="138" t="s">
        <v>442</v>
      </c>
      <c r="H515" s="139"/>
      <c r="I515" s="140">
        <v>1</v>
      </c>
      <c r="J515" s="141">
        <v>33370</v>
      </c>
      <c r="K515" s="141">
        <v>33370</v>
      </c>
      <c r="L515" s="647"/>
      <c r="M515" s="637"/>
      <c r="N515" s="205"/>
      <c r="O515" s="132"/>
      <c r="P515" s="132"/>
      <c r="Q515" s="132"/>
      <c r="R515" s="132"/>
      <c r="S515" s="132"/>
      <c r="T515" s="132"/>
      <c r="U515" s="132"/>
      <c r="V515" s="132"/>
      <c r="W515" s="132"/>
      <c r="X515" s="132"/>
      <c r="Y515" s="132"/>
      <c r="Z515" s="132"/>
      <c r="AA515" s="132"/>
      <c r="AB515" s="132"/>
    </row>
    <row r="516" spans="1:28" s="133" customFormat="1" ht="15" customHeight="1" outlineLevel="1" x14ac:dyDescent="0.2">
      <c r="A516" s="121">
        <v>15</v>
      </c>
      <c r="B516" s="134">
        <v>56480</v>
      </c>
      <c r="C516" s="135">
        <v>41932</v>
      </c>
      <c r="D516" s="136" t="s">
        <v>1109</v>
      </c>
      <c r="E516" s="134" t="s">
        <v>393</v>
      </c>
      <c r="F516" s="137" t="s">
        <v>574</v>
      </c>
      <c r="G516" s="138" t="s">
        <v>559</v>
      </c>
      <c r="H516" s="139"/>
      <c r="I516" s="140">
        <v>1</v>
      </c>
      <c r="J516" s="141">
        <v>49701</v>
      </c>
      <c r="K516" s="141">
        <v>49701</v>
      </c>
      <c r="L516" s="647"/>
      <c r="M516" s="637"/>
      <c r="N516" s="205"/>
      <c r="O516" s="132"/>
      <c r="P516" s="132"/>
      <c r="Q516" s="132"/>
      <c r="R516" s="132"/>
      <c r="S516" s="132"/>
      <c r="T516" s="132"/>
      <c r="U516" s="132"/>
      <c r="V516" s="132"/>
      <c r="W516" s="132"/>
      <c r="X516" s="132"/>
      <c r="Y516" s="132"/>
      <c r="Z516" s="132"/>
      <c r="AA516" s="132"/>
      <c r="AB516" s="132"/>
    </row>
    <row r="517" spans="1:28" s="133" customFormat="1" ht="15" customHeight="1" outlineLevel="1" x14ac:dyDescent="0.2">
      <c r="A517" s="121">
        <v>16</v>
      </c>
      <c r="B517" s="134">
        <v>57186</v>
      </c>
      <c r="C517" s="135">
        <v>41934</v>
      </c>
      <c r="D517" s="136" t="s">
        <v>1110</v>
      </c>
      <c r="E517" s="134" t="s">
        <v>393</v>
      </c>
      <c r="F517" s="137" t="s">
        <v>534</v>
      </c>
      <c r="G517" s="138" t="s">
        <v>469</v>
      </c>
      <c r="H517" s="139"/>
      <c r="I517" s="140">
        <v>1</v>
      </c>
      <c r="J517" s="141">
        <v>30429</v>
      </c>
      <c r="K517" s="141">
        <v>30429</v>
      </c>
      <c r="L517" s="647"/>
      <c r="M517" s="637"/>
      <c r="N517" s="205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  <c r="Y517" s="132"/>
      <c r="Z517" s="132"/>
      <c r="AA517" s="132"/>
      <c r="AB517" s="132"/>
    </row>
    <row r="518" spans="1:28" s="133" customFormat="1" ht="15" customHeight="1" outlineLevel="1" x14ac:dyDescent="0.2">
      <c r="A518" s="121">
        <v>17</v>
      </c>
      <c r="B518" s="134">
        <v>58395</v>
      </c>
      <c r="C518" s="135">
        <v>41939</v>
      </c>
      <c r="D518" s="136" t="s">
        <v>1111</v>
      </c>
      <c r="E518" s="134" t="s">
        <v>393</v>
      </c>
      <c r="F518" s="137" t="s">
        <v>679</v>
      </c>
      <c r="G518" s="138" t="s">
        <v>366</v>
      </c>
      <c r="H518" s="139"/>
      <c r="I518" s="140">
        <v>1</v>
      </c>
      <c r="J518" s="141">
        <v>55058</v>
      </c>
      <c r="K518" s="141">
        <v>55058</v>
      </c>
      <c r="L518" s="647"/>
      <c r="M518" s="637"/>
      <c r="N518" s="205"/>
      <c r="O518" s="132"/>
      <c r="P518" s="132"/>
      <c r="Q518" s="132"/>
      <c r="R518" s="132"/>
      <c r="S518" s="132"/>
      <c r="T518" s="132"/>
      <c r="U518" s="132"/>
      <c r="V518" s="132"/>
      <c r="W518" s="132"/>
      <c r="X518" s="132"/>
      <c r="Y518" s="132"/>
      <c r="Z518" s="132"/>
      <c r="AA518" s="132"/>
      <c r="AB518" s="132"/>
    </row>
    <row r="519" spans="1:28" s="133" customFormat="1" ht="15" customHeight="1" outlineLevel="1" x14ac:dyDescent="0.2">
      <c r="A519" s="121">
        <v>18</v>
      </c>
      <c r="B519" s="134">
        <v>58395</v>
      </c>
      <c r="C519" s="135">
        <v>41939</v>
      </c>
      <c r="D519" s="136" t="s">
        <v>1111</v>
      </c>
      <c r="E519" s="134" t="s">
        <v>393</v>
      </c>
      <c r="F519" s="137" t="s">
        <v>215</v>
      </c>
      <c r="G519" s="138" t="s">
        <v>368</v>
      </c>
      <c r="H519" s="139"/>
      <c r="I519" s="140">
        <v>1</v>
      </c>
      <c r="J519" s="141">
        <v>44597</v>
      </c>
      <c r="K519" s="141">
        <v>44597</v>
      </c>
      <c r="L519" s="647"/>
      <c r="M519" s="637"/>
      <c r="N519" s="205"/>
      <c r="O519" s="132"/>
      <c r="P519" s="132"/>
      <c r="Q519" s="132"/>
      <c r="R519" s="132"/>
      <c r="S519" s="132"/>
      <c r="T519" s="132"/>
      <c r="U519" s="132"/>
      <c r="V519" s="132"/>
      <c r="W519" s="132"/>
      <c r="X519" s="132"/>
      <c r="Y519" s="132"/>
      <c r="Z519" s="132"/>
      <c r="AA519" s="132"/>
      <c r="AB519" s="132"/>
    </row>
    <row r="520" spans="1:28" s="133" customFormat="1" ht="15" customHeight="1" outlineLevel="1" x14ac:dyDescent="0.2">
      <c r="A520" s="121">
        <v>19</v>
      </c>
      <c r="B520" s="134">
        <v>58251</v>
      </c>
      <c r="C520" s="135">
        <v>41918</v>
      </c>
      <c r="D520" s="136" t="s">
        <v>1062</v>
      </c>
      <c r="E520" s="134" t="s">
        <v>393</v>
      </c>
      <c r="F520" s="137" t="s">
        <v>190</v>
      </c>
      <c r="G520" s="138" t="s">
        <v>1063</v>
      </c>
      <c r="H520" s="139"/>
      <c r="I520" s="140">
        <v>3</v>
      </c>
      <c r="J520" s="141">
        <v>57960</v>
      </c>
      <c r="K520" s="141">
        <v>173880</v>
      </c>
      <c r="L520" s="647"/>
      <c r="M520" s="637"/>
      <c r="N520" s="205"/>
      <c r="O520" s="132"/>
      <c r="P520" s="132"/>
      <c r="Q520" s="132"/>
      <c r="R520" s="132"/>
      <c r="S520" s="132"/>
      <c r="T520" s="132"/>
      <c r="U520" s="132"/>
      <c r="V520" s="132"/>
      <c r="W520" s="132"/>
      <c r="X520" s="132"/>
      <c r="Y520" s="132"/>
      <c r="Z520" s="132"/>
      <c r="AA520" s="132"/>
      <c r="AB520" s="132"/>
    </row>
    <row r="521" spans="1:28" s="133" customFormat="1" ht="15" customHeight="1" outlineLevel="1" x14ac:dyDescent="0.2">
      <c r="A521" s="121">
        <v>21</v>
      </c>
      <c r="B521" s="134">
        <v>58234</v>
      </c>
      <c r="C521" s="135">
        <v>41918</v>
      </c>
      <c r="D521" s="136" t="s">
        <v>1112</v>
      </c>
      <c r="E521" s="134" t="s">
        <v>393</v>
      </c>
      <c r="F521" s="137" t="s">
        <v>534</v>
      </c>
      <c r="G521" s="138" t="s">
        <v>1095</v>
      </c>
      <c r="H521" s="139"/>
      <c r="I521" s="140">
        <v>2</v>
      </c>
      <c r="J521" s="141">
        <v>30429</v>
      </c>
      <c r="K521" s="141">
        <v>60858</v>
      </c>
      <c r="L521" s="647"/>
      <c r="M521" s="637"/>
      <c r="N521" s="205"/>
      <c r="O521" s="132"/>
      <c r="P521" s="132"/>
      <c r="Q521" s="132"/>
      <c r="R521" s="132"/>
      <c r="S521" s="132"/>
      <c r="T521" s="132"/>
      <c r="U521" s="132"/>
      <c r="V521" s="132"/>
      <c r="W521" s="132"/>
      <c r="X521" s="132"/>
      <c r="Y521" s="132"/>
      <c r="Z521" s="132"/>
      <c r="AA521" s="132"/>
      <c r="AB521" s="132"/>
    </row>
    <row r="522" spans="1:28" s="133" customFormat="1" ht="15" customHeight="1" outlineLevel="1" x14ac:dyDescent="0.2">
      <c r="A522" s="121">
        <v>22</v>
      </c>
      <c r="B522" s="134">
        <v>53966</v>
      </c>
      <c r="C522" s="135">
        <v>41926</v>
      </c>
      <c r="D522" s="136" t="s">
        <v>1113</v>
      </c>
      <c r="E522" s="134" t="s">
        <v>393</v>
      </c>
      <c r="F522" s="137" t="s">
        <v>208</v>
      </c>
      <c r="G522" s="138" t="s">
        <v>389</v>
      </c>
      <c r="H522" s="139"/>
      <c r="I522" s="140">
        <v>1</v>
      </c>
      <c r="J522" s="141">
        <v>14099</v>
      </c>
      <c r="K522" s="141">
        <v>14099</v>
      </c>
      <c r="L522" s="647"/>
      <c r="M522" s="637"/>
      <c r="N522" s="205"/>
      <c r="O522" s="132"/>
      <c r="P522" s="132"/>
      <c r="Q522" s="132"/>
      <c r="R522" s="132"/>
      <c r="S522" s="132"/>
      <c r="T522" s="132"/>
      <c r="U522" s="132"/>
      <c r="V522" s="132"/>
      <c r="W522" s="132"/>
      <c r="X522" s="132"/>
      <c r="Y522" s="132"/>
      <c r="Z522" s="132"/>
      <c r="AA522" s="132"/>
      <c r="AB522" s="132"/>
    </row>
    <row r="523" spans="1:28" s="133" customFormat="1" ht="15" customHeight="1" outlineLevel="1" x14ac:dyDescent="0.2">
      <c r="A523" s="121">
        <v>23</v>
      </c>
      <c r="B523" s="134">
        <v>60216</v>
      </c>
      <c r="C523" s="174">
        <v>41942</v>
      </c>
      <c r="D523" s="136" t="s">
        <v>450</v>
      </c>
      <c r="E523" s="134" t="s">
        <v>393</v>
      </c>
      <c r="F523" s="137" t="s">
        <v>115</v>
      </c>
      <c r="G523" s="138" t="s">
        <v>414</v>
      </c>
      <c r="H523" s="139"/>
      <c r="I523" s="140">
        <v>1</v>
      </c>
      <c r="J523" s="141">
        <v>5274</v>
      </c>
      <c r="K523" s="141">
        <v>5274</v>
      </c>
      <c r="L523" s="647"/>
      <c r="M523" s="637"/>
      <c r="N523" s="205"/>
      <c r="O523" s="132"/>
      <c r="P523" s="132"/>
      <c r="Q523" s="132"/>
      <c r="R523" s="132"/>
      <c r="S523" s="132"/>
      <c r="T523" s="132"/>
      <c r="U523" s="132"/>
      <c r="V523" s="132"/>
      <c r="W523" s="132"/>
      <c r="X523" s="132"/>
      <c r="Y523" s="132"/>
      <c r="Z523" s="132"/>
      <c r="AA523" s="132"/>
      <c r="AB523" s="132"/>
    </row>
    <row r="524" spans="1:28" s="133" customFormat="1" ht="15" customHeight="1" outlineLevel="1" x14ac:dyDescent="0.2">
      <c r="A524" s="121">
        <v>24</v>
      </c>
      <c r="B524" s="134">
        <v>58163</v>
      </c>
      <c r="C524" s="135">
        <v>41939</v>
      </c>
      <c r="D524" s="136" t="s">
        <v>1114</v>
      </c>
      <c r="E524" s="134" t="s">
        <v>393</v>
      </c>
      <c r="F524" s="137" t="s">
        <v>115</v>
      </c>
      <c r="G524" s="138" t="s">
        <v>442</v>
      </c>
      <c r="H524" s="139"/>
      <c r="I524" s="140">
        <v>1</v>
      </c>
      <c r="J524" s="141">
        <v>5274</v>
      </c>
      <c r="K524" s="141">
        <v>5274</v>
      </c>
      <c r="L524" s="647"/>
      <c r="M524" s="637"/>
      <c r="N524" s="205"/>
      <c r="O524" s="132"/>
      <c r="P524" s="132"/>
      <c r="Q524" s="132"/>
      <c r="R524" s="132"/>
      <c r="S524" s="132"/>
      <c r="T524" s="132"/>
      <c r="U524" s="132"/>
      <c r="V524" s="132"/>
      <c r="W524" s="132"/>
      <c r="X524" s="132"/>
      <c r="Y524" s="132"/>
      <c r="Z524" s="132"/>
      <c r="AA524" s="132"/>
      <c r="AB524" s="132"/>
    </row>
    <row r="525" spans="1:28" s="133" customFormat="1" ht="15" customHeight="1" outlineLevel="1" x14ac:dyDescent="0.2">
      <c r="A525" s="121">
        <v>25</v>
      </c>
      <c r="B525" s="134">
        <v>54593</v>
      </c>
      <c r="C525" s="135">
        <v>41927</v>
      </c>
      <c r="D525" s="136" t="s">
        <v>1115</v>
      </c>
      <c r="E525" s="134" t="s">
        <v>393</v>
      </c>
      <c r="F525" s="137" t="s">
        <v>534</v>
      </c>
      <c r="G525" s="138" t="s">
        <v>559</v>
      </c>
      <c r="H525" s="139"/>
      <c r="I525" s="140">
        <v>1</v>
      </c>
      <c r="J525" s="141">
        <v>30429</v>
      </c>
      <c r="K525" s="141">
        <v>30429</v>
      </c>
      <c r="L525" s="647"/>
      <c r="M525" s="637"/>
      <c r="N525" s="205"/>
      <c r="O525" s="132"/>
      <c r="P525" s="132"/>
      <c r="Q525" s="132"/>
      <c r="R525" s="132"/>
      <c r="S525" s="132"/>
      <c r="T525" s="132"/>
      <c r="U525" s="132"/>
      <c r="V525" s="132"/>
      <c r="W525" s="132"/>
      <c r="X525" s="132"/>
      <c r="Y525" s="132"/>
      <c r="Z525" s="132"/>
      <c r="AA525" s="132"/>
      <c r="AB525" s="132"/>
    </row>
    <row r="526" spans="1:28" s="133" customFormat="1" ht="15" customHeight="1" outlineLevel="1" x14ac:dyDescent="0.2">
      <c r="A526" s="121">
        <v>26</v>
      </c>
      <c r="B526" s="134">
        <v>57876</v>
      </c>
      <c r="C526" s="135">
        <v>41936</v>
      </c>
      <c r="D526" s="136" t="s">
        <v>1116</v>
      </c>
      <c r="E526" s="134" t="s">
        <v>393</v>
      </c>
      <c r="F526" s="137" t="s">
        <v>215</v>
      </c>
      <c r="G526" s="138" t="s">
        <v>368</v>
      </c>
      <c r="H526" s="139"/>
      <c r="I526" s="140">
        <v>1</v>
      </c>
      <c r="J526" s="141">
        <v>44597</v>
      </c>
      <c r="K526" s="141">
        <v>44597</v>
      </c>
      <c r="L526" s="647"/>
      <c r="M526" s="637"/>
      <c r="N526" s="205"/>
      <c r="O526" s="132"/>
      <c r="P526" s="132"/>
      <c r="Q526" s="132"/>
      <c r="R526" s="132"/>
      <c r="S526" s="132"/>
      <c r="T526" s="132"/>
      <c r="U526" s="132"/>
      <c r="V526" s="132"/>
      <c r="W526" s="132"/>
      <c r="X526" s="132"/>
      <c r="Y526" s="132"/>
      <c r="Z526" s="132"/>
      <c r="AA526" s="132"/>
      <c r="AB526" s="132"/>
    </row>
    <row r="527" spans="1:28" s="133" customFormat="1" ht="15" customHeight="1" outlineLevel="1" x14ac:dyDescent="0.2">
      <c r="A527" s="121">
        <v>27</v>
      </c>
      <c r="B527" s="134">
        <v>59023</v>
      </c>
      <c r="C527" s="135">
        <v>41940</v>
      </c>
      <c r="D527" s="136" t="s">
        <v>1117</v>
      </c>
      <c r="E527" s="134" t="s">
        <v>393</v>
      </c>
      <c r="F527" s="137" t="s">
        <v>534</v>
      </c>
      <c r="G527" s="138" t="s">
        <v>469</v>
      </c>
      <c r="H527" s="139"/>
      <c r="I527" s="140">
        <v>1</v>
      </c>
      <c r="J527" s="141">
        <v>30429</v>
      </c>
      <c r="K527" s="141">
        <v>30429</v>
      </c>
      <c r="L527" s="647"/>
      <c r="M527" s="637"/>
      <c r="N527" s="205"/>
      <c r="O527" s="132"/>
      <c r="P527" s="132"/>
      <c r="Q527" s="132"/>
      <c r="R527" s="132"/>
      <c r="S527" s="132"/>
      <c r="T527" s="132"/>
      <c r="U527" s="132"/>
      <c r="V527" s="132"/>
      <c r="W527" s="132"/>
      <c r="X527" s="132"/>
      <c r="Y527" s="132"/>
      <c r="Z527" s="132"/>
      <c r="AA527" s="132"/>
      <c r="AB527" s="132"/>
    </row>
    <row r="528" spans="1:28" s="133" customFormat="1" ht="15" customHeight="1" outlineLevel="1" x14ac:dyDescent="0.2">
      <c r="A528" s="121">
        <v>28</v>
      </c>
      <c r="B528" s="134">
        <v>58411</v>
      </c>
      <c r="C528" s="135">
        <v>41939</v>
      </c>
      <c r="D528" s="136" t="s">
        <v>1118</v>
      </c>
      <c r="E528" s="134" t="s">
        <v>453</v>
      </c>
      <c r="F528" s="137" t="s">
        <v>534</v>
      </c>
      <c r="G528" s="138" t="s">
        <v>414</v>
      </c>
      <c r="H528" s="139"/>
      <c r="I528" s="140">
        <v>1</v>
      </c>
      <c r="J528" s="141">
        <v>30429</v>
      </c>
      <c r="K528" s="141">
        <v>30429</v>
      </c>
      <c r="L528" s="647"/>
      <c r="M528" s="637"/>
      <c r="N528" s="205"/>
      <c r="O528" s="132"/>
      <c r="P528" s="132"/>
      <c r="Q528" s="132"/>
      <c r="R528" s="132"/>
      <c r="S528" s="132"/>
      <c r="T528" s="132"/>
      <c r="U528" s="132"/>
      <c r="V528" s="132"/>
      <c r="W528" s="132"/>
      <c r="X528" s="132"/>
      <c r="Y528" s="132"/>
      <c r="Z528" s="132"/>
      <c r="AA528" s="132"/>
      <c r="AB528" s="132"/>
    </row>
    <row r="529" spans="1:28" s="133" customFormat="1" ht="15" customHeight="1" outlineLevel="1" x14ac:dyDescent="0.2">
      <c r="A529" s="121">
        <v>29</v>
      </c>
      <c r="B529" s="134">
        <v>59120</v>
      </c>
      <c r="C529" s="174">
        <v>41942</v>
      </c>
      <c r="D529" s="136" t="s">
        <v>1119</v>
      </c>
      <c r="E529" s="134" t="s">
        <v>1065</v>
      </c>
      <c r="F529" s="137" t="s">
        <v>193</v>
      </c>
      <c r="G529" s="138" t="s">
        <v>368</v>
      </c>
      <c r="H529" s="139"/>
      <c r="I529" s="140">
        <v>1</v>
      </c>
      <c r="J529" s="141">
        <v>36514.799999999996</v>
      </c>
      <c r="K529" s="141">
        <v>36514.799999999996</v>
      </c>
      <c r="L529" s="647"/>
      <c r="M529" s="637"/>
      <c r="N529" s="205"/>
      <c r="O529" s="132"/>
      <c r="P529" s="132"/>
      <c r="Q529" s="132"/>
      <c r="R529" s="132"/>
      <c r="S529" s="132"/>
      <c r="T529" s="132"/>
      <c r="U529" s="132"/>
      <c r="V529" s="132"/>
      <c r="W529" s="132"/>
      <c r="X529" s="132"/>
      <c r="Y529" s="132"/>
      <c r="Z529" s="132"/>
      <c r="AA529" s="132"/>
      <c r="AB529" s="132"/>
    </row>
    <row r="530" spans="1:28" s="133" customFormat="1" ht="15" customHeight="1" outlineLevel="1" x14ac:dyDescent="0.2">
      <c r="A530" s="121">
        <v>30</v>
      </c>
      <c r="B530" s="134">
        <v>53502</v>
      </c>
      <c r="C530" s="135">
        <v>41925</v>
      </c>
      <c r="D530" s="136" t="s">
        <v>1120</v>
      </c>
      <c r="E530" s="134" t="s">
        <v>393</v>
      </c>
      <c r="F530" s="137" t="s">
        <v>208</v>
      </c>
      <c r="G530" s="138" t="s">
        <v>469</v>
      </c>
      <c r="H530" s="139"/>
      <c r="I530" s="140">
        <v>1</v>
      </c>
      <c r="J530" s="141">
        <v>14099</v>
      </c>
      <c r="K530" s="141">
        <v>14099</v>
      </c>
      <c r="L530" s="647"/>
      <c r="M530" s="637"/>
      <c r="N530" s="205"/>
      <c r="O530" s="132"/>
      <c r="P530" s="132"/>
      <c r="Q530" s="132"/>
      <c r="R530" s="132"/>
      <c r="S530" s="132"/>
      <c r="T530" s="132"/>
      <c r="U530" s="132"/>
      <c r="V530" s="132"/>
      <c r="W530" s="132"/>
      <c r="X530" s="132"/>
      <c r="Y530" s="132"/>
      <c r="Z530" s="132"/>
      <c r="AA530" s="132"/>
      <c r="AB530" s="132"/>
    </row>
    <row r="531" spans="1:28" s="133" customFormat="1" ht="15" customHeight="1" outlineLevel="1" x14ac:dyDescent="0.2">
      <c r="A531" s="121">
        <v>31</v>
      </c>
      <c r="B531" s="134">
        <v>55443</v>
      </c>
      <c r="C531" s="135">
        <v>41914</v>
      </c>
      <c r="D531" s="136" t="s">
        <v>1120</v>
      </c>
      <c r="E531" s="134" t="s">
        <v>393</v>
      </c>
      <c r="F531" s="137" t="s">
        <v>115</v>
      </c>
      <c r="G531" s="138" t="s">
        <v>469</v>
      </c>
      <c r="H531" s="139"/>
      <c r="I531" s="140">
        <v>1</v>
      </c>
      <c r="J531" s="141">
        <v>5274</v>
      </c>
      <c r="K531" s="141">
        <v>5274</v>
      </c>
      <c r="L531" s="647"/>
      <c r="M531" s="637"/>
      <c r="N531" s="205"/>
      <c r="O531" s="132"/>
      <c r="P531" s="132"/>
      <c r="Q531" s="132"/>
      <c r="R531" s="132"/>
      <c r="S531" s="132"/>
      <c r="T531" s="132"/>
      <c r="U531" s="132"/>
      <c r="V531" s="132"/>
      <c r="W531" s="132"/>
      <c r="X531" s="132"/>
      <c r="Y531" s="132"/>
      <c r="Z531" s="132"/>
      <c r="AA531" s="132"/>
      <c r="AB531" s="132"/>
    </row>
    <row r="532" spans="1:28" s="133" customFormat="1" ht="15" customHeight="1" outlineLevel="1" x14ac:dyDescent="0.2">
      <c r="A532" s="121">
        <v>32</v>
      </c>
      <c r="B532" s="134">
        <v>56900</v>
      </c>
      <c r="C532" s="135">
        <v>41935</v>
      </c>
      <c r="D532" s="136" t="s">
        <v>1121</v>
      </c>
      <c r="E532" s="134" t="s">
        <v>393</v>
      </c>
      <c r="F532" s="137" t="s">
        <v>115</v>
      </c>
      <c r="G532" s="138" t="s">
        <v>559</v>
      </c>
      <c r="H532" s="139"/>
      <c r="I532" s="140">
        <v>1</v>
      </c>
      <c r="J532" s="141">
        <v>5274</v>
      </c>
      <c r="K532" s="141">
        <v>5274</v>
      </c>
      <c r="L532" s="647"/>
      <c r="M532" s="637"/>
      <c r="N532" s="205"/>
      <c r="O532" s="132"/>
      <c r="P532" s="132"/>
      <c r="Q532" s="132"/>
      <c r="R532" s="132"/>
      <c r="S532" s="132"/>
      <c r="T532" s="132"/>
      <c r="U532" s="132"/>
      <c r="V532" s="132"/>
      <c r="W532" s="132"/>
      <c r="X532" s="132"/>
      <c r="Y532" s="132"/>
      <c r="Z532" s="132"/>
      <c r="AA532" s="132"/>
      <c r="AB532" s="132"/>
    </row>
    <row r="533" spans="1:28" s="133" customFormat="1" ht="15" customHeight="1" outlineLevel="1" x14ac:dyDescent="0.2">
      <c r="A533" s="121">
        <v>33</v>
      </c>
      <c r="B533" s="134">
        <v>54135</v>
      </c>
      <c r="C533" s="135">
        <v>41926</v>
      </c>
      <c r="D533" s="136" t="s">
        <v>1122</v>
      </c>
      <c r="E533" s="134" t="s">
        <v>1065</v>
      </c>
      <c r="F533" s="137" t="s">
        <v>171</v>
      </c>
      <c r="G533" s="138" t="s">
        <v>368</v>
      </c>
      <c r="H533" s="139"/>
      <c r="I533" s="140">
        <v>1</v>
      </c>
      <c r="J533" s="141">
        <v>18764</v>
      </c>
      <c r="K533" s="141">
        <v>18764</v>
      </c>
      <c r="L533" s="647"/>
      <c r="M533" s="637"/>
      <c r="N533" s="205"/>
      <c r="O533" s="132"/>
      <c r="P533" s="132"/>
      <c r="Q533" s="132"/>
      <c r="R533" s="132"/>
      <c r="S533" s="132"/>
      <c r="T533" s="132"/>
      <c r="U533" s="132"/>
      <c r="V533" s="132"/>
      <c r="W533" s="132"/>
      <c r="X533" s="132"/>
      <c r="Y533" s="132"/>
      <c r="Z533" s="132"/>
      <c r="AA533" s="132"/>
      <c r="AB533" s="132"/>
    </row>
    <row r="534" spans="1:28" s="133" customFormat="1" ht="15" customHeight="1" outlineLevel="1" x14ac:dyDescent="0.2">
      <c r="A534" s="121">
        <v>34</v>
      </c>
      <c r="B534" s="134">
        <v>53212</v>
      </c>
      <c r="C534" s="135">
        <v>41922</v>
      </c>
      <c r="D534" s="136" t="s">
        <v>1123</v>
      </c>
      <c r="E534" s="134" t="s">
        <v>393</v>
      </c>
      <c r="F534" s="137" t="s">
        <v>235</v>
      </c>
      <c r="G534" s="138"/>
      <c r="H534" s="139"/>
      <c r="I534" s="140">
        <v>1</v>
      </c>
      <c r="J534" s="141">
        <v>10401</v>
      </c>
      <c r="K534" s="141">
        <v>10401</v>
      </c>
      <c r="L534" s="647"/>
      <c r="M534" s="637"/>
      <c r="N534" s="205"/>
      <c r="O534" s="132"/>
      <c r="P534" s="132"/>
      <c r="Q534" s="132"/>
      <c r="R534" s="132"/>
      <c r="S534" s="132"/>
      <c r="T534" s="132"/>
      <c r="U534" s="132"/>
      <c r="V534" s="132"/>
      <c r="W534" s="132"/>
      <c r="X534" s="132"/>
      <c r="Y534" s="132"/>
      <c r="Z534" s="132"/>
      <c r="AA534" s="132"/>
      <c r="AB534" s="132"/>
    </row>
    <row r="535" spans="1:28" s="133" customFormat="1" ht="15" customHeight="1" outlineLevel="1" x14ac:dyDescent="0.2">
      <c r="A535" s="121">
        <v>35</v>
      </c>
      <c r="B535" s="134">
        <v>59113</v>
      </c>
      <c r="C535" s="135">
        <v>41920</v>
      </c>
      <c r="D535" s="136" t="s">
        <v>1124</v>
      </c>
      <c r="E535" s="134" t="s">
        <v>393</v>
      </c>
      <c r="F535" s="137" t="s">
        <v>208</v>
      </c>
      <c r="G535" s="138" t="s">
        <v>469</v>
      </c>
      <c r="H535" s="139"/>
      <c r="I535" s="140">
        <v>1</v>
      </c>
      <c r="J535" s="141">
        <v>14099</v>
      </c>
      <c r="K535" s="141">
        <v>14099</v>
      </c>
      <c r="L535" s="647"/>
      <c r="M535" s="637"/>
      <c r="N535" s="205"/>
      <c r="O535" s="132"/>
      <c r="P535" s="132"/>
      <c r="Q535" s="132"/>
      <c r="R535" s="132"/>
      <c r="S535" s="132"/>
      <c r="T535" s="132"/>
      <c r="U535" s="132"/>
      <c r="V535" s="132"/>
      <c r="W535" s="132"/>
      <c r="X535" s="132"/>
      <c r="Y535" s="132"/>
      <c r="Z535" s="132"/>
      <c r="AA535" s="132"/>
      <c r="AB535" s="132"/>
    </row>
    <row r="536" spans="1:28" s="133" customFormat="1" ht="15" customHeight="1" outlineLevel="1" x14ac:dyDescent="0.2">
      <c r="A536" s="121">
        <v>36</v>
      </c>
      <c r="B536" s="134">
        <v>59113</v>
      </c>
      <c r="C536" s="135">
        <v>41920</v>
      </c>
      <c r="D536" s="136" t="s">
        <v>1124</v>
      </c>
      <c r="E536" s="134" t="s">
        <v>393</v>
      </c>
      <c r="F536" s="137" t="s">
        <v>115</v>
      </c>
      <c r="G536" s="138" t="s">
        <v>469</v>
      </c>
      <c r="H536" s="139"/>
      <c r="I536" s="140">
        <v>1</v>
      </c>
      <c r="J536" s="141">
        <v>5274</v>
      </c>
      <c r="K536" s="141">
        <v>5274</v>
      </c>
      <c r="L536" s="647"/>
      <c r="M536" s="637"/>
      <c r="N536" s="205"/>
      <c r="O536" s="132"/>
      <c r="P536" s="132"/>
      <c r="Q536" s="132"/>
      <c r="R536" s="132"/>
      <c r="S536" s="132"/>
      <c r="T536" s="132"/>
      <c r="U536" s="132"/>
      <c r="V536" s="132"/>
      <c r="W536" s="132"/>
      <c r="X536" s="132"/>
      <c r="Y536" s="132"/>
      <c r="Z536" s="132"/>
      <c r="AA536" s="132"/>
      <c r="AB536" s="132"/>
    </row>
    <row r="537" spans="1:28" s="133" customFormat="1" ht="15" customHeight="1" outlineLevel="1" x14ac:dyDescent="0.2">
      <c r="A537" s="121">
        <v>37</v>
      </c>
      <c r="B537" s="134">
        <v>58419</v>
      </c>
      <c r="C537" s="135">
        <v>41939</v>
      </c>
      <c r="D537" s="136" t="s">
        <v>1125</v>
      </c>
      <c r="E537" s="134" t="s">
        <v>393</v>
      </c>
      <c r="F537" s="137" t="s">
        <v>679</v>
      </c>
      <c r="G537" s="138" t="s">
        <v>384</v>
      </c>
      <c r="H537" s="139"/>
      <c r="I537" s="140">
        <v>2</v>
      </c>
      <c r="J537" s="141">
        <v>55058</v>
      </c>
      <c r="K537" s="141">
        <v>110116</v>
      </c>
      <c r="L537" s="647"/>
      <c r="M537" s="637"/>
      <c r="N537" s="205"/>
      <c r="O537" s="132"/>
      <c r="P537" s="132"/>
      <c r="Q537" s="132"/>
      <c r="R537" s="132"/>
      <c r="S537" s="132"/>
      <c r="T537" s="132"/>
      <c r="U537" s="132"/>
      <c r="V537" s="132"/>
      <c r="W537" s="132"/>
      <c r="X537" s="132"/>
      <c r="Y537" s="132"/>
      <c r="Z537" s="132"/>
      <c r="AA537" s="132"/>
      <c r="AB537" s="132"/>
    </row>
    <row r="538" spans="1:28" s="133" customFormat="1" ht="15" customHeight="1" outlineLevel="1" x14ac:dyDescent="0.2">
      <c r="A538" s="121">
        <v>38</v>
      </c>
      <c r="B538" s="134">
        <v>56034</v>
      </c>
      <c r="C538" s="135">
        <v>41932</v>
      </c>
      <c r="D538" s="136" t="s">
        <v>1126</v>
      </c>
      <c r="E538" s="134" t="s">
        <v>393</v>
      </c>
      <c r="F538" s="137" t="s">
        <v>208</v>
      </c>
      <c r="G538" s="138" t="s">
        <v>559</v>
      </c>
      <c r="H538" s="139"/>
      <c r="I538" s="140">
        <v>1</v>
      </c>
      <c r="J538" s="141">
        <v>14099</v>
      </c>
      <c r="K538" s="141">
        <v>14099</v>
      </c>
      <c r="L538" s="647"/>
      <c r="M538" s="637"/>
      <c r="N538" s="205"/>
      <c r="O538" s="132"/>
      <c r="P538" s="132"/>
      <c r="Q538" s="132"/>
      <c r="R538" s="132"/>
      <c r="S538" s="132"/>
      <c r="T538" s="132"/>
      <c r="U538" s="132"/>
      <c r="V538" s="132"/>
      <c r="W538" s="132"/>
      <c r="X538" s="132"/>
      <c r="Y538" s="132"/>
      <c r="Z538" s="132"/>
      <c r="AA538" s="132"/>
      <c r="AB538" s="132"/>
    </row>
    <row r="539" spans="1:28" s="133" customFormat="1" ht="15" customHeight="1" outlineLevel="1" x14ac:dyDescent="0.2">
      <c r="A539" s="121">
        <v>39</v>
      </c>
      <c r="B539" s="134">
        <v>58732</v>
      </c>
      <c r="C539" s="135">
        <v>41940</v>
      </c>
      <c r="D539" s="136" t="s">
        <v>1127</v>
      </c>
      <c r="E539" s="134" t="s">
        <v>453</v>
      </c>
      <c r="F539" s="137" t="s">
        <v>534</v>
      </c>
      <c r="G539" s="138" t="s">
        <v>508</v>
      </c>
      <c r="H539" s="139"/>
      <c r="I539" s="140">
        <v>1</v>
      </c>
      <c r="J539" s="141">
        <v>30429</v>
      </c>
      <c r="K539" s="141">
        <v>30429</v>
      </c>
      <c r="L539" s="647"/>
      <c r="M539" s="637"/>
      <c r="N539" s="205"/>
      <c r="O539" s="132"/>
      <c r="P539" s="132"/>
      <c r="Q539" s="132"/>
      <c r="R539" s="132"/>
      <c r="S539" s="132"/>
      <c r="T539" s="132"/>
      <c r="U539" s="132"/>
      <c r="V539" s="132"/>
      <c r="W539" s="132"/>
      <c r="X539" s="132"/>
      <c r="Y539" s="132"/>
      <c r="Z539" s="132"/>
      <c r="AA539" s="132"/>
      <c r="AB539" s="132"/>
    </row>
    <row r="540" spans="1:28" s="133" customFormat="1" ht="15" customHeight="1" outlineLevel="1" x14ac:dyDescent="0.2">
      <c r="A540" s="121">
        <v>40</v>
      </c>
      <c r="B540" s="134">
        <v>58499</v>
      </c>
      <c r="C540" s="135">
        <v>41939</v>
      </c>
      <c r="D540" s="136" t="s">
        <v>1128</v>
      </c>
      <c r="E540" s="134" t="s">
        <v>393</v>
      </c>
      <c r="F540" s="137" t="s">
        <v>115</v>
      </c>
      <c r="G540" s="138" t="s">
        <v>524</v>
      </c>
      <c r="H540" s="139"/>
      <c r="I540" s="140">
        <v>1</v>
      </c>
      <c r="J540" s="141">
        <v>5274</v>
      </c>
      <c r="K540" s="141">
        <v>5274</v>
      </c>
      <c r="L540" s="647"/>
      <c r="M540" s="637"/>
      <c r="N540" s="205"/>
      <c r="O540" s="132"/>
      <c r="P540" s="132"/>
      <c r="Q540" s="132"/>
      <c r="R540" s="132"/>
      <c r="S540" s="132"/>
      <c r="T540" s="132"/>
      <c r="U540" s="132"/>
      <c r="V540" s="132"/>
      <c r="W540" s="132"/>
      <c r="X540" s="132"/>
      <c r="Y540" s="132"/>
      <c r="Z540" s="132"/>
      <c r="AA540" s="132"/>
      <c r="AB540" s="132"/>
    </row>
    <row r="541" spans="1:28" s="133" customFormat="1" ht="15" customHeight="1" outlineLevel="1" x14ac:dyDescent="0.2">
      <c r="A541" s="121">
        <v>41</v>
      </c>
      <c r="B541" s="134">
        <v>58499</v>
      </c>
      <c r="C541" s="135">
        <v>41939</v>
      </c>
      <c r="D541" s="136" t="s">
        <v>1128</v>
      </c>
      <c r="E541" s="134" t="s">
        <v>393</v>
      </c>
      <c r="F541" s="137" t="s">
        <v>1129</v>
      </c>
      <c r="G541" s="138" t="s">
        <v>397</v>
      </c>
      <c r="H541" s="139"/>
      <c r="I541" s="140">
        <v>2</v>
      </c>
      <c r="J541" s="141">
        <v>49701</v>
      </c>
      <c r="K541" s="141">
        <v>99402</v>
      </c>
      <c r="L541" s="647"/>
      <c r="M541" s="637"/>
      <c r="N541" s="205"/>
      <c r="O541" s="132"/>
      <c r="P541" s="132"/>
      <c r="Q541" s="132"/>
      <c r="R541" s="132"/>
      <c r="S541" s="132"/>
      <c r="T541" s="132"/>
      <c r="U541" s="132"/>
      <c r="V541" s="132"/>
      <c r="W541" s="132"/>
      <c r="X541" s="132"/>
      <c r="Y541" s="132"/>
      <c r="Z541" s="132"/>
      <c r="AA541" s="132"/>
      <c r="AB541" s="132"/>
    </row>
    <row r="542" spans="1:28" s="133" customFormat="1" ht="15" customHeight="1" outlineLevel="1" x14ac:dyDescent="0.2">
      <c r="A542" s="121">
        <v>43</v>
      </c>
      <c r="B542" s="134">
        <v>57260</v>
      </c>
      <c r="C542" s="135">
        <v>41936</v>
      </c>
      <c r="D542" s="136" t="s">
        <v>1130</v>
      </c>
      <c r="E542" s="134" t="s">
        <v>453</v>
      </c>
      <c r="F542" s="137" t="s">
        <v>115</v>
      </c>
      <c r="G542" s="138" t="s">
        <v>414</v>
      </c>
      <c r="H542" s="139"/>
      <c r="I542" s="140">
        <v>1</v>
      </c>
      <c r="J542" s="141">
        <v>5274</v>
      </c>
      <c r="K542" s="141">
        <v>5274</v>
      </c>
      <c r="L542" s="648"/>
      <c r="M542" s="638"/>
      <c r="N542" s="205"/>
      <c r="O542" s="132"/>
      <c r="P542" s="132"/>
      <c r="Q542" s="132"/>
      <c r="R542" s="132"/>
      <c r="S542" s="132"/>
      <c r="T542" s="132"/>
      <c r="U542" s="132"/>
      <c r="V542" s="132"/>
      <c r="W542" s="132"/>
      <c r="X542" s="132"/>
      <c r="Y542" s="132"/>
      <c r="Z542" s="132"/>
      <c r="AA542" s="132"/>
      <c r="AB542" s="132"/>
    </row>
    <row r="543" spans="1:28" s="133" customFormat="1" ht="15" customHeight="1" outlineLevel="1" x14ac:dyDescent="0.2">
      <c r="A543" s="121">
        <v>1</v>
      </c>
      <c r="B543" s="134">
        <v>60646</v>
      </c>
      <c r="C543" s="174">
        <v>41946</v>
      </c>
      <c r="D543" s="136" t="s">
        <v>1121</v>
      </c>
      <c r="E543" s="134" t="s">
        <v>393</v>
      </c>
      <c r="F543" s="137" t="s">
        <v>208</v>
      </c>
      <c r="G543" s="138" t="s">
        <v>559</v>
      </c>
      <c r="H543" s="139"/>
      <c r="I543" s="140">
        <v>1</v>
      </c>
      <c r="J543" s="141">
        <v>14099</v>
      </c>
      <c r="K543" s="141">
        <v>14099</v>
      </c>
      <c r="L543" s="181" t="s">
        <v>957</v>
      </c>
      <c r="M543" s="166" t="s">
        <v>35</v>
      </c>
      <c r="N543" s="205"/>
      <c r="O543" s="132"/>
      <c r="P543" s="132"/>
      <c r="Q543" s="132"/>
      <c r="R543" s="132"/>
      <c r="S543" s="132"/>
      <c r="T543" s="132"/>
      <c r="U543" s="132"/>
      <c r="V543" s="132"/>
      <c r="W543" s="132"/>
      <c r="X543" s="132"/>
      <c r="Y543" s="132"/>
      <c r="Z543" s="132"/>
      <c r="AA543" s="132"/>
      <c r="AB543" s="132"/>
    </row>
    <row r="544" spans="1:28" s="133" customFormat="1" ht="15" customHeight="1" outlineLevel="1" x14ac:dyDescent="0.2">
      <c r="A544" s="121">
        <v>2</v>
      </c>
      <c r="B544" s="134">
        <v>60676</v>
      </c>
      <c r="C544" s="174">
        <v>41946</v>
      </c>
      <c r="D544" s="136" t="s">
        <v>1131</v>
      </c>
      <c r="E544" s="134" t="s">
        <v>453</v>
      </c>
      <c r="F544" s="137" t="s">
        <v>208</v>
      </c>
      <c r="G544" s="138" t="s">
        <v>414</v>
      </c>
      <c r="H544" s="139"/>
      <c r="I544" s="140">
        <v>1</v>
      </c>
      <c r="J544" s="141">
        <v>14099</v>
      </c>
      <c r="K544" s="141">
        <v>14099</v>
      </c>
      <c r="L544" s="181" t="s">
        <v>957</v>
      </c>
      <c r="M544" s="166" t="s">
        <v>35</v>
      </c>
      <c r="N544" s="205"/>
      <c r="O544" s="132"/>
      <c r="P544" s="132"/>
      <c r="Q544" s="132"/>
      <c r="R544" s="132"/>
      <c r="S544" s="132"/>
      <c r="T544" s="132"/>
      <c r="U544" s="132"/>
      <c r="V544" s="132"/>
      <c r="W544" s="132"/>
      <c r="X544" s="132"/>
      <c r="Y544" s="132"/>
      <c r="Z544" s="132"/>
      <c r="AA544" s="132"/>
      <c r="AB544" s="132"/>
    </row>
    <row r="545" spans="1:28" s="133" customFormat="1" ht="15" customHeight="1" outlineLevel="1" x14ac:dyDescent="0.2">
      <c r="A545" s="121">
        <v>3</v>
      </c>
      <c r="B545" s="134">
        <v>61277</v>
      </c>
      <c r="C545" s="174">
        <v>41947</v>
      </c>
      <c r="D545" s="136" t="s">
        <v>1132</v>
      </c>
      <c r="E545" s="134" t="s">
        <v>453</v>
      </c>
      <c r="F545" s="137" t="s">
        <v>577</v>
      </c>
      <c r="G545" s="138" t="s">
        <v>368</v>
      </c>
      <c r="H545" s="139"/>
      <c r="I545" s="140">
        <v>1</v>
      </c>
      <c r="J545" s="141">
        <v>25800</v>
      </c>
      <c r="K545" s="141">
        <v>25800</v>
      </c>
      <c r="L545" s="181" t="s">
        <v>957</v>
      </c>
      <c r="M545" s="166" t="s">
        <v>35</v>
      </c>
      <c r="N545" s="205"/>
      <c r="O545" s="132"/>
      <c r="P545" s="132"/>
      <c r="Q545" s="132"/>
      <c r="R545" s="132"/>
      <c r="S545" s="132"/>
      <c r="T545" s="132"/>
      <c r="U545" s="132"/>
      <c r="V545" s="132"/>
      <c r="W545" s="132"/>
      <c r="X545" s="132"/>
      <c r="Y545" s="132"/>
      <c r="Z545" s="132"/>
      <c r="AA545" s="132"/>
      <c r="AB545" s="132"/>
    </row>
    <row r="546" spans="1:28" s="133" customFormat="1" ht="15" customHeight="1" outlineLevel="1" x14ac:dyDescent="0.2">
      <c r="A546" s="121">
        <v>4</v>
      </c>
      <c r="B546" s="134">
        <v>61285</v>
      </c>
      <c r="C546" s="174">
        <v>41947</v>
      </c>
      <c r="D546" s="136" t="s">
        <v>1133</v>
      </c>
      <c r="E546" s="134" t="s">
        <v>453</v>
      </c>
      <c r="F546" s="137" t="s">
        <v>534</v>
      </c>
      <c r="G546" s="138" t="s">
        <v>414</v>
      </c>
      <c r="H546" s="139"/>
      <c r="I546" s="140">
        <v>1</v>
      </c>
      <c r="J546" s="141">
        <v>30429</v>
      </c>
      <c r="K546" s="141">
        <v>30429</v>
      </c>
      <c r="L546" s="181" t="s">
        <v>957</v>
      </c>
      <c r="M546" s="166" t="s">
        <v>35</v>
      </c>
      <c r="N546" s="205"/>
      <c r="O546" s="132"/>
      <c r="P546" s="132"/>
      <c r="Q546" s="132"/>
      <c r="R546" s="132"/>
      <c r="S546" s="132"/>
      <c r="T546" s="132"/>
      <c r="U546" s="132"/>
      <c r="V546" s="132"/>
      <c r="W546" s="132"/>
      <c r="X546" s="132"/>
      <c r="Y546" s="132"/>
      <c r="Z546" s="132"/>
      <c r="AA546" s="132"/>
      <c r="AB546" s="132"/>
    </row>
    <row r="547" spans="1:28" s="133" customFormat="1" ht="15" customHeight="1" outlineLevel="1" x14ac:dyDescent="0.2">
      <c r="A547" s="121">
        <v>5</v>
      </c>
      <c r="B547" s="134">
        <v>61670</v>
      </c>
      <c r="C547" s="174">
        <v>41948</v>
      </c>
      <c r="D547" s="136" t="s">
        <v>447</v>
      </c>
      <c r="E547" s="134" t="s">
        <v>393</v>
      </c>
      <c r="F547" s="137" t="s">
        <v>215</v>
      </c>
      <c r="G547" s="138" t="s">
        <v>368</v>
      </c>
      <c r="H547" s="139"/>
      <c r="I547" s="140">
        <v>1</v>
      </c>
      <c r="J547" s="141">
        <v>44597</v>
      </c>
      <c r="K547" s="141">
        <v>44597</v>
      </c>
      <c r="L547" s="181" t="s">
        <v>957</v>
      </c>
      <c r="M547" s="166" t="s">
        <v>35</v>
      </c>
      <c r="N547" s="205"/>
      <c r="O547" s="132"/>
      <c r="P547" s="132"/>
      <c r="Q547" s="132"/>
      <c r="R547" s="132"/>
      <c r="S547" s="132"/>
      <c r="T547" s="132"/>
      <c r="U547" s="132"/>
      <c r="V547" s="132"/>
      <c r="W547" s="132"/>
      <c r="X547" s="132"/>
      <c r="Y547" s="132"/>
      <c r="Z547" s="132"/>
      <c r="AA547" s="132"/>
      <c r="AB547" s="132"/>
    </row>
    <row r="548" spans="1:28" s="133" customFormat="1" ht="15" customHeight="1" outlineLevel="1" x14ac:dyDescent="0.2">
      <c r="A548" s="121">
        <v>6</v>
      </c>
      <c r="B548" s="134">
        <v>61670</v>
      </c>
      <c r="C548" s="174">
        <v>41948</v>
      </c>
      <c r="D548" s="136" t="s">
        <v>447</v>
      </c>
      <c r="E548" s="134" t="s">
        <v>393</v>
      </c>
      <c r="F548" s="137" t="s">
        <v>679</v>
      </c>
      <c r="G548" s="138" t="s">
        <v>366</v>
      </c>
      <c r="H548" s="139"/>
      <c r="I548" s="140">
        <v>1</v>
      </c>
      <c r="J548" s="141">
        <v>55058</v>
      </c>
      <c r="K548" s="141">
        <v>55058</v>
      </c>
      <c r="L548" s="181" t="s">
        <v>957</v>
      </c>
      <c r="M548" s="166" t="s">
        <v>35</v>
      </c>
      <c r="N548" s="205"/>
      <c r="O548" s="132"/>
      <c r="P548" s="132"/>
      <c r="Q548" s="132"/>
      <c r="R548" s="132"/>
      <c r="S548" s="132"/>
      <c r="T548" s="132"/>
      <c r="U548" s="132"/>
      <c r="V548" s="132"/>
      <c r="W548" s="132"/>
      <c r="X548" s="132"/>
      <c r="Y548" s="132"/>
      <c r="Z548" s="132"/>
      <c r="AA548" s="132"/>
      <c r="AB548" s="132"/>
    </row>
    <row r="549" spans="1:28" s="133" customFormat="1" ht="15" customHeight="1" outlineLevel="1" x14ac:dyDescent="0.2">
      <c r="A549" s="121">
        <v>7</v>
      </c>
      <c r="B549" s="134">
        <v>61698</v>
      </c>
      <c r="C549" s="174">
        <v>41948</v>
      </c>
      <c r="D549" s="136" t="s">
        <v>1134</v>
      </c>
      <c r="E549" s="134" t="s">
        <v>393</v>
      </c>
      <c r="F549" s="137" t="s">
        <v>534</v>
      </c>
      <c r="G549" s="138" t="s">
        <v>559</v>
      </c>
      <c r="H549" s="139"/>
      <c r="I549" s="140">
        <v>1</v>
      </c>
      <c r="J549" s="141">
        <v>30429</v>
      </c>
      <c r="K549" s="141">
        <v>30429</v>
      </c>
      <c r="L549" s="181" t="s">
        <v>957</v>
      </c>
      <c r="M549" s="166" t="s">
        <v>35</v>
      </c>
      <c r="N549" s="205"/>
      <c r="O549" s="132"/>
      <c r="P549" s="132"/>
      <c r="Q549" s="132"/>
      <c r="R549" s="132"/>
      <c r="S549" s="132"/>
      <c r="T549" s="132"/>
      <c r="U549" s="132"/>
      <c r="V549" s="132"/>
      <c r="W549" s="132"/>
      <c r="X549" s="132"/>
      <c r="Y549" s="132"/>
      <c r="Z549" s="132"/>
      <c r="AA549" s="132"/>
      <c r="AB549" s="132"/>
    </row>
    <row r="550" spans="1:28" s="133" customFormat="1" ht="15" customHeight="1" outlineLevel="1" x14ac:dyDescent="0.2">
      <c r="A550" s="121">
        <v>8</v>
      </c>
      <c r="B550" s="134">
        <v>61742</v>
      </c>
      <c r="C550" s="174">
        <v>41948</v>
      </c>
      <c r="D550" s="136" t="s">
        <v>1135</v>
      </c>
      <c r="E550" s="134" t="s">
        <v>393</v>
      </c>
      <c r="F550" s="137" t="s">
        <v>215</v>
      </c>
      <c r="G550" s="138" t="s">
        <v>368</v>
      </c>
      <c r="H550" s="139"/>
      <c r="I550" s="140">
        <v>1</v>
      </c>
      <c r="J550" s="141">
        <v>44597</v>
      </c>
      <c r="K550" s="141">
        <v>44597</v>
      </c>
      <c r="L550" s="181" t="s">
        <v>957</v>
      </c>
      <c r="M550" s="166" t="s">
        <v>35</v>
      </c>
      <c r="N550" s="205"/>
      <c r="O550" s="132"/>
      <c r="P550" s="132"/>
      <c r="Q550" s="132"/>
      <c r="R550" s="132"/>
      <c r="S550" s="132"/>
      <c r="T550" s="132"/>
      <c r="U550" s="132"/>
      <c r="V550" s="132"/>
      <c r="W550" s="132"/>
      <c r="X550" s="132"/>
      <c r="Y550" s="132"/>
      <c r="Z550" s="132"/>
      <c r="AA550" s="132"/>
      <c r="AB550" s="132"/>
    </row>
    <row r="551" spans="1:28" s="133" customFormat="1" ht="15" customHeight="1" outlineLevel="1" x14ac:dyDescent="0.2">
      <c r="A551" s="121">
        <v>9</v>
      </c>
      <c r="B551" s="134">
        <v>61746</v>
      </c>
      <c r="C551" s="174">
        <v>41948</v>
      </c>
      <c r="D551" s="136" t="s">
        <v>1136</v>
      </c>
      <c r="E551" s="134" t="s">
        <v>453</v>
      </c>
      <c r="F551" s="137" t="s">
        <v>215</v>
      </c>
      <c r="G551" s="138" t="s">
        <v>368</v>
      </c>
      <c r="H551" s="139"/>
      <c r="I551" s="140">
        <v>1</v>
      </c>
      <c r="J551" s="141">
        <v>44597</v>
      </c>
      <c r="K551" s="141">
        <v>44597</v>
      </c>
      <c r="L551" s="181" t="s">
        <v>957</v>
      </c>
      <c r="M551" s="166" t="s">
        <v>35</v>
      </c>
      <c r="N551" s="205"/>
      <c r="O551" s="132"/>
      <c r="P551" s="132"/>
      <c r="Q551" s="132"/>
      <c r="R551" s="132"/>
      <c r="S551" s="132"/>
      <c r="T551" s="132"/>
      <c r="U551" s="132"/>
      <c r="V551" s="132"/>
      <c r="W551" s="132"/>
      <c r="X551" s="132"/>
      <c r="Y551" s="132"/>
      <c r="Z551" s="132"/>
      <c r="AA551" s="132"/>
      <c r="AB551" s="132"/>
    </row>
    <row r="552" spans="1:28" s="133" customFormat="1" ht="15" customHeight="1" outlineLevel="1" x14ac:dyDescent="0.2">
      <c r="A552" s="121">
        <v>10</v>
      </c>
      <c r="B552" s="134">
        <v>62452</v>
      </c>
      <c r="C552" s="174">
        <v>41953</v>
      </c>
      <c r="D552" s="136" t="s">
        <v>1137</v>
      </c>
      <c r="E552" s="134" t="s">
        <v>453</v>
      </c>
      <c r="F552" s="137" t="s">
        <v>534</v>
      </c>
      <c r="G552" s="138" t="s">
        <v>469</v>
      </c>
      <c r="H552" s="139"/>
      <c r="I552" s="140">
        <v>1</v>
      </c>
      <c r="J552" s="141">
        <v>30429</v>
      </c>
      <c r="K552" s="141">
        <v>30429</v>
      </c>
      <c r="L552" s="181" t="s">
        <v>957</v>
      </c>
      <c r="M552" s="166" t="s">
        <v>35</v>
      </c>
      <c r="N552" s="205"/>
      <c r="O552" s="132"/>
      <c r="P552" s="132"/>
      <c r="Q552" s="132"/>
      <c r="R552" s="132"/>
      <c r="S552" s="132"/>
      <c r="T552" s="132"/>
      <c r="U552" s="132"/>
      <c r="V552" s="132"/>
      <c r="W552" s="132"/>
      <c r="X552" s="132"/>
      <c r="Y552" s="132"/>
      <c r="Z552" s="132"/>
      <c r="AA552" s="132"/>
      <c r="AB552" s="132"/>
    </row>
    <row r="553" spans="1:28" s="133" customFormat="1" ht="15" customHeight="1" outlineLevel="1" x14ac:dyDescent="0.2">
      <c r="A553" s="121">
        <v>11</v>
      </c>
      <c r="B553" s="134">
        <v>62452</v>
      </c>
      <c r="C553" s="174">
        <v>41953</v>
      </c>
      <c r="D553" s="136" t="s">
        <v>1137</v>
      </c>
      <c r="E553" s="134" t="s">
        <v>453</v>
      </c>
      <c r="F553" s="137" t="s">
        <v>115</v>
      </c>
      <c r="G553" s="138" t="s">
        <v>397</v>
      </c>
      <c r="H553" s="139"/>
      <c r="I553" s="140">
        <v>2</v>
      </c>
      <c r="J553" s="141">
        <v>5274</v>
      </c>
      <c r="K553" s="141">
        <v>10548</v>
      </c>
      <c r="L553" s="181" t="s">
        <v>957</v>
      </c>
      <c r="M553" s="166" t="s">
        <v>35</v>
      </c>
      <c r="N553" s="205"/>
      <c r="O553" s="132"/>
      <c r="P553" s="132"/>
      <c r="Q553" s="132"/>
      <c r="R553" s="132"/>
      <c r="S553" s="132"/>
      <c r="T553" s="132"/>
      <c r="U553" s="132"/>
      <c r="V553" s="132"/>
      <c r="W553" s="132"/>
      <c r="X553" s="132"/>
      <c r="Y553" s="132"/>
      <c r="Z553" s="132"/>
      <c r="AA553" s="132"/>
      <c r="AB553" s="132"/>
    </row>
    <row r="554" spans="1:28" s="133" customFormat="1" ht="15" customHeight="1" outlineLevel="1" x14ac:dyDescent="0.2">
      <c r="A554" s="121">
        <v>12</v>
      </c>
      <c r="B554" s="134">
        <v>62812</v>
      </c>
      <c r="C554" s="174">
        <v>41950</v>
      </c>
      <c r="D554" s="136" t="s">
        <v>1138</v>
      </c>
      <c r="E554" s="134" t="s">
        <v>453</v>
      </c>
      <c r="F554" s="137" t="s">
        <v>215</v>
      </c>
      <c r="G554" s="138" t="s">
        <v>368</v>
      </c>
      <c r="H554" s="139"/>
      <c r="I554" s="140">
        <v>1</v>
      </c>
      <c r="J554" s="141">
        <v>44597</v>
      </c>
      <c r="K554" s="141">
        <v>44597</v>
      </c>
      <c r="L554" s="181" t="s">
        <v>957</v>
      </c>
      <c r="M554" s="166" t="s">
        <v>35</v>
      </c>
      <c r="N554" s="205"/>
      <c r="O554" s="132"/>
      <c r="P554" s="132"/>
      <c r="Q554" s="132"/>
      <c r="R554" s="132"/>
      <c r="S554" s="132"/>
      <c r="T554" s="132"/>
      <c r="U554" s="132"/>
      <c r="V554" s="132"/>
      <c r="W554" s="132"/>
      <c r="X554" s="132"/>
      <c r="Y554" s="132"/>
      <c r="Z554" s="132"/>
      <c r="AA554" s="132"/>
      <c r="AB554" s="132"/>
    </row>
    <row r="555" spans="1:28" s="133" customFormat="1" ht="15" customHeight="1" outlineLevel="1" x14ac:dyDescent="0.2">
      <c r="A555" s="121">
        <v>13</v>
      </c>
      <c r="B555" s="134">
        <v>63530</v>
      </c>
      <c r="C555" s="174">
        <v>41954</v>
      </c>
      <c r="D555" s="136" t="s">
        <v>1139</v>
      </c>
      <c r="E555" s="134" t="s">
        <v>453</v>
      </c>
      <c r="F555" s="137" t="s">
        <v>577</v>
      </c>
      <c r="G555" s="138" t="s">
        <v>368</v>
      </c>
      <c r="H555" s="139"/>
      <c r="I555" s="140">
        <v>1</v>
      </c>
      <c r="J555" s="141">
        <v>25800</v>
      </c>
      <c r="K555" s="141">
        <v>25800</v>
      </c>
      <c r="L555" s="181" t="s">
        <v>957</v>
      </c>
      <c r="M555" s="166" t="s">
        <v>35</v>
      </c>
      <c r="N555" s="205"/>
      <c r="O555" s="132"/>
      <c r="P555" s="132"/>
      <c r="Q555" s="132"/>
      <c r="R555" s="132"/>
      <c r="S555" s="132"/>
      <c r="T555" s="132"/>
      <c r="U555" s="132"/>
      <c r="V555" s="132"/>
      <c r="W555" s="132"/>
      <c r="X555" s="132"/>
      <c r="Y555" s="132"/>
      <c r="Z555" s="132"/>
      <c r="AA555" s="132"/>
      <c r="AB555" s="132"/>
    </row>
    <row r="556" spans="1:28" s="133" customFormat="1" ht="15" customHeight="1" outlineLevel="1" x14ac:dyDescent="0.2">
      <c r="A556" s="121">
        <v>14</v>
      </c>
      <c r="B556" s="134">
        <v>63748</v>
      </c>
      <c r="C556" s="174">
        <v>41955</v>
      </c>
      <c r="D556" s="136" t="s">
        <v>1140</v>
      </c>
      <c r="E556" s="134" t="s">
        <v>393</v>
      </c>
      <c r="F556" s="137" t="s">
        <v>679</v>
      </c>
      <c r="G556" s="138" t="s">
        <v>368</v>
      </c>
      <c r="H556" s="139"/>
      <c r="I556" s="140">
        <v>1</v>
      </c>
      <c r="J556" s="141">
        <v>55058</v>
      </c>
      <c r="K556" s="141">
        <v>55058</v>
      </c>
      <c r="L556" s="181" t="s">
        <v>957</v>
      </c>
      <c r="M556" s="166" t="s">
        <v>35</v>
      </c>
      <c r="N556" s="205"/>
      <c r="O556" s="132"/>
      <c r="P556" s="132"/>
      <c r="Q556" s="132"/>
      <c r="R556" s="132"/>
      <c r="S556" s="132"/>
      <c r="T556" s="132"/>
      <c r="U556" s="132"/>
      <c r="V556" s="132"/>
      <c r="W556" s="132"/>
      <c r="X556" s="132"/>
      <c r="Y556" s="132"/>
      <c r="Z556" s="132"/>
      <c r="AA556" s="132"/>
      <c r="AB556" s="132"/>
    </row>
    <row r="557" spans="1:28" s="133" customFormat="1" ht="15" customHeight="1" outlineLevel="1" x14ac:dyDescent="0.2">
      <c r="A557" s="121">
        <v>15</v>
      </c>
      <c r="B557" s="134">
        <v>63749</v>
      </c>
      <c r="C557" s="174">
        <v>41954</v>
      </c>
      <c r="D557" s="136" t="s">
        <v>1141</v>
      </c>
      <c r="E557" s="134" t="s">
        <v>453</v>
      </c>
      <c r="F557" s="137" t="s">
        <v>534</v>
      </c>
      <c r="G557" s="138" t="s">
        <v>524</v>
      </c>
      <c r="H557" s="139"/>
      <c r="I557" s="140">
        <v>1</v>
      </c>
      <c r="J557" s="141">
        <v>30429</v>
      </c>
      <c r="K557" s="141">
        <v>30429</v>
      </c>
      <c r="L557" s="181" t="s">
        <v>957</v>
      </c>
      <c r="M557" s="166" t="s">
        <v>35</v>
      </c>
      <c r="N557" s="205"/>
      <c r="O557" s="132"/>
      <c r="P557" s="132"/>
      <c r="Q557" s="132"/>
      <c r="R557" s="132"/>
      <c r="S557" s="132"/>
      <c r="T557" s="132"/>
      <c r="U557" s="132"/>
      <c r="V557" s="132"/>
      <c r="W557" s="132"/>
      <c r="X557" s="132"/>
      <c r="Y557" s="132"/>
      <c r="Z557" s="132"/>
      <c r="AA557" s="132"/>
      <c r="AB557" s="132"/>
    </row>
    <row r="558" spans="1:28" s="133" customFormat="1" ht="15" customHeight="1" outlineLevel="1" x14ac:dyDescent="0.2">
      <c r="A558" s="121">
        <v>16</v>
      </c>
      <c r="B558" s="134">
        <v>64112</v>
      </c>
      <c r="C558" s="174">
        <v>41955</v>
      </c>
      <c r="D558" s="136" t="s">
        <v>1142</v>
      </c>
      <c r="E558" s="134" t="s">
        <v>453</v>
      </c>
      <c r="F558" s="137" t="s">
        <v>115</v>
      </c>
      <c r="G558" s="138" t="s">
        <v>1143</v>
      </c>
      <c r="H558" s="139"/>
      <c r="I558" s="140">
        <v>5</v>
      </c>
      <c r="J558" s="141">
        <v>5274</v>
      </c>
      <c r="K558" s="141">
        <v>26370</v>
      </c>
      <c r="L558" s="181" t="s">
        <v>957</v>
      </c>
      <c r="M558" s="166" t="s">
        <v>35</v>
      </c>
      <c r="N558" s="205"/>
      <c r="O558" s="132"/>
      <c r="P558" s="132"/>
      <c r="Q558" s="132"/>
      <c r="R558" s="132"/>
      <c r="S558" s="132"/>
      <c r="T558" s="132"/>
      <c r="U558" s="132"/>
      <c r="V558" s="132"/>
      <c r="W558" s="132"/>
      <c r="X558" s="132"/>
      <c r="Y558" s="132"/>
      <c r="Z558" s="132"/>
      <c r="AA558" s="132"/>
      <c r="AB558" s="132"/>
    </row>
    <row r="559" spans="1:28" s="133" customFormat="1" ht="15" customHeight="1" outlineLevel="1" x14ac:dyDescent="0.2">
      <c r="A559" s="121">
        <v>17</v>
      </c>
      <c r="B559" s="134">
        <v>65710</v>
      </c>
      <c r="C559" s="174">
        <v>41960</v>
      </c>
      <c r="D559" s="136" t="s">
        <v>1144</v>
      </c>
      <c r="E559" s="134" t="s">
        <v>393</v>
      </c>
      <c r="F559" s="137" t="s">
        <v>208</v>
      </c>
      <c r="G559" s="138" t="s">
        <v>524</v>
      </c>
      <c r="H559" s="139"/>
      <c r="I559" s="140">
        <v>1</v>
      </c>
      <c r="J559" s="141">
        <v>14099</v>
      </c>
      <c r="K559" s="141">
        <v>14099</v>
      </c>
      <c r="L559" s="181" t="s">
        <v>957</v>
      </c>
      <c r="M559" s="166" t="s">
        <v>35</v>
      </c>
      <c r="N559" s="205"/>
      <c r="O559" s="132"/>
      <c r="P559" s="132"/>
      <c r="Q559" s="132"/>
      <c r="R559" s="132"/>
      <c r="S559" s="132"/>
      <c r="T559" s="132"/>
      <c r="U559" s="132"/>
      <c r="V559" s="132"/>
      <c r="W559" s="132"/>
      <c r="X559" s="132"/>
      <c r="Y559" s="132"/>
      <c r="Z559" s="132"/>
      <c r="AA559" s="132"/>
      <c r="AB559" s="132"/>
    </row>
    <row r="560" spans="1:28" s="133" customFormat="1" ht="15" customHeight="1" outlineLevel="1" x14ac:dyDescent="0.2">
      <c r="A560" s="121">
        <v>18</v>
      </c>
      <c r="B560" s="134">
        <v>65808</v>
      </c>
      <c r="C560" s="174">
        <v>41960</v>
      </c>
      <c r="D560" s="136" t="s">
        <v>1145</v>
      </c>
      <c r="E560" s="134" t="s">
        <v>393</v>
      </c>
      <c r="F560" s="137" t="s">
        <v>115</v>
      </c>
      <c r="G560" s="138" t="s">
        <v>389</v>
      </c>
      <c r="H560" s="139"/>
      <c r="I560" s="140">
        <v>1</v>
      </c>
      <c r="J560" s="141">
        <v>5274</v>
      </c>
      <c r="K560" s="141">
        <v>5274</v>
      </c>
      <c r="L560" s="181" t="s">
        <v>957</v>
      </c>
      <c r="M560" s="166" t="s">
        <v>35</v>
      </c>
      <c r="N560" s="205"/>
      <c r="O560" s="132"/>
      <c r="P560" s="132"/>
      <c r="Q560" s="132"/>
      <c r="R560" s="132"/>
      <c r="S560" s="132"/>
      <c r="T560" s="132"/>
      <c r="U560" s="132"/>
      <c r="V560" s="132"/>
      <c r="W560" s="132"/>
      <c r="X560" s="132"/>
      <c r="Y560" s="132"/>
      <c r="Z560" s="132"/>
      <c r="AA560" s="132"/>
      <c r="AB560" s="132"/>
    </row>
    <row r="561" spans="1:28" s="133" customFormat="1" ht="15" customHeight="1" outlineLevel="1" x14ac:dyDescent="0.2">
      <c r="A561" s="121">
        <v>19</v>
      </c>
      <c r="B561" s="134">
        <v>65808</v>
      </c>
      <c r="C561" s="174">
        <v>41960</v>
      </c>
      <c r="D561" s="136" t="s">
        <v>1145</v>
      </c>
      <c r="E561" s="134" t="s">
        <v>393</v>
      </c>
      <c r="F561" s="137" t="s">
        <v>208</v>
      </c>
      <c r="G561" s="138" t="s">
        <v>389</v>
      </c>
      <c r="H561" s="139"/>
      <c r="I561" s="140">
        <v>1</v>
      </c>
      <c r="J561" s="141">
        <v>14099</v>
      </c>
      <c r="K561" s="141">
        <v>14099</v>
      </c>
      <c r="L561" s="181" t="s">
        <v>957</v>
      </c>
      <c r="M561" s="166" t="s">
        <v>35</v>
      </c>
      <c r="N561" s="205"/>
      <c r="O561" s="132"/>
      <c r="P561" s="132"/>
      <c r="Q561" s="132"/>
      <c r="R561" s="132"/>
      <c r="S561" s="132"/>
      <c r="T561" s="132"/>
      <c r="U561" s="132"/>
      <c r="V561" s="132"/>
      <c r="W561" s="132"/>
      <c r="X561" s="132"/>
      <c r="Y561" s="132"/>
      <c r="Z561" s="132"/>
      <c r="AA561" s="132"/>
      <c r="AB561" s="132"/>
    </row>
    <row r="562" spans="1:28" s="133" customFormat="1" ht="15" customHeight="1" outlineLevel="1" x14ac:dyDescent="0.2">
      <c r="A562" s="121">
        <v>20</v>
      </c>
      <c r="B562" s="134">
        <v>65870</v>
      </c>
      <c r="C562" s="174">
        <v>41960</v>
      </c>
      <c r="D562" s="136" t="s">
        <v>1146</v>
      </c>
      <c r="E562" s="134" t="s">
        <v>393</v>
      </c>
      <c r="F562" s="137" t="s">
        <v>574</v>
      </c>
      <c r="G562" s="138" t="s">
        <v>412</v>
      </c>
      <c r="H562" s="139"/>
      <c r="I562" s="140">
        <v>1</v>
      </c>
      <c r="J562" s="141">
        <v>49701</v>
      </c>
      <c r="K562" s="141">
        <v>49701</v>
      </c>
      <c r="L562" s="181" t="s">
        <v>957</v>
      </c>
      <c r="M562" s="166" t="s">
        <v>35</v>
      </c>
      <c r="N562" s="205"/>
      <c r="O562" s="132"/>
      <c r="P562" s="132"/>
      <c r="Q562" s="132"/>
      <c r="R562" s="132"/>
      <c r="S562" s="132"/>
      <c r="T562" s="132"/>
      <c r="U562" s="132"/>
      <c r="V562" s="132"/>
      <c r="W562" s="132"/>
      <c r="X562" s="132"/>
      <c r="Y562" s="132"/>
      <c r="Z562" s="132"/>
      <c r="AA562" s="132"/>
      <c r="AB562" s="132"/>
    </row>
    <row r="563" spans="1:28" s="133" customFormat="1" ht="15" customHeight="1" outlineLevel="1" x14ac:dyDescent="0.2">
      <c r="A563" s="121">
        <v>21</v>
      </c>
      <c r="B563" s="134">
        <v>66212</v>
      </c>
      <c r="C563" s="174">
        <v>41961</v>
      </c>
      <c r="D563" s="136" t="s">
        <v>1147</v>
      </c>
      <c r="E563" s="134" t="s">
        <v>453</v>
      </c>
      <c r="F563" s="137" t="s">
        <v>534</v>
      </c>
      <c r="G563" s="138" t="s">
        <v>524</v>
      </c>
      <c r="H563" s="139"/>
      <c r="I563" s="140">
        <v>1</v>
      </c>
      <c r="J563" s="141">
        <v>30429</v>
      </c>
      <c r="K563" s="141">
        <v>30429</v>
      </c>
      <c r="L563" s="181" t="s">
        <v>957</v>
      </c>
      <c r="M563" s="166" t="s">
        <v>35</v>
      </c>
      <c r="N563" s="205"/>
      <c r="O563" s="132"/>
      <c r="P563" s="132"/>
      <c r="Q563" s="132"/>
      <c r="R563" s="132"/>
      <c r="S563" s="132"/>
      <c r="T563" s="132"/>
      <c r="U563" s="132"/>
      <c r="V563" s="132"/>
      <c r="W563" s="132"/>
      <c r="X563" s="132"/>
      <c r="Y563" s="132"/>
      <c r="Z563" s="132"/>
      <c r="AA563" s="132"/>
      <c r="AB563" s="132"/>
    </row>
    <row r="564" spans="1:28" s="133" customFormat="1" ht="15" customHeight="1" outlineLevel="1" x14ac:dyDescent="0.2">
      <c r="A564" s="121">
        <v>22</v>
      </c>
      <c r="B564" s="134">
        <v>66448</v>
      </c>
      <c r="C564" s="174">
        <v>41961</v>
      </c>
      <c r="D564" s="136" t="s">
        <v>1148</v>
      </c>
      <c r="E564" s="134" t="s">
        <v>453</v>
      </c>
      <c r="F564" s="137" t="s">
        <v>215</v>
      </c>
      <c r="G564" s="138" t="s">
        <v>368</v>
      </c>
      <c r="H564" s="139"/>
      <c r="I564" s="140">
        <v>1</v>
      </c>
      <c r="J564" s="141">
        <v>44597</v>
      </c>
      <c r="K564" s="141">
        <v>44597</v>
      </c>
      <c r="L564" s="181" t="s">
        <v>957</v>
      </c>
      <c r="M564" s="166" t="s">
        <v>35</v>
      </c>
      <c r="N564" s="205"/>
      <c r="O564" s="132"/>
      <c r="P564" s="132"/>
      <c r="Q564" s="132"/>
      <c r="R564" s="132"/>
      <c r="S564" s="132"/>
      <c r="T564" s="132"/>
      <c r="U564" s="132"/>
      <c r="V564" s="132"/>
      <c r="W564" s="132"/>
      <c r="X564" s="132"/>
      <c r="Y564" s="132"/>
      <c r="Z564" s="132"/>
      <c r="AA564" s="132"/>
      <c r="AB564" s="132"/>
    </row>
    <row r="565" spans="1:28" s="133" customFormat="1" ht="15" customHeight="1" outlineLevel="1" x14ac:dyDescent="0.2">
      <c r="A565" s="121">
        <v>23</v>
      </c>
      <c r="B565" s="134">
        <v>66953</v>
      </c>
      <c r="C565" s="174">
        <v>41962</v>
      </c>
      <c r="D565" s="136" t="s">
        <v>1069</v>
      </c>
      <c r="E565" s="134" t="s">
        <v>393</v>
      </c>
      <c r="F565" s="137" t="s">
        <v>534</v>
      </c>
      <c r="G565" s="138" t="s">
        <v>389</v>
      </c>
      <c r="H565" s="139"/>
      <c r="I565" s="140">
        <v>1</v>
      </c>
      <c r="J565" s="141">
        <v>30429</v>
      </c>
      <c r="K565" s="141">
        <v>30429</v>
      </c>
      <c r="L565" s="181" t="s">
        <v>957</v>
      </c>
      <c r="M565" s="166" t="s">
        <v>35</v>
      </c>
      <c r="N565" s="205"/>
      <c r="O565" s="132"/>
      <c r="P565" s="132"/>
      <c r="Q565" s="132"/>
      <c r="R565" s="132"/>
      <c r="S565" s="132"/>
      <c r="T565" s="132"/>
      <c r="U565" s="132"/>
      <c r="V565" s="132"/>
      <c r="W565" s="132"/>
      <c r="X565" s="132"/>
      <c r="Y565" s="132"/>
      <c r="Z565" s="132"/>
      <c r="AA565" s="132"/>
      <c r="AB565" s="132"/>
    </row>
    <row r="566" spans="1:28" s="133" customFormat="1" ht="15" customHeight="1" outlineLevel="1" x14ac:dyDescent="0.2">
      <c r="A566" s="121">
        <v>24</v>
      </c>
      <c r="B566" s="134">
        <v>67074</v>
      </c>
      <c r="C566" s="174">
        <v>41962</v>
      </c>
      <c r="D566" s="136" t="s">
        <v>1149</v>
      </c>
      <c r="E566" s="134" t="s">
        <v>453</v>
      </c>
      <c r="F566" s="137" t="s">
        <v>215</v>
      </c>
      <c r="G566" s="138" t="s">
        <v>368</v>
      </c>
      <c r="H566" s="139"/>
      <c r="I566" s="140">
        <v>1</v>
      </c>
      <c r="J566" s="141">
        <v>44597</v>
      </c>
      <c r="K566" s="141">
        <v>44597</v>
      </c>
      <c r="L566" s="181" t="s">
        <v>957</v>
      </c>
      <c r="M566" s="166" t="s">
        <v>35</v>
      </c>
      <c r="N566" s="205"/>
      <c r="O566" s="132"/>
      <c r="P566" s="132"/>
      <c r="Q566" s="132"/>
      <c r="R566" s="132"/>
      <c r="S566" s="132"/>
      <c r="T566" s="132"/>
      <c r="U566" s="132"/>
      <c r="V566" s="132"/>
      <c r="W566" s="132"/>
      <c r="X566" s="132"/>
      <c r="Y566" s="132"/>
      <c r="Z566" s="132"/>
      <c r="AA566" s="132"/>
      <c r="AB566" s="132"/>
    </row>
    <row r="567" spans="1:28" s="133" customFormat="1" ht="15" customHeight="1" outlineLevel="1" x14ac:dyDescent="0.2">
      <c r="A567" s="121">
        <v>25</v>
      </c>
      <c r="B567" s="134">
        <v>67294</v>
      </c>
      <c r="C567" s="174">
        <v>41962</v>
      </c>
      <c r="D567" s="136" t="s">
        <v>1150</v>
      </c>
      <c r="E567" s="134" t="s">
        <v>393</v>
      </c>
      <c r="F567" s="137" t="s">
        <v>215</v>
      </c>
      <c r="G567" s="138" t="s">
        <v>384</v>
      </c>
      <c r="H567" s="139"/>
      <c r="I567" s="140">
        <v>2</v>
      </c>
      <c r="J567" s="141">
        <v>44597</v>
      </c>
      <c r="K567" s="141">
        <v>89194</v>
      </c>
      <c r="L567" s="181" t="s">
        <v>957</v>
      </c>
      <c r="M567" s="166" t="s">
        <v>35</v>
      </c>
      <c r="N567" s="205"/>
      <c r="O567" s="132"/>
      <c r="P567" s="132"/>
      <c r="Q567" s="132"/>
      <c r="R567" s="132"/>
      <c r="S567" s="132"/>
      <c r="T567" s="132"/>
      <c r="U567" s="132"/>
      <c r="V567" s="132"/>
      <c r="W567" s="132"/>
      <c r="X567" s="132"/>
      <c r="Y567" s="132"/>
      <c r="Z567" s="132"/>
      <c r="AA567" s="132"/>
      <c r="AB567" s="132"/>
    </row>
    <row r="568" spans="1:28" s="133" customFormat="1" ht="15" customHeight="1" outlineLevel="1" x14ac:dyDescent="0.2">
      <c r="A568" s="121">
        <v>26</v>
      </c>
      <c r="B568" s="134">
        <v>67620</v>
      </c>
      <c r="C568" s="174">
        <v>41964</v>
      </c>
      <c r="D568" s="136" t="s">
        <v>1151</v>
      </c>
      <c r="E568" s="134" t="s">
        <v>393</v>
      </c>
      <c r="F568" s="137" t="s">
        <v>215</v>
      </c>
      <c r="G568" s="138" t="s">
        <v>384</v>
      </c>
      <c r="H568" s="139"/>
      <c r="I568" s="140">
        <v>2</v>
      </c>
      <c r="J568" s="141">
        <v>44597</v>
      </c>
      <c r="K568" s="141">
        <v>89194</v>
      </c>
      <c r="L568" s="181" t="s">
        <v>957</v>
      </c>
      <c r="M568" s="166" t="s">
        <v>35</v>
      </c>
      <c r="N568" s="205"/>
      <c r="O568" s="132"/>
      <c r="P568" s="132"/>
      <c r="Q568" s="132"/>
      <c r="R568" s="132"/>
      <c r="S568" s="132"/>
      <c r="T568" s="132"/>
      <c r="U568" s="132"/>
      <c r="V568" s="132"/>
      <c r="W568" s="132"/>
      <c r="X568" s="132"/>
      <c r="Y568" s="132"/>
      <c r="Z568" s="132"/>
      <c r="AA568" s="132"/>
      <c r="AB568" s="132"/>
    </row>
    <row r="569" spans="1:28" s="133" customFormat="1" ht="15" customHeight="1" outlineLevel="1" x14ac:dyDescent="0.2">
      <c r="A569" s="121">
        <v>27</v>
      </c>
      <c r="B569" s="134">
        <v>68160</v>
      </c>
      <c r="C569" s="174">
        <v>41969</v>
      </c>
      <c r="D569" s="136" t="s">
        <v>1152</v>
      </c>
      <c r="E569" s="134" t="s">
        <v>393</v>
      </c>
      <c r="F569" s="137" t="s">
        <v>115</v>
      </c>
      <c r="G569" s="138" t="s">
        <v>407</v>
      </c>
      <c r="H569" s="139"/>
      <c r="I569" s="140">
        <v>1</v>
      </c>
      <c r="J569" s="141">
        <v>5274</v>
      </c>
      <c r="K569" s="141">
        <v>5274</v>
      </c>
      <c r="L569" s="181" t="s">
        <v>957</v>
      </c>
      <c r="M569" s="166" t="s">
        <v>35</v>
      </c>
      <c r="N569" s="205"/>
      <c r="O569" s="132"/>
      <c r="P569" s="132"/>
      <c r="Q569" s="132"/>
      <c r="R569" s="132"/>
      <c r="S569" s="132"/>
      <c r="T569" s="132"/>
      <c r="U569" s="132"/>
      <c r="V569" s="132"/>
      <c r="W569" s="132"/>
      <c r="X569" s="132"/>
      <c r="Y569" s="132"/>
      <c r="Z569" s="132"/>
      <c r="AA569" s="132"/>
      <c r="AB569" s="132"/>
    </row>
    <row r="570" spans="1:28" s="133" customFormat="1" ht="15" customHeight="1" outlineLevel="1" x14ac:dyDescent="0.2">
      <c r="A570" s="121">
        <v>28</v>
      </c>
      <c r="B570" s="134">
        <v>68462</v>
      </c>
      <c r="C570" s="174">
        <v>41967</v>
      </c>
      <c r="D570" s="136" t="s">
        <v>1153</v>
      </c>
      <c r="E570" s="134" t="s">
        <v>393</v>
      </c>
      <c r="F570" s="137" t="s">
        <v>114</v>
      </c>
      <c r="G570" s="138" t="s">
        <v>469</v>
      </c>
      <c r="H570" s="139"/>
      <c r="I570" s="140">
        <v>1</v>
      </c>
      <c r="J570" s="141">
        <v>33370</v>
      </c>
      <c r="K570" s="141">
        <v>33370</v>
      </c>
      <c r="L570" s="181" t="s">
        <v>957</v>
      </c>
      <c r="M570" s="166" t="s">
        <v>35</v>
      </c>
      <c r="N570" s="205"/>
      <c r="O570" s="132"/>
      <c r="P570" s="132"/>
      <c r="Q570" s="132"/>
      <c r="R570" s="132"/>
      <c r="S570" s="132"/>
      <c r="T570" s="132"/>
      <c r="U570" s="132"/>
      <c r="V570" s="132"/>
      <c r="W570" s="132"/>
      <c r="X570" s="132"/>
      <c r="Y570" s="132"/>
      <c r="Z570" s="132"/>
      <c r="AA570" s="132"/>
      <c r="AB570" s="132"/>
    </row>
    <row r="571" spans="1:28" s="133" customFormat="1" ht="15" customHeight="1" outlineLevel="1" x14ac:dyDescent="0.2">
      <c r="A571" s="121">
        <v>29</v>
      </c>
      <c r="B571" s="134">
        <v>68514</v>
      </c>
      <c r="C571" s="174">
        <v>41967</v>
      </c>
      <c r="D571" s="136" t="s">
        <v>392</v>
      </c>
      <c r="E571" s="134" t="s">
        <v>393</v>
      </c>
      <c r="F571" s="137" t="s">
        <v>215</v>
      </c>
      <c r="G571" s="138" t="s">
        <v>384</v>
      </c>
      <c r="H571" s="139"/>
      <c r="I571" s="140">
        <v>2</v>
      </c>
      <c r="J571" s="141">
        <v>44597</v>
      </c>
      <c r="K571" s="141">
        <v>89194</v>
      </c>
      <c r="L571" s="181" t="s">
        <v>957</v>
      </c>
      <c r="M571" s="166" t="s">
        <v>35</v>
      </c>
      <c r="N571" s="205"/>
      <c r="O571" s="132"/>
      <c r="P571" s="132"/>
      <c r="Q571" s="132"/>
      <c r="R571" s="132"/>
      <c r="S571" s="132"/>
      <c r="T571" s="132"/>
      <c r="U571" s="132"/>
      <c r="V571" s="132"/>
      <c r="W571" s="132"/>
      <c r="X571" s="132"/>
      <c r="Y571" s="132"/>
      <c r="Z571" s="132"/>
      <c r="AA571" s="132"/>
      <c r="AB571" s="132"/>
    </row>
    <row r="572" spans="1:28" s="133" customFormat="1" ht="15" customHeight="1" outlineLevel="1" x14ac:dyDescent="0.2">
      <c r="A572" s="121">
        <v>30</v>
      </c>
      <c r="B572" s="134">
        <v>68526</v>
      </c>
      <c r="C572" s="174">
        <v>41967</v>
      </c>
      <c r="D572" s="136" t="s">
        <v>1121</v>
      </c>
      <c r="E572" s="134" t="s">
        <v>393</v>
      </c>
      <c r="F572" s="137" t="s">
        <v>114</v>
      </c>
      <c r="G572" s="138" t="s">
        <v>559</v>
      </c>
      <c r="H572" s="139"/>
      <c r="I572" s="140">
        <v>1</v>
      </c>
      <c r="J572" s="141">
        <v>33370</v>
      </c>
      <c r="K572" s="141">
        <v>33370</v>
      </c>
      <c r="L572" s="181" t="s">
        <v>957</v>
      </c>
      <c r="M572" s="166" t="s">
        <v>35</v>
      </c>
      <c r="N572" s="205"/>
      <c r="O572" s="132"/>
      <c r="P572" s="132"/>
      <c r="Q572" s="132"/>
      <c r="R572" s="132"/>
      <c r="S572" s="132"/>
      <c r="T572" s="132"/>
      <c r="U572" s="132"/>
      <c r="V572" s="132"/>
      <c r="W572" s="132"/>
      <c r="X572" s="132"/>
      <c r="Y572" s="132"/>
      <c r="Z572" s="132"/>
      <c r="AA572" s="132"/>
      <c r="AB572" s="132"/>
    </row>
    <row r="573" spans="1:28" s="133" customFormat="1" ht="15" customHeight="1" outlineLevel="1" x14ac:dyDescent="0.2">
      <c r="A573" s="121">
        <v>31</v>
      </c>
      <c r="B573" s="134">
        <v>68589</v>
      </c>
      <c r="C573" s="174">
        <v>41967</v>
      </c>
      <c r="D573" s="136" t="s">
        <v>1078</v>
      </c>
      <c r="E573" s="134" t="s">
        <v>393</v>
      </c>
      <c r="F573" s="137" t="s">
        <v>114</v>
      </c>
      <c r="G573" s="138" t="s">
        <v>1154</v>
      </c>
      <c r="H573" s="139"/>
      <c r="I573" s="140">
        <v>2</v>
      </c>
      <c r="J573" s="141">
        <v>33370</v>
      </c>
      <c r="K573" s="141">
        <v>66740</v>
      </c>
      <c r="L573" s="181" t="s">
        <v>957</v>
      </c>
      <c r="M573" s="166" t="s">
        <v>35</v>
      </c>
      <c r="N573" s="205"/>
      <c r="O573" s="132"/>
      <c r="P573" s="132"/>
      <c r="Q573" s="132"/>
      <c r="R573" s="132"/>
      <c r="S573" s="132"/>
      <c r="T573" s="132"/>
      <c r="U573" s="132"/>
      <c r="V573" s="132"/>
      <c r="W573" s="132"/>
      <c r="X573" s="132"/>
      <c r="Y573" s="132"/>
      <c r="Z573" s="132"/>
      <c r="AA573" s="132"/>
      <c r="AB573" s="132"/>
    </row>
    <row r="574" spans="1:28" s="133" customFormat="1" ht="15" customHeight="1" outlineLevel="1" x14ac:dyDescent="0.2">
      <c r="A574" s="121">
        <v>32</v>
      </c>
      <c r="B574" s="134">
        <v>68589</v>
      </c>
      <c r="C574" s="174">
        <v>41967</v>
      </c>
      <c r="D574" s="136" t="s">
        <v>1078</v>
      </c>
      <c r="E574" s="134" t="s">
        <v>393</v>
      </c>
      <c r="F574" s="137" t="s">
        <v>534</v>
      </c>
      <c r="G574" s="138" t="s">
        <v>535</v>
      </c>
      <c r="H574" s="139"/>
      <c r="I574" s="140">
        <v>1</v>
      </c>
      <c r="J574" s="141">
        <v>30429</v>
      </c>
      <c r="K574" s="141">
        <v>30429</v>
      </c>
      <c r="L574" s="181" t="s">
        <v>957</v>
      </c>
      <c r="M574" s="166" t="s">
        <v>35</v>
      </c>
      <c r="N574" s="205"/>
      <c r="O574" s="132"/>
      <c r="P574" s="132"/>
      <c r="Q574" s="132"/>
      <c r="R574" s="132"/>
      <c r="S574" s="132"/>
      <c r="T574" s="132"/>
      <c r="U574" s="132"/>
      <c r="V574" s="132"/>
      <c r="W574" s="132"/>
      <c r="X574" s="132"/>
      <c r="Y574" s="132"/>
      <c r="Z574" s="132"/>
      <c r="AA574" s="132"/>
      <c r="AB574" s="132"/>
    </row>
    <row r="575" spans="1:28" s="133" customFormat="1" ht="15" customHeight="1" outlineLevel="1" x14ac:dyDescent="0.2">
      <c r="A575" s="121">
        <v>33</v>
      </c>
      <c r="B575" s="134">
        <v>68708</v>
      </c>
      <c r="C575" s="174">
        <v>41968</v>
      </c>
      <c r="D575" s="136" t="s">
        <v>1155</v>
      </c>
      <c r="E575" s="134" t="s">
        <v>453</v>
      </c>
      <c r="F575" s="137" t="s">
        <v>534</v>
      </c>
      <c r="G575" s="138" t="s">
        <v>642</v>
      </c>
      <c r="H575" s="139"/>
      <c r="I575" s="140">
        <v>1</v>
      </c>
      <c r="J575" s="141">
        <v>30429</v>
      </c>
      <c r="K575" s="141">
        <v>30429</v>
      </c>
      <c r="L575" s="181" t="s">
        <v>957</v>
      </c>
      <c r="M575" s="166" t="s">
        <v>35</v>
      </c>
      <c r="N575" s="205"/>
      <c r="O575" s="132"/>
      <c r="P575" s="132"/>
      <c r="Q575" s="132"/>
      <c r="R575" s="132"/>
      <c r="S575" s="132"/>
      <c r="T575" s="132"/>
      <c r="U575" s="132"/>
      <c r="V575" s="132"/>
      <c r="W575" s="132"/>
      <c r="X575" s="132"/>
      <c r="Y575" s="132"/>
      <c r="Z575" s="132"/>
      <c r="AA575" s="132"/>
      <c r="AB575" s="132"/>
    </row>
    <row r="576" spans="1:28" s="133" customFormat="1" ht="15" customHeight="1" outlineLevel="1" x14ac:dyDescent="0.2">
      <c r="A576" s="121">
        <v>34</v>
      </c>
      <c r="B576" s="134">
        <v>69036</v>
      </c>
      <c r="C576" s="174">
        <v>41968</v>
      </c>
      <c r="D576" s="136" t="s">
        <v>1156</v>
      </c>
      <c r="E576" s="134" t="s">
        <v>1065</v>
      </c>
      <c r="F576" s="137" t="s">
        <v>193</v>
      </c>
      <c r="G576" s="138" t="s">
        <v>368</v>
      </c>
      <c r="H576" s="139"/>
      <c r="I576" s="140">
        <v>1</v>
      </c>
      <c r="J576" s="141">
        <v>36514.799999999996</v>
      </c>
      <c r="K576" s="141">
        <v>36514.799999999996</v>
      </c>
      <c r="L576" s="181" t="s">
        <v>957</v>
      </c>
      <c r="M576" s="166" t="s">
        <v>35</v>
      </c>
      <c r="N576" s="205"/>
      <c r="O576" s="132"/>
      <c r="P576" s="132"/>
      <c r="Q576" s="132"/>
      <c r="R576" s="132"/>
      <c r="S576" s="132"/>
      <c r="T576" s="132"/>
      <c r="U576" s="132"/>
      <c r="V576" s="132"/>
      <c r="W576" s="132"/>
      <c r="X576" s="132"/>
      <c r="Y576" s="132"/>
      <c r="Z576" s="132"/>
      <c r="AA576" s="132"/>
      <c r="AB576" s="132"/>
    </row>
    <row r="577" spans="1:28" s="133" customFormat="1" ht="15" customHeight="1" outlineLevel="1" x14ac:dyDescent="0.2">
      <c r="A577" s="121">
        <v>35</v>
      </c>
      <c r="B577" s="134">
        <v>69073</v>
      </c>
      <c r="C577" s="174">
        <v>41968</v>
      </c>
      <c r="D577" s="136" t="s">
        <v>451</v>
      </c>
      <c r="E577" s="134" t="s">
        <v>393</v>
      </c>
      <c r="F577" s="137" t="s">
        <v>679</v>
      </c>
      <c r="G577" s="138" t="s">
        <v>366</v>
      </c>
      <c r="H577" s="139"/>
      <c r="I577" s="140">
        <v>1</v>
      </c>
      <c r="J577" s="141">
        <v>55058</v>
      </c>
      <c r="K577" s="141">
        <v>55058</v>
      </c>
      <c r="L577" s="181" t="s">
        <v>957</v>
      </c>
      <c r="M577" s="166" t="s">
        <v>35</v>
      </c>
      <c r="N577" s="205"/>
      <c r="O577" s="132"/>
      <c r="P577" s="132"/>
      <c r="Q577" s="132"/>
      <c r="R577" s="132"/>
      <c r="S577" s="132"/>
      <c r="T577" s="132"/>
      <c r="U577" s="132"/>
      <c r="V577" s="132"/>
      <c r="W577" s="132"/>
      <c r="X577" s="132"/>
      <c r="Y577" s="132"/>
      <c r="Z577" s="132"/>
      <c r="AA577" s="132"/>
      <c r="AB577" s="132"/>
    </row>
    <row r="578" spans="1:28" s="133" customFormat="1" ht="15" customHeight="1" outlineLevel="1" x14ac:dyDescent="0.2">
      <c r="A578" s="121">
        <v>36</v>
      </c>
      <c r="B578" s="134">
        <v>69126</v>
      </c>
      <c r="C578" s="174">
        <v>41968</v>
      </c>
      <c r="D578" s="136" t="s">
        <v>1157</v>
      </c>
      <c r="E578" s="134" t="s">
        <v>453</v>
      </c>
      <c r="F578" s="137" t="s">
        <v>679</v>
      </c>
      <c r="G578" s="138" t="s">
        <v>368</v>
      </c>
      <c r="H578" s="139"/>
      <c r="I578" s="140">
        <v>1</v>
      </c>
      <c r="J578" s="141">
        <v>55058</v>
      </c>
      <c r="K578" s="141">
        <v>55058</v>
      </c>
      <c r="L578" s="181" t="s">
        <v>957</v>
      </c>
      <c r="M578" s="166" t="s">
        <v>35</v>
      </c>
      <c r="N578" s="205"/>
      <c r="O578" s="132"/>
      <c r="P578" s="132"/>
      <c r="Q578" s="132"/>
      <c r="R578" s="132"/>
      <c r="S578" s="132"/>
      <c r="T578" s="132"/>
      <c r="U578" s="132"/>
      <c r="V578" s="132"/>
      <c r="W578" s="132"/>
      <c r="X578" s="132"/>
      <c r="Y578" s="132"/>
      <c r="Z578" s="132"/>
      <c r="AA578" s="132"/>
      <c r="AB578" s="132"/>
    </row>
    <row r="579" spans="1:28" s="133" customFormat="1" ht="15" customHeight="1" outlineLevel="1" x14ac:dyDescent="0.2">
      <c r="A579" s="121">
        <v>37</v>
      </c>
      <c r="B579" s="134">
        <v>69192</v>
      </c>
      <c r="C579" s="174">
        <v>41969</v>
      </c>
      <c r="D579" s="136" t="s">
        <v>1158</v>
      </c>
      <c r="E579" s="134" t="s">
        <v>393</v>
      </c>
      <c r="F579" s="137" t="s">
        <v>534</v>
      </c>
      <c r="G579" s="138" t="s">
        <v>416</v>
      </c>
      <c r="H579" s="139"/>
      <c r="I579" s="140">
        <v>1</v>
      </c>
      <c r="J579" s="141">
        <v>30429</v>
      </c>
      <c r="K579" s="141">
        <v>30429</v>
      </c>
      <c r="L579" s="181" t="s">
        <v>957</v>
      </c>
      <c r="M579" s="166" t="s">
        <v>35</v>
      </c>
      <c r="N579" s="205"/>
      <c r="O579" s="132"/>
      <c r="P579" s="132"/>
      <c r="Q579" s="132"/>
      <c r="R579" s="132"/>
      <c r="S579" s="132"/>
      <c r="T579" s="132"/>
      <c r="U579" s="132"/>
      <c r="V579" s="132"/>
      <c r="W579" s="132"/>
      <c r="X579" s="132"/>
      <c r="Y579" s="132"/>
      <c r="Z579" s="132"/>
      <c r="AA579" s="132"/>
      <c r="AB579" s="132"/>
    </row>
    <row r="580" spans="1:28" s="133" customFormat="1" ht="15" customHeight="1" outlineLevel="1" x14ac:dyDescent="0.2">
      <c r="A580" s="121">
        <v>38</v>
      </c>
      <c r="B580" s="134">
        <v>69540</v>
      </c>
      <c r="C580" s="174">
        <v>41969</v>
      </c>
      <c r="D580" s="136" t="s">
        <v>1159</v>
      </c>
      <c r="E580" s="134" t="s">
        <v>393</v>
      </c>
      <c r="F580" s="137" t="s">
        <v>215</v>
      </c>
      <c r="G580" s="138" t="s">
        <v>368</v>
      </c>
      <c r="H580" s="139"/>
      <c r="I580" s="140">
        <v>1</v>
      </c>
      <c r="J580" s="141">
        <v>44597</v>
      </c>
      <c r="K580" s="141">
        <v>44597</v>
      </c>
      <c r="L580" s="181" t="s">
        <v>957</v>
      </c>
      <c r="M580" s="166" t="s">
        <v>35</v>
      </c>
      <c r="N580" s="205"/>
      <c r="O580" s="132"/>
      <c r="P580" s="132"/>
      <c r="Q580" s="132"/>
      <c r="R580" s="132"/>
      <c r="S580" s="132"/>
      <c r="T580" s="132"/>
      <c r="U580" s="132"/>
      <c r="V580" s="132"/>
      <c r="W580" s="132"/>
      <c r="X580" s="132"/>
      <c r="Y580" s="132"/>
      <c r="Z580" s="132"/>
      <c r="AA580" s="132"/>
      <c r="AB580" s="132"/>
    </row>
    <row r="581" spans="1:28" s="133" customFormat="1" ht="15" customHeight="1" outlineLevel="1" x14ac:dyDescent="0.2">
      <c r="A581" s="121">
        <v>39</v>
      </c>
      <c r="B581" s="134">
        <v>69580</v>
      </c>
      <c r="C581" s="174">
        <v>41969</v>
      </c>
      <c r="D581" s="136" t="s">
        <v>1160</v>
      </c>
      <c r="E581" s="134" t="s">
        <v>453</v>
      </c>
      <c r="F581" s="137" t="s">
        <v>115</v>
      </c>
      <c r="G581" s="138" t="s">
        <v>1161</v>
      </c>
      <c r="H581" s="139"/>
      <c r="I581" s="140">
        <v>4</v>
      </c>
      <c r="J581" s="141">
        <v>5274</v>
      </c>
      <c r="K581" s="141">
        <v>21096</v>
      </c>
      <c r="L581" s="181" t="s">
        <v>957</v>
      </c>
      <c r="M581" s="166" t="s">
        <v>35</v>
      </c>
      <c r="N581" s="205"/>
      <c r="O581" s="132"/>
      <c r="P581" s="132"/>
      <c r="Q581" s="132"/>
      <c r="R581" s="132"/>
      <c r="S581" s="132"/>
      <c r="T581" s="132"/>
      <c r="U581" s="132"/>
      <c r="V581" s="132"/>
      <c r="W581" s="132"/>
      <c r="X581" s="132"/>
      <c r="Y581" s="132"/>
      <c r="Z581" s="132"/>
      <c r="AA581" s="132"/>
      <c r="AB581" s="132"/>
    </row>
    <row r="582" spans="1:28" s="133" customFormat="1" ht="15" customHeight="1" outlineLevel="1" x14ac:dyDescent="0.2">
      <c r="A582" s="121">
        <v>40</v>
      </c>
      <c r="B582" s="134">
        <v>70015</v>
      </c>
      <c r="C582" s="174">
        <v>41970</v>
      </c>
      <c r="D582" s="136" t="s">
        <v>1162</v>
      </c>
      <c r="E582" s="134" t="s">
        <v>1163</v>
      </c>
      <c r="F582" s="137" t="s">
        <v>171</v>
      </c>
      <c r="G582" s="138" t="s">
        <v>368</v>
      </c>
      <c r="H582" s="139"/>
      <c r="I582" s="140">
        <v>1</v>
      </c>
      <c r="J582" s="141">
        <v>18764</v>
      </c>
      <c r="K582" s="141">
        <v>18764</v>
      </c>
      <c r="L582" s="181" t="s">
        <v>957</v>
      </c>
      <c r="M582" s="166" t="s">
        <v>35</v>
      </c>
      <c r="N582" s="205"/>
      <c r="O582" s="132"/>
      <c r="P582" s="132"/>
      <c r="Q582" s="132"/>
      <c r="R582" s="132"/>
      <c r="S582" s="132"/>
      <c r="T582" s="132"/>
      <c r="U582" s="132"/>
      <c r="V582" s="132"/>
      <c r="W582" s="132"/>
      <c r="X582" s="132"/>
      <c r="Y582" s="132"/>
      <c r="Z582" s="132"/>
      <c r="AA582" s="132"/>
      <c r="AB582" s="132"/>
    </row>
    <row r="583" spans="1:28" s="133" customFormat="1" ht="15" customHeight="1" outlineLevel="1" x14ac:dyDescent="0.2">
      <c r="A583" s="121">
        <v>41</v>
      </c>
      <c r="B583" s="134">
        <v>70551</v>
      </c>
      <c r="C583" s="174">
        <v>41971</v>
      </c>
      <c r="D583" s="136" t="s">
        <v>1164</v>
      </c>
      <c r="E583" s="134" t="s">
        <v>453</v>
      </c>
      <c r="F583" s="137" t="s">
        <v>215</v>
      </c>
      <c r="G583" s="138" t="s">
        <v>366</v>
      </c>
      <c r="H583" s="139"/>
      <c r="I583" s="140">
        <v>1</v>
      </c>
      <c r="J583" s="141">
        <v>44597</v>
      </c>
      <c r="K583" s="141">
        <v>44597</v>
      </c>
      <c r="L583" s="181" t="s">
        <v>957</v>
      </c>
      <c r="M583" s="166" t="s">
        <v>35</v>
      </c>
      <c r="N583" s="205"/>
      <c r="O583" s="132"/>
      <c r="P583" s="132"/>
      <c r="Q583" s="132"/>
      <c r="R583" s="132"/>
      <c r="S583" s="132"/>
      <c r="T583" s="132"/>
      <c r="U583" s="132"/>
      <c r="V583" s="132"/>
      <c r="W583" s="132"/>
      <c r="X583" s="132"/>
      <c r="Y583" s="132"/>
      <c r="Z583" s="132"/>
      <c r="AA583" s="132"/>
      <c r="AB583" s="132"/>
    </row>
    <row r="584" spans="1:28" s="133" customFormat="1" ht="15" customHeight="1" outlineLevel="1" x14ac:dyDescent="0.2">
      <c r="A584" s="121">
        <v>42</v>
      </c>
      <c r="B584" s="134">
        <v>71143</v>
      </c>
      <c r="C584" s="135">
        <v>41972</v>
      </c>
      <c r="D584" s="136" t="s">
        <v>1165</v>
      </c>
      <c r="E584" s="134" t="s">
        <v>393</v>
      </c>
      <c r="F584" s="137" t="s">
        <v>534</v>
      </c>
      <c r="G584" s="138" t="s">
        <v>401</v>
      </c>
      <c r="H584" s="139"/>
      <c r="I584" s="140">
        <v>1</v>
      </c>
      <c r="J584" s="141">
        <v>30429</v>
      </c>
      <c r="K584" s="141">
        <v>30429</v>
      </c>
      <c r="L584" s="181" t="s">
        <v>957</v>
      </c>
      <c r="M584" s="166" t="s">
        <v>35</v>
      </c>
      <c r="N584" s="205"/>
      <c r="O584" s="132"/>
      <c r="P584" s="132"/>
      <c r="Q584" s="132"/>
      <c r="R584" s="132"/>
      <c r="S584" s="132"/>
      <c r="T584" s="132"/>
      <c r="U584" s="132"/>
      <c r="V584" s="132"/>
      <c r="W584" s="132"/>
      <c r="X584" s="132"/>
      <c r="Y584" s="132"/>
      <c r="Z584" s="132"/>
      <c r="AA584" s="132"/>
      <c r="AB584" s="132"/>
    </row>
    <row r="585" spans="1:28" s="133" customFormat="1" ht="15" customHeight="1" outlineLevel="1" x14ac:dyDescent="0.2">
      <c r="A585" s="121">
        <v>43</v>
      </c>
      <c r="B585" s="134">
        <v>71144</v>
      </c>
      <c r="C585" s="135">
        <v>41972</v>
      </c>
      <c r="D585" s="136" t="s">
        <v>1116</v>
      </c>
      <c r="E585" s="134" t="s">
        <v>393</v>
      </c>
      <c r="F585" s="137" t="s">
        <v>534</v>
      </c>
      <c r="G585" s="138" t="s">
        <v>1095</v>
      </c>
      <c r="H585" s="139"/>
      <c r="I585" s="140">
        <v>2</v>
      </c>
      <c r="J585" s="141">
        <v>30429</v>
      </c>
      <c r="K585" s="141">
        <v>60858</v>
      </c>
      <c r="L585" s="181" t="s">
        <v>957</v>
      </c>
      <c r="M585" s="166" t="s">
        <v>35</v>
      </c>
      <c r="N585" s="205"/>
      <c r="O585" s="132"/>
      <c r="P585" s="132"/>
      <c r="Q585" s="132"/>
      <c r="R585" s="132"/>
      <c r="S585" s="132"/>
      <c r="T585" s="132"/>
      <c r="U585" s="132"/>
      <c r="V585" s="132"/>
      <c r="W585" s="132"/>
      <c r="X585" s="132"/>
      <c r="Y585" s="132"/>
      <c r="Z585" s="132"/>
      <c r="AA585" s="132"/>
      <c r="AB585" s="132"/>
    </row>
    <row r="586" spans="1:28" s="133" customFormat="1" ht="15" customHeight="1" outlineLevel="1" x14ac:dyDescent="0.2">
      <c r="A586" s="121">
        <v>44</v>
      </c>
      <c r="B586" s="134">
        <v>71107</v>
      </c>
      <c r="C586" s="135">
        <v>41974</v>
      </c>
      <c r="D586" s="136" t="s">
        <v>1166</v>
      </c>
      <c r="E586" s="134" t="s">
        <v>393</v>
      </c>
      <c r="F586" s="137" t="s">
        <v>215</v>
      </c>
      <c r="G586" s="138" t="s">
        <v>368</v>
      </c>
      <c r="H586" s="139"/>
      <c r="I586" s="140">
        <v>1</v>
      </c>
      <c r="J586" s="141">
        <v>44597</v>
      </c>
      <c r="K586" s="141">
        <v>44597</v>
      </c>
      <c r="L586" s="181" t="s">
        <v>957</v>
      </c>
      <c r="M586" s="166" t="s">
        <v>35</v>
      </c>
      <c r="N586" s="205"/>
      <c r="O586" s="132"/>
      <c r="P586" s="132"/>
      <c r="Q586" s="132"/>
      <c r="R586" s="132"/>
      <c r="S586" s="132"/>
      <c r="T586" s="132"/>
      <c r="U586" s="132"/>
      <c r="V586" s="132"/>
      <c r="W586" s="132"/>
      <c r="X586" s="132"/>
      <c r="Y586" s="132"/>
      <c r="Z586" s="132"/>
      <c r="AA586" s="132"/>
      <c r="AB586" s="132"/>
    </row>
    <row r="587" spans="1:28" s="133" customFormat="1" ht="15" customHeight="1" outlineLevel="1" x14ac:dyDescent="0.2">
      <c r="A587" s="121">
        <v>45</v>
      </c>
      <c r="B587" s="134">
        <v>71106</v>
      </c>
      <c r="C587" s="135">
        <v>41974</v>
      </c>
      <c r="D587" s="136" t="s">
        <v>1167</v>
      </c>
      <c r="E587" s="134" t="s">
        <v>453</v>
      </c>
      <c r="F587" s="137" t="s">
        <v>215</v>
      </c>
      <c r="G587" s="138" t="s">
        <v>384</v>
      </c>
      <c r="H587" s="139"/>
      <c r="I587" s="140">
        <v>2</v>
      </c>
      <c r="J587" s="141">
        <v>44597</v>
      </c>
      <c r="K587" s="141">
        <v>89194</v>
      </c>
      <c r="L587" s="181" t="s">
        <v>957</v>
      </c>
      <c r="M587" s="166" t="s">
        <v>35</v>
      </c>
      <c r="N587" s="205"/>
      <c r="O587" s="132"/>
      <c r="P587" s="132"/>
      <c r="Q587" s="132"/>
      <c r="R587" s="132"/>
      <c r="S587" s="132"/>
      <c r="T587" s="132"/>
      <c r="U587" s="132"/>
      <c r="V587" s="132"/>
      <c r="W587" s="132"/>
      <c r="X587" s="132"/>
      <c r="Y587" s="132"/>
      <c r="Z587" s="132"/>
      <c r="AA587" s="132"/>
      <c r="AB587" s="132"/>
    </row>
    <row r="588" spans="1:28" s="133" customFormat="1" ht="15" customHeight="1" outlineLevel="1" x14ac:dyDescent="0.2">
      <c r="A588" s="121">
        <v>46</v>
      </c>
      <c r="B588" s="134">
        <v>71060</v>
      </c>
      <c r="C588" s="135">
        <v>41974</v>
      </c>
      <c r="D588" s="136" t="s">
        <v>1168</v>
      </c>
      <c r="E588" s="134" t="s">
        <v>453</v>
      </c>
      <c r="F588" s="137" t="s">
        <v>208</v>
      </c>
      <c r="G588" s="138" t="s">
        <v>404</v>
      </c>
      <c r="H588" s="139"/>
      <c r="I588" s="140">
        <v>1</v>
      </c>
      <c r="J588" s="141">
        <v>14099</v>
      </c>
      <c r="K588" s="141">
        <v>14099</v>
      </c>
      <c r="L588" s="181" t="s">
        <v>957</v>
      </c>
      <c r="M588" s="166" t="s">
        <v>35</v>
      </c>
      <c r="N588" s="205"/>
      <c r="O588" s="132"/>
      <c r="P588" s="132"/>
      <c r="Q588" s="132"/>
      <c r="R588" s="132"/>
      <c r="S588" s="132"/>
      <c r="T588" s="132"/>
      <c r="U588" s="132"/>
      <c r="V588" s="132"/>
      <c r="W588" s="132"/>
      <c r="X588" s="132"/>
      <c r="Y588" s="132"/>
      <c r="Z588" s="132"/>
      <c r="AA588" s="132"/>
      <c r="AB588" s="132"/>
    </row>
    <row r="589" spans="1:28" s="133" customFormat="1" ht="15" customHeight="1" outlineLevel="1" x14ac:dyDescent="0.2">
      <c r="A589" s="121">
        <v>47</v>
      </c>
      <c r="B589" s="134">
        <v>71267</v>
      </c>
      <c r="C589" s="135">
        <v>41974</v>
      </c>
      <c r="D589" s="136" t="s">
        <v>1169</v>
      </c>
      <c r="E589" s="134" t="s">
        <v>453</v>
      </c>
      <c r="F589" s="137" t="s">
        <v>115</v>
      </c>
      <c r="G589" s="138" t="s">
        <v>389</v>
      </c>
      <c r="H589" s="139"/>
      <c r="I589" s="140">
        <v>1</v>
      </c>
      <c r="J589" s="141">
        <v>5274</v>
      </c>
      <c r="K589" s="141">
        <v>5274</v>
      </c>
      <c r="L589" s="181" t="s">
        <v>957</v>
      </c>
      <c r="M589" s="166" t="s">
        <v>35</v>
      </c>
      <c r="N589" s="205"/>
      <c r="O589" s="132"/>
      <c r="P589" s="132"/>
      <c r="Q589" s="132"/>
      <c r="R589" s="132"/>
      <c r="S589" s="132"/>
      <c r="T589" s="132"/>
      <c r="U589" s="132"/>
      <c r="V589" s="132"/>
      <c r="W589" s="132"/>
      <c r="X589" s="132"/>
      <c r="Y589" s="132"/>
      <c r="Z589" s="132"/>
      <c r="AA589" s="132"/>
      <c r="AB589" s="132"/>
    </row>
    <row r="590" spans="1:28" s="133" customFormat="1" ht="15" customHeight="1" outlineLevel="1" x14ac:dyDescent="0.2">
      <c r="A590" s="121">
        <v>48</v>
      </c>
      <c r="B590" s="134">
        <v>71167</v>
      </c>
      <c r="C590" s="135">
        <v>41974</v>
      </c>
      <c r="D590" s="136" t="s">
        <v>1170</v>
      </c>
      <c r="E590" s="134" t="s">
        <v>393</v>
      </c>
      <c r="F590" s="137" t="s">
        <v>115</v>
      </c>
      <c r="G590" s="138" t="s">
        <v>397</v>
      </c>
      <c r="H590" s="139"/>
      <c r="I590" s="140">
        <v>2</v>
      </c>
      <c r="J590" s="141">
        <v>5274</v>
      </c>
      <c r="K590" s="141">
        <v>10548</v>
      </c>
      <c r="L590" s="181" t="s">
        <v>957</v>
      </c>
      <c r="M590" s="166" t="s">
        <v>35</v>
      </c>
      <c r="N590" s="205"/>
      <c r="O590" s="132"/>
      <c r="P590" s="132"/>
      <c r="Q590" s="132"/>
      <c r="R590" s="132"/>
      <c r="S590" s="132"/>
      <c r="T590" s="132"/>
      <c r="U590" s="132"/>
      <c r="V590" s="132"/>
      <c r="W590" s="132"/>
      <c r="X590" s="132"/>
      <c r="Y590" s="132"/>
      <c r="Z590" s="132"/>
      <c r="AA590" s="132"/>
      <c r="AB590" s="132"/>
    </row>
    <row r="591" spans="1:28" s="133" customFormat="1" ht="15" customHeight="1" outlineLevel="1" x14ac:dyDescent="0.2">
      <c r="A591" s="121">
        <v>49</v>
      </c>
      <c r="B591" s="134">
        <v>71291</v>
      </c>
      <c r="C591" s="135">
        <v>41974</v>
      </c>
      <c r="D591" s="136" t="s">
        <v>1171</v>
      </c>
      <c r="E591" s="134" t="s">
        <v>393</v>
      </c>
      <c r="F591" s="137" t="s">
        <v>215</v>
      </c>
      <c r="G591" s="138" t="s">
        <v>368</v>
      </c>
      <c r="H591" s="139"/>
      <c r="I591" s="140">
        <v>1</v>
      </c>
      <c r="J591" s="141">
        <v>44597</v>
      </c>
      <c r="K591" s="141">
        <v>44597</v>
      </c>
      <c r="L591" s="181" t="s">
        <v>957</v>
      </c>
      <c r="M591" s="166" t="s">
        <v>35</v>
      </c>
      <c r="N591" s="205"/>
      <c r="O591" s="132"/>
      <c r="P591" s="132"/>
      <c r="Q591" s="132"/>
      <c r="R591" s="132"/>
      <c r="S591" s="132"/>
      <c r="T591" s="132"/>
      <c r="U591" s="132"/>
      <c r="V591" s="132"/>
      <c r="W591" s="132"/>
      <c r="X591" s="132"/>
      <c r="Y591" s="132"/>
      <c r="Z591" s="132"/>
      <c r="AA591" s="132"/>
      <c r="AB591" s="132"/>
    </row>
    <row r="592" spans="1:28" s="144" customFormat="1" ht="15" customHeight="1" outlineLevel="1" x14ac:dyDescent="0.2">
      <c r="A592" s="134">
        <v>58</v>
      </c>
      <c r="B592" s="134">
        <v>73936</v>
      </c>
      <c r="C592" s="135">
        <v>41983</v>
      </c>
      <c r="D592" s="136" t="s">
        <v>1172</v>
      </c>
      <c r="E592" s="134" t="s">
        <v>1173</v>
      </c>
      <c r="F592" s="137" t="s">
        <v>171</v>
      </c>
      <c r="G592" s="138" t="s">
        <v>368</v>
      </c>
      <c r="H592" s="139"/>
      <c r="I592" s="140">
        <v>1</v>
      </c>
      <c r="J592" s="141">
        <v>18764</v>
      </c>
      <c r="K592" s="141">
        <v>18764</v>
      </c>
      <c r="L592" s="682" t="s">
        <v>620</v>
      </c>
      <c r="M592" s="683" t="s">
        <v>35</v>
      </c>
      <c r="N592" s="142"/>
      <c r="O592" s="143"/>
      <c r="P592" s="143"/>
      <c r="Q592" s="143"/>
      <c r="R592" s="143"/>
      <c r="S592" s="143"/>
      <c r="T592" s="143"/>
      <c r="U592" s="143"/>
      <c r="V592" s="143"/>
      <c r="W592" s="143"/>
      <c r="X592" s="143"/>
      <c r="Y592" s="143"/>
      <c r="Z592" s="143"/>
      <c r="AA592" s="143"/>
      <c r="AB592" s="143"/>
    </row>
    <row r="593" spans="1:28" s="144" customFormat="1" ht="15" customHeight="1" outlineLevel="1" x14ac:dyDescent="0.2">
      <c r="A593" s="134">
        <v>32</v>
      </c>
      <c r="B593" s="134">
        <v>82219</v>
      </c>
      <c r="C593" s="135">
        <v>41995</v>
      </c>
      <c r="D593" s="136" t="s">
        <v>364</v>
      </c>
      <c r="E593" s="134" t="s">
        <v>1173</v>
      </c>
      <c r="F593" s="137" t="s">
        <v>171</v>
      </c>
      <c r="G593" s="138" t="s">
        <v>366</v>
      </c>
      <c r="H593" s="139"/>
      <c r="I593" s="140">
        <v>1</v>
      </c>
      <c r="J593" s="141">
        <v>18764</v>
      </c>
      <c r="K593" s="141">
        <v>18764</v>
      </c>
      <c r="L593" s="653"/>
      <c r="M593" s="684"/>
      <c r="N593" s="142"/>
      <c r="O593" s="143"/>
      <c r="P593" s="143"/>
      <c r="Q593" s="143"/>
      <c r="R593" s="143"/>
      <c r="S593" s="143"/>
      <c r="T593" s="143"/>
      <c r="U593" s="143"/>
      <c r="V593" s="143"/>
      <c r="W593" s="143"/>
      <c r="X593" s="143"/>
      <c r="Y593" s="143"/>
      <c r="Z593" s="143"/>
      <c r="AA593" s="143"/>
      <c r="AB593" s="143"/>
    </row>
    <row r="594" spans="1:28" s="144" customFormat="1" ht="15" customHeight="1" outlineLevel="1" x14ac:dyDescent="0.2">
      <c r="A594" s="134">
        <v>15</v>
      </c>
      <c r="B594" s="134">
        <v>73491</v>
      </c>
      <c r="C594" s="135">
        <v>41982</v>
      </c>
      <c r="D594" s="136" t="s">
        <v>452</v>
      </c>
      <c r="E594" s="134" t="s">
        <v>453</v>
      </c>
      <c r="F594" s="137" t="s">
        <v>577</v>
      </c>
      <c r="G594" s="138" t="s">
        <v>368</v>
      </c>
      <c r="H594" s="139"/>
      <c r="I594" s="140">
        <v>1</v>
      </c>
      <c r="J594" s="141">
        <v>25800</v>
      </c>
      <c r="K594" s="141">
        <v>25800</v>
      </c>
      <c r="L594" s="653"/>
      <c r="M594" s="684"/>
      <c r="N594" s="142"/>
      <c r="O594" s="143"/>
      <c r="P594" s="143"/>
      <c r="Q594" s="143"/>
      <c r="R594" s="143"/>
      <c r="S594" s="143"/>
      <c r="T594" s="143"/>
      <c r="U594" s="143"/>
      <c r="V594" s="143"/>
      <c r="W594" s="143"/>
      <c r="X594" s="143"/>
      <c r="Y594" s="143"/>
      <c r="Z594" s="143"/>
      <c r="AA594" s="143"/>
      <c r="AB594" s="143"/>
    </row>
    <row r="595" spans="1:28" s="144" customFormat="1" ht="15" customHeight="1" outlineLevel="1" x14ac:dyDescent="0.2">
      <c r="A595" s="134">
        <v>26</v>
      </c>
      <c r="B595" s="134">
        <v>81770</v>
      </c>
      <c r="C595" s="135">
        <v>41995</v>
      </c>
      <c r="D595" s="136" t="s">
        <v>1174</v>
      </c>
      <c r="E595" s="134" t="s">
        <v>453</v>
      </c>
      <c r="F595" s="137" t="s">
        <v>534</v>
      </c>
      <c r="G595" s="138" t="s">
        <v>469</v>
      </c>
      <c r="H595" s="139"/>
      <c r="I595" s="140">
        <v>1</v>
      </c>
      <c r="J595" s="141">
        <v>30429</v>
      </c>
      <c r="K595" s="141">
        <v>30429</v>
      </c>
      <c r="L595" s="653"/>
      <c r="M595" s="684"/>
      <c r="N595" s="142"/>
      <c r="O595" s="143"/>
      <c r="P595" s="143"/>
      <c r="Q595" s="143"/>
      <c r="R595" s="143"/>
      <c r="S595" s="143"/>
      <c r="T595" s="143"/>
      <c r="U595" s="143"/>
      <c r="V595" s="143"/>
      <c r="W595" s="143"/>
      <c r="X595" s="143"/>
      <c r="Y595" s="143"/>
      <c r="Z595" s="143"/>
      <c r="AA595" s="143"/>
      <c r="AB595" s="143"/>
    </row>
    <row r="596" spans="1:28" s="144" customFormat="1" ht="15" customHeight="1" outlineLevel="1" x14ac:dyDescent="0.2">
      <c r="A596" s="134">
        <v>12</v>
      </c>
      <c r="B596" s="134">
        <v>72961</v>
      </c>
      <c r="C596" s="135">
        <v>41982</v>
      </c>
      <c r="D596" s="136" t="s">
        <v>456</v>
      </c>
      <c r="E596" s="134" t="s">
        <v>453</v>
      </c>
      <c r="F596" s="137" t="s">
        <v>215</v>
      </c>
      <c r="G596" s="138" t="s">
        <v>368</v>
      </c>
      <c r="H596" s="139"/>
      <c r="I596" s="140">
        <v>1</v>
      </c>
      <c r="J596" s="141">
        <v>44597</v>
      </c>
      <c r="K596" s="141">
        <v>44597</v>
      </c>
      <c r="L596" s="653"/>
      <c r="M596" s="684"/>
      <c r="N596" s="142"/>
      <c r="O596" s="143"/>
      <c r="P596" s="143"/>
      <c r="Q596" s="143"/>
      <c r="R596" s="143"/>
      <c r="S596" s="143"/>
      <c r="T596" s="143"/>
      <c r="U596" s="143"/>
      <c r="V596" s="143"/>
      <c r="W596" s="143"/>
      <c r="X596" s="143"/>
      <c r="Y596" s="143"/>
      <c r="Z596" s="143"/>
      <c r="AA596" s="143"/>
      <c r="AB596" s="143"/>
    </row>
    <row r="597" spans="1:28" s="144" customFormat="1" ht="15" customHeight="1" outlineLevel="1" x14ac:dyDescent="0.2">
      <c r="A597" s="134">
        <v>17</v>
      </c>
      <c r="B597" s="134">
        <v>74511</v>
      </c>
      <c r="C597" s="135">
        <v>41983</v>
      </c>
      <c r="D597" s="136" t="s">
        <v>1134</v>
      </c>
      <c r="E597" s="134" t="s">
        <v>453</v>
      </c>
      <c r="F597" s="137" t="s">
        <v>195</v>
      </c>
      <c r="G597" s="138" t="s">
        <v>1095</v>
      </c>
      <c r="H597" s="139"/>
      <c r="I597" s="140">
        <v>2</v>
      </c>
      <c r="J597" s="141">
        <v>2739</v>
      </c>
      <c r="K597" s="141">
        <v>5478</v>
      </c>
      <c r="L597" s="653"/>
      <c r="M597" s="684"/>
      <c r="N597" s="142"/>
      <c r="O597" s="143"/>
      <c r="P597" s="143"/>
      <c r="Q597" s="143"/>
      <c r="R597" s="143"/>
      <c r="S597" s="143"/>
      <c r="T597" s="143"/>
      <c r="U597" s="143"/>
      <c r="V597" s="143"/>
      <c r="W597" s="143"/>
      <c r="X597" s="143"/>
      <c r="Y597" s="143"/>
      <c r="Z597" s="143"/>
      <c r="AA597" s="143"/>
      <c r="AB597" s="143"/>
    </row>
    <row r="598" spans="1:28" s="144" customFormat="1" ht="15" customHeight="1" outlineLevel="1" x14ac:dyDescent="0.2">
      <c r="A598" s="134">
        <v>21</v>
      </c>
      <c r="B598" s="134">
        <v>80456</v>
      </c>
      <c r="C598" s="135">
        <v>41989</v>
      </c>
      <c r="D598" s="136" t="s">
        <v>1175</v>
      </c>
      <c r="E598" s="134" t="s">
        <v>453</v>
      </c>
      <c r="F598" s="137" t="s">
        <v>215</v>
      </c>
      <c r="G598" s="138" t="s">
        <v>368</v>
      </c>
      <c r="H598" s="139"/>
      <c r="I598" s="140">
        <v>1</v>
      </c>
      <c r="J598" s="141">
        <v>44597</v>
      </c>
      <c r="K598" s="141">
        <v>44597</v>
      </c>
      <c r="L598" s="653"/>
      <c r="M598" s="684"/>
      <c r="N598" s="142"/>
      <c r="O598" s="143"/>
      <c r="P598" s="143"/>
      <c r="Q598" s="143"/>
      <c r="R598" s="143"/>
      <c r="S598" s="143"/>
      <c r="T598" s="143"/>
      <c r="U598" s="143"/>
      <c r="V598" s="143"/>
      <c r="W598" s="143"/>
      <c r="X598" s="143"/>
      <c r="Y598" s="143"/>
      <c r="Z598" s="143"/>
      <c r="AA598" s="143"/>
      <c r="AB598" s="143"/>
    </row>
    <row r="599" spans="1:28" s="144" customFormat="1" ht="15" customHeight="1" outlineLevel="1" x14ac:dyDescent="0.2">
      <c r="A599" s="134">
        <v>5</v>
      </c>
      <c r="B599" s="134">
        <v>71417</v>
      </c>
      <c r="C599" s="135">
        <v>41975</v>
      </c>
      <c r="D599" s="136" t="s">
        <v>1176</v>
      </c>
      <c r="E599" s="134" t="s">
        <v>453</v>
      </c>
      <c r="F599" s="137" t="s">
        <v>208</v>
      </c>
      <c r="G599" s="138" t="s">
        <v>442</v>
      </c>
      <c r="H599" s="139"/>
      <c r="I599" s="140">
        <v>1</v>
      </c>
      <c r="J599" s="141">
        <v>14099</v>
      </c>
      <c r="K599" s="141">
        <v>14099</v>
      </c>
      <c r="L599" s="653"/>
      <c r="M599" s="684"/>
      <c r="N599" s="142"/>
      <c r="O599" s="143"/>
      <c r="P599" s="143"/>
      <c r="Q599" s="143"/>
      <c r="R599" s="143"/>
      <c r="S599" s="143"/>
      <c r="T599" s="143"/>
      <c r="U599" s="143"/>
      <c r="V599" s="143"/>
      <c r="W599" s="143"/>
      <c r="X599" s="143"/>
      <c r="Y599" s="143"/>
      <c r="Z599" s="143"/>
      <c r="AA599" s="143"/>
      <c r="AB599" s="143"/>
    </row>
    <row r="600" spans="1:28" s="144" customFormat="1" ht="15" customHeight="1" outlineLevel="1" x14ac:dyDescent="0.2">
      <c r="A600" s="134">
        <v>53</v>
      </c>
      <c r="B600" s="134">
        <v>84600</v>
      </c>
      <c r="C600" s="135">
        <v>42002</v>
      </c>
      <c r="D600" s="136" t="s">
        <v>1177</v>
      </c>
      <c r="E600" s="134" t="s">
        <v>453</v>
      </c>
      <c r="F600" s="137" t="s">
        <v>534</v>
      </c>
      <c r="G600" s="138" t="s">
        <v>428</v>
      </c>
      <c r="H600" s="139"/>
      <c r="I600" s="140">
        <v>1</v>
      </c>
      <c r="J600" s="141">
        <v>30429</v>
      </c>
      <c r="K600" s="141">
        <v>30429</v>
      </c>
      <c r="L600" s="653"/>
      <c r="M600" s="684"/>
      <c r="N600" s="142"/>
      <c r="O600" s="143"/>
      <c r="P600" s="143"/>
      <c r="Q600" s="143"/>
      <c r="R600" s="143"/>
      <c r="S600" s="143"/>
      <c r="T600" s="143"/>
      <c r="U600" s="143"/>
      <c r="V600" s="143"/>
      <c r="W600" s="143"/>
      <c r="X600" s="143"/>
      <c r="Y600" s="143"/>
      <c r="Z600" s="143"/>
      <c r="AA600" s="143"/>
      <c r="AB600" s="143"/>
    </row>
    <row r="601" spans="1:28" s="144" customFormat="1" ht="15" customHeight="1" outlineLevel="1" x14ac:dyDescent="0.2">
      <c r="A601" s="134">
        <v>51</v>
      </c>
      <c r="B601" s="134">
        <v>84500</v>
      </c>
      <c r="C601" s="135">
        <v>42003</v>
      </c>
      <c r="D601" s="136" t="s">
        <v>1178</v>
      </c>
      <c r="E601" s="134" t="s">
        <v>453</v>
      </c>
      <c r="F601" s="137" t="s">
        <v>114</v>
      </c>
      <c r="G601" s="138" t="s">
        <v>404</v>
      </c>
      <c r="H601" s="139"/>
      <c r="I601" s="140">
        <v>1</v>
      </c>
      <c r="J601" s="141">
        <v>33370</v>
      </c>
      <c r="K601" s="141">
        <v>33370</v>
      </c>
      <c r="L601" s="653"/>
      <c r="M601" s="684"/>
      <c r="N601" s="142"/>
      <c r="O601" s="143"/>
      <c r="P601" s="143"/>
      <c r="Q601" s="143"/>
      <c r="R601" s="143"/>
      <c r="S601" s="143"/>
      <c r="T601" s="143"/>
      <c r="U601" s="143"/>
      <c r="V601" s="143"/>
      <c r="W601" s="143"/>
      <c r="X601" s="143"/>
      <c r="Y601" s="143"/>
      <c r="Z601" s="143"/>
      <c r="AA601" s="143"/>
      <c r="AB601" s="143"/>
    </row>
    <row r="602" spans="1:28" s="144" customFormat="1" ht="15" customHeight="1" outlineLevel="1" x14ac:dyDescent="0.2">
      <c r="A602" s="134">
        <v>42</v>
      </c>
      <c r="B602" s="134">
        <v>83239</v>
      </c>
      <c r="C602" s="135">
        <v>41996</v>
      </c>
      <c r="D602" s="136" t="s">
        <v>1179</v>
      </c>
      <c r="E602" s="134" t="s">
        <v>453</v>
      </c>
      <c r="F602" s="137" t="s">
        <v>534</v>
      </c>
      <c r="G602" s="138" t="s">
        <v>642</v>
      </c>
      <c r="H602" s="139"/>
      <c r="I602" s="140">
        <v>1</v>
      </c>
      <c r="J602" s="141">
        <v>30429</v>
      </c>
      <c r="K602" s="141">
        <v>30429</v>
      </c>
      <c r="L602" s="653"/>
      <c r="M602" s="684"/>
      <c r="N602" s="142"/>
      <c r="O602" s="143"/>
      <c r="P602" s="143"/>
      <c r="Q602" s="143"/>
      <c r="R602" s="143"/>
      <c r="S602" s="143"/>
      <c r="T602" s="143"/>
      <c r="U602" s="143"/>
      <c r="V602" s="143"/>
      <c r="W602" s="143"/>
      <c r="X602" s="143"/>
      <c r="Y602" s="143"/>
      <c r="Z602" s="143"/>
      <c r="AA602" s="143"/>
      <c r="AB602" s="143"/>
    </row>
    <row r="603" spans="1:28" s="144" customFormat="1" ht="15" customHeight="1" outlineLevel="1" x14ac:dyDescent="0.2">
      <c r="A603" s="134">
        <v>35</v>
      </c>
      <c r="B603" s="134">
        <v>82451</v>
      </c>
      <c r="C603" s="135">
        <v>41995</v>
      </c>
      <c r="D603" s="136" t="s">
        <v>1180</v>
      </c>
      <c r="E603" s="134" t="s">
        <v>453</v>
      </c>
      <c r="F603" s="137" t="s">
        <v>215</v>
      </c>
      <c r="G603" s="138" t="s">
        <v>368</v>
      </c>
      <c r="H603" s="139"/>
      <c r="I603" s="140">
        <v>1</v>
      </c>
      <c r="J603" s="141">
        <v>44597</v>
      </c>
      <c r="K603" s="141">
        <v>44597</v>
      </c>
      <c r="L603" s="653"/>
      <c r="M603" s="684"/>
      <c r="N603" s="142"/>
      <c r="O603" s="143"/>
      <c r="P603" s="143"/>
      <c r="Q603" s="143"/>
      <c r="R603" s="143"/>
      <c r="S603" s="143"/>
      <c r="T603" s="143"/>
      <c r="U603" s="143"/>
      <c r="V603" s="143"/>
      <c r="W603" s="143"/>
      <c r="X603" s="143"/>
      <c r="Y603" s="143"/>
      <c r="Z603" s="143"/>
      <c r="AA603" s="143"/>
      <c r="AB603" s="143"/>
    </row>
    <row r="604" spans="1:28" s="144" customFormat="1" ht="15" customHeight="1" outlineLevel="1" x14ac:dyDescent="0.2">
      <c r="A604" s="134">
        <v>46</v>
      </c>
      <c r="B604" s="134">
        <v>83733</v>
      </c>
      <c r="C604" s="135">
        <v>42002</v>
      </c>
      <c r="D604" s="136" t="s">
        <v>1181</v>
      </c>
      <c r="E604" s="134" t="s">
        <v>453</v>
      </c>
      <c r="F604" s="137" t="s">
        <v>115</v>
      </c>
      <c r="G604" s="138" t="s">
        <v>416</v>
      </c>
      <c r="H604" s="139"/>
      <c r="I604" s="140">
        <v>1</v>
      </c>
      <c r="J604" s="141">
        <v>5274</v>
      </c>
      <c r="K604" s="141">
        <v>5274</v>
      </c>
      <c r="L604" s="653"/>
      <c r="M604" s="684"/>
      <c r="N604" s="142"/>
      <c r="O604" s="143"/>
      <c r="P604" s="143"/>
      <c r="Q604" s="143"/>
      <c r="R604" s="143"/>
      <c r="S604" s="143"/>
      <c r="T604" s="143"/>
      <c r="U604" s="143"/>
      <c r="V604" s="143"/>
      <c r="W604" s="143"/>
      <c r="X604" s="143"/>
      <c r="Y604" s="143"/>
      <c r="Z604" s="143"/>
      <c r="AA604" s="143"/>
      <c r="AB604" s="143"/>
    </row>
    <row r="605" spans="1:28" s="144" customFormat="1" ht="15" customHeight="1" outlineLevel="1" x14ac:dyDescent="0.2">
      <c r="A605" s="134">
        <v>52</v>
      </c>
      <c r="B605" s="134">
        <v>84979</v>
      </c>
      <c r="C605" s="135">
        <v>42003</v>
      </c>
      <c r="D605" s="136" t="s">
        <v>1182</v>
      </c>
      <c r="E605" s="134" t="s">
        <v>453</v>
      </c>
      <c r="F605" s="137" t="s">
        <v>114</v>
      </c>
      <c r="G605" s="138" t="s">
        <v>439</v>
      </c>
      <c r="H605" s="139"/>
      <c r="I605" s="140">
        <v>1</v>
      </c>
      <c r="J605" s="141">
        <v>33370</v>
      </c>
      <c r="K605" s="141">
        <v>33370</v>
      </c>
      <c r="L605" s="653"/>
      <c r="M605" s="684"/>
      <c r="N605" s="142"/>
      <c r="O605" s="143"/>
      <c r="P605" s="143"/>
      <c r="Q605" s="143"/>
      <c r="R605" s="143"/>
      <c r="S605" s="143"/>
      <c r="T605" s="143"/>
      <c r="U605" s="143"/>
      <c r="V605" s="143"/>
      <c r="W605" s="143"/>
      <c r="X605" s="143"/>
      <c r="Y605" s="143"/>
      <c r="Z605" s="143"/>
      <c r="AA605" s="143"/>
      <c r="AB605" s="143"/>
    </row>
    <row r="606" spans="1:28" s="144" customFormat="1" ht="15" customHeight="1" outlineLevel="1" x14ac:dyDescent="0.2">
      <c r="A606" s="134">
        <v>45</v>
      </c>
      <c r="B606" s="134">
        <v>83727</v>
      </c>
      <c r="C606" s="135">
        <v>42002</v>
      </c>
      <c r="D606" s="136" t="s">
        <v>1183</v>
      </c>
      <c r="E606" s="134" t="s">
        <v>453</v>
      </c>
      <c r="F606" s="137" t="s">
        <v>115</v>
      </c>
      <c r="G606" s="138" t="s">
        <v>431</v>
      </c>
      <c r="H606" s="139"/>
      <c r="I606" s="140">
        <v>1</v>
      </c>
      <c r="J606" s="141">
        <v>5274</v>
      </c>
      <c r="K606" s="141">
        <v>5274</v>
      </c>
      <c r="L606" s="653"/>
      <c r="M606" s="684"/>
      <c r="N606" s="142"/>
      <c r="O606" s="143"/>
      <c r="P606" s="143"/>
      <c r="Q606" s="143"/>
      <c r="R606" s="143"/>
      <c r="S606" s="143"/>
      <c r="T606" s="143"/>
      <c r="U606" s="143"/>
      <c r="V606" s="143"/>
      <c r="W606" s="143"/>
      <c r="X606" s="143"/>
      <c r="Y606" s="143"/>
      <c r="Z606" s="143"/>
      <c r="AA606" s="143"/>
      <c r="AB606" s="143"/>
    </row>
    <row r="607" spans="1:28" s="144" customFormat="1" ht="15" customHeight="1" outlineLevel="1" x14ac:dyDescent="0.2">
      <c r="A607" s="134">
        <v>23</v>
      </c>
      <c r="B607" s="134">
        <v>80597</v>
      </c>
      <c r="C607" s="135">
        <v>41989</v>
      </c>
      <c r="D607" s="136" t="s">
        <v>460</v>
      </c>
      <c r="E607" s="134" t="s">
        <v>453</v>
      </c>
      <c r="F607" s="137" t="s">
        <v>202</v>
      </c>
      <c r="G607" s="138" t="s">
        <v>1184</v>
      </c>
      <c r="H607" s="139"/>
      <c r="I607" s="140">
        <v>2</v>
      </c>
      <c r="J607" s="141">
        <v>17244</v>
      </c>
      <c r="K607" s="141">
        <v>34488</v>
      </c>
      <c r="L607" s="653"/>
      <c r="M607" s="684"/>
      <c r="N607" s="142"/>
      <c r="O607" s="143"/>
      <c r="P607" s="143"/>
      <c r="Q607" s="143"/>
      <c r="R607" s="143"/>
      <c r="S607" s="143"/>
      <c r="T607" s="143"/>
      <c r="U607" s="143"/>
      <c r="V607" s="143"/>
      <c r="W607" s="143"/>
      <c r="X607" s="143"/>
      <c r="Y607" s="143"/>
      <c r="Z607" s="143"/>
      <c r="AA607" s="143"/>
      <c r="AB607" s="143"/>
    </row>
    <row r="608" spans="1:28" s="144" customFormat="1" ht="15" customHeight="1" outlineLevel="1" x14ac:dyDescent="0.2">
      <c r="A608" s="134">
        <v>52</v>
      </c>
      <c r="B608" s="134">
        <v>84504</v>
      </c>
      <c r="C608" s="135">
        <v>42003</v>
      </c>
      <c r="D608" s="136" t="s">
        <v>460</v>
      </c>
      <c r="E608" s="134" t="s">
        <v>453</v>
      </c>
      <c r="F608" s="137" t="s">
        <v>114</v>
      </c>
      <c r="G608" s="138" t="s">
        <v>416</v>
      </c>
      <c r="H608" s="139"/>
      <c r="I608" s="140">
        <v>1</v>
      </c>
      <c r="J608" s="141">
        <v>33370</v>
      </c>
      <c r="K608" s="141">
        <v>33370</v>
      </c>
      <c r="L608" s="653"/>
      <c r="M608" s="684"/>
      <c r="N608" s="142"/>
      <c r="O608" s="143"/>
      <c r="P608" s="143"/>
      <c r="Q608" s="143"/>
      <c r="R608" s="143"/>
      <c r="S608" s="143"/>
      <c r="T608" s="143"/>
      <c r="U608" s="143"/>
      <c r="V608" s="143"/>
      <c r="W608" s="143"/>
      <c r="X608" s="143"/>
      <c r="Y608" s="143"/>
      <c r="Z608" s="143"/>
      <c r="AA608" s="143"/>
      <c r="AB608" s="143"/>
    </row>
    <row r="609" spans="1:28" s="144" customFormat="1" ht="15" customHeight="1" outlineLevel="1" x14ac:dyDescent="0.2">
      <c r="A609" s="134">
        <v>41</v>
      </c>
      <c r="B609" s="134">
        <v>83172</v>
      </c>
      <c r="C609" s="135">
        <v>41996</v>
      </c>
      <c r="D609" s="136" t="s">
        <v>1185</v>
      </c>
      <c r="E609" s="134" t="s">
        <v>453</v>
      </c>
      <c r="F609" s="137" t="s">
        <v>534</v>
      </c>
      <c r="G609" s="138" t="s">
        <v>401</v>
      </c>
      <c r="H609" s="139"/>
      <c r="I609" s="140">
        <v>1</v>
      </c>
      <c r="J609" s="141">
        <v>30429</v>
      </c>
      <c r="K609" s="141">
        <v>30429</v>
      </c>
      <c r="L609" s="653"/>
      <c r="M609" s="684"/>
      <c r="N609" s="142"/>
      <c r="O609" s="143"/>
      <c r="P609" s="143"/>
      <c r="Q609" s="143"/>
      <c r="R609" s="143"/>
      <c r="S609" s="143"/>
      <c r="T609" s="143"/>
      <c r="U609" s="143"/>
      <c r="V609" s="143"/>
      <c r="W609" s="143"/>
      <c r="X609" s="143"/>
      <c r="Y609" s="143"/>
      <c r="Z609" s="143"/>
      <c r="AA609" s="143"/>
      <c r="AB609" s="143"/>
    </row>
    <row r="610" spans="1:28" s="144" customFormat="1" ht="15" customHeight="1" outlineLevel="1" x14ac:dyDescent="0.2">
      <c r="A610" s="134">
        <v>4</v>
      </c>
      <c r="B610" s="134">
        <v>71416</v>
      </c>
      <c r="C610" s="135">
        <v>41975</v>
      </c>
      <c r="D610" s="136" t="s">
        <v>1186</v>
      </c>
      <c r="E610" s="134" t="s">
        <v>453</v>
      </c>
      <c r="F610" s="137" t="s">
        <v>208</v>
      </c>
      <c r="G610" s="138" t="s">
        <v>414</v>
      </c>
      <c r="H610" s="139"/>
      <c r="I610" s="140">
        <v>1</v>
      </c>
      <c r="J610" s="141">
        <v>14099</v>
      </c>
      <c r="K610" s="141">
        <v>14099</v>
      </c>
      <c r="L610" s="653"/>
      <c r="M610" s="684"/>
      <c r="N610" s="142"/>
      <c r="O610" s="143"/>
      <c r="P610" s="143"/>
      <c r="Q610" s="143"/>
      <c r="R610" s="143"/>
      <c r="S610" s="143"/>
      <c r="T610" s="143"/>
      <c r="U610" s="143"/>
      <c r="V610" s="143"/>
      <c r="W610" s="143"/>
      <c r="X610" s="143"/>
      <c r="Y610" s="143"/>
      <c r="Z610" s="143"/>
      <c r="AA610" s="143"/>
      <c r="AB610" s="143"/>
    </row>
    <row r="611" spans="1:28" s="144" customFormat="1" ht="15" customHeight="1" outlineLevel="1" x14ac:dyDescent="0.2">
      <c r="A611" s="134">
        <v>56</v>
      </c>
      <c r="B611" s="134">
        <v>84902</v>
      </c>
      <c r="C611" s="135">
        <v>42003</v>
      </c>
      <c r="D611" s="136" t="s">
        <v>1186</v>
      </c>
      <c r="E611" s="134" t="s">
        <v>453</v>
      </c>
      <c r="F611" s="137" t="s">
        <v>114</v>
      </c>
      <c r="G611" s="138" t="s">
        <v>414</v>
      </c>
      <c r="H611" s="139"/>
      <c r="I611" s="140">
        <v>1</v>
      </c>
      <c r="J611" s="141">
        <v>33370</v>
      </c>
      <c r="K611" s="141">
        <v>33370</v>
      </c>
      <c r="L611" s="653"/>
      <c r="M611" s="684"/>
      <c r="N611" s="142"/>
      <c r="O611" s="143"/>
      <c r="P611" s="143"/>
      <c r="Q611" s="143"/>
      <c r="R611" s="143"/>
      <c r="S611" s="143"/>
      <c r="T611" s="143"/>
      <c r="U611" s="143"/>
      <c r="V611" s="143"/>
      <c r="W611" s="143"/>
      <c r="X611" s="143"/>
      <c r="Y611" s="143"/>
      <c r="Z611" s="143"/>
      <c r="AA611" s="143"/>
      <c r="AB611" s="143"/>
    </row>
    <row r="612" spans="1:28" s="144" customFormat="1" ht="15" customHeight="1" outlineLevel="1" x14ac:dyDescent="0.2">
      <c r="A612" s="134">
        <v>34</v>
      </c>
      <c r="B612" s="134">
        <v>82445</v>
      </c>
      <c r="C612" s="135">
        <v>41995</v>
      </c>
      <c r="D612" s="136" t="s">
        <v>1187</v>
      </c>
      <c r="E612" s="134" t="s">
        <v>453</v>
      </c>
      <c r="F612" s="137" t="s">
        <v>115</v>
      </c>
      <c r="G612" s="138" t="s">
        <v>1001</v>
      </c>
      <c r="H612" s="139"/>
      <c r="I612" s="140">
        <v>4</v>
      </c>
      <c r="J612" s="141">
        <v>5274</v>
      </c>
      <c r="K612" s="141">
        <v>21096</v>
      </c>
      <c r="L612" s="653"/>
      <c r="M612" s="684"/>
      <c r="N612" s="142"/>
      <c r="O612" s="143"/>
      <c r="P612" s="143"/>
      <c r="Q612" s="143"/>
      <c r="R612" s="143"/>
      <c r="S612" s="143"/>
      <c r="T612" s="143"/>
      <c r="U612" s="143"/>
      <c r="V612" s="143"/>
      <c r="W612" s="143"/>
      <c r="X612" s="143"/>
      <c r="Y612" s="143"/>
      <c r="Z612" s="143"/>
      <c r="AA612" s="143"/>
      <c r="AB612" s="143"/>
    </row>
    <row r="613" spans="1:28" s="144" customFormat="1" ht="15" customHeight="1" outlineLevel="1" x14ac:dyDescent="0.2">
      <c r="A613" s="134">
        <v>10</v>
      </c>
      <c r="B613" s="134">
        <v>72560</v>
      </c>
      <c r="C613" s="135">
        <v>41977</v>
      </c>
      <c r="D613" s="136" t="s">
        <v>1188</v>
      </c>
      <c r="E613" s="134" t="s">
        <v>453</v>
      </c>
      <c r="F613" s="137" t="s">
        <v>679</v>
      </c>
      <c r="G613" s="138" t="s">
        <v>368</v>
      </c>
      <c r="H613" s="139"/>
      <c r="I613" s="140">
        <v>1</v>
      </c>
      <c r="J613" s="141">
        <v>55058</v>
      </c>
      <c r="K613" s="141">
        <v>55058</v>
      </c>
      <c r="L613" s="653"/>
      <c r="M613" s="684"/>
      <c r="N613" s="142"/>
      <c r="O613" s="143"/>
      <c r="P613" s="143"/>
      <c r="Q613" s="143"/>
      <c r="R613" s="143"/>
      <c r="S613" s="143"/>
      <c r="T613" s="143"/>
      <c r="U613" s="143"/>
      <c r="V613" s="143"/>
      <c r="W613" s="143"/>
      <c r="X613" s="143"/>
      <c r="Y613" s="143"/>
      <c r="Z613" s="143"/>
      <c r="AA613" s="143"/>
      <c r="AB613" s="143"/>
    </row>
    <row r="614" spans="1:28" s="144" customFormat="1" ht="15" customHeight="1" outlineLevel="1" x14ac:dyDescent="0.2">
      <c r="A614" s="134">
        <v>7</v>
      </c>
      <c r="B614" s="134">
        <v>71816</v>
      </c>
      <c r="C614" s="135">
        <v>41975</v>
      </c>
      <c r="D614" s="136" t="s">
        <v>1189</v>
      </c>
      <c r="E614" s="134" t="s">
        <v>453</v>
      </c>
      <c r="F614" s="137" t="s">
        <v>114</v>
      </c>
      <c r="G614" s="138" t="s">
        <v>414</v>
      </c>
      <c r="H614" s="139"/>
      <c r="I614" s="140">
        <v>1</v>
      </c>
      <c r="J614" s="141">
        <v>33370</v>
      </c>
      <c r="K614" s="141">
        <v>33370</v>
      </c>
      <c r="L614" s="653"/>
      <c r="M614" s="684"/>
      <c r="N614" s="142"/>
      <c r="O614" s="143"/>
      <c r="P614" s="143"/>
      <c r="Q614" s="143"/>
      <c r="R614" s="143"/>
      <c r="S614" s="143"/>
      <c r="T614" s="143"/>
      <c r="U614" s="143"/>
      <c r="V614" s="143"/>
      <c r="W614" s="143"/>
      <c r="X614" s="143"/>
      <c r="Y614" s="143"/>
      <c r="Z614" s="143"/>
      <c r="AA614" s="143"/>
      <c r="AB614" s="143"/>
    </row>
    <row r="615" spans="1:28" s="144" customFormat="1" ht="15" customHeight="1" outlineLevel="1" x14ac:dyDescent="0.2">
      <c r="A615" s="134">
        <v>43</v>
      </c>
      <c r="B615" s="134">
        <v>83278</v>
      </c>
      <c r="C615" s="135">
        <v>41996</v>
      </c>
      <c r="D615" s="136" t="s">
        <v>1131</v>
      </c>
      <c r="E615" s="134" t="s">
        <v>453</v>
      </c>
      <c r="F615" s="137" t="s">
        <v>114</v>
      </c>
      <c r="G615" s="138" t="s">
        <v>1190</v>
      </c>
      <c r="H615" s="139"/>
      <c r="I615" s="140">
        <v>2</v>
      </c>
      <c r="J615" s="141">
        <v>33370</v>
      </c>
      <c r="K615" s="141">
        <v>66740</v>
      </c>
      <c r="L615" s="653"/>
      <c r="M615" s="684"/>
      <c r="N615" s="142"/>
      <c r="O615" s="143"/>
      <c r="P615" s="143"/>
      <c r="Q615" s="143"/>
      <c r="R615" s="143"/>
      <c r="S615" s="143"/>
      <c r="T615" s="143"/>
      <c r="U615" s="143"/>
      <c r="V615" s="143"/>
      <c r="W615" s="143"/>
      <c r="X615" s="143"/>
      <c r="Y615" s="143"/>
      <c r="Z615" s="143"/>
      <c r="AA615" s="143"/>
      <c r="AB615" s="143"/>
    </row>
    <row r="616" spans="1:28" s="144" customFormat="1" ht="15" customHeight="1" outlineLevel="1" x14ac:dyDescent="0.2">
      <c r="A616" s="134">
        <v>22</v>
      </c>
      <c r="B616" s="134">
        <v>80488</v>
      </c>
      <c r="C616" s="135">
        <v>41990</v>
      </c>
      <c r="D616" s="136" t="s">
        <v>1191</v>
      </c>
      <c r="E616" s="134" t="s">
        <v>1192</v>
      </c>
      <c r="F616" s="137" t="s">
        <v>195</v>
      </c>
      <c r="G616" s="138" t="s">
        <v>1193</v>
      </c>
      <c r="H616" s="139"/>
      <c r="I616" s="140">
        <v>3</v>
      </c>
      <c r="J616" s="141">
        <v>2739</v>
      </c>
      <c r="K616" s="141">
        <v>8217</v>
      </c>
      <c r="L616" s="653"/>
      <c r="M616" s="684"/>
      <c r="N616" s="142"/>
      <c r="O616" s="143"/>
      <c r="P616" s="143"/>
      <c r="Q616" s="143"/>
      <c r="R616" s="143"/>
      <c r="S616" s="143"/>
      <c r="T616" s="143"/>
      <c r="U616" s="143"/>
      <c r="V616" s="143"/>
      <c r="W616" s="143"/>
      <c r="X616" s="143"/>
      <c r="Y616" s="143"/>
      <c r="Z616" s="143"/>
      <c r="AA616" s="143"/>
      <c r="AB616" s="143"/>
    </row>
    <row r="617" spans="1:28" s="144" customFormat="1" ht="15" customHeight="1" outlineLevel="1" x14ac:dyDescent="0.2">
      <c r="A617" s="134">
        <v>33</v>
      </c>
      <c r="B617" s="134">
        <v>82317</v>
      </c>
      <c r="C617" s="135">
        <v>41995</v>
      </c>
      <c r="D617" s="136" t="s">
        <v>1073</v>
      </c>
      <c r="E617" s="134" t="s">
        <v>393</v>
      </c>
      <c r="F617" s="137" t="s">
        <v>114</v>
      </c>
      <c r="G617" s="138" t="s">
        <v>1194</v>
      </c>
      <c r="H617" s="139"/>
      <c r="I617" s="140">
        <v>3</v>
      </c>
      <c r="J617" s="141">
        <v>33370</v>
      </c>
      <c r="K617" s="141">
        <v>100110</v>
      </c>
      <c r="L617" s="653"/>
      <c r="M617" s="684"/>
      <c r="N617" s="142"/>
      <c r="O617" s="143"/>
      <c r="P617" s="143"/>
      <c r="Q617" s="143"/>
      <c r="R617" s="143"/>
      <c r="S617" s="143"/>
      <c r="T617" s="143"/>
      <c r="U617" s="143"/>
      <c r="V617" s="143"/>
      <c r="W617" s="143"/>
      <c r="X617" s="143"/>
      <c r="Y617" s="143"/>
      <c r="Z617" s="143"/>
      <c r="AA617" s="143"/>
      <c r="AB617" s="143"/>
    </row>
    <row r="618" spans="1:28" s="144" customFormat="1" ht="15" customHeight="1" outlineLevel="1" x14ac:dyDescent="0.2">
      <c r="A618" s="134">
        <v>54</v>
      </c>
      <c r="B618" s="134">
        <v>84635</v>
      </c>
      <c r="C618" s="135">
        <v>42002</v>
      </c>
      <c r="D618" s="136" t="s">
        <v>1073</v>
      </c>
      <c r="E618" s="134" t="s">
        <v>393</v>
      </c>
      <c r="F618" s="137" t="s">
        <v>534</v>
      </c>
      <c r="G618" s="138" t="s">
        <v>1195</v>
      </c>
      <c r="H618" s="139"/>
      <c r="I618" s="140">
        <v>3</v>
      </c>
      <c r="J618" s="141">
        <v>30429</v>
      </c>
      <c r="K618" s="141">
        <v>91287</v>
      </c>
      <c r="L618" s="653"/>
      <c r="M618" s="684"/>
      <c r="N618" s="142"/>
      <c r="O618" s="143"/>
      <c r="P618" s="143"/>
      <c r="Q618" s="143"/>
      <c r="R618" s="143"/>
      <c r="S618" s="143"/>
      <c r="T618" s="143"/>
      <c r="U618" s="143"/>
      <c r="V618" s="143"/>
      <c r="W618" s="143"/>
      <c r="X618" s="143"/>
      <c r="Y618" s="143"/>
      <c r="Z618" s="143"/>
      <c r="AA618" s="143"/>
      <c r="AB618" s="143"/>
    </row>
    <row r="619" spans="1:28" s="144" customFormat="1" ht="15" customHeight="1" outlineLevel="1" x14ac:dyDescent="0.2">
      <c r="A619" s="134">
        <v>38</v>
      </c>
      <c r="B619" s="134">
        <v>82689</v>
      </c>
      <c r="C619" s="135">
        <v>41995</v>
      </c>
      <c r="D619" s="136" t="s">
        <v>1196</v>
      </c>
      <c r="E619" s="134" t="s">
        <v>393</v>
      </c>
      <c r="F619" s="137" t="s">
        <v>619</v>
      </c>
      <c r="G619" s="138" t="s">
        <v>384</v>
      </c>
      <c r="H619" s="139"/>
      <c r="I619" s="140">
        <v>2</v>
      </c>
      <c r="J619" s="141">
        <v>15722</v>
      </c>
      <c r="K619" s="141">
        <v>31444</v>
      </c>
      <c r="L619" s="653"/>
      <c r="M619" s="684"/>
      <c r="N619" s="142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  <c r="AA619" s="143"/>
      <c r="AB619" s="143"/>
    </row>
    <row r="620" spans="1:28" s="144" customFormat="1" ht="15" customHeight="1" outlineLevel="1" x14ac:dyDescent="0.2">
      <c r="A620" s="134">
        <v>39</v>
      </c>
      <c r="B620" s="134">
        <v>82689</v>
      </c>
      <c r="C620" s="135">
        <v>41995</v>
      </c>
      <c r="D620" s="136" t="s">
        <v>1196</v>
      </c>
      <c r="E620" s="134" t="s">
        <v>393</v>
      </c>
      <c r="F620" s="137" t="s">
        <v>215</v>
      </c>
      <c r="G620" s="138" t="s">
        <v>384</v>
      </c>
      <c r="H620" s="139"/>
      <c r="I620" s="140">
        <v>2</v>
      </c>
      <c r="J620" s="141">
        <v>44597</v>
      </c>
      <c r="K620" s="141">
        <v>89194</v>
      </c>
      <c r="L620" s="653"/>
      <c r="M620" s="684"/>
      <c r="N620" s="142"/>
      <c r="O620" s="143"/>
      <c r="P620" s="143"/>
      <c r="Q620" s="143"/>
      <c r="R620" s="143"/>
      <c r="S620" s="143"/>
      <c r="T620" s="143"/>
      <c r="U620" s="143"/>
      <c r="V620" s="143"/>
      <c r="W620" s="143"/>
      <c r="X620" s="143"/>
      <c r="Y620" s="143"/>
      <c r="Z620" s="143"/>
      <c r="AA620" s="143"/>
      <c r="AB620" s="143"/>
    </row>
    <row r="621" spans="1:28" s="144" customFormat="1" ht="15" customHeight="1" outlineLevel="1" x14ac:dyDescent="0.2">
      <c r="A621" s="134">
        <v>13</v>
      </c>
      <c r="B621" s="134">
        <v>73440</v>
      </c>
      <c r="C621" s="135">
        <v>41978</v>
      </c>
      <c r="D621" s="136" t="s">
        <v>1197</v>
      </c>
      <c r="E621" s="134" t="s">
        <v>393</v>
      </c>
      <c r="F621" s="137" t="s">
        <v>114</v>
      </c>
      <c r="G621" s="138" t="s">
        <v>1198</v>
      </c>
      <c r="H621" s="139"/>
      <c r="I621" s="140">
        <v>2</v>
      </c>
      <c r="J621" s="141">
        <v>33370</v>
      </c>
      <c r="K621" s="141">
        <v>66740</v>
      </c>
      <c r="L621" s="653"/>
      <c r="M621" s="684"/>
      <c r="N621" s="142"/>
      <c r="O621" s="143"/>
      <c r="P621" s="143"/>
      <c r="Q621" s="143"/>
      <c r="R621" s="143"/>
      <c r="S621" s="143"/>
      <c r="T621" s="143"/>
      <c r="U621" s="143"/>
      <c r="V621" s="143"/>
      <c r="W621" s="143"/>
      <c r="X621" s="143"/>
      <c r="Y621" s="143"/>
      <c r="Z621" s="143"/>
      <c r="AA621" s="143"/>
      <c r="AB621" s="143"/>
    </row>
    <row r="622" spans="1:28" s="144" customFormat="1" ht="15" customHeight="1" outlineLevel="1" x14ac:dyDescent="0.2">
      <c r="A622" s="134">
        <v>9</v>
      </c>
      <c r="B622" s="134">
        <v>72497</v>
      </c>
      <c r="C622" s="135">
        <v>41977</v>
      </c>
      <c r="D622" s="136" t="s">
        <v>1104</v>
      </c>
      <c r="E622" s="134" t="s">
        <v>393</v>
      </c>
      <c r="F622" s="137" t="s">
        <v>230</v>
      </c>
      <c r="G622" s="138" t="s">
        <v>368</v>
      </c>
      <c r="H622" s="139"/>
      <c r="I622" s="140">
        <v>1</v>
      </c>
      <c r="J622" s="141">
        <v>17244</v>
      </c>
      <c r="K622" s="141">
        <v>17244</v>
      </c>
      <c r="L622" s="653"/>
      <c r="M622" s="684"/>
      <c r="N622" s="142"/>
      <c r="O622" s="143"/>
      <c r="P622" s="143"/>
      <c r="Q622" s="143"/>
      <c r="R622" s="143"/>
      <c r="S622" s="143"/>
      <c r="T622" s="143"/>
      <c r="U622" s="143"/>
      <c r="V622" s="143"/>
      <c r="W622" s="143"/>
      <c r="X622" s="143"/>
      <c r="Y622" s="143"/>
      <c r="Z622" s="143"/>
      <c r="AA622" s="143"/>
      <c r="AB622" s="143"/>
    </row>
    <row r="623" spans="1:28" s="144" customFormat="1" ht="15" customHeight="1" outlineLevel="1" x14ac:dyDescent="0.2">
      <c r="A623" s="134">
        <v>28</v>
      </c>
      <c r="B623" s="134">
        <v>82055</v>
      </c>
      <c r="C623" s="135">
        <v>41995</v>
      </c>
      <c r="D623" s="136" t="s">
        <v>1199</v>
      </c>
      <c r="E623" s="134" t="s">
        <v>393</v>
      </c>
      <c r="F623" s="137" t="s">
        <v>190</v>
      </c>
      <c r="G623" s="138" t="s">
        <v>397</v>
      </c>
      <c r="H623" s="139"/>
      <c r="I623" s="140">
        <v>2</v>
      </c>
      <c r="J623" s="141">
        <v>57960</v>
      </c>
      <c r="K623" s="141">
        <v>115920</v>
      </c>
      <c r="L623" s="653"/>
      <c r="M623" s="684"/>
      <c r="N623" s="142"/>
      <c r="O623" s="143"/>
      <c r="P623" s="143"/>
      <c r="Q623" s="143"/>
      <c r="R623" s="143"/>
      <c r="S623" s="143"/>
      <c r="T623" s="143"/>
      <c r="U623" s="143"/>
      <c r="V623" s="143"/>
      <c r="W623" s="143"/>
      <c r="X623" s="143"/>
      <c r="Y623" s="143"/>
      <c r="Z623" s="143"/>
      <c r="AA623" s="143"/>
      <c r="AB623" s="143"/>
    </row>
    <row r="624" spans="1:28" s="144" customFormat="1" ht="15" customHeight="1" outlineLevel="1" x14ac:dyDescent="0.2">
      <c r="A624" s="134">
        <v>31</v>
      </c>
      <c r="B624" s="134">
        <v>82094</v>
      </c>
      <c r="C624" s="135">
        <v>41995</v>
      </c>
      <c r="D624" s="136" t="s">
        <v>1200</v>
      </c>
      <c r="E624" s="134" t="s">
        <v>393</v>
      </c>
      <c r="F624" s="137" t="s">
        <v>215</v>
      </c>
      <c r="G624" s="138" t="s">
        <v>368</v>
      </c>
      <c r="H624" s="139"/>
      <c r="I624" s="140">
        <v>1</v>
      </c>
      <c r="J624" s="141">
        <v>44597</v>
      </c>
      <c r="K624" s="141">
        <v>44597</v>
      </c>
      <c r="L624" s="653"/>
      <c r="M624" s="684"/>
      <c r="N624" s="142"/>
      <c r="O624" s="143"/>
      <c r="P624" s="143"/>
      <c r="Q624" s="143"/>
      <c r="R624" s="143"/>
      <c r="S624" s="143"/>
      <c r="T624" s="143"/>
      <c r="U624" s="143"/>
      <c r="V624" s="143"/>
      <c r="W624" s="143"/>
      <c r="X624" s="143"/>
      <c r="Y624" s="143"/>
      <c r="Z624" s="143"/>
      <c r="AA624" s="143"/>
      <c r="AB624" s="143"/>
    </row>
    <row r="625" spans="1:28" s="144" customFormat="1" ht="15" customHeight="1" outlineLevel="1" x14ac:dyDescent="0.2">
      <c r="A625" s="134">
        <v>19</v>
      </c>
      <c r="B625" s="134">
        <v>80117</v>
      </c>
      <c r="C625" s="135">
        <v>41988</v>
      </c>
      <c r="D625" s="136" t="s">
        <v>1201</v>
      </c>
      <c r="E625" s="134" t="s">
        <v>393</v>
      </c>
      <c r="F625" s="137" t="s">
        <v>679</v>
      </c>
      <c r="G625" s="138" t="s">
        <v>384</v>
      </c>
      <c r="H625" s="139"/>
      <c r="I625" s="140">
        <v>2</v>
      </c>
      <c r="J625" s="141">
        <v>55058</v>
      </c>
      <c r="K625" s="141">
        <v>110116</v>
      </c>
      <c r="L625" s="653"/>
      <c r="M625" s="684"/>
      <c r="N625" s="142"/>
      <c r="O625" s="143"/>
      <c r="P625" s="143"/>
      <c r="Q625" s="143"/>
      <c r="R625" s="143"/>
      <c r="S625" s="143"/>
      <c r="T625" s="143"/>
      <c r="U625" s="143"/>
      <c r="V625" s="143"/>
      <c r="W625" s="143"/>
      <c r="X625" s="143"/>
      <c r="Y625" s="143"/>
      <c r="Z625" s="143"/>
      <c r="AA625" s="143"/>
      <c r="AB625" s="143"/>
    </row>
    <row r="626" spans="1:28" s="144" customFormat="1" ht="15" customHeight="1" outlineLevel="1" x14ac:dyDescent="0.2">
      <c r="A626" s="134">
        <v>44</v>
      </c>
      <c r="B626" s="134">
        <v>83626</v>
      </c>
      <c r="C626" s="135">
        <v>42002</v>
      </c>
      <c r="D626" s="136" t="s">
        <v>1202</v>
      </c>
      <c r="E626" s="134" t="s">
        <v>393</v>
      </c>
      <c r="F626" s="137" t="s">
        <v>534</v>
      </c>
      <c r="G626" s="138" t="s">
        <v>389</v>
      </c>
      <c r="H626" s="139"/>
      <c r="I626" s="140">
        <v>1</v>
      </c>
      <c r="J626" s="141">
        <v>30429</v>
      </c>
      <c r="K626" s="141">
        <v>30429</v>
      </c>
      <c r="L626" s="653"/>
      <c r="M626" s="684"/>
      <c r="N626" s="142"/>
      <c r="O626" s="143"/>
      <c r="P626" s="143"/>
      <c r="Q626" s="143"/>
      <c r="R626" s="143"/>
      <c r="S626" s="143"/>
      <c r="T626" s="143"/>
      <c r="U626" s="143"/>
      <c r="V626" s="143"/>
      <c r="W626" s="143"/>
      <c r="X626" s="143"/>
      <c r="Y626" s="143"/>
      <c r="Z626" s="143"/>
      <c r="AA626" s="143"/>
      <c r="AB626" s="143"/>
    </row>
    <row r="627" spans="1:28" s="144" customFormat="1" ht="15" customHeight="1" outlineLevel="1" x14ac:dyDescent="0.2">
      <c r="A627" s="134">
        <v>50</v>
      </c>
      <c r="B627" s="134">
        <v>84403</v>
      </c>
      <c r="C627" s="135">
        <v>42002</v>
      </c>
      <c r="D627" s="136" t="s">
        <v>1203</v>
      </c>
      <c r="E627" s="134" t="s">
        <v>393</v>
      </c>
      <c r="F627" s="137" t="s">
        <v>534</v>
      </c>
      <c r="G627" s="138" t="s">
        <v>565</v>
      </c>
      <c r="H627" s="139"/>
      <c r="I627" s="140">
        <v>1</v>
      </c>
      <c r="J627" s="141">
        <v>30429</v>
      </c>
      <c r="K627" s="141">
        <v>30429</v>
      </c>
      <c r="L627" s="653"/>
      <c r="M627" s="684"/>
      <c r="N627" s="142"/>
      <c r="O627" s="143"/>
      <c r="P627" s="143"/>
      <c r="Q627" s="143"/>
      <c r="R627" s="143"/>
      <c r="S627" s="143"/>
      <c r="T627" s="143"/>
      <c r="U627" s="143"/>
      <c r="V627" s="143"/>
      <c r="W627" s="143"/>
      <c r="X627" s="143"/>
      <c r="Y627" s="143"/>
      <c r="Z627" s="143"/>
      <c r="AA627" s="143"/>
      <c r="AB627" s="143"/>
    </row>
    <row r="628" spans="1:28" s="144" customFormat="1" ht="15" customHeight="1" outlineLevel="1" x14ac:dyDescent="0.2">
      <c r="A628" s="134">
        <v>14</v>
      </c>
      <c r="B628" s="134">
        <v>73448</v>
      </c>
      <c r="C628" s="135">
        <v>41978</v>
      </c>
      <c r="D628" s="136" t="s">
        <v>1204</v>
      </c>
      <c r="E628" s="134" t="s">
        <v>393</v>
      </c>
      <c r="F628" s="137" t="s">
        <v>114</v>
      </c>
      <c r="G628" s="138" t="s">
        <v>389</v>
      </c>
      <c r="H628" s="139"/>
      <c r="I628" s="140">
        <v>1</v>
      </c>
      <c r="J628" s="141">
        <v>33370</v>
      </c>
      <c r="K628" s="141">
        <v>33370</v>
      </c>
      <c r="L628" s="653"/>
      <c r="M628" s="684"/>
      <c r="N628" s="142"/>
      <c r="O628" s="143"/>
      <c r="P628" s="143"/>
      <c r="Q628" s="143"/>
      <c r="R628" s="143"/>
      <c r="S628" s="143"/>
      <c r="T628" s="143"/>
      <c r="U628" s="143"/>
      <c r="V628" s="143"/>
      <c r="W628" s="143"/>
      <c r="X628" s="143"/>
      <c r="Y628" s="143"/>
      <c r="Z628" s="143"/>
      <c r="AA628" s="143"/>
      <c r="AB628" s="143"/>
    </row>
    <row r="629" spans="1:28" s="144" customFormat="1" ht="15" customHeight="1" outlineLevel="1" x14ac:dyDescent="0.2">
      <c r="A629" s="134">
        <v>8</v>
      </c>
      <c r="B629" s="134">
        <v>72352</v>
      </c>
      <c r="C629" s="135">
        <v>41976</v>
      </c>
      <c r="D629" s="136" t="s">
        <v>1205</v>
      </c>
      <c r="E629" s="134" t="s">
        <v>393</v>
      </c>
      <c r="F629" s="137" t="s">
        <v>190</v>
      </c>
      <c r="G629" s="138" t="s">
        <v>442</v>
      </c>
      <c r="H629" s="139"/>
      <c r="I629" s="140">
        <v>1</v>
      </c>
      <c r="J629" s="141">
        <v>57960</v>
      </c>
      <c r="K629" s="141">
        <v>57960</v>
      </c>
      <c r="L629" s="653"/>
      <c r="M629" s="684"/>
      <c r="N629" s="142"/>
      <c r="O629" s="143"/>
      <c r="P629" s="143"/>
      <c r="Q629" s="143"/>
      <c r="R629" s="143"/>
      <c r="S629" s="143"/>
      <c r="T629" s="143"/>
      <c r="U629" s="143"/>
      <c r="V629" s="143"/>
      <c r="W629" s="143"/>
      <c r="X629" s="143"/>
      <c r="Y629" s="143"/>
      <c r="Z629" s="143"/>
      <c r="AA629" s="143"/>
      <c r="AB629" s="143"/>
    </row>
    <row r="630" spans="1:28" s="144" customFormat="1" ht="15" customHeight="1" outlineLevel="1" x14ac:dyDescent="0.2">
      <c r="A630" s="134">
        <v>6</v>
      </c>
      <c r="B630" s="134">
        <v>71657</v>
      </c>
      <c r="C630" s="135">
        <v>41976</v>
      </c>
      <c r="D630" s="136" t="s">
        <v>1206</v>
      </c>
      <c r="E630" s="134" t="s">
        <v>393</v>
      </c>
      <c r="F630" s="137" t="s">
        <v>215</v>
      </c>
      <c r="G630" s="138" t="s">
        <v>384</v>
      </c>
      <c r="H630" s="139"/>
      <c r="I630" s="140">
        <v>2</v>
      </c>
      <c r="J630" s="141">
        <v>44597</v>
      </c>
      <c r="K630" s="141">
        <v>89194</v>
      </c>
      <c r="L630" s="653"/>
      <c r="M630" s="684"/>
      <c r="N630" s="142"/>
      <c r="O630" s="143"/>
      <c r="P630" s="143"/>
      <c r="Q630" s="143"/>
      <c r="R630" s="143"/>
      <c r="S630" s="143"/>
      <c r="T630" s="143"/>
      <c r="U630" s="143"/>
      <c r="V630" s="143"/>
      <c r="W630" s="143"/>
      <c r="X630" s="143"/>
      <c r="Y630" s="143"/>
      <c r="Z630" s="143"/>
      <c r="AA630" s="143"/>
      <c r="AB630" s="143"/>
    </row>
    <row r="631" spans="1:28" s="144" customFormat="1" ht="15" customHeight="1" outlineLevel="1" x14ac:dyDescent="0.2">
      <c r="A631" s="134">
        <v>47</v>
      </c>
      <c r="B631" s="134">
        <v>84012</v>
      </c>
      <c r="C631" s="135">
        <v>42002</v>
      </c>
      <c r="D631" s="136" t="s">
        <v>1207</v>
      </c>
      <c r="E631" s="134" t="s">
        <v>393</v>
      </c>
      <c r="F631" s="137" t="s">
        <v>215</v>
      </c>
      <c r="G631" s="138" t="s">
        <v>384</v>
      </c>
      <c r="H631" s="139"/>
      <c r="I631" s="140">
        <v>2</v>
      </c>
      <c r="J631" s="141">
        <v>44597</v>
      </c>
      <c r="K631" s="141">
        <v>89194</v>
      </c>
      <c r="L631" s="653"/>
      <c r="M631" s="684"/>
      <c r="N631" s="142"/>
      <c r="O631" s="143"/>
      <c r="P631" s="143"/>
      <c r="Q631" s="143"/>
      <c r="R631" s="143"/>
      <c r="S631" s="143"/>
      <c r="T631" s="143"/>
      <c r="U631" s="143"/>
      <c r="V631" s="143"/>
      <c r="W631" s="143"/>
      <c r="X631" s="143"/>
      <c r="Y631" s="143"/>
      <c r="Z631" s="143"/>
      <c r="AA631" s="143"/>
      <c r="AB631" s="143"/>
    </row>
    <row r="632" spans="1:28" s="144" customFormat="1" ht="15" customHeight="1" outlineLevel="1" x14ac:dyDescent="0.2">
      <c r="A632" s="134">
        <v>40</v>
      </c>
      <c r="B632" s="134">
        <v>82776</v>
      </c>
      <c r="C632" s="135">
        <v>42002</v>
      </c>
      <c r="D632" s="136" t="s">
        <v>1208</v>
      </c>
      <c r="E632" s="134" t="s">
        <v>393</v>
      </c>
      <c r="F632" s="137" t="s">
        <v>115</v>
      </c>
      <c r="G632" s="138" t="s">
        <v>397</v>
      </c>
      <c r="H632" s="139"/>
      <c r="I632" s="140">
        <v>2</v>
      </c>
      <c r="J632" s="141">
        <v>5274</v>
      </c>
      <c r="K632" s="141">
        <v>10548</v>
      </c>
      <c r="L632" s="653"/>
      <c r="M632" s="684"/>
      <c r="N632" s="142"/>
      <c r="O632" s="143"/>
      <c r="P632" s="143"/>
      <c r="Q632" s="143"/>
      <c r="R632" s="143"/>
      <c r="S632" s="143"/>
      <c r="T632" s="143"/>
      <c r="U632" s="143"/>
      <c r="V632" s="143"/>
      <c r="W632" s="143"/>
      <c r="X632" s="143"/>
      <c r="Y632" s="143"/>
      <c r="Z632" s="143"/>
      <c r="AA632" s="143"/>
      <c r="AB632" s="143"/>
    </row>
    <row r="633" spans="1:28" s="144" customFormat="1" ht="15" customHeight="1" outlineLevel="1" x14ac:dyDescent="0.2">
      <c r="A633" s="134">
        <v>48</v>
      </c>
      <c r="B633" s="134">
        <v>84228</v>
      </c>
      <c r="C633" s="135">
        <v>42002</v>
      </c>
      <c r="D633" s="136" t="s">
        <v>454</v>
      </c>
      <c r="E633" s="134" t="s">
        <v>393</v>
      </c>
      <c r="F633" s="137" t="s">
        <v>679</v>
      </c>
      <c r="G633" s="138" t="s">
        <v>384</v>
      </c>
      <c r="H633" s="139"/>
      <c r="I633" s="140">
        <v>2</v>
      </c>
      <c r="J633" s="141">
        <v>55058</v>
      </c>
      <c r="K633" s="141">
        <v>110116</v>
      </c>
      <c r="L633" s="653"/>
      <c r="M633" s="684"/>
      <c r="N633" s="142"/>
      <c r="O633" s="143"/>
      <c r="P633" s="143"/>
      <c r="Q633" s="143"/>
      <c r="R633" s="143"/>
      <c r="S633" s="143"/>
      <c r="T633" s="143"/>
      <c r="U633" s="143"/>
      <c r="V633" s="143"/>
      <c r="W633" s="143"/>
      <c r="X633" s="143"/>
      <c r="Y633" s="143"/>
      <c r="Z633" s="143"/>
      <c r="AA633" s="143"/>
      <c r="AB633" s="143"/>
    </row>
    <row r="634" spans="1:28" s="144" customFormat="1" ht="15" customHeight="1" outlineLevel="1" x14ac:dyDescent="0.2">
      <c r="A634" s="134">
        <v>29</v>
      </c>
      <c r="B634" s="134">
        <v>82078</v>
      </c>
      <c r="C634" s="135">
        <v>41995</v>
      </c>
      <c r="D634" s="136" t="s">
        <v>467</v>
      </c>
      <c r="E634" s="134" t="s">
        <v>393</v>
      </c>
      <c r="F634" s="137" t="s">
        <v>115</v>
      </c>
      <c r="G634" s="138" t="s">
        <v>414</v>
      </c>
      <c r="H634" s="139"/>
      <c r="I634" s="140">
        <v>1</v>
      </c>
      <c r="J634" s="141">
        <v>5274</v>
      </c>
      <c r="K634" s="141">
        <v>5274</v>
      </c>
      <c r="L634" s="653"/>
      <c r="M634" s="684"/>
      <c r="N634" s="142"/>
      <c r="O634" s="143"/>
      <c r="P634" s="143"/>
      <c r="Q634" s="143"/>
      <c r="R634" s="143"/>
      <c r="S634" s="143"/>
      <c r="T634" s="143"/>
      <c r="U634" s="143"/>
      <c r="V634" s="143"/>
      <c r="W634" s="143"/>
      <c r="X634" s="143"/>
      <c r="Y634" s="143"/>
      <c r="Z634" s="143"/>
      <c r="AA634" s="143"/>
      <c r="AB634" s="143"/>
    </row>
    <row r="635" spans="1:28" s="144" customFormat="1" ht="15" customHeight="1" outlineLevel="1" x14ac:dyDescent="0.2">
      <c r="A635" s="134">
        <v>30</v>
      </c>
      <c r="B635" s="134">
        <v>82078</v>
      </c>
      <c r="C635" s="135">
        <v>41995</v>
      </c>
      <c r="D635" s="136" t="s">
        <v>467</v>
      </c>
      <c r="E635" s="134" t="s">
        <v>393</v>
      </c>
      <c r="F635" s="137" t="s">
        <v>208</v>
      </c>
      <c r="G635" s="138" t="s">
        <v>416</v>
      </c>
      <c r="H635" s="139"/>
      <c r="I635" s="140">
        <v>1</v>
      </c>
      <c r="J635" s="141">
        <v>14099</v>
      </c>
      <c r="K635" s="141">
        <v>14099</v>
      </c>
      <c r="L635" s="653"/>
      <c r="M635" s="684"/>
      <c r="N635" s="142"/>
      <c r="O635" s="143"/>
      <c r="P635" s="143"/>
      <c r="Q635" s="143"/>
      <c r="R635" s="143"/>
      <c r="S635" s="143"/>
      <c r="T635" s="143"/>
      <c r="U635" s="143"/>
      <c r="V635" s="143"/>
      <c r="W635" s="143"/>
      <c r="X635" s="143"/>
      <c r="Y635" s="143"/>
      <c r="Z635" s="143"/>
      <c r="AA635" s="143"/>
      <c r="AB635" s="143"/>
    </row>
    <row r="636" spans="1:28" s="144" customFormat="1" ht="15" customHeight="1" outlineLevel="1" x14ac:dyDescent="0.2">
      <c r="A636" s="134">
        <v>24</v>
      </c>
      <c r="B636" s="134">
        <v>81206</v>
      </c>
      <c r="C636" s="135">
        <v>41990</v>
      </c>
      <c r="D636" s="136" t="s">
        <v>1209</v>
      </c>
      <c r="E636" s="134" t="s">
        <v>393</v>
      </c>
      <c r="F636" s="137" t="s">
        <v>115</v>
      </c>
      <c r="G636" s="138" t="s">
        <v>1210</v>
      </c>
      <c r="H636" s="139"/>
      <c r="I636" s="140">
        <v>2</v>
      </c>
      <c r="J636" s="141">
        <v>5274</v>
      </c>
      <c r="K636" s="141">
        <v>10548</v>
      </c>
      <c r="L636" s="653"/>
      <c r="M636" s="684"/>
      <c r="N636" s="142"/>
      <c r="O636" s="143"/>
      <c r="P636" s="143"/>
      <c r="Q636" s="143"/>
      <c r="R636" s="143"/>
      <c r="S636" s="143"/>
      <c r="T636" s="143"/>
      <c r="U636" s="143"/>
      <c r="V636" s="143"/>
      <c r="W636" s="143"/>
      <c r="X636" s="143"/>
      <c r="Y636" s="143"/>
      <c r="Z636" s="143"/>
      <c r="AA636" s="143"/>
      <c r="AB636" s="143"/>
    </row>
    <row r="637" spans="1:28" s="144" customFormat="1" ht="15" customHeight="1" outlineLevel="1" x14ac:dyDescent="0.2">
      <c r="A637" s="134">
        <v>25</v>
      </c>
      <c r="B637" s="134">
        <v>81206</v>
      </c>
      <c r="C637" s="135">
        <v>41990</v>
      </c>
      <c r="D637" s="136" t="s">
        <v>1209</v>
      </c>
      <c r="E637" s="134" t="s">
        <v>393</v>
      </c>
      <c r="F637" s="137" t="s">
        <v>208</v>
      </c>
      <c r="G637" s="138" t="s">
        <v>1210</v>
      </c>
      <c r="H637" s="139"/>
      <c r="I637" s="140">
        <v>2</v>
      </c>
      <c r="J637" s="141">
        <v>14099</v>
      </c>
      <c r="K637" s="141">
        <v>28198</v>
      </c>
      <c r="L637" s="653"/>
      <c r="M637" s="684"/>
      <c r="N637" s="142"/>
      <c r="O637" s="143"/>
      <c r="P637" s="143"/>
      <c r="Q637" s="143"/>
      <c r="R637" s="143"/>
      <c r="S637" s="143"/>
      <c r="T637" s="143"/>
      <c r="U637" s="143"/>
      <c r="V637" s="143"/>
      <c r="W637" s="143"/>
      <c r="X637" s="143"/>
      <c r="Y637" s="143"/>
      <c r="Z637" s="143"/>
      <c r="AA637" s="143"/>
      <c r="AB637" s="143"/>
    </row>
    <row r="638" spans="1:28" s="144" customFormat="1" ht="15" customHeight="1" outlineLevel="1" x14ac:dyDescent="0.2">
      <c r="A638" s="134">
        <v>55</v>
      </c>
      <c r="B638" s="134">
        <v>84790</v>
      </c>
      <c r="C638" s="135">
        <v>41641</v>
      </c>
      <c r="D638" s="136" t="s">
        <v>1209</v>
      </c>
      <c r="E638" s="134" t="s">
        <v>393</v>
      </c>
      <c r="F638" s="137" t="s">
        <v>534</v>
      </c>
      <c r="G638" s="138" t="s">
        <v>412</v>
      </c>
      <c r="H638" s="139"/>
      <c r="I638" s="140">
        <v>1</v>
      </c>
      <c r="J638" s="141">
        <v>30429</v>
      </c>
      <c r="K638" s="141">
        <v>30429</v>
      </c>
      <c r="L638" s="653"/>
      <c r="M638" s="684"/>
      <c r="N638" s="142"/>
      <c r="O638" s="143"/>
      <c r="P638" s="143"/>
      <c r="Q638" s="143"/>
      <c r="R638" s="143"/>
      <c r="S638" s="143"/>
      <c r="T638" s="143"/>
      <c r="U638" s="143"/>
      <c r="V638" s="143"/>
      <c r="W638" s="143"/>
      <c r="X638" s="143"/>
      <c r="Y638" s="143"/>
      <c r="Z638" s="143"/>
      <c r="AA638" s="143"/>
      <c r="AB638" s="143"/>
    </row>
    <row r="639" spans="1:28" s="144" customFormat="1" ht="15" customHeight="1" outlineLevel="1" x14ac:dyDescent="0.2">
      <c r="A639" s="134">
        <v>27</v>
      </c>
      <c r="B639" s="134">
        <v>81912</v>
      </c>
      <c r="C639" s="135">
        <v>41995</v>
      </c>
      <c r="D639" s="136" t="s">
        <v>1211</v>
      </c>
      <c r="E639" s="134" t="s">
        <v>393</v>
      </c>
      <c r="F639" s="137" t="s">
        <v>577</v>
      </c>
      <c r="G639" s="138" t="s">
        <v>368</v>
      </c>
      <c r="H639" s="139"/>
      <c r="I639" s="140">
        <v>1</v>
      </c>
      <c r="J639" s="141">
        <v>25800</v>
      </c>
      <c r="K639" s="141">
        <v>25800</v>
      </c>
      <c r="L639" s="653"/>
      <c r="M639" s="684"/>
      <c r="N639" s="142"/>
      <c r="O639" s="143"/>
      <c r="P639" s="143"/>
      <c r="Q639" s="143"/>
      <c r="R639" s="143"/>
      <c r="S639" s="143"/>
      <c r="T639" s="143"/>
      <c r="U639" s="143"/>
      <c r="V639" s="143"/>
      <c r="W639" s="143"/>
      <c r="X639" s="143"/>
      <c r="Y639" s="143"/>
      <c r="Z639" s="143"/>
      <c r="AA639" s="143"/>
      <c r="AB639" s="143"/>
    </row>
    <row r="640" spans="1:28" s="144" customFormat="1" ht="15" customHeight="1" outlineLevel="1" x14ac:dyDescent="0.2">
      <c r="A640" s="134">
        <v>37</v>
      </c>
      <c r="B640" s="134">
        <v>82569</v>
      </c>
      <c r="C640" s="135">
        <v>41996</v>
      </c>
      <c r="D640" s="136" t="s">
        <v>1212</v>
      </c>
      <c r="E640" s="134" t="s">
        <v>393</v>
      </c>
      <c r="F640" s="137" t="s">
        <v>115</v>
      </c>
      <c r="G640" s="138" t="s">
        <v>428</v>
      </c>
      <c r="H640" s="139"/>
      <c r="I640" s="140">
        <v>1</v>
      </c>
      <c r="J640" s="141">
        <v>5274</v>
      </c>
      <c r="K640" s="141">
        <v>5274</v>
      </c>
      <c r="L640" s="653"/>
      <c r="M640" s="684"/>
      <c r="N640" s="142"/>
      <c r="O640" s="143"/>
      <c r="P640" s="143"/>
      <c r="Q640" s="143"/>
      <c r="R640" s="143"/>
      <c r="S640" s="143"/>
      <c r="T640" s="143"/>
      <c r="U640" s="143"/>
      <c r="V640" s="143"/>
      <c r="W640" s="143"/>
      <c r="X640" s="143"/>
      <c r="Y640" s="143"/>
      <c r="Z640" s="143"/>
      <c r="AA640" s="143"/>
      <c r="AB640" s="143"/>
    </row>
    <row r="641" spans="1:28" s="144" customFormat="1" ht="15" customHeight="1" outlineLevel="1" x14ac:dyDescent="0.2">
      <c r="A641" s="134">
        <v>2</v>
      </c>
      <c r="B641" s="134">
        <v>52830</v>
      </c>
      <c r="C641" s="135">
        <v>41988</v>
      </c>
      <c r="D641" s="136" t="s">
        <v>1213</v>
      </c>
      <c r="E641" s="134" t="s">
        <v>393</v>
      </c>
      <c r="F641" s="137" t="s">
        <v>574</v>
      </c>
      <c r="G641" s="138" t="s">
        <v>428</v>
      </c>
      <c r="H641" s="139"/>
      <c r="I641" s="140">
        <v>1</v>
      </c>
      <c r="J641" s="141">
        <v>49701</v>
      </c>
      <c r="K641" s="141">
        <v>49701</v>
      </c>
      <c r="L641" s="653"/>
      <c r="M641" s="684"/>
      <c r="N641" s="142"/>
      <c r="O641" s="143"/>
      <c r="P641" s="143"/>
      <c r="Q641" s="143"/>
      <c r="R641" s="143"/>
      <c r="S641" s="143"/>
      <c r="T641" s="143"/>
      <c r="U641" s="143"/>
      <c r="V641" s="143"/>
      <c r="W641" s="143"/>
      <c r="X641" s="143"/>
      <c r="Y641" s="143"/>
      <c r="Z641" s="143"/>
      <c r="AA641" s="143"/>
      <c r="AB641" s="143"/>
    </row>
    <row r="642" spans="1:28" s="144" customFormat="1" ht="15" customHeight="1" outlineLevel="1" x14ac:dyDescent="0.2">
      <c r="A642" s="134">
        <v>16</v>
      </c>
      <c r="B642" s="134">
        <v>74368</v>
      </c>
      <c r="C642" s="135">
        <v>41982</v>
      </c>
      <c r="D642" s="136" t="s">
        <v>1189</v>
      </c>
      <c r="E642" s="134" t="s">
        <v>393</v>
      </c>
      <c r="F642" s="137" t="s">
        <v>114</v>
      </c>
      <c r="G642" s="138" t="s">
        <v>401</v>
      </c>
      <c r="H642" s="139"/>
      <c r="I642" s="140">
        <v>1</v>
      </c>
      <c r="J642" s="141">
        <v>33370</v>
      </c>
      <c r="K642" s="141">
        <v>33370</v>
      </c>
      <c r="L642" s="653"/>
      <c r="M642" s="684"/>
      <c r="N642" s="142"/>
      <c r="O642" s="143"/>
      <c r="P642" s="143"/>
      <c r="Q642" s="143"/>
      <c r="R642" s="143"/>
      <c r="S642" s="143"/>
      <c r="T642" s="143"/>
      <c r="U642" s="143"/>
      <c r="V642" s="143"/>
      <c r="W642" s="143"/>
      <c r="X642" s="143"/>
      <c r="Y642" s="143"/>
      <c r="Z642" s="143"/>
      <c r="AA642" s="143"/>
      <c r="AB642" s="143"/>
    </row>
    <row r="643" spans="1:28" s="144" customFormat="1" ht="15" customHeight="1" outlineLevel="1" x14ac:dyDescent="0.2">
      <c r="A643" s="134">
        <v>18</v>
      </c>
      <c r="B643" s="134">
        <v>74643</v>
      </c>
      <c r="C643" s="135">
        <v>41983</v>
      </c>
      <c r="D643" s="136" t="s">
        <v>1214</v>
      </c>
      <c r="E643" s="134" t="s">
        <v>393</v>
      </c>
      <c r="F643" s="137" t="s">
        <v>534</v>
      </c>
      <c r="G643" s="138" t="s">
        <v>642</v>
      </c>
      <c r="H643" s="139"/>
      <c r="I643" s="140">
        <v>1</v>
      </c>
      <c r="J643" s="141">
        <v>30429</v>
      </c>
      <c r="K643" s="141">
        <v>30429</v>
      </c>
      <c r="L643" s="653"/>
      <c r="M643" s="684"/>
      <c r="N643" s="142"/>
      <c r="O643" s="143"/>
      <c r="P643" s="143"/>
      <c r="Q643" s="143"/>
      <c r="R643" s="143"/>
      <c r="S643" s="143"/>
      <c r="T643" s="143"/>
      <c r="U643" s="143"/>
      <c r="V643" s="143"/>
      <c r="W643" s="143"/>
      <c r="X643" s="143"/>
      <c r="Y643" s="143"/>
      <c r="Z643" s="143"/>
      <c r="AA643" s="143"/>
      <c r="AB643" s="143"/>
    </row>
    <row r="644" spans="1:28" s="144" customFormat="1" ht="15" customHeight="1" outlineLevel="1" x14ac:dyDescent="0.2">
      <c r="A644" s="134">
        <v>36</v>
      </c>
      <c r="B644" s="134">
        <v>82552</v>
      </c>
      <c r="C644" s="135">
        <v>41995</v>
      </c>
      <c r="D644" s="136" t="s">
        <v>1128</v>
      </c>
      <c r="E644" s="134" t="s">
        <v>393</v>
      </c>
      <c r="F644" s="137" t="s">
        <v>114</v>
      </c>
      <c r="G644" s="138" t="s">
        <v>524</v>
      </c>
      <c r="H644" s="139"/>
      <c r="I644" s="140">
        <v>1</v>
      </c>
      <c r="J644" s="141">
        <v>33370</v>
      </c>
      <c r="K644" s="141">
        <v>33370</v>
      </c>
      <c r="L644" s="653"/>
      <c r="M644" s="684"/>
      <c r="N644" s="142"/>
      <c r="O644" s="143"/>
      <c r="P644" s="143"/>
      <c r="Q644" s="143"/>
      <c r="R644" s="143"/>
      <c r="S644" s="143"/>
      <c r="T644" s="143"/>
      <c r="U644" s="143"/>
      <c r="V644" s="143"/>
      <c r="W644" s="143"/>
      <c r="X644" s="143"/>
      <c r="Y644" s="143"/>
      <c r="Z644" s="143"/>
      <c r="AA644" s="143"/>
      <c r="AB644" s="143"/>
    </row>
    <row r="645" spans="1:28" s="144" customFormat="1" ht="15" customHeight="1" outlineLevel="1" x14ac:dyDescent="0.2">
      <c r="A645" s="134">
        <v>3</v>
      </c>
      <c r="B645" s="134">
        <v>71397</v>
      </c>
      <c r="C645" s="135">
        <v>41974</v>
      </c>
      <c r="D645" s="136" t="s">
        <v>1215</v>
      </c>
      <c r="E645" s="134" t="s">
        <v>1216</v>
      </c>
      <c r="F645" s="137" t="s">
        <v>171</v>
      </c>
      <c r="G645" s="138" t="s">
        <v>368</v>
      </c>
      <c r="H645" s="139"/>
      <c r="I645" s="140">
        <v>1</v>
      </c>
      <c r="J645" s="141">
        <v>18764</v>
      </c>
      <c r="K645" s="141">
        <v>18764</v>
      </c>
      <c r="L645" s="653"/>
      <c r="M645" s="684"/>
      <c r="N645" s="142"/>
      <c r="O645" s="143"/>
      <c r="P645" s="143"/>
      <c r="Q645" s="143"/>
      <c r="R645" s="143"/>
      <c r="S645" s="143"/>
      <c r="T645" s="143"/>
      <c r="U645" s="143"/>
      <c r="V645" s="143"/>
      <c r="W645" s="143"/>
      <c r="X645" s="143"/>
      <c r="Y645" s="143"/>
      <c r="Z645" s="143"/>
      <c r="AA645" s="143"/>
      <c r="AB645" s="143"/>
    </row>
    <row r="646" spans="1:28" s="144" customFormat="1" ht="15" customHeight="1" outlineLevel="1" x14ac:dyDescent="0.2">
      <c r="A646" s="134">
        <v>49</v>
      </c>
      <c r="B646" s="134">
        <v>84233</v>
      </c>
      <c r="C646" s="135">
        <v>42000</v>
      </c>
      <c r="D646" s="136" t="s">
        <v>1217</v>
      </c>
      <c r="E646" s="134" t="s">
        <v>1216</v>
      </c>
      <c r="F646" s="137" t="s">
        <v>1218</v>
      </c>
      <c r="G646" s="138" t="s">
        <v>368</v>
      </c>
      <c r="H646" s="139"/>
      <c r="I646" s="140">
        <v>1</v>
      </c>
      <c r="J646" s="141">
        <v>30429</v>
      </c>
      <c r="K646" s="141">
        <v>30429</v>
      </c>
      <c r="L646" s="653"/>
      <c r="M646" s="684"/>
      <c r="N646" s="142"/>
      <c r="O646" s="143"/>
      <c r="P646" s="143"/>
      <c r="Q646" s="143"/>
      <c r="R646" s="143"/>
      <c r="S646" s="143"/>
      <c r="T646" s="143"/>
      <c r="U646" s="143"/>
      <c r="V646" s="143"/>
      <c r="W646" s="143"/>
      <c r="X646" s="143"/>
      <c r="Y646" s="143"/>
      <c r="Z646" s="143"/>
      <c r="AA646" s="143"/>
      <c r="AB646" s="143"/>
    </row>
    <row r="647" spans="1:28" s="144" customFormat="1" ht="15" customHeight="1" outlineLevel="1" x14ac:dyDescent="0.2">
      <c r="A647" s="134">
        <v>20</v>
      </c>
      <c r="B647" s="134">
        <v>80430</v>
      </c>
      <c r="C647" s="135">
        <v>41989</v>
      </c>
      <c r="D647" s="136" t="s">
        <v>1219</v>
      </c>
      <c r="E647" s="134" t="s">
        <v>1065</v>
      </c>
      <c r="F647" s="137" t="s">
        <v>171</v>
      </c>
      <c r="G647" s="138" t="s">
        <v>368</v>
      </c>
      <c r="H647" s="139"/>
      <c r="I647" s="140">
        <v>1</v>
      </c>
      <c r="J647" s="141">
        <v>18764</v>
      </c>
      <c r="K647" s="141">
        <v>18764</v>
      </c>
      <c r="L647" s="653"/>
      <c r="M647" s="684"/>
      <c r="N647" s="142"/>
      <c r="O647" s="143"/>
      <c r="P647" s="143"/>
      <c r="Q647" s="143"/>
      <c r="R647" s="143"/>
      <c r="S647" s="143"/>
      <c r="T647" s="143"/>
      <c r="U647" s="143"/>
      <c r="V647" s="143"/>
      <c r="W647" s="143"/>
      <c r="X647" s="143"/>
      <c r="Y647" s="143"/>
      <c r="Z647" s="143"/>
      <c r="AA647" s="143"/>
      <c r="AB647" s="143"/>
    </row>
    <row r="648" spans="1:28" s="144" customFormat="1" ht="15" customHeight="1" outlineLevel="1" x14ac:dyDescent="0.2">
      <c r="A648" s="134">
        <v>11</v>
      </c>
      <c r="B648" s="134">
        <v>72856</v>
      </c>
      <c r="C648" s="135">
        <v>41977</v>
      </c>
      <c r="D648" s="136" t="s">
        <v>1220</v>
      </c>
      <c r="E648" s="134" t="s">
        <v>1065</v>
      </c>
      <c r="F648" s="137" t="s">
        <v>1221</v>
      </c>
      <c r="G648" s="138" t="s">
        <v>368</v>
      </c>
      <c r="H648" s="139"/>
      <c r="I648" s="140">
        <v>1</v>
      </c>
      <c r="J648" s="141">
        <v>14200</v>
      </c>
      <c r="K648" s="141">
        <v>14200</v>
      </c>
      <c r="L648" s="654"/>
      <c r="M648" s="684"/>
      <c r="N648" s="142"/>
      <c r="O648" s="143"/>
      <c r="P648" s="143"/>
      <c r="Q648" s="143"/>
      <c r="R648" s="143"/>
      <c r="S648" s="143"/>
      <c r="T648" s="143"/>
      <c r="U648" s="143"/>
      <c r="V648" s="143"/>
      <c r="W648" s="143"/>
      <c r="X648" s="143"/>
      <c r="Y648" s="143"/>
      <c r="Z648" s="143"/>
      <c r="AA648" s="143"/>
      <c r="AB648" s="143"/>
    </row>
    <row r="649" spans="1:28" s="133" customFormat="1" ht="15" customHeight="1" outlineLevel="1" x14ac:dyDescent="0.2">
      <c r="A649" s="121">
        <v>5</v>
      </c>
      <c r="B649" s="121">
        <v>86014</v>
      </c>
      <c r="C649" s="122">
        <v>41642</v>
      </c>
      <c r="D649" s="123" t="s">
        <v>1222</v>
      </c>
      <c r="E649" s="121" t="s">
        <v>473</v>
      </c>
      <c r="F649" s="124" t="s">
        <v>215</v>
      </c>
      <c r="G649" s="125" t="s">
        <v>366</v>
      </c>
      <c r="H649" s="126" t="s">
        <v>486</v>
      </c>
      <c r="I649" s="127">
        <v>1</v>
      </c>
      <c r="J649" s="128">
        <v>44597</v>
      </c>
      <c r="K649" s="128">
        <v>44597</v>
      </c>
      <c r="L649" s="646" t="s">
        <v>552</v>
      </c>
      <c r="M649" s="678" t="s">
        <v>36</v>
      </c>
      <c r="N649" s="131"/>
      <c r="O649" s="132"/>
      <c r="P649" s="132"/>
      <c r="Q649" s="132"/>
      <c r="R649" s="132"/>
      <c r="S649" s="132"/>
      <c r="T649" s="132"/>
      <c r="U649" s="132"/>
      <c r="V649" s="132"/>
      <c r="W649" s="132"/>
      <c r="X649" s="132"/>
      <c r="Y649" s="132"/>
      <c r="Z649" s="132"/>
      <c r="AA649" s="132"/>
      <c r="AB649" s="132"/>
    </row>
    <row r="650" spans="1:28" s="133" customFormat="1" ht="15" customHeight="1" outlineLevel="1" x14ac:dyDescent="0.2">
      <c r="A650" s="121">
        <v>6</v>
      </c>
      <c r="B650" s="121">
        <v>90590</v>
      </c>
      <c r="C650" s="122">
        <v>41661</v>
      </c>
      <c r="D650" s="123" t="s">
        <v>1223</v>
      </c>
      <c r="E650" s="121" t="s">
        <v>473</v>
      </c>
      <c r="F650" s="124" t="s">
        <v>534</v>
      </c>
      <c r="G650" s="125" t="s">
        <v>469</v>
      </c>
      <c r="H650" s="126" t="s">
        <v>1224</v>
      </c>
      <c r="I650" s="127">
        <v>1</v>
      </c>
      <c r="J650" s="128">
        <v>30429</v>
      </c>
      <c r="K650" s="128">
        <v>30429</v>
      </c>
      <c r="L650" s="647"/>
      <c r="M650" s="679"/>
      <c r="N650" s="131"/>
      <c r="O650" s="132"/>
      <c r="P650" s="132"/>
      <c r="Q650" s="132"/>
      <c r="R650" s="132"/>
      <c r="S650" s="132"/>
      <c r="T650" s="132"/>
      <c r="U650" s="132"/>
      <c r="V650" s="132"/>
      <c r="W650" s="132"/>
      <c r="X650" s="132"/>
      <c r="Y650" s="132"/>
      <c r="Z650" s="132"/>
      <c r="AA650" s="132"/>
      <c r="AB650" s="132"/>
    </row>
    <row r="651" spans="1:28" s="133" customFormat="1" ht="15" customHeight="1" outlineLevel="1" x14ac:dyDescent="0.2">
      <c r="A651" s="121">
        <v>8</v>
      </c>
      <c r="B651" s="121">
        <v>86269</v>
      </c>
      <c r="C651" s="122">
        <v>41647</v>
      </c>
      <c r="D651" s="123" t="s">
        <v>1225</v>
      </c>
      <c r="E651" s="121" t="s">
        <v>502</v>
      </c>
      <c r="F651" s="124" t="s">
        <v>577</v>
      </c>
      <c r="G651" s="125" t="s">
        <v>368</v>
      </c>
      <c r="H651" s="126"/>
      <c r="I651" s="127">
        <v>1</v>
      </c>
      <c r="J651" s="128">
        <v>25800</v>
      </c>
      <c r="K651" s="128">
        <v>25800</v>
      </c>
      <c r="L651" s="647"/>
      <c r="M651" s="679"/>
      <c r="N651" s="131"/>
      <c r="O651" s="132"/>
      <c r="P651" s="132"/>
      <c r="Q651" s="132"/>
      <c r="R651" s="132"/>
      <c r="S651" s="132"/>
      <c r="T651" s="132"/>
      <c r="U651" s="132"/>
      <c r="V651" s="132"/>
      <c r="W651" s="132"/>
      <c r="X651" s="132"/>
      <c r="Y651" s="132"/>
      <c r="Z651" s="132"/>
      <c r="AA651" s="132"/>
      <c r="AB651" s="132"/>
    </row>
    <row r="652" spans="1:28" s="133" customFormat="1" ht="15" customHeight="1" outlineLevel="1" x14ac:dyDescent="0.2">
      <c r="A652" s="121">
        <v>9</v>
      </c>
      <c r="B652" s="121">
        <v>76648</v>
      </c>
      <c r="C652" s="122">
        <v>41610</v>
      </c>
      <c r="D652" s="123" t="s">
        <v>1226</v>
      </c>
      <c r="E652" s="121" t="s">
        <v>542</v>
      </c>
      <c r="F652" s="124" t="s">
        <v>534</v>
      </c>
      <c r="G652" s="125" t="s">
        <v>428</v>
      </c>
      <c r="H652" s="126" t="s">
        <v>626</v>
      </c>
      <c r="I652" s="127">
        <v>1</v>
      </c>
      <c r="J652" s="128">
        <v>30429</v>
      </c>
      <c r="K652" s="128">
        <v>30429</v>
      </c>
      <c r="L652" s="647"/>
      <c r="M652" s="679"/>
      <c r="N652" s="131"/>
      <c r="O652" s="132"/>
      <c r="P652" s="132"/>
      <c r="Q652" s="132"/>
      <c r="R652" s="132"/>
      <c r="S652" s="132"/>
      <c r="T652" s="132"/>
      <c r="U652" s="132"/>
      <c r="V652" s="132"/>
      <c r="W652" s="132"/>
      <c r="X652" s="132"/>
      <c r="Y652" s="132"/>
      <c r="Z652" s="132"/>
      <c r="AA652" s="132"/>
      <c r="AB652" s="132"/>
    </row>
    <row r="653" spans="1:28" s="133" customFormat="1" ht="15" customHeight="1" outlineLevel="1" x14ac:dyDescent="0.2">
      <c r="A653" s="121">
        <v>10</v>
      </c>
      <c r="B653" s="121">
        <v>76088</v>
      </c>
      <c r="C653" s="122">
        <v>41610</v>
      </c>
      <c r="D653" s="123" t="s">
        <v>978</v>
      </c>
      <c r="E653" s="121" t="s">
        <v>471</v>
      </c>
      <c r="F653" s="124" t="s">
        <v>577</v>
      </c>
      <c r="G653" s="125" t="s">
        <v>368</v>
      </c>
      <c r="H653" s="126"/>
      <c r="I653" s="127">
        <v>1</v>
      </c>
      <c r="J653" s="128">
        <v>25800</v>
      </c>
      <c r="K653" s="128">
        <v>25800</v>
      </c>
      <c r="L653" s="647"/>
      <c r="M653" s="679"/>
      <c r="N653" s="131"/>
      <c r="O653" s="132"/>
      <c r="P653" s="132"/>
      <c r="Q653" s="132"/>
      <c r="R653" s="132"/>
      <c r="S653" s="132"/>
      <c r="T653" s="132"/>
      <c r="U653" s="132"/>
      <c r="V653" s="132"/>
      <c r="W653" s="132"/>
      <c r="X653" s="132"/>
      <c r="Y653" s="132"/>
      <c r="Z653" s="132"/>
      <c r="AA653" s="132"/>
      <c r="AB653" s="132"/>
    </row>
    <row r="654" spans="1:28" s="133" customFormat="1" ht="15" customHeight="1" outlineLevel="1" x14ac:dyDescent="0.2">
      <c r="A654" s="121">
        <v>11</v>
      </c>
      <c r="B654" s="121">
        <v>89920</v>
      </c>
      <c r="C654" s="122">
        <v>41659</v>
      </c>
      <c r="D654" s="123" t="s">
        <v>1227</v>
      </c>
      <c r="E654" s="121" t="s">
        <v>471</v>
      </c>
      <c r="F654" s="124" t="s">
        <v>577</v>
      </c>
      <c r="G654" s="125" t="s">
        <v>368</v>
      </c>
      <c r="H654" s="126"/>
      <c r="I654" s="127">
        <v>1</v>
      </c>
      <c r="J654" s="128">
        <v>25800</v>
      </c>
      <c r="K654" s="128">
        <v>25800</v>
      </c>
      <c r="L654" s="647"/>
      <c r="M654" s="679"/>
      <c r="N654" s="131"/>
      <c r="O654" s="132"/>
      <c r="P654" s="132"/>
      <c r="Q654" s="132"/>
      <c r="R654" s="132"/>
      <c r="S654" s="132"/>
      <c r="T654" s="132"/>
      <c r="U654" s="132"/>
      <c r="V654" s="132"/>
      <c r="W654" s="132"/>
      <c r="X654" s="132"/>
      <c r="Y654" s="132"/>
      <c r="Z654" s="132"/>
      <c r="AA654" s="132"/>
      <c r="AB654" s="132"/>
    </row>
    <row r="655" spans="1:28" s="133" customFormat="1" ht="15" customHeight="1" outlineLevel="1" x14ac:dyDescent="0.2">
      <c r="A655" s="121">
        <v>12</v>
      </c>
      <c r="B655" s="121">
        <v>85508</v>
      </c>
      <c r="C655" s="122">
        <v>41641</v>
      </c>
      <c r="D655" s="123" t="s">
        <v>1228</v>
      </c>
      <c r="E655" s="121" t="s">
        <v>473</v>
      </c>
      <c r="F655" s="124" t="s">
        <v>186</v>
      </c>
      <c r="G655" s="125" t="s">
        <v>531</v>
      </c>
      <c r="H655" s="126" t="s">
        <v>732</v>
      </c>
      <c r="I655" s="127">
        <v>1</v>
      </c>
      <c r="J655" s="128">
        <v>42601</v>
      </c>
      <c r="K655" s="128">
        <v>42601</v>
      </c>
      <c r="L655" s="647"/>
      <c r="M655" s="679"/>
      <c r="N655" s="131"/>
      <c r="O655" s="132"/>
      <c r="P655" s="132"/>
      <c r="Q655" s="132"/>
      <c r="R655" s="132"/>
      <c r="S655" s="132"/>
      <c r="T655" s="132"/>
      <c r="U655" s="132"/>
      <c r="V655" s="132"/>
      <c r="W655" s="132"/>
      <c r="X655" s="132"/>
      <c r="Y655" s="132"/>
      <c r="Z655" s="132"/>
      <c r="AA655" s="132"/>
      <c r="AB655" s="132"/>
    </row>
    <row r="656" spans="1:28" s="133" customFormat="1" ht="15" customHeight="1" outlineLevel="1" x14ac:dyDescent="0.2">
      <c r="A656" s="121">
        <v>13</v>
      </c>
      <c r="B656" s="121">
        <v>86162</v>
      </c>
      <c r="C656" s="122">
        <v>41645</v>
      </c>
      <c r="D656" s="123" t="s">
        <v>1229</v>
      </c>
      <c r="E656" s="121" t="s">
        <v>473</v>
      </c>
      <c r="F656" s="124" t="s">
        <v>577</v>
      </c>
      <c r="G656" s="125" t="s">
        <v>368</v>
      </c>
      <c r="H656" s="126"/>
      <c r="I656" s="127">
        <v>1</v>
      </c>
      <c r="J656" s="128">
        <v>25800</v>
      </c>
      <c r="K656" s="128">
        <v>25800</v>
      </c>
      <c r="L656" s="647"/>
      <c r="M656" s="679"/>
      <c r="N656" s="131"/>
      <c r="O656" s="132"/>
      <c r="P656" s="132"/>
      <c r="Q656" s="132"/>
      <c r="R656" s="132"/>
      <c r="S656" s="132"/>
      <c r="T656" s="132"/>
      <c r="U656" s="132"/>
      <c r="V656" s="132"/>
      <c r="W656" s="132"/>
      <c r="X656" s="132"/>
      <c r="Y656" s="132"/>
      <c r="Z656" s="132"/>
      <c r="AA656" s="132"/>
      <c r="AB656" s="132"/>
    </row>
    <row r="657" spans="1:28" s="133" customFormat="1" ht="15" customHeight="1" outlineLevel="1" x14ac:dyDescent="0.2">
      <c r="A657" s="121">
        <v>14</v>
      </c>
      <c r="B657" s="121">
        <v>85578</v>
      </c>
      <c r="C657" s="122">
        <v>41639</v>
      </c>
      <c r="D657" s="123" t="s">
        <v>1230</v>
      </c>
      <c r="E657" s="121" t="s">
        <v>1231</v>
      </c>
      <c r="F657" s="124" t="s">
        <v>574</v>
      </c>
      <c r="G657" s="125" t="s">
        <v>469</v>
      </c>
      <c r="H657" s="126" t="s">
        <v>566</v>
      </c>
      <c r="I657" s="127">
        <v>1</v>
      </c>
      <c r="J657" s="128">
        <v>49701</v>
      </c>
      <c r="K657" s="128">
        <v>49701</v>
      </c>
      <c r="L657" s="647"/>
      <c r="M657" s="679"/>
      <c r="N657" s="131"/>
      <c r="O657" s="132"/>
      <c r="P657" s="132"/>
      <c r="Q657" s="132"/>
      <c r="R657" s="132"/>
      <c r="S657" s="132"/>
      <c r="T657" s="132"/>
      <c r="U657" s="132"/>
      <c r="V657" s="132"/>
      <c r="W657" s="132"/>
      <c r="X657" s="132"/>
      <c r="Y657" s="132"/>
      <c r="Z657" s="132"/>
      <c r="AA657" s="132"/>
      <c r="AB657" s="132"/>
    </row>
    <row r="658" spans="1:28" s="133" customFormat="1" ht="15" customHeight="1" outlineLevel="1" x14ac:dyDescent="0.2">
      <c r="A658" s="121">
        <v>15</v>
      </c>
      <c r="B658" s="121">
        <v>88900</v>
      </c>
      <c r="C658" s="122">
        <v>41654</v>
      </c>
      <c r="D658" s="123" t="s">
        <v>1232</v>
      </c>
      <c r="E658" s="121" t="s">
        <v>478</v>
      </c>
      <c r="F658" s="124" t="s">
        <v>215</v>
      </c>
      <c r="G658" s="125" t="s">
        <v>366</v>
      </c>
      <c r="H658" s="126" t="s">
        <v>1233</v>
      </c>
      <c r="I658" s="127">
        <v>1</v>
      </c>
      <c r="J658" s="128">
        <v>44597</v>
      </c>
      <c r="K658" s="128">
        <v>44597</v>
      </c>
      <c r="L658" s="647"/>
      <c r="M658" s="679"/>
      <c r="N658" s="131"/>
      <c r="O658" s="132"/>
      <c r="P658" s="132"/>
      <c r="Q658" s="132"/>
      <c r="R658" s="132"/>
      <c r="S658" s="132"/>
      <c r="T658" s="132"/>
      <c r="U658" s="132"/>
      <c r="V658" s="132"/>
      <c r="W658" s="132"/>
      <c r="X658" s="132"/>
      <c r="Y658" s="132"/>
      <c r="Z658" s="132"/>
      <c r="AA658" s="132"/>
      <c r="AB658" s="132"/>
    </row>
    <row r="659" spans="1:28" s="133" customFormat="1" ht="15" customHeight="1" outlineLevel="1" x14ac:dyDescent="0.2">
      <c r="A659" s="121">
        <v>18</v>
      </c>
      <c r="B659" s="121">
        <v>93637</v>
      </c>
      <c r="C659" s="122">
        <v>41670</v>
      </c>
      <c r="D659" s="123" t="s">
        <v>1234</v>
      </c>
      <c r="E659" s="121" t="s">
        <v>473</v>
      </c>
      <c r="F659" s="124" t="s">
        <v>215</v>
      </c>
      <c r="G659" s="125" t="s">
        <v>368</v>
      </c>
      <c r="H659" s="126" t="s">
        <v>486</v>
      </c>
      <c r="I659" s="127">
        <v>1</v>
      </c>
      <c r="J659" s="128">
        <v>44597</v>
      </c>
      <c r="K659" s="128">
        <v>44597</v>
      </c>
      <c r="L659" s="647"/>
      <c r="M659" s="679"/>
      <c r="N659" s="131"/>
      <c r="O659" s="132"/>
      <c r="P659" s="132"/>
      <c r="Q659" s="132"/>
      <c r="R659" s="132"/>
      <c r="S659" s="132"/>
      <c r="T659" s="132"/>
      <c r="U659" s="132"/>
      <c r="V659" s="132"/>
      <c r="W659" s="132"/>
      <c r="X659" s="132"/>
      <c r="Y659" s="132"/>
      <c r="Z659" s="132"/>
      <c r="AA659" s="132"/>
      <c r="AB659" s="132"/>
    </row>
    <row r="660" spans="1:28" s="133" customFormat="1" ht="15" customHeight="1" outlineLevel="1" x14ac:dyDescent="0.2">
      <c r="A660" s="121">
        <v>19</v>
      </c>
      <c r="B660" s="121">
        <v>69719</v>
      </c>
      <c r="C660" s="122">
        <v>41586</v>
      </c>
      <c r="D660" s="123" t="s">
        <v>1235</v>
      </c>
      <c r="E660" s="121" t="s">
        <v>481</v>
      </c>
      <c r="F660" s="124" t="s">
        <v>574</v>
      </c>
      <c r="G660" s="125" t="s">
        <v>412</v>
      </c>
      <c r="H660" s="126" t="s">
        <v>580</v>
      </c>
      <c r="I660" s="127">
        <v>1</v>
      </c>
      <c r="J660" s="128">
        <v>49701</v>
      </c>
      <c r="K660" s="128">
        <v>49701</v>
      </c>
      <c r="L660" s="647"/>
      <c r="M660" s="679"/>
      <c r="N660" s="131"/>
      <c r="O660" s="132"/>
      <c r="P660" s="132"/>
      <c r="Q660" s="132"/>
      <c r="R660" s="132"/>
      <c r="S660" s="132"/>
      <c r="T660" s="132"/>
      <c r="U660" s="132"/>
      <c r="V660" s="132"/>
      <c r="W660" s="132"/>
      <c r="X660" s="132"/>
      <c r="Y660" s="132"/>
      <c r="Z660" s="132"/>
      <c r="AA660" s="132"/>
      <c r="AB660" s="132"/>
    </row>
    <row r="661" spans="1:28" s="133" customFormat="1" ht="15" customHeight="1" outlineLevel="1" x14ac:dyDescent="0.2">
      <c r="A661" s="121">
        <v>20</v>
      </c>
      <c r="B661" s="121">
        <v>89127</v>
      </c>
      <c r="C661" s="122">
        <v>41659</v>
      </c>
      <c r="D661" s="123" t="s">
        <v>1236</v>
      </c>
      <c r="E661" s="121" t="s">
        <v>478</v>
      </c>
      <c r="F661" s="124" t="s">
        <v>115</v>
      </c>
      <c r="G661" s="125" t="s">
        <v>404</v>
      </c>
      <c r="H661" s="126" t="s">
        <v>486</v>
      </c>
      <c r="I661" s="127">
        <v>1</v>
      </c>
      <c r="J661" s="128">
        <v>5274</v>
      </c>
      <c r="K661" s="128">
        <v>5274</v>
      </c>
      <c r="L661" s="647"/>
      <c r="M661" s="679"/>
      <c r="N661" s="131"/>
      <c r="O661" s="132"/>
      <c r="P661" s="132"/>
      <c r="Q661" s="132"/>
      <c r="R661" s="132"/>
      <c r="S661" s="132"/>
      <c r="T661" s="132"/>
      <c r="U661" s="132"/>
      <c r="V661" s="132"/>
      <c r="W661" s="132"/>
      <c r="X661" s="132"/>
      <c r="Y661" s="132"/>
      <c r="Z661" s="132"/>
      <c r="AA661" s="132"/>
      <c r="AB661" s="132"/>
    </row>
    <row r="662" spans="1:28" s="133" customFormat="1" ht="15" customHeight="1" outlineLevel="1" x14ac:dyDescent="0.2">
      <c r="A662" s="121">
        <v>21</v>
      </c>
      <c r="B662" s="121">
        <v>89654</v>
      </c>
      <c r="C662" s="122">
        <v>41656</v>
      </c>
      <c r="D662" s="123" t="s">
        <v>1237</v>
      </c>
      <c r="E662" s="121" t="s">
        <v>473</v>
      </c>
      <c r="F662" s="124" t="s">
        <v>215</v>
      </c>
      <c r="G662" s="125" t="s">
        <v>368</v>
      </c>
      <c r="H662" s="126" t="s">
        <v>486</v>
      </c>
      <c r="I662" s="127">
        <v>1</v>
      </c>
      <c r="J662" s="128">
        <v>44597</v>
      </c>
      <c r="K662" s="128">
        <v>44597</v>
      </c>
      <c r="L662" s="647"/>
      <c r="M662" s="679"/>
      <c r="N662" s="131"/>
      <c r="O662" s="132"/>
      <c r="P662" s="132"/>
      <c r="Q662" s="132"/>
      <c r="R662" s="132"/>
      <c r="S662" s="132"/>
      <c r="T662" s="132"/>
      <c r="U662" s="132"/>
      <c r="V662" s="132"/>
      <c r="W662" s="132"/>
      <c r="X662" s="132"/>
      <c r="Y662" s="132"/>
      <c r="Z662" s="132"/>
      <c r="AA662" s="132"/>
      <c r="AB662" s="132"/>
    </row>
    <row r="663" spans="1:28" s="133" customFormat="1" ht="15" customHeight="1" outlineLevel="1" x14ac:dyDescent="0.2">
      <c r="A663" s="121">
        <v>22</v>
      </c>
      <c r="B663" s="121">
        <v>89654</v>
      </c>
      <c r="C663" s="122">
        <v>41656</v>
      </c>
      <c r="D663" s="123" t="s">
        <v>1237</v>
      </c>
      <c r="E663" s="121" t="s">
        <v>473</v>
      </c>
      <c r="F663" s="124" t="s">
        <v>215</v>
      </c>
      <c r="G663" s="125" t="s">
        <v>366</v>
      </c>
      <c r="H663" s="126" t="s">
        <v>486</v>
      </c>
      <c r="I663" s="127">
        <v>1</v>
      </c>
      <c r="J663" s="128">
        <v>44597</v>
      </c>
      <c r="K663" s="128">
        <v>44597</v>
      </c>
      <c r="L663" s="647"/>
      <c r="M663" s="679"/>
      <c r="N663" s="131"/>
      <c r="O663" s="132"/>
      <c r="P663" s="132"/>
      <c r="Q663" s="132"/>
      <c r="R663" s="132"/>
      <c r="S663" s="132"/>
      <c r="T663" s="132"/>
      <c r="U663" s="132"/>
      <c r="V663" s="132"/>
      <c r="W663" s="132"/>
      <c r="X663" s="132"/>
      <c r="Y663" s="132"/>
      <c r="Z663" s="132"/>
      <c r="AA663" s="132"/>
      <c r="AB663" s="132"/>
    </row>
    <row r="664" spans="1:28" s="133" customFormat="1" ht="15" customHeight="1" outlineLevel="1" x14ac:dyDescent="0.2">
      <c r="A664" s="121">
        <v>24</v>
      </c>
      <c r="B664" s="121">
        <v>92805</v>
      </c>
      <c r="C664" s="122">
        <v>41668</v>
      </c>
      <c r="D664" s="123" t="s">
        <v>1238</v>
      </c>
      <c r="E664" s="121" t="s">
        <v>473</v>
      </c>
      <c r="F664" s="124" t="s">
        <v>215</v>
      </c>
      <c r="G664" s="125" t="s">
        <v>368</v>
      </c>
      <c r="H664" s="126" t="s">
        <v>570</v>
      </c>
      <c r="I664" s="127">
        <v>1</v>
      </c>
      <c r="J664" s="128">
        <v>44597</v>
      </c>
      <c r="K664" s="128">
        <v>44597</v>
      </c>
      <c r="L664" s="647"/>
      <c r="M664" s="679"/>
      <c r="N664" s="131"/>
      <c r="O664" s="132"/>
      <c r="P664" s="132"/>
      <c r="Q664" s="132"/>
      <c r="R664" s="132"/>
      <c r="S664" s="132"/>
      <c r="T664" s="132"/>
      <c r="U664" s="132"/>
      <c r="V664" s="132"/>
      <c r="W664" s="132"/>
      <c r="X664" s="132"/>
      <c r="Y664" s="132"/>
      <c r="Z664" s="132"/>
      <c r="AA664" s="132"/>
      <c r="AB664" s="132"/>
    </row>
    <row r="665" spans="1:28" s="133" customFormat="1" ht="15" customHeight="1" outlineLevel="1" x14ac:dyDescent="0.2">
      <c r="A665" s="121">
        <v>25</v>
      </c>
      <c r="B665" s="121">
        <v>85913</v>
      </c>
      <c r="C665" s="122">
        <v>41642</v>
      </c>
      <c r="D665" s="123" t="s">
        <v>1239</v>
      </c>
      <c r="E665" s="121" t="s">
        <v>473</v>
      </c>
      <c r="F665" s="124" t="s">
        <v>215</v>
      </c>
      <c r="G665" s="125" t="s">
        <v>482</v>
      </c>
      <c r="H665" s="126" t="s">
        <v>486</v>
      </c>
      <c r="I665" s="127">
        <v>2</v>
      </c>
      <c r="J665" s="128">
        <v>44597</v>
      </c>
      <c r="K665" s="128">
        <v>89194</v>
      </c>
      <c r="L665" s="647"/>
      <c r="M665" s="679"/>
      <c r="N665" s="131"/>
      <c r="O665" s="132"/>
      <c r="P665" s="132"/>
      <c r="Q665" s="132"/>
      <c r="R665" s="132"/>
      <c r="S665" s="132"/>
      <c r="T665" s="132"/>
      <c r="U665" s="132"/>
      <c r="V665" s="132"/>
      <c r="W665" s="132"/>
      <c r="X665" s="132"/>
      <c r="Y665" s="132"/>
      <c r="Z665" s="132"/>
      <c r="AA665" s="132"/>
      <c r="AB665" s="132"/>
    </row>
    <row r="666" spans="1:28" s="133" customFormat="1" ht="15" customHeight="1" outlineLevel="1" x14ac:dyDescent="0.2">
      <c r="A666" s="121">
        <v>26</v>
      </c>
      <c r="B666" s="121">
        <v>86751</v>
      </c>
      <c r="C666" s="122">
        <v>41647</v>
      </c>
      <c r="D666" s="123" t="s">
        <v>1240</v>
      </c>
      <c r="E666" s="121" t="s">
        <v>471</v>
      </c>
      <c r="F666" s="124" t="s">
        <v>577</v>
      </c>
      <c r="G666" s="125" t="s">
        <v>368</v>
      </c>
      <c r="H666" s="126"/>
      <c r="I666" s="127">
        <v>1</v>
      </c>
      <c r="J666" s="128">
        <v>25800</v>
      </c>
      <c r="K666" s="128">
        <v>25800</v>
      </c>
      <c r="L666" s="647"/>
      <c r="M666" s="679"/>
      <c r="N666" s="131"/>
      <c r="O666" s="132"/>
      <c r="P666" s="132"/>
      <c r="Q666" s="132"/>
      <c r="R666" s="132"/>
      <c r="S666" s="132"/>
      <c r="T666" s="132"/>
      <c r="U666" s="132"/>
      <c r="V666" s="132"/>
      <c r="W666" s="132"/>
      <c r="X666" s="132"/>
      <c r="Y666" s="132"/>
      <c r="Z666" s="132"/>
      <c r="AA666" s="132"/>
      <c r="AB666" s="132"/>
    </row>
    <row r="667" spans="1:28" s="133" customFormat="1" ht="15" customHeight="1" outlineLevel="1" x14ac:dyDescent="0.2">
      <c r="A667" s="121">
        <v>27</v>
      </c>
      <c r="B667" s="121">
        <v>87004</v>
      </c>
      <c r="C667" s="122">
        <v>41648</v>
      </c>
      <c r="D667" s="123" t="s">
        <v>1241</v>
      </c>
      <c r="E667" s="121" t="s">
        <v>473</v>
      </c>
      <c r="F667" s="124" t="s">
        <v>215</v>
      </c>
      <c r="G667" s="125" t="s">
        <v>366</v>
      </c>
      <c r="H667" s="126" t="s">
        <v>486</v>
      </c>
      <c r="I667" s="127">
        <v>1</v>
      </c>
      <c r="J667" s="128">
        <v>44597</v>
      </c>
      <c r="K667" s="128">
        <v>44597</v>
      </c>
      <c r="L667" s="647"/>
      <c r="M667" s="679"/>
      <c r="N667" s="131"/>
      <c r="O667" s="132"/>
      <c r="P667" s="132"/>
      <c r="Q667" s="132"/>
      <c r="R667" s="132"/>
      <c r="S667" s="132"/>
      <c r="T667" s="132"/>
      <c r="U667" s="132"/>
      <c r="V667" s="132"/>
      <c r="W667" s="132"/>
      <c r="X667" s="132"/>
      <c r="Y667" s="132"/>
      <c r="Z667" s="132"/>
      <c r="AA667" s="132"/>
      <c r="AB667" s="132"/>
    </row>
    <row r="668" spans="1:28" s="133" customFormat="1" ht="15" customHeight="1" outlineLevel="1" x14ac:dyDescent="0.2">
      <c r="A668" s="121">
        <v>28</v>
      </c>
      <c r="B668" s="121">
        <v>92701</v>
      </c>
      <c r="C668" s="122">
        <v>41668</v>
      </c>
      <c r="D668" s="123" t="s">
        <v>1242</v>
      </c>
      <c r="E668" s="121" t="s">
        <v>473</v>
      </c>
      <c r="F668" s="124" t="s">
        <v>115</v>
      </c>
      <c r="G668" s="125" t="s">
        <v>524</v>
      </c>
      <c r="H668" s="126" t="s">
        <v>486</v>
      </c>
      <c r="I668" s="127">
        <v>1</v>
      </c>
      <c r="J668" s="128">
        <v>5274</v>
      </c>
      <c r="K668" s="128">
        <v>5274</v>
      </c>
      <c r="L668" s="647"/>
      <c r="M668" s="679"/>
      <c r="N668" s="131"/>
      <c r="O668" s="132"/>
      <c r="P668" s="132"/>
      <c r="Q668" s="132"/>
      <c r="R668" s="132"/>
      <c r="S668" s="132"/>
      <c r="T668" s="132"/>
      <c r="U668" s="132"/>
      <c r="V668" s="132"/>
      <c r="W668" s="132"/>
      <c r="X668" s="132"/>
      <c r="Y668" s="132"/>
      <c r="Z668" s="132"/>
      <c r="AA668" s="132"/>
      <c r="AB668" s="132"/>
    </row>
    <row r="669" spans="1:28" s="133" customFormat="1" ht="15" customHeight="1" outlineLevel="1" x14ac:dyDescent="0.2">
      <c r="A669" s="121">
        <v>29</v>
      </c>
      <c r="B669" s="121">
        <v>90141</v>
      </c>
      <c r="C669" s="122">
        <v>41660</v>
      </c>
      <c r="D669" s="123" t="s">
        <v>1243</v>
      </c>
      <c r="E669" s="121" t="s">
        <v>473</v>
      </c>
      <c r="F669" s="124" t="s">
        <v>114</v>
      </c>
      <c r="G669" s="125" t="s">
        <v>389</v>
      </c>
      <c r="H669" s="126" t="s">
        <v>732</v>
      </c>
      <c r="I669" s="127">
        <v>1</v>
      </c>
      <c r="J669" s="128">
        <v>33370</v>
      </c>
      <c r="K669" s="128">
        <v>33370</v>
      </c>
      <c r="L669" s="647"/>
      <c r="M669" s="679"/>
      <c r="N669" s="131"/>
      <c r="O669" s="132"/>
      <c r="P669" s="132"/>
      <c r="Q669" s="132"/>
      <c r="R669" s="132"/>
      <c r="S669" s="132"/>
      <c r="T669" s="132"/>
      <c r="U669" s="132"/>
      <c r="V669" s="132"/>
      <c r="W669" s="132"/>
      <c r="X669" s="132"/>
      <c r="Y669" s="132"/>
      <c r="Z669" s="132"/>
      <c r="AA669" s="132"/>
      <c r="AB669" s="132"/>
    </row>
    <row r="670" spans="1:28" s="133" customFormat="1" ht="15" customHeight="1" outlineLevel="1" x14ac:dyDescent="0.2">
      <c r="A670" s="121">
        <v>30</v>
      </c>
      <c r="B670" s="121">
        <v>92977</v>
      </c>
      <c r="C670" s="122">
        <v>41670</v>
      </c>
      <c r="D670" s="123" t="s">
        <v>1244</v>
      </c>
      <c r="E670" s="121" t="s">
        <v>473</v>
      </c>
      <c r="F670" s="124" t="s">
        <v>115</v>
      </c>
      <c r="G670" s="125" t="s">
        <v>642</v>
      </c>
      <c r="H670" s="126" t="s">
        <v>483</v>
      </c>
      <c r="I670" s="127">
        <v>1</v>
      </c>
      <c r="J670" s="128">
        <v>5274</v>
      </c>
      <c r="K670" s="128">
        <v>5274</v>
      </c>
      <c r="L670" s="647"/>
      <c r="M670" s="679"/>
      <c r="N670" s="131"/>
      <c r="O670" s="132"/>
      <c r="P670" s="132"/>
      <c r="Q670" s="132"/>
      <c r="R670" s="132"/>
      <c r="S670" s="132"/>
      <c r="T670" s="132"/>
      <c r="U670" s="132"/>
      <c r="V670" s="132"/>
      <c r="W670" s="132"/>
      <c r="X670" s="132"/>
      <c r="Y670" s="132"/>
      <c r="Z670" s="132"/>
      <c r="AA670" s="132"/>
      <c r="AB670" s="132"/>
    </row>
    <row r="671" spans="1:28" s="133" customFormat="1" ht="15" customHeight="1" outlineLevel="1" x14ac:dyDescent="0.2">
      <c r="A671" s="165">
        <v>31</v>
      </c>
      <c r="B671" s="121">
        <v>93567</v>
      </c>
      <c r="C671" s="122">
        <v>41670</v>
      </c>
      <c r="D671" s="123" t="s">
        <v>1245</v>
      </c>
      <c r="E671" s="121" t="s">
        <v>473</v>
      </c>
      <c r="F671" s="124" t="s">
        <v>202</v>
      </c>
      <c r="G671" s="125" t="s">
        <v>524</v>
      </c>
      <c r="H671" s="126"/>
      <c r="I671" s="127">
        <v>12</v>
      </c>
      <c r="J671" s="128">
        <v>17244</v>
      </c>
      <c r="K671" s="128">
        <v>206928</v>
      </c>
      <c r="L671" s="647"/>
      <c r="M671" s="679"/>
      <c r="N671" s="131"/>
      <c r="O671" s="132"/>
      <c r="P671" s="132"/>
      <c r="Q671" s="132"/>
      <c r="R671" s="132"/>
      <c r="S671" s="132"/>
      <c r="T671" s="132"/>
      <c r="U671" s="132"/>
      <c r="V671" s="132"/>
      <c r="W671" s="132"/>
      <c r="X671" s="132"/>
      <c r="Y671" s="132"/>
      <c r="Z671" s="132"/>
      <c r="AA671" s="132"/>
      <c r="AB671" s="132"/>
    </row>
    <row r="672" spans="1:28" s="133" customFormat="1" ht="15" customHeight="1" outlineLevel="1" x14ac:dyDescent="0.2">
      <c r="A672" s="121">
        <v>32</v>
      </c>
      <c r="B672" s="121">
        <v>76955</v>
      </c>
      <c r="C672" s="122">
        <v>41613</v>
      </c>
      <c r="D672" s="123" t="s">
        <v>1246</v>
      </c>
      <c r="E672" s="121" t="s">
        <v>542</v>
      </c>
      <c r="F672" s="124" t="s">
        <v>215</v>
      </c>
      <c r="G672" s="125" t="s">
        <v>368</v>
      </c>
      <c r="H672" s="126" t="s">
        <v>1247</v>
      </c>
      <c r="I672" s="127">
        <v>1</v>
      </c>
      <c r="J672" s="128">
        <v>44597</v>
      </c>
      <c r="K672" s="128">
        <v>44597</v>
      </c>
      <c r="L672" s="647"/>
      <c r="M672" s="679"/>
      <c r="N672" s="131"/>
      <c r="O672" s="132"/>
      <c r="P672" s="132"/>
      <c r="Q672" s="132"/>
      <c r="R672" s="132"/>
      <c r="S672" s="132"/>
      <c r="T672" s="132"/>
      <c r="U672" s="132"/>
      <c r="V672" s="132"/>
      <c r="W672" s="132"/>
      <c r="X672" s="132"/>
      <c r="Y672" s="132"/>
      <c r="Z672" s="132"/>
      <c r="AA672" s="132"/>
      <c r="AB672" s="132"/>
    </row>
    <row r="673" spans="1:28" s="133" customFormat="1" ht="15" customHeight="1" outlineLevel="1" x14ac:dyDescent="0.2">
      <c r="A673" s="121">
        <v>33</v>
      </c>
      <c r="B673" s="121">
        <v>74240</v>
      </c>
      <c r="C673" s="122">
        <v>41603</v>
      </c>
      <c r="D673" s="123" t="s">
        <v>1248</v>
      </c>
      <c r="E673" s="121" t="s">
        <v>473</v>
      </c>
      <c r="F673" s="124" t="s">
        <v>202</v>
      </c>
      <c r="G673" s="125" t="s">
        <v>559</v>
      </c>
      <c r="H673" s="126"/>
      <c r="I673" s="127">
        <v>1</v>
      </c>
      <c r="J673" s="128">
        <v>17244</v>
      </c>
      <c r="K673" s="128">
        <v>17244</v>
      </c>
      <c r="L673" s="647"/>
      <c r="M673" s="679"/>
      <c r="N673" s="131"/>
      <c r="O673" s="132"/>
      <c r="P673" s="132"/>
      <c r="Q673" s="132"/>
      <c r="R673" s="132"/>
      <c r="S673" s="132"/>
      <c r="T673" s="132"/>
      <c r="U673" s="132"/>
      <c r="V673" s="132"/>
      <c r="W673" s="132"/>
      <c r="X673" s="132"/>
      <c r="Y673" s="132"/>
      <c r="Z673" s="132"/>
      <c r="AA673" s="132"/>
      <c r="AB673" s="132"/>
    </row>
    <row r="674" spans="1:28" s="133" customFormat="1" ht="15" customHeight="1" outlineLevel="1" x14ac:dyDescent="0.2">
      <c r="A674" s="121">
        <v>34</v>
      </c>
      <c r="B674" s="121">
        <v>89866</v>
      </c>
      <c r="C674" s="122">
        <v>41659</v>
      </c>
      <c r="D674" s="123" t="s">
        <v>1249</v>
      </c>
      <c r="E674" s="121" t="s">
        <v>473</v>
      </c>
      <c r="F674" s="124" t="s">
        <v>534</v>
      </c>
      <c r="G674" s="125" t="s">
        <v>469</v>
      </c>
      <c r="H674" s="126" t="s">
        <v>1250</v>
      </c>
      <c r="I674" s="127">
        <v>1</v>
      </c>
      <c r="J674" s="128">
        <v>30429</v>
      </c>
      <c r="K674" s="128">
        <v>30429</v>
      </c>
      <c r="L674" s="647"/>
      <c r="M674" s="679"/>
      <c r="N674" s="131"/>
      <c r="O674" s="132"/>
      <c r="P674" s="132"/>
      <c r="Q674" s="132"/>
      <c r="R674" s="132"/>
      <c r="S674" s="132"/>
      <c r="T674" s="132"/>
      <c r="U674" s="132"/>
      <c r="V674" s="132"/>
      <c r="W674" s="132"/>
      <c r="X674" s="132"/>
      <c r="Y674" s="132"/>
      <c r="Z674" s="132"/>
      <c r="AA674" s="132"/>
      <c r="AB674" s="132"/>
    </row>
    <row r="675" spans="1:28" s="133" customFormat="1" ht="15" customHeight="1" outlineLevel="1" x14ac:dyDescent="0.2">
      <c r="A675" s="121">
        <v>35</v>
      </c>
      <c r="B675" s="121">
        <v>86043</v>
      </c>
      <c r="C675" s="122">
        <v>41645</v>
      </c>
      <c r="D675" s="123" t="s">
        <v>1251</v>
      </c>
      <c r="E675" s="121" t="s">
        <v>473</v>
      </c>
      <c r="F675" s="124" t="s">
        <v>115</v>
      </c>
      <c r="G675" s="125" t="s">
        <v>1252</v>
      </c>
      <c r="H675" s="126" t="s">
        <v>486</v>
      </c>
      <c r="I675" s="127">
        <v>5</v>
      </c>
      <c r="J675" s="128">
        <v>5274</v>
      </c>
      <c r="K675" s="128">
        <v>26370</v>
      </c>
      <c r="L675" s="647"/>
      <c r="M675" s="679"/>
      <c r="N675" s="131"/>
      <c r="O675" s="132"/>
      <c r="P675" s="132"/>
      <c r="Q675" s="132"/>
      <c r="R675" s="132"/>
      <c r="S675" s="132"/>
      <c r="T675" s="132"/>
      <c r="U675" s="132"/>
      <c r="V675" s="132"/>
      <c r="W675" s="132"/>
      <c r="X675" s="132"/>
      <c r="Y675" s="132"/>
      <c r="Z675" s="132"/>
      <c r="AA675" s="132"/>
      <c r="AB675" s="132"/>
    </row>
    <row r="676" spans="1:28" s="133" customFormat="1" ht="15" customHeight="1" outlineLevel="1" x14ac:dyDescent="0.2">
      <c r="A676" s="121">
        <v>36</v>
      </c>
      <c r="B676" s="121">
        <v>89808</v>
      </c>
      <c r="C676" s="122">
        <v>41659</v>
      </c>
      <c r="D676" s="123" t="s">
        <v>1253</v>
      </c>
      <c r="E676" s="121" t="s">
        <v>473</v>
      </c>
      <c r="F676" s="124" t="s">
        <v>577</v>
      </c>
      <c r="G676" s="125" t="s">
        <v>368</v>
      </c>
      <c r="H676" s="126"/>
      <c r="I676" s="127">
        <v>1</v>
      </c>
      <c r="J676" s="128">
        <v>25800</v>
      </c>
      <c r="K676" s="128">
        <v>25800</v>
      </c>
      <c r="L676" s="648"/>
      <c r="M676" s="680"/>
      <c r="N676" s="131"/>
      <c r="O676" s="132"/>
      <c r="P676" s="132"/>
      <c r="Q676" s="132"/>
      <c r="R676" s="132"/>
      <c r="S676" s="132"/>
      <c r="T676" s="132"/>
      <c r="U676" s="132"/>
      <c r="V676" s="132"/>
      <c r="W676" s="132"/>
      <c r="X676" s="132"/>
      <c r="Y676" s="132"/>
      <c r="Z676" s="132"/>
      <c r="AA676" s="132"/>
      <c r="AB676" s="132"/>
    </row>
    <row r="677" spans="1:28" s="144" customFormat="1" ht="15" customHeight="1" outlineLevel="1" x14ac:dyDescent="0.2">
      <c r="A677" s="134">
        <v>1</v>
      </c>
      <c r="B677" s="134">
        <v>93897</v>
      </c>
      <c r="C677" s="135">
        <v>41674</v>
      </c>
      <c r="D677" s="136" t="s">
        <v>1254</v>
      </c>
      <c r="E677" s="134" t="s">
        <v>475</v>
      </c>
      <c r="F677" s="137" t="s">
        <v>215</v>
      </c>
      <c r="G677" s="138" t="s">
        <v>368</v>
      </c>
      <c r="H677" s="139" t="s">
        <v>486</v>
      </c>
      <c r="I677" s="140">
        <v>1</v>
      </c>
      <c r="J677" s="141">
        <v>44597</v>
      </c>
      <c r="K677" s="141">
        <v>44597</v>
      </c>
      <c r="L677" s="643" t="s">
        <v>555</v>
      </c>
      <c r="M677" s="658" t="s">
        <v>36</v>
      </c>
      <c r="N677" s="142"/>
      <c r="O677" s="143"/>
      <c r="P677" s="143"/>
      <c r="Q677" s="143"/>
      <c r="R677" s="143"/>
      <c r="S677" s="143"/>
      <c r="T677" s="143"/>
      <c r="U677" s="143"/>
      <c r="V677" s="143"/>
      <c r="W677" s="143"/>
      <c r="X677" s="143"/>
      <c r="Y677" s="143"/>
      <c r="Z677" s="143"/>
      <c r="AA677" s="143"/>
      <c r="AB677" s="143"/>
    </row>
    <row r="678" spans="1:28" s="144" customFormat="1" ht="15" customHeight="1" outlineLevel="1" x14ac:dyDescent="0.2">
      <c r="A678" s="134">
        <v>2</v>
      </c>
      <c r="B678" s="134">
        <v>95714</v>
      </c>
      <c r="C678" s="135">
        <v>41681</v>
      </c>
      <c r="D678" s="136" t="s">
        <v>1254</v>
      </c>
      <c r="E678" s="134" t="s">
        <v>475</v>
      </c>
      <c r="F678" s="137" t="s">
        <v>619</v>
      </c>
      <c r="G678" s="138" t="s">
        <v>368</v>
      </c>
      <c r="H678" s="139"/>
      <c r="I678" s="140">
        <v>1</v>
      </c>
      <c r="J678" s="141">
        <v>15722</v>
      </c>
      <c r="K678" s="141">
        <v>15722</v>
      </c>
      <c r="L678" s="644"/>
      <c r="M678" s="659"/>
      <c r="N678" s="142"/>
      <c r="O678" s="143"/>
      <c r="P678" s="143"/>
      <c r="Q678" s="143"/>
      <c r="R678" s="143"/>
      <c r="S678" s="143"/>
      <c r="T678" s="143"/>
      <c r="U678" s="143"/>
      <c r="V678" s="143"/>
      <c r="W678" s="143"/>
      <c r="X678" s="143"/>
      <c r="Y678" s="143"/>
      <c r="Z678" s="143"/>
      <c r="AA678" s="143"/>
      <c r="AB678" s="143"/>
    </row>
    <row r="679" spans="1:28" s="144" customFormat="1" ht="15" customHeight="1" outlineLevel="1" x14ac:dyDescent="0.2">
      <c r="A679" s="134">
        <v>4</v>
      </c>
      <c r="B679" s="134">
        <v>94071</v>
      </c>
      <c r="C679" s="135">
        <v>41674</v>
      </c>
      <c r="D679" s="136" t="s">
        <v>1255</v>
      </c>
      <c r="E679" s="134" t="s">
        <v>473</v>
      </c>
      <c r="F679" s="137" t="s">
        <v>215</v>
      </c>
      <c r="G679" s="138" t="s">
        <v>482</v>
      </c>
      <c r="H679" s="139" t="s">
        <v>486</v>
      </c>
      <c r="I679" s="140">
        <v>2</v>
      </c>
      <c r="J679" s="141">
        <v>44597</v>
      </c>
      <c r="K679" s="141">
        <v>89194</v>
      </c>
      <c r="L679" s="644"/>
      <c r="M679" s="659"/>
      <c r="N679" s="142"/>
      <c r="O679" s="143"/>
      <c r="P679" s="143"/>
      <c r="Q679" s="143"/>
      <c r="R679" s="143"/>
      <c r="S679" s="143"/>
      <c r="T679" s="143"/>
      <c r="U679" s="143"/>
      <c r="V679" s="143"/>
      <c r="W679" s="143"/>
      <c r="X679" s="143"/>
      <c r="Y679" s="143"/>
      <c r="Z679" s="143"/>
      <c r="AA679" s="143"/>
      <c r="AB679" s="143"/>
    </row>
    <row r="680" spans="1:28" s="144" customFormat="1" ht="15" customHeight="1" outlineLevel="1" x14ac:dyDescent="0.2">
      <c r="A680" s="134">
        <v>5</v>
      </c>
      <c r="B680" s="134">
        <v>98952</v>
      </c>
      <c r="C680" s="135">
        <v>41698</v>
      </c>
      <c r="D680" s="136" t="s">
        <v>1256</v>
      </c>
      <c r="E680" s="134" t="s">
        <v>471</v>
      </c>
      <c r="F680" s="137" t="s">
        <v>577</v>
      </c>
      <c r="G680" s="138" t="s">
        <v>368</v>
      </c>
      <c r="H680" s="139"/>
      <c r="I680" s="140">
        <v>1</v>
      </c>
      <c r="J680" s="141">
        <v>25800</v>
      </c>
      <c r="K680" s="141">
        <v>25800</v>
      </c>
      <c r="L680" s="644"/>
      <c r="M680" s="659"/>
      <c r="N680" s="142"/>
      <c r="O680" s="143"/>
      <c r="P680" s="143"/>
      <c r="Q680" s="143"/>
      <c r="R680" s="143"/>
      <c r="S680" s="143"/>
      <c r="T680" s="143"/>
      <c r="U680" s="143"/>
      <c r="V680" s="143"/>
      <c r="W680" s="143"/>
      <c r="X680" s="143"/>
      <c r="Y680" s="143"/>
      <c r="Z680" s="143"/>
      <c r="AA680" s="143"/>
      <c r="AB680" s="143"/>
    </row>
    <row r="681" spans="1:28" s="144" customFormat="1" ht="15" customHeight="1" outlineLevel="1" x14ac:dyDescent="0.2">
      <c r="A681" s="134">
        <v>6</v>
      </c>
      <c r="B681" s="134">
        <v>95442</v>
      </c>
      <c r="C681" s="135">
        <v>41681</v>
      </c>
      <c r="D681" s="136" t="s">
        <v>1257</v>
      </c>
      <c r="E681" s="134" t="s">
        <v>1231</v>
      </c>
      <c r="F681" s="137" t="s">
        <v>1129</v>
      </c>
      <c r="G681" s="138" t="s">
        <v>404</v>
      </c>
      <c r="H681" s="139" t="s">
        <v>563</v>
      </c>
      <c r="I681" s="140">
        <v>1</v>
      </c>
      <c r="J681" s="141">
        <v>49701</v>
      </c>
      <c r="K681" s="141">
        <v>49701</v>
      </c>
      <c r="L681" s="644"/>
      <c r="M681" s="659"/>
      <c r="N681" s="142"/>
      <c r="O681" s="143"/>
      <c r="P681" s="143"/>
      <c r="Q681" s="143"/>
      <c r="R681" s="143"/>
      <c r="S681" s="143"/>
      <c r="T681" s="143"/>
      <c r="U681" s="143"/>
      <c r="V681" s="143"/>
      <c r="W681" s="143"/>
      <c r="X681" s="143"/>
      <c r="Y681" s="143"/>
      <c r="Z681" s="143"/>
      <c r="AA681" s="143"/>
      <c r="AB681" s="143"/>
    </row>
    <row r="682" spans="1:28" s="144" customFormat="1" ht="15" customHeight="1" outlineLevel="1" x14ac:dyDescent="0.2">
      <c r="A682" s="134">
        <v>7</v>
      </c>
      <c r="B682" s="134">
        <v>94863</v>
      </c>
      <c r="C682" s="135">
        <v>41680</v>
      </c>
      <c r="D682" s="136" t="s">
        <v>1258</v>
      </c>
      <c r="E682" s="134" t="s">
        <v>473</v>
      </c>
      <c r="F682" s="137" t="s">
        <v>115</v>
      </c>
      <c r="G682" s="138" t="s">
        <v>407</v>
      </c>
      <c r="H682" s="139" t="s">
        <v>486</v>
      </c>
      <c r="I682" s="140">
        <v>1</v>
      </c>
      <c r="J682" s="141">
        <v>5274</v>
      </c>
      <c r="K682" s="141">
        <v>5274</v>
      </c>
      <c r="L682" s="644"/>
      <c r="M682" s="659"/>
      <c r="N682" s="142"/>
      <c r="O682" s="143"/>
      <c r="P682" s="143"/>
      <c r="Q682" s="143"/>
      <c r="R682" s="143"/>
      <c r="S682" s="143"/>
      <c r="T682" s="143"/>
      <c r="U682" s="143"/>
      <c r="V682" s="143"/>
      <c r="W682" s="143"/>
      <c r="X682" s="143"/>
      <c r="Y682" s="143"/>
      <c r="Z682" s="143"/>
      <c r="AA682" s="143"/>
      <c r="AB682" s="143"/>
    </row>
    <row r="683" spans="1:28" s="144" customFormat="1" ht="15" customHeight="1" outlineLevel="1" x14ac:dyDescent="0.2">
      <c r="A683" s="134">
        <v>8</v>
      </c>
      <c r="B683" s="134">
        <v>97232</v>
      </c>
      <c r="C683" s="135">
        <v>41689</v>
      </c>
      <c r="D683" s="136" t="s">
        <v>1259</v>
      </c>
      <c r="E683" s="134" t="s">
        <v>473</v>
      </c>
      <c r="F683" s="137" t="s">
        <v>186</v>
      </c>
      <c r="G683" s="138" t="s">
        <v>1260</v>
      </c>
      <c r="H683" s="139"/>
      <c r="I683" s="140">
        <v>4</v>
      </c>
      <c r="J683" s="141">
        <v>42601</v>
      </c>
      <c r="K683" s="141">
        <v>170404</v>
      </c>
      <c r="L683" s="644"/>
      <c r="M683" s="659"/>
      <c r="N683" s="142"/>
      <c r="O683" s="143"/>
      <c r="P683" s="143"/>
      <c r="Q683" s="143"/>
      <c r="R683" s="143"/>
      <c r="S683" s="143"/>
      <c r="T683" s="143"/>
      <c r="U683" s="143"/>
      <c r="V683" s="143"/>
      <c r="W683" s="143"/>
      <c r="X683" s="143"/>
      <c r="Y683" s="143"/>
      <c r="Z683" s="143"/>
      <c r="AA683" s="143"/>
      <c r="AB683" s="143"/>
    </row>
    <row r="684" spans="1:28" s="144" customFormat="1" ht="15" customHeight="1" outlineLevel="1" x14ac:dyDescent="0.2">
      <c r="A684" s="134">
        <v>9</v>
      </c>
      <c r="B684" s="134">
        <v>95841</v>
      </c>
      <c r="C684" s="135">
        <v>41682</v>
      </c>
      <c r="D684" s="136" t="s">
        <v>1261</v>
      </c>
      <c r="E684" s="134" t="s">
        <v>473</v>
      </c>
      <c r="F684" s="137" t="s">
        <v>186</v>
      </c>
      <c r="G684" s="138" t="s">
        <v>591</v>
      </c>
      <c r="H684" s="139" t="s">
        <v>639</v>
      </c>
      <c r="I684" s="140">
        <v>1</v>
      </c>
      <c r="J684" s="141">
        <v>42601</v>
      </c>
      <c r="K684" s="141">
        <v>42601</v>
      </c>
      <c r="L684" s="644"/>
      <c r="M684" s="659"/>
      <c r="N684" s="142"/>
      <c r="O684" s="143"/>
      <c r="P684" s="143"/>
      <c r="Q684" s="143"/>
      <c r="R684" s="143"/>
      <c r="S684" s="143"/>
      <c r="T684" s="143"/>
      <c r="U684" s="143"/>
      <c r="V684" s="143"/>
      <c r="W684" s="143"/>
      <c r="X684" s="143"/>
      <c r="Y684" s="143"/>
      <c r="Z684" s="143"/>
      <c r="AA684" s="143"/>
      <c r="AB684" s="143"/>
    </row>
    <row r="685" spans="1:28" s="144" customFormat="1" ht="15" customHeight="1" outlineLevel="1" x14ac:dyDescent="0.2">
      <c r="A685" s="134">
        <v>10</v>
      </c>
      <c r="B685" s="134">
        <v>98230</v>
      </c>
      <c r="C685" s="135">
        <v>41697</v>
      </c>
      <c r="D685" s="136" t="s">
        <v>1262</v>
      </c>
      <c r="E685" s="134" t="s">
        <v>478</v>
      </c>
      <c r="F685" s="137" t="s">
        <v>115</v>
      </c>
      <c r="G685" s="138" t="s">
        <v>535</v>
      </c>
      <c r="H685" s="139"/>
      <c r="I685" s="140">
        <v>1</v>
      </c>
      <c r="J685" s="141">
        <v>5274</v>
      </c>
      <c r="K685" s="141">
        <v>5274</v>
      </c>
      <c r="L685" s="644"/>
      <c r="M685" s="659"/>
      <c r="N685" s="142"/>
      <c r="O685" s="143"/>
      <c r="P685" s="143"/>
      <c r="Q685" s="143"/>
      <c r="R685" s="143"/>
      <c r="S685" s="143"/>
      <c r="T685" s="143"/>
      <c r="U685" s="143"/>
      <c r="V685" s="143"/>
      <c r="W685" s="143"/>
      <c r="X685" s="143"/>
      <c r="Y685" s="143"/>
      <c r="Z685" s="143"/>
      <c r="AA685" s="143"/>
      <c r="AB685" s="143"/>
    </row>
    <row r="686" spans="1:28" s="144" customFormat="1" ht="15" customHeight="1" outlineLevel="1" x14ac:dyDescent="0.2">
      <c r="A686" s="134">
        <v>11</v>
      </c>
      <c r="B686" s="134">
        <v>87030</v>
      </c>
      <c r="C686" s="135">
        <v>41647</v>
      </c>
      <c r="D686" s="136" t="s">
        <v>1263</v>
      </c>
      <c r="E686" s="134" t="s">
        <v>478</v>
      </c>
      <c r="F686" s="137" t="s">
        <v>619</v>
      </c>
      <c r="G686" s="138" t="s">
        <v>366</v>
      </c>
      <c r="H686" s="139"/>
      <c r="I686" s="140">
        <v>1</v>
      </c>
      <c r="J686" s="141">
        <v>15722</v>
      </c>
      <c r="K686" s="168">
        <v>15722</v>
      </c>
      <c r="L686" s="644"/>
      <c r="M686" s="659"/>
      <c r="N686" s="142"/>
      <c r="O686" s="143"/>
      <c r="P686" s="143"/>
      <c r="Q686" s="143"/>
      <c r="R686" s="143"/>
      <c r="S686" s="143"/>
      <c r="T686" s="143"/>
      <c r="U686" s="143"/>
      <c r="V686" s="143"/>
      <c r="W686" s="143"/>
      <c r="X686" s="143"/>
      <c r="Y686" s="143"/>
      <c r="Z686" s="143"/>
      <c r="AA686" s="143"/>
      <c r="AB686" s="143"/>
    </row>
    <row r="687" spans="1:28" s="144" customFormat="1" ht="15" customHeight="1" outlineLevel="1" x14ac:dyDescent="0.2">
      <c r="A687" s="134">
        <v>12</v>
      </c>
      <c r="B687" s="134">
        <v>96391</v>
      </c>
      <c r="C687" s="135">
        <v>41684</v>
      </c>
      <c r="D687" s="136" t="s">
        <v>1264</v>
      </c>
      <c r="E687" s="134" t="s">
        <v>473</v>
      </c>
      <c r="F687" s="137" t="s">
        <v>534</v>
      </c>
      <c r="G687" s="138" t="s">
        <v>428</v>
      </c>
      <c r="H687" s="139" t="s">
        <v>732</v>
      </c>
      <c r="I687" s="140">
        <v>1</v>
      </c>
      <c r="J687" s="141">
        <v>30429</v>
      </c>
      <c r="K687" s="141">
        <v>30429</v>
      </c>
      <c r="L687" s="644"/>
      <c r="M687" s="659"/>
      <c r="N687" s="142"/>
      <c r="O687" s="143"/>
      <c r="P687" s="143"/>
      <c r="Q687" s="143"/>
      <c r="R687" s="143"/>
      <c r="S687" s="143"/>
      <c r="T687" s="143"/>
      <c r="U687" s="143"/>
      <c r="V687" s="143"/>
      <c r="W687" s="143"/>
      <c r="X687" s="143"/>
      <c r="Y687" s="143"/>
      <c r="Z687" s="143"/>
      <c r="AA687" s="143"/>
      <c r="AB687" s="143"/>
    </row>
    <row r="688" spans="1:28" s="144" customFormat="1" ht="15" customHeight="1" outlineLevel="1" x14ac:dyDescent="0.2">
      <c r="A688" s="134">
        <v>13</v>
      </c>
      <c r="B688" s="134">
        <v>96306</v>
      </c>
      <c r="C688" s="135">
        <v>41684</v>
      </c>
      <c r="D688" s="136" t="s">
        <v>1265</v>
      </c>
      <c r="E688" s="134" t="s">
        <v>473</v>
      </c>
      <c r="F688" s="137" t="s">
        <v>114</v>
      </c>
      <c r="G688" s="138" t="s">
        <v>414</v>
      </c>
      <c r="H688" s="139" t="s">
        <v>1266</v>
      </c>
      <c r="I688" s="140">
        <v>1</v>
      </c>
      <c r="J688" s="141">
        <v>33370</v>
      </c>
      <c r="K688" s="141">
        <v>33370</v>
      </c>
      <c r="L688" s="644"/>
      <c r="M688" s="659"/>
      <c r="N688" s="142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  <c r="AA688" s="143"/>
      <c r="AB688" s="143"/>
    </row>
    <row r="689" spans="1:28" s="144" customFormat="1" ht="15" customHeight="1" outlineLevel="1" x14ac:dyDescent="0.2">
      <c r="A689" s="134">
        <v>14</v>
      </c>
      <c r="B689" s="134">
        <v>95287</v>
      </c>
      <c r="C689" s="135">
        <v>41680</v>
      </c>
      <c r="D689" s="136" t="s">
        <v>1267</v>
      </c>
      <c r="E689" s="134" t="s">
        <v>473</v>
      </c>
      <c r="F689" s="198" t="s">
        <v>679</v>
      </c>
      <c r="G689" s="138" t="s">
        <v>366</v>
      </c>
      <c r="H689" s="139" t="s">
        <v>486</v>
      </c>
      <c r="I689" s="140">
        <v>1</v>
      </c>
      <c r="J689" s="141">
        <v>55058</v>
      </c>
      <c r="K689" s="141">
        <v>55058</v>
      </c>
      <c r="L689" s="644"/>
      <c r="M689" s="659"/>
      <c r="N689" s="142"/>
      <c r="O689" s="143"/>
      <c r="P689" s="143"/>
      <c r="Q689" s="143"/>
      <c r="R689" s="143"/>
      <c r="S689" s="143"/>
      <c r="T689" s="143"/>
      <c r="U689" s="143"/>
      <c r="V689" s="143"/>
      <c r="W689" s="143"/>
      <c r="X689" s="143"/>
      <c r="Y689" s="143"/>
      <c r="Z689" s="143"/>
      <c r="AA689" s="143"/>
      <c r="AB689" s="143"/>
    </row>
    <row r="690" spans="1:28" s="144" customFormat="1" ht="15" customHeight="1" outlineLevel="1" x14ac:dyDescent="0.2">
      <c r="A690" s="134">
        <v>15</v>
      </c>
      <c r="B690" s="134">
        <v>95299</v>
      </c>
      <c r="C690" s="135">
        <v>41680</v>
      </c>
      <c r="D690" s="136" t="s">
        <v>1268</v>
      </c>
      <c r="E690" s="134" t="s">
        <v>473</v>
      </c>
      <c r="F690" s="137" t="s">
        <v>114</v>
      </c>
      <c r="G690" s="138" t="s">
        <v>1269</v>
      </c>
      <c r="H690" s="139" t="s">
        <v>560</v>
      </c>
      <c r="I690" s="140">
        <v>2</v>
      </c>
      <c r="J690" s="141">
        <v>33370</v>
      </c>
      <c r="K690" s="141">
        <v>66740</v>
      </c>
      <c r="L690" s="644"/>
      <c r="M690" s="659"/>
      <c r="N690" s="142"/>
      <c r="O690" s="143"/>
      <c r="P690" s="143"/>
      <c r="Q690" s="143"/>
      <c r="R690" s="143"/>
      <c r="S690" s="143"/>
      <c r="T690" s="143"/>
      <c r="U690" s="143"/>
      <c r="V690" s="143"/>
      <c r="W690" s="143"/>
      <c r="X690" s="143"/>
      <c r="Y690" s="143"/>
      <c r="Z690" s="143"/>
      <c r="AA690" s="143"/>
      <c r="AB690" s="143"/>
    </row>
    <row r="691" spans="1:28" s="144" customFormat="1" ht="15" customHeight="1" outlineLevel="1" x14ac:dyDescent="0.2">
      <c r="A691" s="134">
        <v>16</v>
      </c>
      <c r="B691" s="134">
        <v>98465</v>
      </c>
      <c r="C691" s="135">
        <v>41696</v>
      </c>
      <c r="D691" s="136" t="s">
        <v>1270</v>
      </c>
      <c r="E691" s="134" t="s">
        <v>481</v>
      </c>
      <c r="F691" s="137" t="s">
        <v>115</v>
      </c>
      <c r="G691" s="138" t="s">
        <v>1271</v>
      </c>
      <c r="H691" s="139" t="s">
        <v>715</v>
      </c>
      <c r="I691" s="140">
        <v>2</v>
      </c>
      <c r="J691" s="141">
        <v>5274</v>
      </c>
      <c r="K691" s="141">
        <v>10548</v>
      </c>
      <c r="L691" s="644"/>
      <c r="M691" s="659"/>
      <c r="N691" s="142"/>
      <c r="O691" s="143"/>
      <c r="P691" s="143"/>
      <c r="Q691" s="143"/>
      <c r="R691" s="143"/>
      <c r="S691" s="143"/>
      <c r="T691" s="143"/>
      <c r="U691" s="143"/>
      <c r="V691" s="143"/>
      <c r="W691" s="143"/>
      <c r="X691" s="143"/>
      <c r="Y691" s="143"/>
      <c r="Z691" s="143"/>
      <c r="AA691" s="143"/>
      <c r="AB691" s="143"/>
    </row>
    <row r="692" spans="1:28" s="144" customFormat="1" ht="15" customHeight="1" outlineLevel="1" x14ac:dyDescent="0.2">
      <c r="A692" s="134">
        <v>17</v>
      </c>
      <c r="B692" s="134">
        <v>96400</v>
      </c>
      <c r="C692" s="135">
        <v>41696</v>
      </c>
      <c r="D692" s="136" t="s">
        <v>1272</v>
      </c>
      <c r="E692" s="134" t="s">
        <v>909</v>
      </c>
      <c r="F692" s="137" t="s">
        <v>175</v>
      </c>
      <c r="G692" s="138" t="s">
        <v>368</v>
      </c>
      <c r="H692" s="139"/>
      <c r="I692" s="140">
        <v>2</v>
      </c>
      <c r="J692" s="141">
        <v>4521</v>
      </c>
      <c r="K692" s="141">
        <v>9042</v>
      </c>
      <c r="L692" s="644"/>
      <c r="M692" s="659"/>
      <c r="N692" s="142"/>
      <c r="O692" s="143"/>
      <c r="P692" s="143"/>
      <c r="Q692" s="143"/>
      <c r="R692" s="143"/>
      <c r="S692" s="143"/>
      <c r="T692" s="143"/>
      <c r="U692" s="143"/>
      <c r="V692" s="143"/>
      <c r="W692" s="143"/>
      <c r="X692" s="143"/>
      <c r="Y692" s="143"/>
      <c r="Z692" s="143"/>
      <c r="AA692" s="143"/>
      <c r="AB692" s="143"/>
    </row>
    <row r="693" spans="1:28" s="144" customFormat="1" ht="15" customHeight="1" outlineLevel="1" x14ac:dyDescent="0.2">
      <c r="A693" s="134">
        <v>18</v>
      </c>
      <c r="B693" s="134">
        <v>96400</v>
      </c>
      <c r="C693" s="135">
        <v>41696</v>
      </c>
      <c r="D693" s="136" t="s">
        <v>1272</v>
      </c>
      <c r="E693" s="134" t="s">
        <v>909</v>
      </c>
      <c r="F693" s="137" t="s">
        <v>176</v>
      </c>
      <c r="G693" s="138" t="s">
        <v>368</v>
      </c>
      <c r="H693" s="139"/>
      <c r="I693" s="140">
        <v>1</v>
      </c>
      <c r="J693" s="141">
        <v>12374</v>
      </c>
      <c r="K693" s="141">
        <v>12374</v>
      </c>
      <c r="L693" s="644"/>
      <c r="M693" s="659"/>
      <c r="N693" s="142"/>
      <c r="O693" s="143"/>
      <c r="P693" s="143"/>
      <c r="Q693" s="143"/>
      <c r="R693" s="143"/>
      <c r="S693" s="143"/>
      <c r="T693" s="143"/>
      <c r="U693" s="143"/>
      <c r="V693" s="143"/>
      <c r="W693" s="143"/>
      <c r="X693" s="143"/>
      <c r="Y693" s="143"/>
      <c r="Z693" s="143"/>
      <c r="AA693" s="143"/>
      <c r="AB693" s="143"/>
    </row>
    <row r="694" spans="1:28" s="144" customFormat="1" ht="15" customHeight="1" outlineLevel="1" x14ac:dyDescent="0.2">
      <c r="A694" s="134">
        <v>19</v>
      </c>
      <c r="B694" s="134">
        <v>96286</v>
      </c>
      <c r="C694" s="135">
        <v>41684</v>
      </c>
      <c r="D694" s="136" t="s">
        <v>1273</v>
      </c>
      <c r="E694" s="134" t="s">
        <v>473</v>
      </c>
      <c r="F694" s="137" t="s">
        <v>577</v>
      </c>
      <c r="G694" s="138" t="s">
        <v>368</v>
      </c>
      <c r="H694" s="139"/>
      <c r="I694" s="140">
        <v>1</v>
      </c>
      <c r="J694" s="141">
        <v>25800</v>
      </c>
      <c r="K694" s="141">
        <v>25800</v>
      </c>
      <c r="L694" s="644"/>
      <c r="M694" s="659"/>
      <c r="N694" s="142"/>
      <c r="O694" s="143"/>
      <c r="P694" s="143"/>
      <c r="Q694" s="143"/>
      <c r="R694" s="143"/>
      <c r="S694" s="143"/>
      <c r="T694" s="143"/>
      <c r="U694" s="143"/>
      <c r="V694" s="143"/>
      <c r="W694" s="143"/>
      <c r="X694" s="143"/>
      <c r="Y694" s="143"/>
      <c r="Z694" s="143"/>
      <c r="AA694" s="143"/>
      <c r="AB694" s="143"/>
    </row>
    <row r="695" spans="1:28" s="144" customFormat="1" ht="15" customHeight="1" outlineLevel="1" x14ac:dyDescent="0.2">
      <c r="A695" s="134">
        <v>20</v>
      </c>
      <c r="B695" s="134">
        <v>96573</v>
      </c>
      <c r="C695" s="135">
        <v>41684</v>
      </c>
      <c r="D695" s="136" t="s">
        <v>1274</v>
      </c>
      <c r="E695" s="134" t="s">
        <v>473</v>
      </c>
      <c r="F695" s="137" t="s">
        <v>215</v>
      </c>
      <c r="G695" s="138" t="s">
        <v>368</v>
      </c>
      <c r="H695" s="139" t="s">
        <v>486</v>
      </c>
      <c r="I695" s="140">
        <v>1</v>
      </c>
      <c r="J695" s="141">
        <v>44597</v>
      </c>
      <c r="K695" s="141">
        <v>44597</v>
      </c>
      <c r="L695" s="644"/>
      <c r="M695" s="659"/>
      <c r="N695" s="142"/>
      <c r="O695" s="143"/>
      <c r="P695" s="143"/>
      <c r="Q695" s="143"/>
      <c r="R695" s="143"/>
      <c r="S695" s="143"/>
      <c r="T695" s="143"/>
      <c r="U695" s="143"/>
      <c r="V695" s="143"/>
      <c r="W695" s="143"/>
      <c r="X695" s="143"/>
      <c r="Y695" s="143"/>
      <c r="Z695" s="143"/>
      <c r="AA695" s="143"/>
      <c r="AB695" s="143"/>
    </row>
    <row r="696" spans="1:28" s="144" customFormat="1" ht="15" customHeight="1" outlineLevel="1" x14ac:dyDescent="0.2">
      <c r="A696" s="134">
        <v>21</v>
      </c>
      <c r="B696" s="134">
        <v>95851</v>
      </c>
      <c r="C696" s="135">
        <v>41684</v>
      </c>
      <c r="D696" s="136" t="s">
        <v>1275</v>
      </c>
      <c r="E696" s="134" t="s">
        <v>473</v>
      </c>
      <c r="F696" s="137" t="s">
        <v>679</v>
      </c>
      <c r="G696" s="138" t="s">
        <v>368</v>
      </c>
      <c r="H696" s="139" t="s">
        <v>486</v>
      </c>
      <c r="I696" s="140">
        <v>1</v>
      </c>
      <c r="J696" s="141">
        <v>55058</v>
      </c>
      <c r="K696" s="141">
        <v>55058</v>
      </c>
      <c r="L696" s="644"/>
      <c r="M696" s="659"/>
      <c r="N696" s="142"/>
      <c r="O696" s="143"/>
      <c r="P696" s="143"/>
      <c r="Q696" s="143"/>
      <c r="R696" s="143"/>
      <c r="S696" s="143"/>
      <c r="T696" s="143"/>
      <c r="U696" s="143"/>
      <c r="V696" s="143"/>
      <c r="W696" s="143"/>
      <c r="X696" s="143"/>
      <c r="Y696" s="143"/>
      <c r="Z696" s="143"/>
      <c r="AA696" s="143"/>
      <c r="AB696" s="143"/>
    </row>
    <row r="697" spans="1:28" s="144" customFormat="1" ht="15" customHeight="1" outlineLevel="1" x14ac:dyDescent="0.2">
      <c r="A697" s="134">
        <v>22</v>
      </c>
      <c r="B697" s="134">
        <v>95713</v>
      </c>
      <c r="C697" s="135">
        <v>41681</v>
      </c>
      <c r="D697" s="136" t="s">
        <v>1276</v>
      </c>
      <c r="E697" s="134" t="s">
        <v>473</v>
      </c>
      <c r="F697" s="137" t="s">
        <v>534</v>
      </c>
      <c r="G697" s="138" t="s">
        <v>559</v>
      </c>
      <c r="H697" s="139" t="s">
        <v>557</v>
      </c>
      <c r="I697" s="140">
        <v>1</v>
      </c>
      <c r="J697" s="141">
        <v>30429</v>
      </c>
      <c r="K697" s="141">
        <v>30429</v>
      </c>
      <c r="L697" s="644"/>
      <c r="M697" s="659"/>
      <c r="N697" s="142"/>
      <c r="O697" s="143"/>
      <c r="P697" s="143"/>
      <c r="Q697" s="143"/>
      <c r="R697" s="143"/>
      <c r="S697" s="143"/>
      <c r="T697" s="143"/>
      <c r="U697" s="143"/>
      <c r="V697" s="143"/>
      <c r="W697" s="143"/>
      <c r="X697" s="143"/>
      <c r="Y697" s="143"/>
      <c r="Z697" s="143"/>
      <c r="AA697" s="143"/>
      <c r="AB697" s="143"/>
    </row>
    <row r="698" spans="1:28" s="144" customFormat="1" ht="15" customHeight="1" outlineLevel="1" x14ac:dyDescent="0.2">
      <c r="A698" s="134">
        <v>23</v>
      </c>
      <c r="B698" s="134">
        <v>95465</v>
      </c>
      <c r="C698" s="135">
        <v>41680</v>
      </c>
      <c r="D698" s="136" t="s">
        <v>1277</v>
      </c>
      <c r="E698" s="134" t="s">
        <v>473</v>
      </c>
      <c r="F698" s="137" t="s">
        <v>115</v>
      </c>
      <c r="G698" s="138" t="s">
        <v>469</v>
      </c>
      <c r="H698" s="139" t="s">
        <v>570</v>
      </c>
      <c r="I698" s="140">
        <v>1</v>
      </c>
      <c r="J698" s="141">
        <v>5274</v>
      </c>
      <c r="K698" s="141">
        <v>5274</v>
      </c>
      <c r="L698" s="644"/>
      <c r="M698" s="659"/>
      <c r="N698" s="142"/>
      <c r="O698" s="143"/>
      <c r="P698" s="143"/>
      <c r="Q698" s="143"/>
      <c r="R698" s="143"/>
      <c r="S698" s="143"/>
      <c r="T698" s="143"/>
      <c r="U698" s="143"/>
      <c r="V698" s="143"/>
      <c r="W698" s="143"/>
      <c r="X698" s="143"/>
      <c r="Y698" s="143"/>
      <c r="Z698" s="143"/>
      <c r="AA698" s="143"/>
      <c r="AB698" s="143"/>
    </row>
    <row r="699" spans="1:28" s="144" customFormat="1" ht="15" customHeight="1" outlineLevel="1" x14ac:dyDescent="0.2">
      <c r="A699" s="134">
        <v>25</v>
      </c>
      <c r="B699" s="134">
        <v>94204</v>
      </c>
      <c r="C699" s="135">
        <v>41674</v>
      </c>
      <c r="D699" s="136" t="s">
        <v>1278</v>
      </c>
      <c r="E699" s="134" t="s">
        <v>475</v>
      </c>
      <c r="F699" s="137" t="s">
        <v>215</v>
      </c>
      <c r="G699" s="138" t="s">
        <v>368</v>
      </c>
      <c r="H699" s="139" t="s">
        <v>715</v>
      </c>
      <c r="I699" s="140">
        <v>1</v>
      </c>
      <c r="J699" s="141">
        <v>44597</v>
      </c>
      <c r="K699" s="141">
        <v>44597</v>
      </c>
      <c r="L699" s="644"/>
      <c r="M699" s="659"/>
      <c r="N699" s="142"/>
      <c r="O699" s="143"/>
      <c r="P699" s="143"/>
      <c r="Q699" s="143"/>
      <c r="R699" s="143"/>
      <c r="S699" s="143"/>
      <c r="T699" s="143"/>
      <c r="U699" s="143"/>
      <c r="V699" s="143"/>
      <c r="W699" s="143"/>
      <c r="X699" s="143"/>
      <c r="Y699" s="143"/>
      <c r="Z699" s="143"/>
      <c r="AA699" s="143"/>
      <c r="AB699" s="143"/>
    </row>
    <row r="700" spans="1:28" s="144" customFormat="1" ht="15" customHeight="1" outlineLevel="1" x14ac:dyDescent="0.2">
      <c r="A700" s="134">
        <v>26</v>
      </c>
      <c r="B700" s="134">
        <v>93877</v>
      </c>
      <c r="C700" s="135">
        <v>41674</v>
      </c>
      <c r="D700" s="136" t="s">
        <v>1279</v>
      </c>
      <c r="E700" s="134" t="s">
        <v>694</v>
      </c>
      <c r="F700" s="137" t="s">
        <v>217</v>
      </c>
      <c r="G700" s="138" t="s">
        <v>397</v>
      </c>
      <c r="H700" s="139" t="s">
        <v>486</v>
      </c>
      <c r="I700" s="140">
        <v>1</v>
      </c>
      <c r="J700" s="141">
        <v>22299</v>
      </c>
      <c r="K700" s="141">
        <v>22299</v>
      </c>
      <c r="L700" s="644"/>
      <c r="M700" s="659"/>
      <c r="N700" s="142"/>
      <c r="O700" s="143"/>
      <c r="P700" s="143"/>
      <c r="Q700" s="143"/>
      <c r="R700" s="143"/>
      <c r="S700" s="143"/>
      <c r="T700" s="143"/>
      <c r="U700" s="143"/>
      <c r="V700" s="143"/>
      <c r="W700" s="143"/>
      <c r="X700" s="143"/>
      <c r="Y700" s="143"/>
      <c r="Z700" s="143"/>
      <c r="AA700" s="143"/>
      <c r="AB700" s="143"/>
    </row>
    <row r="701" spans="1:28" s="144" customFormat="1" ht="15" customHeight="1" outlineLevel="1" x14ac:dyDescent="0.2">
      <c r="A701" s="134">
        <v>28</v>
      </c>
      <c r="B701" s="134">
        <v>95734</v>
      </c>
      <c r="C701" s="135">
        <v>41682</v>
      </c>
      <c r="D701" s="136" t="s">
        <v>1280</v>
      </c>
      <c r="E701" s="134" t="s">
        <v>473</v>
      </c>
      <c r="F701" s="137" t="s">
        <v>534</v>
      </c>
      <c r="G701" s="138" t="s">
        <v>428</v>
      </c>
      <c r="H701" s="139" t="s">
        <v>594</v>
      </c>
      <c r="I701" s="140">
        <v>1</v>
      </c>
      <c r="J701" s="141">
        <v>30429</v>
      </c>
      <c r="K701" s="141">
        <v>30429</v>
      </c>
      <c r="L701" s="644"/>
      <c r="M701" s="659"/>
      <c r="N701" s="142"/>
      <c r="O701" s="143"/>
      <c r="P701" s="143"/>
      <c r="Q701" s="143"/>
      <c r="R701" s="143"/>
      <c r="S701" s="143"/>
      <c r="T701" s="143"/>
      <c r="U701" s="143"/>
      <c r="V701" s="143"/>
      <c r="W701" s="143"/>
      <c r="X701" s="143"/>
      <c r="Y701" s="143"/>
      <c r="Z701" s="143"/>
      <c r="AA701" s="143"/>
      <c r="AB701" s="143"/>
    </row>
    <row r="702" spans="1:28" s="144" customFormat="1" ht="15" customHeight="1" outlineLevel="1" x14ac:dyDescent="0.2">
      <c r="A702" s="134">
        <v>29</v>
      </c>
      <c r="B702" s="134">
        <v>96922</v>
      </c>
      <c r="C702" s="135">
        <v>41688</v>
      </c>
      <c r="D702" s="136" t="s">
        <v>1251</v>
      </c>
      <c r="E702" s="134" t="s">
        <v>473</v>
      </c>
      <c r="F702" s="137" t="s">
        <v>619</v>
      </c>
      <c r="G702" s="138" t="s">
        <v>384</v>
      </c>
      <c r="H702" s="139"/>
      <c r="I702" s="140">
        <v>2</v>
      </c>
      <c r="J702" s="141">
        <v>15722</v>
      </c>
      <c r="K702" s="141">
        <v>31444</v>
      </c>
      <c r="L702" s="644"/>
      <c r="M702" s="659"/>
      <c r="N702" s="142"/>
      <c r="O702" s="143"/>
      <c r="P702" s="143"/>
      <c r="Q702" s="143"/>
      <c r="R702" s="143"/>
      <c r="S702" s="143"/>
      <c r="T702" s="143"/>
      <c r="U702" s="143"/>
      <c r="V702" s="143"/>
      <c r="W702" s="143"/>
      <c r="X702" s="143"/>
      <c r="Y702" s="143"/>
      <c r="Z702" s="143"/>
      <c r="AA702" s="143"/>
      <c r="AB702" s="143"/>
    </row>
    <row r="703" spans="1:28" s="144" customFormat="1" ht="15" customHeight="1" outlineLevel="1" x14ac:dyDescent="0.2">
      <c r="A703" s="134">
        <v>30</v>
      </c>
      <c r="B703" s="134">
        <v>89036</v>
      </c>
      <c r="C703" s="135">
        <v>41656</v>
      </c>
      <c r="D703" s="136" t="s">
        <v>1281</v>
      </c>
      <c r="E703" s="134" t="s">
        <v>473</v>
      </c>
      <c r="F703" s="137" t="s">
        <v>534</v>
      </c>
      <c r="G703" s="138" t="s">
        <v>524</v>
      </c>
      <c r="H703" s="139" t="s">
        <v>1282</v>
      </c>
      <c r="I703" s="140">
        <v>1</v>
      </c>
      <c r="J703" s="141">
        <v>30429</v>
      </c>
      <c r="K703" s="168">
        <v>30429</v>
      </c>
      <c r="L703" s="644"/>
      <c r="M703" s="659"/>
      <c r="N703" s="142"/>
      <c r="O703" s="143"/>
      <c r="P703" s="143"/>
      <c r="Q703" s="143"/>
      <c r="R703" s="143"/>
      <c r="S703" s="143"/>
      <c r="T703" s="143"/>
      <c r="U703" s="143"/>
      <c r="V703" s="143"/>
      <c r="W703" s="143"/>
      <c r="X703" s="143"/>
      <c r="Y703" s="143"/>
      <c r="Z703" s="143"/>
      <c r="AA703" s="143"/>
      <c r="AB703" s="143"/>
    </row>
    <row r="704" spans="1:28" s="144" customFormat="1" ht="15" customHeight="1" outlineLevel="1" x14ac:dyDescent="0.2">
      <c r="A704" s="134">
        <v>31</v>
      </c>
      <c r="B704" s="134">
        <v>95463</v>
      </c>
      <c r="C704" s="135">
        <v>41680</v>
      </c>
      <c r="D704" s="136" t="s">
        <v>1283</v>
      </c>
      <c r="E704" s="134" t="s">
        <v>473</v>
      </c>
      <c r="F704" s="137" t="s">
        <v>534</v>
      </c>
      <c r="G704" s="138" t="s">
        <v>535</v>
      </c>
      <c r="H704" s="139" t="s">
        <v>1266</v>
      </c>
      <c r="I704" s="140">
        <v>1</v>
      </c>
      <c r="J704" s="141">
        <v>30429</v>
      </c>
      <c r="K704" s="141">
        <v>30429</v>
      </c>
      <c r="L704" s="645"/>
      <c r="M704" s="660"/>
      <c r="N704" s="142"/>
      <c r="O704" s="143"/>
      <c r="P704" s="143"/>
      <c r="Q704" s="143"/>
      <c r="R704" s="143"/>
      <c r="S704" s="143"/>
      <c r="T704" s="143"/>
      <c r="U704" s="143"/>
      <c r="V704" s="143"/>
      <c r="W704" s="143"/>
      <c r="X704" s="143"/>
      <c r="Y704" s="143"/>
      <c r="Z704" s="143"/>
      <c r="AA704" s="143"/>
      <c r="AB704" s="143"/>
    </row>
    <row r="705" spans="1:28" s="133" customFormat="1" ht="15" customHeight="1" outlineLevel="1" x14ac:dyDescent="0.2">
      <c r="A705" s="121">
        <v>1</v>
      </c>
      <c r="B705" s="121">
        <v>5574</v>
      </c>
      <c r="C705" s="122">
        <v>41724</v>
      </c>
      <c r="D705" s="123" t="s">
        <v>1284</v>
      </c>
      <c r="E705" s="121" t="s">
        <v>473</v>
      </c>
      <c r="F705" s="124" t="s">
        <v>577</v>
      </c>
      <c r="G705" s="125" t="s">
        <v>368</v>
      </c>
      <c r="H705" s="126"/>
      <c r="I705" s="127">
        <v>1</v>
      </c>
      <c r="J705" s="128">
        <v>25800</v>
      </c>
      <c r="K705" s="128">
        <v>25800</v>
      </c>
      <c r="L705" s="661" t="s">
        <v>578</v>
      </c>
      <c r="M705" s="641" t="s">
        <v>36</v>
      </c>
      <c r="N705" s="131"/>
      <c r="O705" s="132"/>
      <c r="P705" s="132"/>
      <c r="Q705" s="132"/>
      <c r="R705" s="132"/>
      <c r="S705" s="132"/>
      <c r="T705" s="132"/>
      <c r="U705" s="132"/>
      <c r="V705" s="132"/>
      <c r="W705" s="132"/>
      <c r="X705" s="132"/>
      <c r="Y705" s="132"/>
      <c r="Z705" s="132"/>
      <c r="AA705" s="132"/>
      <c r="AB705" s="132"/>
    </row>
    <row r="706" spans="1:28" s="133" customFormat="1" ht="15" customHeight="1" outlineLevel="1" x14ac:dyDescent="0.2">
      <c r="A706" s="121">
        <v>2</v>
      </c>
      <c r="B706" s="121">
        <v>2414</v>
      </c>
      <c r="C706" s="122">
        <v>41712</v>
      </c>
      <c r="D706" s="123" t="s">
        <v>1285</v>
      </c>
      <c r="E706" s="121" t="s">
        <v>481</v>
      </c>
      <c r="F706" s="124" t="s">
        <v>215</v>
      </c>
      <c r="G706" s="125" t="s">
        <v>384</v>
      </c>
      <c r="H706" s="126" t="s">
        <v>486</v>
      </c>
      <c r="I706" s="127">
        <v>2</v>
      </c>
      <c r="J706" s="128">
        <v>44597</v>
      </c>
      <c r="K706" s="128">
        <v>89194</v>
      </c>
      <c r="L706" s="662"/>
      <c r="M706" s="681"/>
      <c r="N706" s="131"/>
      <c r="O706" s="132"/>
      <c r="P706" s="132"/>
      <c r="Q706" s="132"/>
      <c r="R706" s="132"/>
      <c r="S706" s="132"/>
      <c r="T706" s="132"/>
      <c r="U706" s="132"/>
      <c r="V706" s="132"/>
      <c r="W706" s="132"/>
      <c r="X706" s="132"/>
      <c r="Y706" s="132"/>
      <c r="Z706" s="132"/>
      <c r="AA706" s="132"/>
      <c r="AB706" s="132"/>
    </row>
    <row r="707" spans="1:28" s="133" customFormat="1" ht="15" customHeight="1" outlineLevel="1" x14ac:dyDescent="0.2">
      <c r="A707" s="121">
        <v>3</v>
      </c>
      <c r="B707" s="121">
        <v>3300</v>
      </c>
      <c r="C707" s="122">
        <v>41718</v>
      </c>
      <c r="D707" s="123" t="s">
        <v>1286</v>
      </c>
      <c r="E707" s="121" t="s">
        <v>481</v>
      </c>
      <c r="F707" s="124" t="s">
        <v>115</v>
      </c>
      <c r="G707" s="125" t="s">
        <v>416</v>
      </c>
      <c r="H707" s="126" t="s">
        <v>486</v>
      </c>
      <c r="I707" s="127">
        <v>1</v>
      </c>
      <c r="J707" s="128">
        <v>5274</v>
      </c>
      <c r="K707" s="128">
        <v>5274</v>
      </c>
      <c r="L707" s="662"/>
      <c r="M707" s="681"/>
      <c r="N707" s="131"/>
      <c r="O707" s="132"/>
      <c r="P707" s="132"/>
      <c r="Q707" s="132"/>
      <c r="R707" s="132"/>
      <c r="S707" s="132"/>
      <c r="T707" s="132"/>
      <c r="U707" s="132"/>
      <c r="V707" s="132"/>
      <c r="W707" s="132"/>
      <c r="X707" s="132"/>
      <c r="Y707" s="132"/>
      <c r="Z707" s="132"/>
      <c r="AA707" s="132"/>
      <c r="AB707" s="132"/>
    </row>
    <row r="708" spans="1:28" s="133" customFormat="1" ht="15" customHeight="1" outlineLevel="1" x14ac:dyDescent="0.2">
      <c r="A708" s="121">
        <v>4</v>
      </c>
      <c r="B708" s="121">
        <v>1271</v>
      </c>
      <c r="C708" s="122">
        <v>41710</v>
      </c>
      <c r="D708" s="123" t="s">
        <v>1287</v>
      </c>
      <c r="E708" s="121" t="s">
        <v>478</v>
      </c>
      <c r="F708" s="124" t="s">
        <v>115</v>
      </c>
      <c r="G708" s="125" t="s">
        <v>404</v>
      </c>
      <c r="H708" s="126" t="s">
        <v>570</v>
      </c>
      <c r="I708" s="127">
        <v>1</v>
      </c>
      <c r="J708" s="128">
        <v>5274</v>
      </c>
      <c r="K708" s="128">
        <v>5274</v>
      </c>
      <c r="L708" s="662"/>
      <c r="M708" s="681"/>
      <c r="N708" s="131"/>
      <c r="O708" s="132"/>
      <c r="P708" s="132"/>
      <c r="Q708" s="132"/>
      <c r="R708" s="132"/>
      <c r="S708" s="132"/>
      <c r="T708" s="132"/>
      <c r="U708" s="132"/>
      <c r="V708" s="132"/>
      <c r="W708" s="132"/>
      <c r="X708" s="132"/>
      <c r="Y708" s="132"/>
      <c r="Z708" s="132"/>
      <c r="AA708" s="132"/>
      <c r="AB708" s="132"/>
    </row>
    <row r="709" spans="1:28" s="133" customFormat="1" ht="15" customHeight="1" outlineLevel="1" x14ac:dyDescent="0.2">
      <c r="A709" s="121">
        <v>5</v>
      </c>
      <c r="B709" s="121">
        <v>950</v>
      </c>
      <c r="C709" s="122">
        <v>41708</v>
      </c>
      <c r="D709" s="123" t="s">
        <v>1288</v>
      </c>
      <c r="E709" s="121" t="s">
        <v>473</v>
      </c>
      <c r="F709" s="124" t="s">
        <v>215</v>
      </c>
      <c r="G709" s="125" t="s">
        <v>384</v>
      </c>
      <c r="H709" s="126" t="s">
        <v>486</v>
      </c>
      <c r="I709" s="127">
        <v>2</v>
      </c>
      <c r="J709" s="128">
        <v>44597</v>
      </c>
      <c r="K709" s="128">
        <v>89194</v>
      </c>
      <c r="L709" s="662"/>
      <c r="M709" s="681"/>
      <c r="N709" s="131"/>
      <c r="O709" s="132"/>
      <c r="P709" s="132"/>
      <c r="Q709" s="132"/>
      <c r="R709" s="132"/>
      <c r="S709" s="132"/>
      <c r="T709" s="132"/>
      <c r="U709" s="132"/>
      <c r="V709" s="132"/>
      <c r="W709" s="132"/>
      <c r="X709" s="132"/>
      <c r="Y709" s="132"/>
      <c r="Z709" s="132"/>
      <c r="AA709" s="132"/>
      <c r="AB709" s="132"/>
    </row>
    <row r="710" spans="1:28" s="133" customFormat="1" ht="15" customHeight="1" outlineLevel="1" x14ac:dyDescent="0.2">
      <c r="A710" s="121">
        <v>6</v>
      </c>
      <c r="B710" s="121">
        <v>98608</v>
      </c>
      <c r="C710" s="122">
        <v>41696</v>
      </c>
      <c r="D710" s="123" t="s">
        <v>1289</v>
      </c>
      <c r="E710" s="121" t="s">
        <v>481</v>
      </c>
      <c r="F710" s="124" t="s">
        <v>215</v>
      </c>
      <c r="G710" s="125" t="s">
        <v>368</v>
      </c>
      <c r="H710" s="126" t="s">
        <v>486</v>
      </c>
      <c r="I710" s="127">
        <v>1</v>
      </c>
      <c r="J710" s="128">
        <v>44597</v>
      </c>
      <c r="K710" s="206">
        <v>44597</v>
      </c>
      <c r="L710" s="662"/>
      <c r="M710" s="681"/>
      <c r="N710" s="131"/>
      <c r="O710" s="132"/>
      <c r="P710" s="132"/>
      <c r="Q710" s="132"/>
      <c r="R710" s="132"/>
      <c r="S710" s="132"/>
      <c r="T710" s="132"/>
      <c r="U710" s="132"/>
      <c r="V710" s="132"/>
      <c r="W710" s="132"/>
      <c r="X710" s="132"/>
      <c r="Y710" s="132"/>
      <c r="Z710" s="132"/>
      <c r="AA710" s="132"/>
      <c r="AB710" s="132"/>
    </row>
    <row r="711" spans="1:28" s="133" customFormat="1" ht="15" customHeight="1" outlineLevel="1" x14ac:dyDescent="0.2">
      <c r="A711" s="121">
        <v>7</v>
      </c>
      <c r="B711" s="121">
        <v>3630</v>
      </c>
      <c r="C711" s="122">
        <v>41717</v>
      </c>
      <c r="D711" s="123" t="s">
        <v>1290</v>
      </c>
      <c r="E711" s="121" t="s">
        <v>473</v>
      </c>
      <c r="F711" s="124" t="s">
        <v>534</v>
      </c>
      <c r="G711" s="125" t="s">
        <v>439</v>
      </c>
      <c r="H711" s="126"/>
      <c r="I711" s="127">
        <v>1</v>
      </c>
      <c r="J711" s="128">
        <v>30429</v>
      </c>
      <c r="K711" s="128">
        <v>30429</v>
      </c>
      <c r="L711" s="662"/>
      <c r="M711" s="681"/>
      <c r="N711" s="131"/>
      <c r="O711" s="132"/>
      <c r="P711" s="132"/>
      <c r="Q711" s="132"/>
      <c r="R711" s="132"/>
      <c r="S711" s="132"/>
      <c r="T711" s="132"/>
      <c r="U711" s="132"/>
      <c r="V711" s="132"/>
      <c r="W711" s="132"/>
      <c r="X711" s="132"/>
      <c r="Y711" s="132"/>
      <c r="Z711" s="132"/>
      <c r="AA711" s="132"/>
      <c r="AB711" s="132"/>
    </row>
    <row r="712" spans="1:28" s="133" customFormat="1" ht="15" customHeight="1" outlineLevel="1" x14ac:dyDescent="0.2">
      <c r="A712" s="121">
        <v>8</v>
      </c>
      <c r="B712" s="121">
        <v>3576</v>
      </c>
      <c r="C712" s="122">
        <v>41718</v>
      </c>
      <c r="D712" s="123" t="s">
        <v>1291</v>
      </c>
      <c r="E712" s="121" t="s">
        <v>471</v>
      </c>
      <c r="F712" s="124" t="s">
        <v>115</v>
      </c>
      <c r="G712" s="125" t="s">
        <v>428</v>
      </c>
      <c r="H712" s="126" t="s">
        <v>486</v>
      </c>
      <c r="I712" s="127">
        <v>1</v>
      </c>
      <c r="J712" s="128">
        <v>5274</v>
      </c>
      <c r="K712" s="128">
        <v>5274</v>
      </c>
      <c r="L712" s="662"/>
      <c r="M712" s="681"/>
      <c r="N712" s="131"/>
      <c r="O712" s="132"/>
      <c r="P712" s="132"/>
      <c r="Q712" s="132"/>
      <c r="R712" s="132"/>
      <c r="S712" s="132"/>
      <c r="T712" s="132"/>
      <c r="U712" s="132"/>
      <c r="V712" s="132"/>
      <c r="W712" s="132"/>
      <c r="X712" s="132"/>
      <c r="Y712" s="132"/>
      <c r="Z712" s="132"/>
      <c r="AA712" s="132"/>
      <c r="AB712" s="132"/>
    </row>
    <row r="713" spans="1:28" s="133" customFormat="1" ht="15" customHeight="1" outlineLevel="1" x14ac:dyDescent="0.2">
      <c r="A713" s="121">
        <v>9</v>
      </c>
      <c r="B713" s="121">
        <v>4649</v>
      </c>
      <c r="C713" s="122">
        <v>41719</v>
      </c>
      <c r="D713" s="123" t="s">
        <v>1292</v>
      </c>
      <c r="E713" s="121" t="s">
        <v>1293</v>
      </c>
      <c r="F713" s="124" t="s">
        <v>215</v>
      </c>
      <c r="G713" s="125" t="s">
        <v>482</v>
      </c>
      <c r="H713" s="126" t="s">
        <v>486</v>
      </c>
      <c r="I713" s="127">
        <v>2</v>
      </c>
      <c r="J713" s="128">
        <v>44597</v>
      </c>
      <c r="K713" s="128">
        <v>89194</v>
      </c>
      <c r="L713" s="662"/>
      <c r="M713" s="681"/>
      <c r="N713" s="131"/>
      <c r="O713" s="132"/>
      <c r="P713" s="132"/>
      <c r="Q713" s="132"/>
      <c r="R713" s="132"/>
      <c r="S713" s="132"/>
      <c r="T713" s="132"/>
      <c r="U713" s="132"/>
      <c r="V713" s="132"/>
      <c r="W713" s="132"/>
      <c r="X713" s="132"/>
      <c r="Y713" s="132"/>
      <c r="Z713" s="132"/>
      <c r="AA713" s="132"/>
      <c r="AB713" s="132"/>
    </row>
    <row r="714" spans="1:28" s="133" customFormat="1" ht="15" customHeight="1" outlineLevel="1" x14ac:dyDescent="0.2">
      <c r="A714" s="121">
        <v>10</v>
      </c>
      <c r="B714" s="121">
        <v>6601</v>
      </c>
      <c r="C714" s="122">
        <v>41729</v>
      </c>
      <c r="D714" s="123" t="s">
        <v>1294</v>
      </c>
      <c r="E714" s="121" t="s">
        <v>481</v>
      </c>
      <c r="F714" s="124" t="s">
        <v>115</v>
      </c>
      <c r="G714" s="125" t="s">
        <v>431</v>
      </c>
      <c r="H714" s="126" t="s">
        <v>700</v>
      </c>
      <c r="I714" s="127">
        <v>1</v>
      </c>
      <c r="J714" s="128">
        <v>5274</v>
      </c>
      <c r="K714" s="128">
        <v>5274</v>
      </c>
      <c r="L714" s="662"/>
      <c r="M714" s="681"/>
      <c r="N714" s="131"/>
      <c r="O714" s="132"/>
      <c r="P714" s="132"/>
      <c r="Q714" s="132"/>
      <c r="R714" s="132"/>
      <c r="S714" s="132"/>
      <c r="T714" s="132"/>
      <c r="U714" s="132"/>
      <c r="V714" s="132"/>
      <c r="W714" s="132"/>
      <c r="X714" s="132"/>
      <c r="Y714" s="132"/>
      <c r="Z714" s="132"/>
      <c r="AA714" s="132"/>
      <c r="AB714" s="132"/>
    </row>
    <row r="715" spans="1:28" s="133" customFormat="1" ht="15" customHeight="1" outlineLevel="1" x14ac:dyDescent="0.2">
      <c r="A715" s="121">
        <v>11</v>
      </c>
      <c r="B715" s="121">
        <v>673</v>
      </c>
      <c r="C715" s="122">
        <v>41705</v>
      </c>
      <c r="D715" s="123" t="s">
        <v>1295</v>
      </c>
      <c r="E715" s="121" t="s">
        <v>481</v>
      </c>
      <c r="F715" s="124" t="s">
        <v>115</v>
      </c>
      <c r="G715" s="125" t="s">
        <v>524</v>
      </c>
      <c r="H715" s="126" t="s">
        <v>486</v>
      </c>
      <c r="I715" s="127">
        <v>1</v>
      </c>
      <c r="J715" s="128">
        <v>5274</v>
      </c>
      <c r="K715" s="128">
        <v>5274</v>
      </c>
      <c r="L715" s="662"/>
      <c r="M715" s="681"/>
      <c r="N715" s="131"/>
      <c r="O715" s="132"/>
      <c r="P715" s="132"/>
      <c r="Q715" s="132"/>
      <c r="R715" s="132"/>
      <c r="S715" s="132"/>
      <c r="T715" s="132"/>
      <c r="U715" s="132"/>
      <c r="V715" s="132"/>
      <c r="W715" s="132"/>
      <c r="X715" s="132"/>
      <c r="Y715" s="132"/>
      <c r="Z715" s="132"/>
      <c r="AA715" s="132"/>
      <c r="AB715" s="132"/>
    </row>
    <row r="716" spans="1:28" s="133" customFormat="1" ht="15" customHeight="1" outlineLevel="1" x14ac:dyDescent="0.2">
      <c r="A716" s="121">
        <v>12</v>
      </c>
      <c r="B716" s="121">
        <v>5105</v>
      </c>
      <c r="C716" s="122">
        <v>41722</v>
      </c>
      <c r="D716" s="123" t="s">
        <v>1296</v>
      </c>
      <c r="E716" s="121" t="s">
        <v>473</v>
      </c>
      <c r="F716" s="124" t="s">
        <v>202</v>
      </c>
      <c r="G716" s="125" t="s">
        <v>412</v>
      </c>
      <c r="H716" s="126"/>
      <c r="I716" s="127">
        <v>1</v>
      </c>
      <c r="J716" s="128">
        <v>17244</v>
      </c>
      <c r="K716" s="128">
        <v>17244</v>
      </c>
      <c r="L716" s="662"/>
      <c r="M716" s="681"/>
      <c r="N716" s="131"/>
      <c r="O716" s="132"/>
      <c r="P716" s="132"/>
      <c r="Q716" s="132"/>
      <c r="R716" s="132"/>
      <c r="S716" s="132"/>
      <c r="T716" s="132"/>
      <c r="U716" s="132"/>
      <c r="V716" s="132"/>
      <c r="W716" s="132"/>
      <c r="X716" s="132"/>
      <c r="Y716" s="132"/>
      <c r="Z716" s="132"/>
      <c r="AA716" s="132"/>
      <c r="AB716" s="132"/>
    </row>
    <row r="717" spans="1:28" s="133" customFormat="1" ht="15" customHeight="1" outlineLevel="1" x14ac:dyDescent="0.2">
      <c r="A717" s="121">
        <v>13</v>
      </c>
      <c r="B717" s="134">
        <v>99734</v>
      </c>
      <c r="C717" s="135">
        <v>41703</v>
      </c>
      <c r="D717" s="136" t="s">
        <v>1297</v>
      </c>
      <c r="E717" s="134" t="s">
        <v>481</v>
      </c>
      <c r="F717" s="137" t="s">
        <v>1298</v>
      </c>
      <c r="G717" s="138" t="s">
        <v>368</v>
      </c>
      <c r="H717" s="139"/>
      <c r="I717" s="140">
        <v>1</v>
      </c>
      <c r="J717" s="141">
        <v>35501</v>
      </c>
      <c r="K717" s="141">
        <v>35501</v>
      </c>
      <c r="L717" s="662"/>
      <c r="M717" s="681"/>
      <c r="N717" s="131"/>
      <c r="O717" s="132"/>
      <c r="P717" s="132"/>
      <c r="Q717" s="132"/>
      <c r="R717" s="132"/>
      <c r="S717" s="132"/>
      <c r="T717" s="132"/>
      <c r="U717" s="132"/>
      <c r="V717" s="132"/>
      <c r="W717" s="132"/>
      <c r="X717" s="132"/>
      <c r="Y717" s="132"/>
      <c r="Z717" s="132"/>
      <c r="AA717" s="132"/>
      <c r="AB717" s="132"/>
    </row>
    <row r="718" spans="1:28" s="133" customFormat="1" ht="15" customHeight="1" outlineLevel="1" x14ac:dyDescent="0.2">
      <c r="A718" s="121">
        <v>14</v>
      </c>
      <c r="B718" s="134">
        <v>6526</v>
      </c>
      <c r="C718" s="135">
        <v>41729</v>
      </c>
      <c r="D718" s="136" t="s">
        <v>1228</v>
      </c>
      <c r="E718" s="134" t="s">
        <v>473</v>
      </c>
      <c r="F718" s="137" t="s">
        <v>115</v>
      </c>
      <c r="G718" s="138" t="s">
        <v>1299</v>
      </c>
      <c r="H718" s="139"/>
      <c r="I718" s="140">
        <v>3</v>
      </c>
      <c r="J718" s="141">
        <v>5274</v>
      </c>
      <c r="K718" s="141">
        <v>15822</v>
      </c>
      <c r="L718" s="662"/>
      <c r="M718" s="681"/>
      <c r="N718" s="131"/>
      <c r="O718" s="132"/>
      <c r="P718" s="132"/>
      <c r="Q718" s="132"/>
      <c r="R718" s="132"/>
      <c r="S718" s="132"/>
      <c r="T718" s="132"/>
      <c r="U718" s="132"/>
      <c r="V718" s="132"/>
      <c r="W718" s="132"/>
      <c r="X718" s="132"/>
      <c r="Y718" s="132"/>
      <c r="Z718" s="132"/>
      <c r="AA718" s="132"/>
      <c r="AB718" s="132"/>
    </row>
    <row r="719" spans="1:28" s="133" customFormat="1" ht="15" customHeight="1" outlineLevel="1" x14ac:dyDescent="0.2">
      <c r="A719" s="121">
        <v>15</v>
      </c>
      <c r="B719" s="134">
        <v>283</v>
      </c>
      <c r="C719" s="135">
        <v>41704</v>
      </c>
      <c r="D719" s="136" t="s">
        <v>1300</v>
      </c>
      <c r="E719" s="134" t="s">
        <v>481</v>
      </c>
      <c r="F719" s="137" t="s">
        <v>115</v>
      </c>
      <c r="G719" s="138" t="s">
        <v>407</v>
      </c>
      <c r="H719" s="139" t="s">
        <v>483</v>
      </c>
      <c r="I719" s="140">
        <v>1</v>
      </c>
      <c r="J719" s="141">
        <v>5274</v>
      </c>
      <c r="K719" s="141">
        <v>5274</v>
      </c>
      <c r="L719" s="662"/>
      <c r="M719" s="681"/>
      <c r="N719" s="131"/>
      <c r="O719" s="132"/>
      <c r="P719" s="132"/>
      <c r="Q719" s="132"/>
      <c r="R719" s="132"/>
      <c r="S719" s="132"/>
      <c r="T719" s="132"/>
      <c r="U719" s="132"/>
      <c r="V719" s="132"/>
      <c r="W719" s="132"/>
      <c r="X719" s="132"/>
      <c r="Y719" s="132"/>
      <c r="Z719" s="132"/>
      <c r="AA719" s="132"/>
      <c r="AB719" s="132"/>
    </row>
    <row r="720" spans="1:28" s="133" customFormat="1" ht="15" customHeight="1" outlineLevel="1" x14ac:dyDescent="0.2">
      <c r="A720" s="121">
        <v>16</v>
      </c>
      <c r="B720" s="134">
        <v>198</v>
      </c>
      <c r="C720" s="135">
        <v>41701</v>
      </c>
      <c r="D720" s="136" t="s">
        <v>1301</v>
      </c>
      <c r="E720" s="134" t="s">
        <v>481</v>
      </c>
      <c r="F720" s="137" t="s">
        <v>115</v>
      </c>
      <c r="G720" s="138" t="s">
        <v>469</v>
      </c>
      <c r="H720" s="139" t="s">
        <v>486</v>
      </c>
      <c r="I720" s="140">
        <v>1</v>
      </c>
      <c r="J720" s="141">
        <v>5274</v>
      </c>
      <c r="K720" s="141">
        <v>5274</v>
      </c>
      <c r="L720" s="662"/>
      <c r="M720" s="681"/>
      <c r="N720" s="131"/>
      <c r="O720" s="132"/>
      <c r="P720" s="132"/>
      <c r="Q720" s="132"/>
      <c r="R720" s="132"/>
      <c r="S720" s="132"/>
      <c r="T720" s="132"/>
      <c r="U720" s="132"/>
      <c r="V720" s="132"/>
      <c r="W720" s="132"/>
      <c r="X720" s="132"/>
      <c r="Y720" s="132"/>
      <c r="Z720" s="132"/>
      <c r="AA720" s="132"/>
      <c r="AB720" s="132"/>
    </row>
    <row r="721" spans="1:28" s="133" customFormat="1" ht="15" customHeight="1" outlineLevel="1" x14ac:dyDescent="0.2">
      <c r="A721" s="121">
        <v>17</v>
      </c>
      <c r="B721" s="134">
        <v>5470</v>
      </c>
      <c r="C721" s="135">
        <v>41723</v>
      </c>
      <c r="D721" s="136" t="s">
        <v>1302</v>
      </c>
      <c r="E721" s="134" t="s">
        <v>481</v>
      </c>
      <c r="F721" s="137" t="s">
        <v>215</v>
      </c>
      <c r="G721" s="138" t="s">
        <v>482</v>
      </c>
      <c r="H721" s="139" t="s">
        <v>1233</v>
      </c>
      <c r="I721" s="140">
        <v>2</v>
      </c>
      <c r="J721" s="141">
        <v>44597</v>
      </c>
      <c r="K721" s="141">
        <v>89194</v>
      </c>
      <c r="L721" s="662"/>
      <c r="M721" s="681"/>
      <c r="N721" s="131"/>
      <c r="O721" s="132"/>
      <c r="P721" s="132"/>
      <c r="Q721" s="132"/>
      <c r="R721" s="132"/>
      <c r="S721" s="132"/>
      <c r="T721" s="132"/>
      <c r="U721" s="132"/>
      <c r="V721" s="132"/>
      <c r="W721" s="132"/>
      <c r="X721" s="132"/>
      <c r="Y721" s="132"/>
      <c r="Z721" s="132"/>
      <c r="AA721" s="132"/>
      <c r="AB721" s="132"/>
    </row>
    <row r="722" spans="1:28" s="133" customFormat="1" ht="15" customHeight="1" outlineLevel="1" x14ac:dyDescent="0.2">
      <c r="A722" s="121">
        <v>18</v>
      </c>
      <c r="B722" s="134">
        <v>997</v>
      </c>
      <c r="C722" s="135">
        <v>41708</v>
      </c>
      <c r="D722" s="136" t="s">
        <v>1264</v>
      </c>
      <c r="E722" s="134" t="s">
        <v>473</v>
      </c>
      <c r="F722" s="137" t="s">
        <v>114</v>
      </c>
      <c r="G722" s="138" t="s">
        <v>469</v>
      </c>
      <c r="H722" s="139" t="s">
        <v>675</v>
      </c>
      <c r="I722" s="140">
        <v>1</v>
      </c>
      <c r="J722" s="141">
        <v>33370</v>
      </c>
      <c r="K722" s="141">
        <v>33370</v>
      </c>
      <c r="L722" s="662"/>
      <c r="M722" s="681"/>
      <c r="N722" s="131"/>
      <c r="O722" s="132"/>
      <c r="P722" s="132"/>
      <c r="Q722" s="132"/>
      <c r="R722" s="132"/>
      <c r="S722" s="132"/>
      <c r="T722" s="132"/>
      <c r="U722" s="132"/>
      <c r="V722" s="132"/>
      <c r="W722" s="132"/>
      <c r="X722" s="132"/>
      <c r="Y722" s="132"/>
      <c r="Z722" s="132"/>
      <c r="AA722" s="132"/>
      <c r="AB722" s="132"/>
    </row>
    <row r="723" spans="1:28" s="133" customFormat="1" ht="15" customHeight="1" outlineLevel="1" x14ac:dyDescent="0.2">
      <c r="A723" s="121">
        <v>19</v>
      </c>
      <c r="B723" s="134">
        <v>3343</v>
      </c>
      <c r="C723" s="135">
        <v>41717</v>
      </c>
      <c r="D723" s="136" t="s">
        <v>1303</v>
      </c>
      <c r="E723" s="134" t="s">
        <v>481</v>
      </c>
      <c r="F723" s="137" t="s">
        <v>115</v>
      </c>
      <c r="G723" s="138" t="s">
        <v>508</v>
      </c>
      <c r="H723" s="139" t="s">
        <v>486</v>
      </c>
      <c r="I723" s="140">
        <v>1</v>
      </c>
      <c r="J723" s="141">
        <v>5274</v>
      </c>
      <c r="K723" s="141">
        <v>5274</v>
      </c>
      <c r="L723" s="662"/>
      <c r="M723" s="681"/>
      <c r="N723" s="131"/>
      <c r="O723" s="132"/>
      <c r="P723" s="132"/>
      <c r="Q723" s="132"/>
      <c r="R723" s="132"/>
      <c r="S723" s="132"/>
      <c r="T723" s="132"/>
      <c r="U723" s="132"/>
      <c r="V723" s="132"/>
      <c r="W723" s="132"/>
      <c r="X723" s="132"/>
      <c r="Y723" s="132"/>
      <c r="Z723" s="132"/>
      <c r="AA723" s="132"/>
      <c r="AB723" s="132"/>
    </row>
    <row r="724" spans="1:28" s="133" customFormat="1" ht="15" customHeight="1" outlineLevel="1" x14ac:dyDescent="0.2">
      <c r="A724" s="121">
        <v>20</v>
      </c>
      <c r="B724" s="134">
        <v>3822</v>
      </c>
      <c r="C724" s="135">
        <v>41717</v>
      </c>
      <c r="D724" s="136" t="s">
        <v>1304</v>
      </c>
      <c r="E724" s="134" t="s">
        <v>473</v>
      </c>
      <c r="F724" s="137" t="s">
        <v>577</v>
      </c>
      <c r="G724" s="138" t="s">
        <v>368</v>
      </c>
      <c r="H724" s="139"/>
      <c r="I724" s="140">
        <v>1</v>
      </c>
      <c r="J724" s="141">
        <v>25800</v>
      </c>
      <c r="K724" s="141">
        <v>25800</v>
      </c>
      <c r="L724" s="662"/>
      <c r="M724" s="681"/>
      <c r="N724" s="131"/>
      <c r="O724" s="132"/>
      <c r="P724" s="132"/>
      <c r="Q724" s="132"/>
      <c r="R724" s="132"/>
      <c r="S724" s="132"/>
      <c r="T724" s="132"/>
      <c r="U724" s="132"/>
      <c r="V724" s="132"/>
      <c r="W724" s="132"/>
      <c r="X724" s="132"/>
      <c r="Y724" s="132"/>
      <c r="Z724" s="132"/>
      <c r="AA724" s="132"/>
      <c r="AB724" s="132"/>
    </row>
    <row r="725" spans="1:28" s="133" customFormat="1" ht="15" customHeight="1" outlineLevel="1" x14ac:dyDescent="0.2">
      <c r="A725" s="121">
        <v>21</v>
      </c>
      <c r="B725" s="134">
        <v>5887</v>
      </c>
      <c r="C725" s="135">
        <v>41725</v>
      </c>
      <c r="D725" s="136" t="s">
        <v>1305</v>
      </c>
      <c r="E725" s="134" t="s">
        <v>473</v>
      </c>
      <c r="F725" s="137" t="s">
        <v>115</v>
      </c>
      <c r="G725" s="138" t="s">
        <v>439</v>
      </c>
      <c r="H725" s="139" t="s">
        <v>483</v>
      </c>
      <c r="I725" s="140">
        <v>1</v>
      </c>
      <c r="J725" s="141">
        <v>5274</v>
      </c>
      <c r="K725" s="141">
        <v>5274</v>
      </c>
      <c r="L725" s="662"/>
      <c r="M725" s="681"/>
      <c r="N725" s="131"/>
      <c r="O725" s="132"/>
      <c r="P725" s="132"/>
      <c r="Q725" s="132"/>
      <c r="R725" s="132"/>
      <c r="S725" s="132"/>
      <c r="T725" s="132"/>
      <c r="U725" s="132"/>
      <c r="V725" s="132"/>
      <c r="W725" s="132"/>
      <c r="X725" s="132"/>
      <c r="Y725" s="132"/>
      <c r="Z725" s="132"/>
      <c r="AA725" s="132"/>
      <c r="AB725" s="132"/>
    </row>
    <row r="726" spans="1:28" s="133" customFormat="1" ht="15" customHeight="1" outlineLevel="1" x14ac:dyDescent="0.2">
      <c r="A726" s="121">
        <v>22</v>
      </c>
      <c r="B726" s="134">
        <v>114</v>
      </c>
      <c r="C726" s="135">
        <v>41703</v>
      </c>
      <c r="D726" s="136" t="s">
        <v>1306</v>
      </c>
      <c r="E726" s="134" t="s">
        <v>481</v>
      </c>
      <c r="F726" s="137" t="s">
        <v>115</v>
      </c>
      <c r="G726" s="138" t="s">
        <v>439</v>
      </c>
      <c r="H726" s="139" t="s">
        <v>715</v>
      </c>
      <c r="I726" s="140">
        <v>1</v>
      </c>
      <c r="J726" s="141">
        <v>5274</v>
      </c>
      <c r="K726" s="141">
        <v>5274</v>
      </c>
      <c r="L726" s="662"/>
      <c r="M726" s="681"/>
      <c r="N726" s="131"/>
      <c r="O726" s="132"/>
      <c r="P726" s="132"/>
      <c r="Q726" s="132"/>
      <c r="R726" s="132"/>
      <c r="S726" s="132"/>
      <c r="T726" s="132"/>
      <c r="U726" s="132"/>
      <c r="V726" s="132"/>
      <c r="W726" s="132"/>
      <c r="X726" s="132"/>
      <c r="Y726" s="132"/>
      <c r="Z726" s="132"/>
      <c r="AA726" s="132"/>
      <c r="AB726" s="132"/>
    </row>
    <row r="727" spans="1:28" s="133" customFormat="1" ht="15" customHeight="1" outlineLevel="1" x14ac:dyDescent="0.2">
      <c r="A727" s="121">
        <v>23</v>
      </c>
      <c r="B727" s="134">
        <v>2526</v>
      </c>
      <c r="C727" s="135">
        <v>41715</v>
      </c>
      <c r="D727" s="136" t="s">
        <v>1270</v>
      </c>
      <c r="E727" s="134" t="s">
        <v>481</v>
      </c>
      <c r="F727" s="137" t="s">
        <v>114</v>
      </c>
      <c r="G727" s="138" t="s">
        <v>508</v>
      </c>
      <c r="H727" s="139" t="s">
        <v>486</v>
      </c>
      <c r="I727" s="140">
        <v>1</v>
      </c>
      <c r="J727" s="141">
        <v>33370</v>
      </c>
      <c r="K727" s="141">
        <v>33370</v>
      </c>
      <c r="L727" s="662"/>
      <c r="M727" s="681"/>
      <c r="N727" s="131"/>
      <c r="O727" s="132"/>
      <c r="P727" s="132"/>
      <c r="Q727" s="132"/>
      <c r="R727" s="132"/>
      <c r="S727" s="132"/>
      <c r="T727" s="132"/>
      <c r="U727" s="132"/>
      <c r="V727" s="132"/>
      <c r="W727" s="132"/>
      <c r="X727" s="132"/>
      <c r="Y727" s="132"/>
      <c r="Z727" s="132"/>
      <c r="AA727" s="132"/>
      <c r="AB727" s="132"/>
    </row>
    <row r="728" spans="1:28" s="133" customFormat="1" ht="15" customHeight="1" outlineLevel="1" x14ac:dyDescent="0.2">
      <c r="A728" s="121">
        <v>24</v>
      </c>
      <c r="B728" s="134">
        <v>3731</v>
      </c>
      <c r="C728" s="135">
        <v>41718</v>
      </c>
      <c r="D728" s="136" t="s">
        <v>1307</v>
      </c>
      <c r="E728" s="134" t="s">
        <v>481</v>
      </c>
      <c r="F728" s="137" t="s">
        <v>115</v>
      </c>
      <c r="G728" s="138" t="s">
        <v>407</v>
      </c>
      <c r="H728" s="139" t="s">
        <v>486</v>
      </c>
      <c r="I728" s="140">
        <v>1</v>
      </c>
      <c r="J728" s="141">
        <v>5274</v>
      </c>
      <c r="K728" s="141">
        <v>5274</v>
      </c>
      <c r="L728" s="662"/>
      <c r="M728" s="681"/>
      <c r="N728" s="131"/>
      <c r="O728" s="132"/>
      <c r="P728" s="132"/>
      <c r="Q728" s="132"/>
      <c r="R728" s="132"/>
      <c r="S728" s="132"/>
      <c r="T728" s="132"/>
      <c r="U728" s="132"/>
      <c r="V728" s="132"/>
      <c r="W728" s="132"/>
      <c r="X728" s="132"/>
      <c r="Y728" s="132"/>
      <c r="Z728" s="132"/>
      <c r="AA728" s="132"/>
      <c r="AB728" s="132"/>
    </row>
    <row r="729" spans="1:28" s="133" customFormat="1" ht="15" customHeight="1" outlineLevel="1" x14ac:dyDescent="0.2">
      <c r="A729" s="121">
        <v>25</v>
      </c>
      <c r="B729" s="134">
        <v>2529</v>
      </c>
      <c r="C729" s="135">
        <v>41715</v>
      </c>
      <c r="D729" s="136" t="s">
        <v>1308</v>
      </c>
      <c r="E729" s="134" t="s">
        <v>481</v>
      </c>
      <c r="F729" s="137" t="s">
        <v>115</v>
      </c>
      <c r="G729" s="138" t="s">
        <v>380</v>
      </c>
      <c r="H729" s="139" t="s">
        <v>715</v>
      </c>
      <c r="I729" s="140">
        <v>1</v>
      </c>
      <c r="J729" s="141">
        <v>5274</v>
      </c>
      <c r="K729" s="141">
        <v>5274</v>
      </c>
      <c r="L729" s="662"/>
      <c r="M729" s="681"/>
      <c r="N729" s="131"/>
      <c r="O729" s="132"/>
      <c r="P729" s="132"/>
      <c r="Q729" s="132"/>
      <c r="R729" s="132"/>
      <c r="S729" s="132"/>
      <c r="T729" s="132"/>
      <c r="U729" s="132"/>
      <c r="V729" s="132"/>
      <c r="W729" s="132"/>
      <c r="X729" s="132"/>
      <c r="Y729" s="132"/>
      <c r="Z729" s="132"/>
      <c r="AA729" s="132"/>
      <c r="AB729" s="132"/>
    </row>
    <row r="730" spans="1:28" s="133" customFormat="1" ht="15" customHeight="1" outlineLevel="1" x14ac:dyDescent="0.2">
      <c r="A730" s="121">
        <v>26</v>
      </c>
      <c r="B730" s="134">
        <v>2648</v>
      </c>
      <c r="C730" s="135">
        <v>41715</v>
      </c>
      <c r="D730" s="136" t="s">
        <v>1309</v>
      </c>
      <c r="E730" s="134" t="s">
        <v>481</v>
      </c>
      <c r="F730" s="137" t="s">
        <v>115</v>
      </c>
      <c r="G730" s="138" t="s">
        <v>524</v>
      </c>
      <c r="H730" s="139" t="s">
        <v>486</v>
      </c>
      <c r="I730" s="140">
        <v>1</v>
      </c>
      <c r="J730" s="141">
        <v>5274</v>
      </c>
      <c r="K730" s="141">
        <v>5274</v>
      </c>
      <c r="L730" s="662"/>
      <c r="M730" s="681"/>
      <c r="N730" s="131"/>
      <c r="O730" s="132"/>
      <c r="P730" s="132"/>
      <c r="Q730" s="132"/>
      <c r="R730" s="132"/>
      <c r="S730" s="132"/>
      <c r="T730" s="132"/>
      <c r="U730" s="132"/>
      <c r="V730" s="132"/>
      <c r="W730" s="132"/>
      <c r="X730" s="132"/>
      <c r="Y730" s="132"/>
      <c r="Z730" s="132"/>
      <c r="AA730" s="132"/>
      <c r="AB730" s="132"/>
    </row>
    <row r="731" spans="1:28" s="133" customFormat="1" ht="15" customHeight="1" outlineLevel="1" x14ac:dyDescent="0.2">
      <c r="A731" s="121">
        <v>27</v>
      </c>
      <c r="B731" s="134">
        <v>5638</v>
      </c>
      <c r="C731" s="135">
        <v>41724</v>
      </c>
      <c r="D731" s="136" t="s">
        <v>1310</v>
      </c>
      <c r="E731" s="134" t="s">
        <v>473</v>
      </c>
      <c r="F731" s="137" t="s">
        <v>679</v>
      </c>
      <c r="G731" s="138" t="s">
        <v>366</v>
      </c>
      <c r="H731" s="139" t="s">
        <v>486</v>
      </c>
      <c r="I731" s="140">
        <v>1</v>
      </c>
      <c r="J731" s="141">
        <v>55058</v>
      </c>
      <c r="K731" s="141">
        <v>55058</v>
      </c>
      <c r="L731" s="662"/>
      <c r="M731" s="681"/>
      <c r="N731" s="131"/>
      <c r="O731" s="132"/>
      <c r="P731" s="132"/>
      <c r="Q731" s="132"/>
      <c r="R731" s="132"/>
      <c r="S731" s="132"/>
      <c r="T731" s="132"/>
      <c r="U731" s="132"/>
      <c r="V731" s="132"/>
      <c r="W731" s="132"/>
      <c r="X731" s="132"/>
      <c r="Y731" s="132"/>
      <c r="Z731" s="132"/>
      <c r="AA731" s="132"/>
      <c r="AB731" s="132"/>
    </row>
    <row r="732" spans="1:28" s="133" customFormat="1" ht="15" customHeight="1" outlineLevel="1" x14ac:dyDescent="0.2">
      <c r="A732" s="121">
        <v>28</v>
      </c>
      <c r="B732" s="134">
        <v>5638</v>
      </c>
      <c r="C732" s="135">
        <v>41724</v>
      </c>
      <c r="D732" s="136" t="s">
        <v>1310</v>
      </c>
      <c r="E732" s="134" t="s">
        <v>473</v>
      </c>
      <c r="F732" s="137" t="s">
        <v>215</v>
      </c>
      <c r="G732" s="138" t="s">
        <v>368</v>
      </c>
      <c r="H732" s="139" t="s">
        <v>486</v>
      </c>
      <c r="I732" s="140">
        <v>1</v>
      </c>
      <c r="J732" s="141">
        <v>44597</v>
      </c>
      <c r="K732" s="141">
        <v>44597</v>
      </c>
      <c r="L732" s="662"/>
      <c r="M732" s="681"/>
      <c r="N732" s="131"/>
      <c r="O732" s="132"/>
      <c r="P732" s="132"/>
      <c r="Q732" s="132"/>
      <c r="R732" s="132"/>
      <c r="S732" s="132"/>
      <c r="T732" s="132"/>
      <c r="U732" s="132"/>
      <c r="V732" s="132"/>
      <c r="W732" s="132"/>
      <c r="X732" s="132"/>
      <c r="Y732" s="132"/>
      <c r="Z732" s="132"/>
      <c r="AA732" s="132"/>
      <c r="AB732" s="132"/>
    </row>
    <row r="733" spans="1:28" s="133" customFormat="1" ht="15" customHeight="1" outlineLevel="1" x14ac:dyDescent="0.2">
      <c r="A733" s="121">
        <v>29</v>
      </c>
      <c r="B733" s="134">
        <v>6589</v>
      </c>
      <c r="C733" s="135">
        <v>41726</v>
      </c>
      <c r="D733" s="136" t="s">
        <v>1234</v>
      </c>
      <c r="E733" s="134" t="s">
        <v>473</v>
      </c>
      <c r="F733" s="137" t="s">
        <v>679</v>
      </c>
      <c r="G733" s="138" t="s">
        <v>366</v>
      </c>
      <c r="H733" s="139" t="s">
        <v>486</v>
      </c>
      <c r="I733" s="140">
        <v>1</v>
      </c>
      <c r="J733" s="141">
        <v>55058</v>
      </c>
      <c r="K733" s="141">
        <v>55058</v>
      </c>
      <c r="L733" s="662"/>
      <c r="M733" s="681"/>
      <c r="N733" s="131"/>
      <c r="O733" s="132"/>
      <c r="P733" s="132"/>
      <c r="Q733" s="132"/>
      <c r="R733" s="132"/>
      <c r="S733" s="132"/>
      <c r="T733" s="132"/>
      <c r="U733" s="132"/>
      <c r="V733" s="132"/>
      <c r="W733" s="132"/>
      <c r="X733" s="132"/>
      <c r="Y733" s="132"/>
      <c r="Z733" s="132"/>
      <c r="AA733" s="132"/>
      <c r="AB733" s="132"/>
    </row>
    <row r="734" spans="1:28" s="133" customFormat="1" ht="15" customHeight="1" outlineLevel="1" x14ac:dyDescent="0.2">
      <c r="A734" s="121">
        <v>30</v>
      </c>
      <c r="B734" s="134">
        <v>7337</v>
      </c>
      <c r="C734" s="135">
        <v>41729</v>
      </c>
      <c r="D734" s="136" t="s">
        <v>1311</v>
      </c>
      <c r="E734" s="134" t="s">
        <v>473</v>
      </c>
      <c r="F734" s="137" t="s">
        <v>115</v>
      </c>
      <c r="G734" s="138" t="s">
        <v>404</v>
      </c>
      <c r="H734" s="139" t="s">
        <v>483</v>
      </c>
      <c r="I734" s="140">
        <v>1</v>
      </c>
      <c r="J734" s="141">
        <v>5274</v>
      </c>
      <c r="K734" s="141">
        <v>5274</v>
      </c>
      <c r="L734" s="662"/>
      <c r="M734" s="681"/>
      <c r="N734" s="131"/>
      <c r="O734" s="132"/>
      <c r="P734" s="132"/>
      <c r="Q734" s="132"/>
      <c r="R734" s="132"/>
      <c r="S734" s="132"/>
      <c r="T734" s="132"/>
      <c r="U734" s="132"/>
      <c r="V734" s="132"/>
      <c r="W734" s="132"/>
      <c r="X734" s="132"/>
      <c r="Y734" s="132"/>
      <c r="Z734" s="132"/>
      <c r="AA734" s="132"/>
      <c r="AB734" s="132"/>
    </row>
    <row r="735" spans="1:28" s="133" customFormat="1" ht="15" customHeight="1" outlineLevel="1" x14ac:dyDescent="0.2">
      <c r="A735" s="121">
        <v>31</v>
      </c>
      <c r="B735" s="134">
        <v>4921</v>
      </c>
      <c r="C735" s="135">
        <v>41723</v>
      </c>
      <c r="D735" s="136" t="s">
        <v>1312</v>
      </c>
      <c r="E735" s="134" t="s">
        <v>1313</v>
      </c>
      <c r="F735" s="137" t="s">
        <v>1066</v>
      </c>
      <c r="G735" s="138" t="s">
        <v>368</v>
      </c>
      <c r="H735" s="139"/>
      <c r="I735" s="140">
        <v>1</v>
      </c>
      <c r="J735" s="141">
        <v>18764</v>
      </c>
      <c r="K735" s="141">
        <v>18764</v>
      </c>
      <c r="L735" s="662"/>
      <c r="M735" s="681"/>
      <c r="N735" s="131"/>
      <c r="O735" s="132"/>
      <c r="P735" s="132"/>
      <c r="Q735" s="132"/>
      <c r="R735" s="132"/>
      <c r="S735" s="132"/>
      <c r="T735" s="132"/>
      <c r="U735" s="132"/>
      <c r="V735" s="132"/>
      <c r="W735" s="132"/>
      <c r="X735" s="132"/>
      <c r="Y735" s="132"/>
      <c r="Z735" s="132"/>
      <c r="AA735" s="132"/>
      <c r="AB735" s="132"/>
    </row>
    <row r="736" spans="1:28" s="133" customFormat="1" ht="15" customHeight="1" outlineLevel="1" x14ac:dyDescent="0.2">
      <c r="A736" s="121">
        <v>32</v>
      </c>
      <c r="B736" s="134">
        <v>5565</v>
      </c>
      <c r="C736" s="135">
        <v>41724</v>
      </c>
      <c r="D736" s="136" t="s">
        <v>1314</v>
      </c>
      <c r="E736" s="134" t="s">
        <v>502</v>
      </c>
      <c r="F736" s="137" t="s">
        <v>577</v>
      </c>
      <c r="G736" s="138" t="s">
        <v>368</v>
      </c>
      <c r="H736" s="139"/>
      <c r="I736" s="140">
        <v>1</v>
      </c>
      <c r="J736" s="141">
        <v>25800</v>
      </c>
      <c r="K736" s="141">
        <v>25800</v>
      </c>
      <c r="L736" s="662"/>
      <c r="M736" s="681"/>
      <c r="N736" s="131"/>
      <c r="O736" s="132"/>
      <c r="P736" s="132"/>
      <c r="Q736" s="132"/>
      <c r="R736" s="132"/>
      <c r="S736" s="132"/>
      <c r="T736" s="132"/>
      <c r="U736" s="132"/>
      <c r="V736" s="132"/>
      <c r="W736" s="132"/>
      <c r="X736" s="132"/>
      <c r="Y736" s="132"/>
      <c r="Z736" s="132"/>
      <c r="AA736" s="132"/>
      <c r="AB736" s="132"/>
    </row>
    <row r="737" spans="1:28" s="133" customFormat="1" ht="15" customHeight="1" outlineLevel="1" x14ac:dyDescent="0.2">
      <c r="A737" s="121">
        <v>33</v>
      </c>
      <c r="B737" s="134">
        <v>3573</v>
      </c>
      <c r="C737" s="135">
        <v>41717</v>
      </c>
      <c r="D737" s="136" t="s">
        <v>1315</v>
      </c>
      <c r="E737" s="134" t="s">
        <v>471</v>
      </c>
      <c r="F737" s="137" t="s">
        <v>577</v>
      </c>
      <c r="G737" s="138" t="s">
        <v>368</v>
      </c>
      <c r="H737" s="139"/>
      <c r="I737" s="140">
        <v>1</v>
      </c>
      <c r="J737" s="141">
        <v>25800</v>
      </c>
      <c r="K737" s="141">
        <v>25800</v>
      </c>
      <c r="L737" s="662"/>
      <c r="M737" s="681"/>
      <c r="N737" s="131"/>
      <c r="O737" s="132"/>
      <c r="P737" s="132"/>
      <c r="Q737" s="132"/>
      <c r="R737" s="132"/>
      <c r="S737" s="132"/>
      <c r="T737" s="132"/>
      <c r="U737" s="132"/>
      <c r="V737" s="132"/>
      <c r="W737" s="132"/>
      <c r="X737" s="132"/>
      <c r="Y737" s="132"/>
      <c r="Z737" s="132"/>
      <c r="AA737" s="132"/>
      <c r="AB737" s="132"/>
    </row>
    <row r="738" spans="1:28" s="133" customFormat="1" ht="15" customHeight="1" outlineLevel="1" x14ac:dyDescent="0.2">
      <c r="A738" s="121">
        <v>34</v>
      </c>
      <c r="B738" s="134">
        <v>2905</v>
      </c>
      <c r="C738" s="135">
        <v>41715</v>
      </c>
      <c r="D738" s="136" t="s">
        <v>1316</v>
      </c>
      <c r="E738" s="134" t="s">
        <v>473</v>
      </c>
      <c r="F738" s="137" t="s">
        <v>577</v>
      </c>
      <c r="G738" s="138" t="s">
        <v>368</v>
      </c>
      <c r="H738" s="139"/>
      <c r="I738" s="140">
        <v>1</v>
      </c>
      <c r="J738" s="141">
        <v>25800</v>
      </c>
      <c r="K738" s="141">
        <v>25800</v>
      </c>
      <c r="L738" s="662"/>
      <c r="M738" s="681"/>
      <c r="N738" s="131"/>
      <c r="O738" s="132"/>
      <c r="P738" s="132"/>
      <c r="Q738" s="132"/>
      <c r="R738" s="132"/>
      <c r="S738" s="132"/>
      <c r="T738" s="132"/>
      <c r="U738" s="132"/>
      <c r="V738" s="132"/>
      <c r="W738" s="132"/>
      <c r="X738" s="132"/>
      <c r="Y738" s="132"/>
      <c r="Z738" s="132"/>
      <c r="AA738" s="132"/>
      <c r="AB738" s="132"/>
    </row>
    <row r="739" spans="1:28" s="133" customFormat="1" ht="15" customHeight="1" outlineLevel="1" x14ac:dyDescent="0.2">
      <c r="A739" s="121">
        <v>35</v>
      </c>
      <c r="B739" s="134">
        <v>623</v>
      </c>
      <c r="C739" s="135">
        <v>41708</v>
      </c>
      <c r="D739" s="136" t="s">
        <v>1317</v>
      </c>
      <c r="E739" s="134" t="s">
        <v>471</v>
      </c>
      <c r="F739" s="137" t="s">
        <v>577</v>
      </c>
      <c r="G739" s="138" t="s">
        <v>368</v>
      </c>
      <c r="H739" s="139"/>
      <c r="I739" s="140">
        <v>1</v>
      </c>
      <c r="J739" s="141">
        <v>25800</v>
      </c>
      <c r="K739" s="141">
        <v>25800</v>
      </c>
      <c r="L739" s="662"/>
      <c r="M739" s="681"/>
      <c r="N739" s="131"/>
      <c r="O739" s="132"/>
      <c r="P739" s="132"/>
      <c r="Q739" s="132"/>
      <c r="R739" s="132"/>
      <c r="S739" s="132"/>
      <c r="T739" s="132"/>
      <c r="U739" s="132"/>
      <c r="V739" s="132"/>
      <c r="W739" s="132"/>
      <c r="X739" s="132"/>
      <c r="Y739" s="132"/>
      <c r="Z739" s="132"/>
      <c r="AA739" s="132"/>
      <c r="AB739" s="132"/>
    </row>
    <row r="740" spans="1:28" s="133" customFormat="1" ht="15" customHeight="1" outlineLevel="1" x14ac:dyDescent="0.2">
      <c r="A740" s="121">
        <v>36</v>
      </c>
      <c r="B740" s="134">
        <v>99841</v>
      </c>
      <c r="C740" s="135">
        <v>41703</v>
      </c>
      <c r="D740" s="136" t="s">
        <v>1318</v>
      </c>
      <c r="E740" s="134" t="s">
        <v>478</v>
      </c>
      <c r="F740" s="137" t="s">
        <v>115</v>
      </c>
      <c r="G740" s="138" t="s">
        <v>439</v>
      </c>
      <c r="H740" s="139"/>
      <c r="I740" s="140">
        <v>1</v>
      </c>
      <c r="J740" s="141">
        <v>5274</v>
      </c>
      <c r="K740" s="141">
        <v>5274</v>
      </c>
      <c r="L740" s="662"/>
      <c r="M740" s="681"/>
      <c r="N740" s="131"/>
      <c r="O740" s="132"/>
      <c r="P740" s="132"/>
      <c r="Q740" s="132"/>
      <c r="R740" s="132"/>
      <c r="S740" s="132"/>
      <c r="T740" s="132"/>
      <c r="U740" s="132"/>
      <c r="V740" s="132"/>
      <c r="W740" s="132"/>
      <c r="X740" s="132"/>
      <c r="Y740" s="132"/>
      <c r="Z740" s="132"/>
      <c r="AA740" s="132"/>
      <c r="AB740" s="132"/>
    </row>
    <row r="741" spans="1:28" s="133" customFormat="1" ht="15" customHeight="1" outlineLevel="1" x14ac:dyDescent="0.2">
      <c r="A741" s="121">
        <v>37</v>
      </c>
      <c r="B741" s="134">
        <v>2721</v>
      </c>
      <c r="C741" s="135">
        <v>41715</v>
      </c>
      <c r="D741" s="136" t="s">
        <v>1319</v>
      </c>
      <c r="E741" s="134" t="s">
        <v>473</v>
      </c>
      <c r="F741" s="137" t="s">
        <v>679</v>
      </c>
      <c r="G741" s="138" t="s">
        <v>368</v>
      </c>
      <c r="H741" s="139" t="s">
        <v>718</v>
      </c>
      <c r="I741" s="140">
        <v>1</v>
      </c>
      <c r="J741" s="141">
        <v>55058</v>
      </c>
      <c r="K741" s="141">
        <v>55058</v>
      </c>
      <c r="L741" s="662"/>
      <c r="M741" s="681"/>
      <c r="N741" s="131"/>
      <c r="O741" s="132"/>
      <c r="P741" s="132"/>
      <c r="Q741" s="132"/>
      <c r="R741" s="132"/>
      <c r="S741" s="132"/>
      <c r="T741" s="132"/>
      <c r="U741" s="132"/>
      <c r="V741" s="132"/>
      <c r="W741" s="132"/>
      <c r="X741" s="132"/>
      <c r="Y741" s="132"/>
      <c r="Z741" s="132"/>
      <c r="AA741" s="132"/>
      <c r="AB741" s="132"/>
    </row>
    <row r="742" spans="1:28" s="133" customFormat="1" ht="15" customHeight="1" outlineLevel="1" x14ac:dyDescent="0.2">
      <c r="A742" s="121">
        <v>38</v>
      </c>
      <c r="B742" s="134">
        <v>6130</v>
      </c>
      <c r="C742" s="135">
        <v>41726</v>
      </c>
      <c r="D742" s="136" t="s">
        <v>1320</v>
      </c>
      <c r="E742" s="134" t="s">
        <v>481</v>
      </c>
      <c r="F742" s="137" t="s">
        <v>115</v>
      </c>
      <c r="G742" s="138" t="s">
        <v>428</v>
      </c>
      <c r="H742" s="139" t="s">
        <v>486</v>
      </c>
      <c r="I742" s="140">
        <v>1</v>
      </c>
      <c r="J742" s="141">
        <v>5274</v>
      </c>
      <c r="K742" s="141">
        <v>5274</v>
      </c>
      <c r="L742" s="662"/>
      <c r="M742" s="681"/>
      <c r="N742" s="131"/>
      <c r="O742" s="132"/>
      <c r="P742" s="132"/>
      <c r="Q742" s="132"/>
      <c r="R742" s="132"/>
      <c r="S742" s="132"/>
      <c r="T742" s="132"/>
      <c r="U742" s="132"/>
      <c r="V742" s="132"/>
      <c r="W742" s="132"/>
      <c r="X742" s="132"/>
      <c r="Y742" s="132"/>
      <c r="Z742" s="132"/>
      <c r="AA742" s="132"/>
      <c r="AB742" s="132"/>
    </row>
    <row r="743" spans="1:28" s="133" customFormat="1" ht="15" customHeight="1" outlineLevel="1" x14ac:dyDescent="0.2">
      <c r="A743" s="121">
        <v>39</v>
      </c>
      <c r="B743" s="134">
        <v>84749</v>
      </c>
      <c r="C743" s="135">
        <v>41635</v>
      </c>
      <c r="D743" s="136" t="s">
        <v>1321</v>
      </c>
      <c r="E743" s="134" t="s">
        <v>481</v>
      </c>
      <c r="F743" s="137" t="s">
        <v>679</v>
      </c>
      <c r="G743" s="138" t="s">
        <v>366</v>
      </c>
      <c r="H743" s="139"/>
      <c r="I743" s="140">
        <v>1</v>
      </c>
      <c r="J743" s="141">
        <v>55058</v>
      </c>
      <c r="K743" s="141">
        <v>55058</v>
      </c>
      <c r="L743" s="662"/>
      <c r="M743" s="681"/>
      <c r="N743" s="131"/>
      <c r="O743" s="132"/>
      <c r="P743" s="132"/>
      <c r="Q743" s="132"/>
      <c r="R743" s="132"/>
      <c r="S743" s="132"/>
      <c r="T743" s="132"/>
      <c r="U743" s="132"/>
      <c r="V743" s="132"/>
      <c r="W743" s="132"/>
      <c r="X743" s="132"/>
      <c r="Y743" s="132"/>
      <c r="Z743" s="132"/>
      <c r="AA743" s="132"/>
      <c r="AB743" s="132"/>
    </row>
    <row r="744" spans="1:28" s="133" customFormat="1" ht="15" customHeight="1" outlineLevel="1" x14ac:dyDescent="0.2">
      <c r="A744" s="121">
        <v>40</v>
      </c>
      <c r="B744" s="134">
        <v>99842</v>
      </c>
      <c r="C744" s="135">
        <v>41703</v>
      </c>
      <c r="D744" s="136" t="s">
        <v>1322</v>
      </c>
      <c r="E744" s="134" t="s">
        <v>478</v>
      </c>
      <c r="F744" s="137" t="s">
        <v>115</v>
      </c>
      <c r="G744" s="138" t="s">
        <v>414</v>
      </c>
      <c r="H744" s="139" t="s">
        <v>486</v>
      </c>
      <c r="I744" s="140">
        <v>4</v>
      </c>
      <c r="J744" s="141">
        <v>5274</v>
      </c>
      <c r="K744" s="141">
        <v>21096</v>
      </c>
      <c r="L744" s="662"/>
      <c r="M744" s="681"/>
      <c r="N744" s="131"/>
      <c r="O744" s="132"/>
      <c r="P744" s="132"/>
      <c r="Q744" s="132"/>
      <c r="R744" s="132"/>
      <c r="S744" s="132"/>
      <c r="T744" s="132"/>
      <c r="U744" s="132"/>
      <c r="V744" s="132"/>
      <c r="W744" s="132"/>
      <c r="X744" s="132"/>
      <c r="Y744" s="132"/>
      <c r="Z744" s="132"/>
      <c r="AA744" s="132"/>
      <c r="AB744" s="132"/>
    </row>
    <row r="745" spans="1:28" s="133" customFormat="1" ht="15" customHeight="1" outlineLevel="1" x14ac:dyDescent="0.2">
      <c r="A745" s="121">
        <v>41</v>
      </c>
      <c r="B745" s="134">
        <v>1539</v>
      </c>
      <c r="C745" s="135">
        <v>41709</v>
      </c>
      <c r="D745" s="136" t="s">
        <v>1323</v>
      </c>
      <c r="E745" s="134" t="s">
        <v>481</v>
      </c>
      <c r="F745" s="137" t="s">
        <v>115</v>
      </c>
      <c r="G745" s="138" t="s">
        <v>428</v>
      </c>
      <c r="H745" s="139" t="s">
        <v>570</v>
      </c>
      <c r="I745" s="140">
        <v>1</v>
      </c>
      <c r="J745" s="141">
        <v>5274</v>
      </c>
      <c r="K745" s="141">
        <v>5274</v>
      </c>
      <c r="L745" s="662"/>
      <c r="M745" s="681"/>
      <c r="N745" s="131"/>
      <c r="O745" s="132"/>
      <c r="P745" s="132"/>
      <c r="Q745" s="132"/>
      <c r="R745" s="132"/>
      <c r="S745" s="132"/>
      <c r="T745" s="132"/>
      <c r="U745" s="132"/>
      <c r="V745" s="132"/>
      <c r="W745" s="132"/>
      <c r="X745" s="132"/>
      <c r="Y745" s="132"/>
      <c r="Z745" s="132"/>
      <c r="AA745" s="132"/>
      <c r="AB745" s="132"/>
    </row>
    <row r="746" spans="1:28" s="133" customFormat="1" ht="15" customHeight="1" outlineLevel="1" x14ac:dyDescent="0.2">
      <c r="A746" s="121">
        <v>42</v>
      </c>
      <c r="B746" s="134">
        <v>5648</v>
      </c>
      <c r="C746" s="135">
        <v>41724</v>
      </c>
      <c r="D746" s="136" t="s">
        <v>1324</v>
      </c>
      <c r="E746" s="134" t="s">
        <v>473</v>
      </c>
      <c r="F746" s="137" t="s">
        <v>114</v>
      </c>
      <c r="G746" s="138" t="s">
        <v>416</v>
      </c>
      <c r="H746" s="139" t="s">
        <v>557</v>
      </c>
      <c r="I746" s="140">
        <v>1</v>
      </c>
      <c r="J746" s="141">
        <v>33370</v>
      </c>
      <c r="K746" s="141">
        <v>33370</v>
      </c>
      <c r="L746" s="662"/>
      <c r="M746" s="681"/>
      <c r="N746" s="131"/>
      <c r="O746" s="132"/>
      <c r="P746" s="132"/>
      <c r="Q746" s="132"/>
      <c r="R746" s="132"/>
      <c r="S746" s="132"/>
      <c r="T746" s="132"/>
      <c r="U746" s="132"/>
      <c r="V746" s="132"/>
      <c r="W746" s="132"/>
      <c r="X746" s="132"/>
      <c r="Y746" s="132"/>
      <c r="Z746" s="132"/>
      <c r="AA746" s="132"/>
      <c r="AB746" s="132"/>
    </row>
    <row r="747" spans="1:28" s="133" customFormat="1" ht="15" customHeight="1" outlineLevel="1" x14ac:dyDescent="0.2">
      <c r="A747" s="121">
        <v>43</v>
      </c>
      <c r="B747" s="134">
        <v>2052</v>
      </c>
      <c r="C747" s="135">
        <v>41712</v>
      </c>
      <c r="D747" s="136" t="s">
        <v>1325</v>
      </c>
      <c r="E747" s="134" t="s">
        <v>473</v>
      </c>
      <c r="F747" s="137" t="s">
        <v>534</v>
      </c>
      <c r="G747" s="138" t="s">
        <v>524</v>
      </c>
      <c r="H747" s="139" t="s">
        <v>557</v>
      </c>
      <c r="I747" s="140">
        <v>1</v>
      </c>
      <c r="J747" s="141">
        <v>30429</v>
      </c>
      <c r="K747" s="141">
        <v>30429</v>
      </c>
      <c r="L747" s="662"/>
      <c r="M747" s="681"/>
      <c r="N747" s="131"/>
      <c r="O747" s="132"/>
      <c r="P747" s="132"/>
      <c r="Q747" s="132"/>
      <c r="R747" s="132"/>
      <c r="S747" s="132"/>
      <c r="T747" s="132"/>
      <c r="U747" s="132"/>
      <c r="V747" s="132"/>
      <c r="W747" s="132"/>
      <c r="X747" s="132"/>
      <c r="Y747" s="132"/>
      <c r="Z747" s="132"/>
      <c r="AA747" s="132"/>
      <c r="AB747" s="132"/>
    </row>
    <row r="748" spans="1:28" s="133" customFormat="1" ht="15" customHeight="1" outlineLevel="1" x14ac:dyDescent="0.2">
      <c r="A748" s="121">
        <v>44</v>
      </c>
      <c r="B748" s="134">
        <v>6828</v>
      </c>
      <c r="C748" s="135">
        <v>41729</v>
      </c>
      <c r="D748" s="136" t="s">
        <v>1326</v>
      </c>
      <c r="E748" s="134" t="s">
        <v>473</v>
      </c>
      <c r="F748" s="137" t="s">
        <v>679</v>
      </c>
      <c r="G748" s="138" t="s">
        <v>368</v>
      </c>
      <c r="H748" s="139" t="s">
        <v>486</v>
      </c>
      <c r="I748" s="140">
        <v>1</v>
      </c>
      <c r="J748" s="141">
        <v>55058</v>
      </c>
      <c r="K748" s="141">
        <v>55058</v>
      </c>
      <c r="L748" s="662"/>
      <c r="M748" s="681"/>
      <c r="N748" s="131"/>
      <c r="O748" s="132"/>
      <c r="P748" s="132"/>
      <c r="Q748" s="132"/>
      <c r="R748" s="132"/>
      <c r="S748" s="132"/>
      <c r="T748" s="132"/>
      <c r="U748" s="132"/>
      <c r="V748" s="132"/>
      <c r="W748" s="132"/>
      <c r="X748" s="132"/>
      <c r="Y748" s="132"/>
      <c r="Z748" s="132"/>
      <c r="AA748" s="132"/>
      <c r="AB748" s="132"/>
    </row>
    <row r="749" spans="1:28" s="133" customFormat="1" ht="15" customHeight="1" outlineLevel="1" x14ac:dyDescent="0.2">
      <c r="A749" s="121">
        <v>45</v>
      </c>
      <c r="B749" s="134">
        <v>2785</v>
      </c>
      <c r="C749" s="135">
        <v>41715</v>
      </c>
      <c r="D749" s="136" t="s">
        <v>1327</v>
      </c>
      <c r="E749" s="134" t="s">
        <v>473</v>
      </c>
      <c r="F749" s="137" t="s">
        <v>233</v>
      </c>
      <c r="G749" s="138" t="s">
        <v>366</v>
      </c>
      <c r="H749" s="139"/>
      <c r="I749" s="140">
        <v>1</v>
      </c>
      <c r="J749" s="141">
        <v>12499</v>
      </c>
      <c r="K749" s="141">
        <v>12499</v>
      </c>
      <c r="L749" s="663"/>
      <c r="M749" s="642"/>
      <c r="N749" s="131"/>
      <c r="O749" s="132"/>
      <c r="P749" s="132"/>
      <c r="Q749" s="132"/>
      <c r="R749" s="132"/>
      <c r="S749" s="132"/>
      <c r="T749" s="132"/>
      <c r="U749" s="132"/>
      <c r="V749" s="132"/>
      <c r="W749" s="132"/>
      <c r="X749" s="132"/>
      <c r="Y749" s="132"/>
      <c r="Z749" s="132"/>
      <c r="AA749" s="132"/>
      <c r="AB749" s="132"/>
    </row>
    <row r="750" spans="1:28" s="133" customFormat="1" ht="15" customHeight="1" outlineLevel="1" x14ac:dyDescent="0.2">
      <c r="A750" s="121">
        <v>1</v>
      </c>
      <c r="B750" s="134">
        <v>11927</v>
      </c>
      <c r="C750" s="135">
        <v>41746</v>
      </c>
      <c r="D750" s="136" t="s">
        <v>1328</v>
      </c>
      <c r="E750" s="134" t="s">
        <v>694</v>
      </c>
      <c r="F750" s="137" t="s">
        <v>577</v>
      </c>
      <c r="G750" s="138" t="s">
        <v>368</v>
      </c>
      <c r="H750" s="139"/>
      <c r="I750" s="140">
        <v>1</v>
      </c>
      <c r="J750" s="141">
        <v>25800</v>
      </c>
      <c r="K750" s="141">
        <v>25800</v>
      </c>
      <c r="L750" s="643" t="s">
        <v>597</v>
      </c>
      <c r="M750" s="658" t="s">
        <v>36</v>
      </c>
      <c r="N750" s="131"/>
      <c r="O750" s="132"/>
      <c r="P750" s="132"/>
      <c r="Q750" s="132"/>
      <c r="R750" s="132"/>
      <c r="S750" s="132"/>
      <c r="T750" s="132"/>
      <c r="U750" s="132"/>
      <c r="V750" s="132"/>
      <c r="W750" s="132"/>
      <c r="X750" s="132"/>
      <c r="Y750" s="132"/>
      <c r="Z750" s="132"/>
      <c r="AA750" s="132"/>
      <c r="AB750" s="132"/>
    </row>
    <row r="751" spans="1:28" s="133" customFormat="1" ht="15" customHeight="1" outlineLevel="1" x14ac:dyDescent="0.2">
      <c r="A751" s="121">
        <v>2</v>
      </c>
      <c r="B751" s="173">
        <v>817</v>
      </c>
      <c r="C751" s="174">
        <v>41708</v>
      </c>
      <c r="D751" s="171" t="s">
        <v>1329</v>
      </c>
      <c r="E751" s="173" t="s">
        <v>481</v>
      </c>
      <c r="F751" s="175" t="s">
        <v>115</v>
      </c>
      <c r="G751" s="176" t="s">
        <v>407</v>
      </c>
      <c r="H751" s="177" t="s">
        <v>1247</v>
      </c>
      <c r="I751" s="178">
        <v>1</v>
      </c>
      <c r="J751" s="141">
        <v>5274</v>
      </c>
      <c r="K751" s="141">
        <v>5274</v>
      </c>
      <c r="L751" s="644"/>
      <c r="M751" s="659"/>
      <c r="N751" s="131"/>
      <c r="O751" s="132"/>
      <c r="P751" s="132"/>
      <c r="Q751" s="132"/>
      <c r="R751" s="132"/>
      <c r="S751" s="132"/>
      <c r="T751" s="132"/>
      <c r="U751" s="132"/>
      <c r="V751" s="132"/>
      <c r="W751" s="132"/>
      <c r="X751" s="132"/>
      <c r="Y751" s="132"/>
      <c r="Z751" s="132"/>
      <c r="AA751" s="132"/>
      <c r="AB751" s="132"/>
    </row>
    <row r="752" spans="1:28" s="133" customFormat="1" ht="15" customHeight="1" outlineLevel="1" x14ac:dyDescent="0.2">
      <c r="A752" s="121">
        <v>3</v>
      </c>
      <c r="B752" s="134">
        <v>14810</v>
      </c>
      <c r="C752" s="135">
        <v>41758</v>
      </c>
      <c r="D752" s="136" t="s">
        <v>1330</v>
      </c>
      <c r="E752" s="134" t="s">
        <v>473</v>
      </c>
      <c r="F752" s="137" t="s">
        <v>534</v>
      </c>
      <c r="G752" s="138" t="s">
        <v>469</v>
      </c>
      <c r="H752" s="139" t="s">
        <v>1266</v>
      </c>
      <c r="I752" s="140">
        <v>1</v>
      </c>
      <c r="J752" s="141">
        <v>30429</v>
      </c>
      <c r="K752" s="141">
        <v>30429</v>
      </c>
      <c r="L752" s="644"/>
      <c r="M752" s="659"/>
      <c r="N752" s="131"/>
      <c r="O752" s="132"/>
      <c r="P752" s="132"/>
      <c r="Q752" s="132"/>
      <c r="R752" s="132"/>
      <c r="S752" s="132"/>
      <c r="T752" s="132"/>
      <c r="U752" s="132"/>
      <c r="V752" s="132"/>
      <c r="W752" s="132"/>
      <c r="X752" s="132"/>
      <c r="Y752" s="132"/>
      <c r="Z752" s="132"/>
      <c r="AA752" s="132"/>
      <c r="AB752" s="132"/>
    </row>
    <row r="753" spans="1:28" s="133" customFormat="1" ht="15" customHeight="1" outlineLevel="1" x14ac:dyDescent="0.2">
      <c r="A753" s="121">
        <v>4</v>
      </c>
      <c r="B753" s="134">
        <v>14810</v>
      </c>
      <c r="C753" s="135">
        <v>41758</v>
      </c>
      <c r="D753" s="136" t="s">
        <v>1330</v>
      </c>
      <c r="E753" s="134" t="s">
        <v>473</v>
      </c>
      <c r="F753" s="137" t="s">
        <v>114</v>
      </c>
      <c r="G753" s="138" t="s">
        <v>439</v>
      </c>
      <c r="H753" s="139" t="s">
        <v>1266</v>
      </c>
      <c r="I753" s="140">
        <v>1</v>
      </c>
      <c r="J753" s="141">
        <v>33370</v>
      </c>
      <c r="K753" s="141">
        <v>33370</v>
      </c>
      <c r="L753" s="644"/>
      <c r="M753" s="659"/>
      <c r="N753" s="131"/>
      <c r="O753" s="132"/>
      <c r="P753" s="132"/>
      <c r="Q753" s="132"/>
      <c r="R753" s="132"/>
      <c r="S753" s="132"/>
      <c r="T753" s="132"/>
      <c r="U753" s="132"/>
      <c r="V753" s="132"/>
      <c r="W753" s="132"/>
      <c r="X753" s="132"/>
      <c r="Y753" s="132"/>
      <c r="Z753" s="132"/>
      <c r="AA753" s="132"/>
      <c r="AB753" s="132"/>
    </row>
    <row r="754" spans="1:28" s="133" customFormat="1" ht="15" customHeight="1" outlineLevel="1" x14ac:dyDescent="0.2">
      <c r="A754" s="121">
        <v>5</v>
      </c>
      <c r="B754" s="134">
        <v>12069</v>
      </c>
      <c r="C754" s="135">
        <v>41750</v>
      </c>
      <c r="D754" s="136" t="s">
        <v>1331</v>
      </c>
      <c r="E754" s="134" t="s">
        <v>481</v>
      </c>
      <c r="F754" s="137" t="s">
        <v>577</v>
      </c>
      <c r="G754" s="138" t="s">
        <v>368</v>
      </c>
      <c r="H754" s="139"/>
      <c r="I754" s="140">
        <v>1</v>
      </c>
      <c r="J754" s="141">
        <v>25800</v>
      </c>
      <c r="K754" s="141">
        <v>25800</v>
      </c>
      <c r="L754" s="644"/>
      <c r="M754" s="659"/>
      <c r="N754" s="131"/>
      <c r="O754" s="132"/>
      <c r="P754" s="132"/>
      <c r="Q754" s="132"/>
      <c r="R754" s="132"/>
      <c r="S754" s="132"/>
      <c r="T754" s="132"/>
      <c r="U754" s="132"/>
      <c r="V754" s="132"/>
      <c r="W754" s="132"/>
      <c r="X754" s="132"/>
      <c r="Y754" s="132"/>
      <c r="Z754" s="132"/>
      <c r="AA754" s="132"/>
      <c r="AB754" s="132"/>
    </row>
    <row r="755" spans="1:28" s="133" customFormat="1" ht="15" customHeight="1" outlineLevel="1" x14ac:dyDescent="0.2">
      <c r="A755" s="121">
        <v>6</v>
      </c>
      <c r="B755" s="134">
        <v>14107</v>
      </c>
      <c r="C755" s="135">
        <v>41754</v>
      </c>
      <c r="D755" s="136" t="s">
        <v>1332</v>
      </c>
      <c r="E755" s="134" t="s">
        <v>471</v>
      </c>
      <c r="F755" s="137" t="s">
        <v>215</v>
      </c>
      <c r="G755" s="138" t="s">
        <v>368</v>
      </c>
      <c r="H755" s="139" t="s">
        <v>486</v>
      </c>
      <c r="I755" s="140">
        <v>1</v>
      </c>
      <c r="J755" s="141">
        <v>44597</v>
      </c>
      <c r="K755" s="141">
        <v>44597</v>
      </c>
      <c r="L755" s="644"/>
      <c r="M755" s="659"/>
      <c r="N755" s="131"/>
      <c r="O755" s="132"/>
      <c r="P755" s="132"/>
      <c r="Q755" s="132"/>
      <c r="R755" s="132"/>
      <c r="S755" s="132"/>
      <c r="T755" s="132"/>
      <c r="U755" s="132"/>
      <c r="V755" s="132"/>
      <c r="W755" s="132"/>
      <c r="X755" s="132"/>
      <c r="Y755" s="132"/>
      <c r="Z755" s="132"/>
      <c r="AA755" s="132"/>
      <c r="AB755" s="132"/>
    </row>
    <row r="756" spans="1:28" s="133" customFormat="1" ht="15" customHeight="1" outlineLevel="1" x14ac:dyDescent="0.2">
      <c r="A756" s="121">
        <v>7</v>
      </c>
      <c r="B756" s="134">
        <v>9255</v>
      </c>
      <c r="C756" s="135">
        <v>41738</v>
      </c>
      <c r="D756" s="136" t="s">
        <v>1333</v>
      </c>
      <c r="E756" s="134" t="s">
        <v>481</v>
      </c>
      <c r="F756" s="137" t="s">
        <v>115</v>
      </c>
      <c r="G756" s="138" t="s">
        <v>414</v>
      </c>
      <c r="H756" s="139" t="s">
        <v>570</v>
      </c>
      <c r="I756" s="140">
        <v>1</v>
      </c>
      <c r="J756" s="141">
        <v>5274</v>
      </c>
      <c r="K756" s="141">
        <v>5274</v>
      </c>
      <c r="L756" s="644"/>
      <c r="M756" s="659"/>
      <c r="N756" s="131"/>
      <c r="O756" s="132"/>
      <c r="P756" s="132"/>
      <c r="Q756" s="132"/>
      <c r="R756" s="132"/>
      <c r="S756" s="132"/>
      <c r="T756" s="132"/>
      <c r="U756" s="132"/>
      <c r="V756" s="132"/>
      <c r="W756" s="132"/>
      <c r="X756" s="132"/>
      <c r="Y756" s="132"/>
      <c r="Z756" s="132"/>
      <c r="AA756" s="132"/>
      <c r="AB756" s="132"/>
    </row>
    <row r="757" spans="1:28" s="133" customFormat="1" ht="15" customHeight="1" outlineLevel="1" x14ac:dyDescent="0.2">
      <c r="A757" s="121">
        <v>8</v>
      </c>
      <c r="B757" s="134">
        <v>14707</v>
      </c>
      <c r="C757" s="135">
        <v>41758</v>
      </c>
      <c r="D757" s="136" t="s">
        <v>1334</v>
      </c>
      <c r="E757" s="134" t="s">
        <v>473</v>
      </c>
      <c r="F757" s="137" t="s">
        <v>534</v>
      </c>
      <c r="G757" s="138" t="s">
        <v>469</v>
      </c>
      <c r="H757" s="139" t="s">
        <v>1266</v>
      </c>
      <c r="I757" s="140">
        <v>1</v>
      </c>
      <c r="J757" s="141">
        <v>30429</v>
      </c>
      <c r="K757" s="141">
        <v>30429</v>
      </c>
      <c r="L757" s="644"/>
      <c r="M757" s="659"/>
      <c r="N757" s="131"/>
      <c r="O757" s="132"/>
      <c r="P757" s="132"/>
      <c r="Q757" s="132"/>
      <c r="R757" s="132"/>
      <c r="S757" s="132"/>
      <c r="T757" s="132"/>
      <c r="U757" s="132"/>
      <c r="V757" s="132"/>
      <c r="W757" s="132"/>
      <c r="X757" s="132"/>
      <c r="Y757" s="132"/>
      <c r="Z757" s="132"/>
      <c r="AA757" s="132"/>
      <c r="AB757" s="132"/>
    </row>
    <row r="758" spans="1:28" s="133" customFormat="1" ht="15" customHeight="1" outlineLevel="1" x14ac:dyDescent="0.2">
      <c r="A758" s="121">
        <v>10</v>
      </c>
      <c r="B758" s="134">
        <v>13664</v>
      </c>
      <c r="C758" s="135">
        <v>41753</v>
      </c>
      <c r="D758" s="136" t="s">
        <v>1335</v>
      </c>
      <c r="E758" s="134" t="s">
        <v>481</v>
      </c>
      <c r="F758" s="137" t="s">
        <v>215</v>
      </c>
      <c r="G758" s="138" t="s">
        <v>368</v>
      </c>
      <c r="H758" s="139" t="s">
        <v>486</v>
      </c>
      <c r="I758" s="140">
        <v>1</v>
      </c>
      <c r="J758" s="141">
        <v>44597</v>
      </c>
      <c r="K758" s="141">
        <v>44597</v>
      </c>
      <c r="L758" s="644"/>
      <c r="M758" s="659"/>
      <c r="N758" s="131"/>
      <c r="O758" s="132"/>
      <c r="P758" s="132"/>
      <c r="Q758" s="132"/>
      <c r="R758" s="132"/>
      <c r="S758" s="132"/>
      <c r="T758" s="132"/>
      <c r="U758" s="132"/>
      <c r="V758" s="132"/>
      <c r="W758" s="132"/>
      <c r="X758" s="132"/>
      <c r="Y758" s="132"/>
      <c r="Z758" s="132"/>
      <c r="AA758" s="132"/>
      <c r="AB758" s="132"/>
    </row>
    <row r="759" spans="1:28" s="133" customFormat="1" ht="15" customHeight="1" outlineLevel="1" x14ac:dyDescent="0.2">
      <c r="A759" s="121">
        <v>11</v>
      </c>
      <c r="B759" s="134">
        <v>12148</v>
      </c>
      <c r="C759" s="135">
        <v>41750</v>
      </c>
      <c r="D759" s="136" t="s">
        <v>1336</v>
      </c>
      <c r="E759" s="134" t="s">
        <v>481</v>
      </c>
      <c r="F759" s="137" t="s">
        <v>679</v>
      </c>
      <c r="G759" s="138" t="s">
        <v>368</v>
      </c>
      <c r="H759" s="139" t="s">
        <v>1337</v>
      </c>
      <c r="I759" s="140">
        <v>1</v>
      </c>
      <c r="J759" s="141">
        <v>55058</v>
      </c>
      <c r="K759" s="141">
        <v>55058</v>
      </c>
      <c r="L759" s="644"/>
      <c r="M759" s="659"/>
      <c r="N759" s="131"/>
      <c r="O759" s="132"/>
      <c r="P759" s="132"/>
      <c r="Q759" s="132"/>
      <c r="R759" s="132"/>
      <c r="S759" s="132"/>
      <c r="T759" s="132"/>
      <c r="U759" s="132"/>
      <c r="V759" s="132"/>
      <c r="W759" s="132"/>
      <c r="X759" s="132"/>
      <c r="Y759" s="132"/>
      <c r="Z759" s="132"/>
      <c r="AA759" s="132"/>
      <c r="AB759" s="132"/>
    </row>
    <row r="760" spans="1:28" s="133" customFormat="1" ht="15" customHeight="1" outlineLevel="1" x14ac:dyDescent="0.2">
      <c r="A760" s="121">
        <v>12</v>
      </c>
      <c r="B760" s="134">
        <v>10875</v>
      </c>
      <c r="C760" s="135">
        <v>41744</v>
      </c>
      <c r="D760" s="136" t="s">
        <v>1228</v>
      </c>
      <c r="E760" s="134" t="s">
        <v>473</v>
      </c>
      <c r="F760" s="137" t="s">
        <v>114</v>
      </c>
      <c r="G760" s="138" t="s">
        <v>1299</v>
      </c>
      <c r="H760" s="139" t="s">
        <v>1282</v>
      </c>
      <c r="I760" s="140">
        <v>3</v>
      </c>
      <c r="J760" s="141">
        <v>33370</v>
      </c>
      <c r="K760" s="141">
        <v>100110</v>
      </c>
      <c r="L760" s="644"/>
      <c r="M760" s="659"/>
      <c r="N760" s="131"/>
      <c r="O760" s="132"/>
      <c r="P760" s="132"/>
      <c r="Q760" s="132"/>
      <c r="R760" s="132"/>
      <c r="S760" s="132"/>
      <c r="T760" s="132"/>
      <c r="U760" s="132"/>
      <c r="V760" s="132"/>
      <c r="W760" s="132"/>
      <c r="X760" s="132"/>
      <c r="Y760" s="132"/>
      <c r="Z760" s="132"/>
      <c r="AA760" s="132"/>
      <c r="AB760" s="132"/>
    </row>
    <row r="761" spans="1:28" s="133" customFormat="1" ht="15" customHeight="1" outlineLevel="1" x14ac:dyDescent="0.2">
      <c r="A761" s="121">
        <v>13</v>
      </c>
      <c r="B761" s="134">
        <v>12582</v>
      </c>
      <c r="C761" s="135">
        <v>41750</v>
      </c>
      <c r="D761" s="136" t="s">
        <v>1338</v>
      </c>
      <c r="E761" s="134" t="s">
        <v>481</v>
      </c>
      <c r="F761" s="137" t="s">
        <v>215</v>
      </c>
      <c r="G761" s="138" t="s">
        <v>482</v>
      </c>
      <c r="H761" s="139"/>
      <c r="I761" s="140">
        <v>2</v>
      </c>
      <c r="J761" s="141">
        <v>44597</v>
      </c>
      <c r="K761" s="141">
        <v>89194</v>
      </c>
      <c r="L761" s="644"/>
      <c r="M761" s="659"/>
      <c r="N761" s="131"/>
      <c r="O761" s="132"/>
      <c r="P761" s="132"/>
      <c r="Q761" s="132"/>
      <c r="R761" s="132"/>
      <c r="S761" s="132"/>
      <c r="T761" s="132"/>
      <c r="U761" s="132"/>
      <c r="V761" s="132"/>
      <c r="W761" s="132"/>
      <c r="X761" s="132"/>
      <c r="Y761" s="132"/>
      <c r="Z761" s="132"/>
      <c r="AA761" s="132"/>
      <c r="AB761" s="132"/>
    </row>
    <row r="762" spans="1:28" s="133" customFormat="1" ht="15" customHeight="1" outlineLevel="1" x14ac:dyDescent="0.2">
      <c r="A762" s="121">
        <v>14</v>
      </c>
      <c r="B762" s="134">
        <v>11743</v>
      </c>
      <c r="C762" s="135">
        <v>41746</v>
      </c>
      <c r="D762" s="136" t="s">
        <v>1339</v>
      </c>
      <c r="E762" s="134" t="s">
        <v>478</v>
      </c>
      <c r="F762" s="137" t="s">
        <v>217</v>
      </c>
      <c r="G762" s="138" t="s">
        <v>368</v>
      </c>
      <c r="H762" s="139" t="s">
        <v>486</v>
      </c>
      <c r="I762" s="140">
        <v>1</v>
      </c>
      <c r="J762" s="141">
        <v>22299</v>
      </c>
      <c r="K762" s="141">
        <v>22299</v>
      </c>
      <c r="L762" s="644"/>
      <c r="M762" s="659"/>
      <c r="N762" s="131"/>
      <c r="O762" s="132"/>
      <c r="P762" s="132"/>
      <c r="Q762" s="132"/>
      <c r="R762" s="132"/>
      <c r="S762" s="132"/>
      <c r="T762" s="132"/>
      <c r="U762" s="132"/>
      <c r="V762" s="132"/>
      <c r="W762" s="132"/>
      <c r="X762" s="132"/>
      <c r="Y762" s="132"/>
      <c r="Z762" s="132"/>
      <c r="AA762" s="132"/>
      <c r="AB762" s="132"/>
    </row>
    <row r="763" spans="1:28" s="133" customFormat="1" ht="15" customHeight="1" outlineLevel="1" x14ac:dyDescent="0.2">
      <c r="A763" s="121">
        <v>16</v>
      </c>
      <c r="B763" s="134">
        <v>12770</v>
      </c>
      <c r="C763" s="135">
        <v>41751</v>
      </c>
      <c r="D763" s="136" t="s">
        <v>485</v>
      </c>
      <c r="E763" s="134" t="s">
        <v>473</v>
      </c>
      <c r="F763" s="137" t="s">
        <v>215</v>
      </c>
      <c r="G763" s="138" t="s">
        <v>368</v>
      </c>
      <c r="H763" s="139" t="s">
        <v>486</v>
      </c>
      <c r="I763" s="140">
        <v>1</v>
      </c>
      <c r="J763" s="141">
        <v>44597</v>
      </c>
      <c r="K763" s="141">
        <v>44597</v>
      </c>
      <c r="L763" s="644"/>
      <c r="M763" s="659"/>
      <c r="N763" s="131"/>
      <c r="O763" s="132"/>
      <c r="P763" s="132"/>
      <c r="Q763" s="132"/>
      <c r="R763" s="132"/>
      <c r="S763" s="132"/>
      <c r="T763" s="132"/>
      <c r="U763" s="132"/>
      <c r="V763" s="132"/>
      <c r="W763" s="132"/>
      <c r="X763" s="132"/>
      <c r="Y763" s="132"/>
      <c r="Z763" s="132"/>
      <c r="AA763" s="132"/>
      <c r="AB763" s="132"/>
    </row>
    <row r="764" spans="1:28" s="133" customFormat="1" ht="15" customHeight="1" outlineLevel="1" x14ac:dyDescent="0.2">
      <c r="A764" s="121">
        <v>17</v>
      </c>
      <c r="B764" s="134">
        <v>9923</v>
      </c>
      <c r="C764" s="135">
        <v>41739</v>
      </c>
      <c r="D764" s="136" t="s">
        <v>1340</v>
      </c>
      <c r="E764" s="134" t="s">
        <v>473</v>
      </c>
      <c r="F764" s="137" t="s">
        <v>215</v>
      </c>
      <c r="G764" s="138" t="s">
        <v>368</v>
      </c>
      <c r="H764" s="139"/>
      <c r="I764" s="140">
        <v>1</v>
      </c>
      <c r="J764" s="141">
        <v>44597</v>
      </c>
      <c r="K764" s="141">
        <v>44597</v>
      </c>
      <c r="L764" s="644"/>
      <c r="M764" s="659"/>
      <c r="N764" s="131"/>
      <c r="O764" s="132"/>
      <c r="P764" s="132"/>
      <c r="Q764" s="132"/>
      <c r="R764" s="132"/>
      <c r="S764" s="132"/>
      <c r="T764" s="132"/>
      <c r="U764" s="132"/>
      <c r="V764" s="132"/>
      <c r="W764" s="132"/>
      <c r="X764" s="132"/>
      <c r="Y764" s="132"/>
      <c r="Z764" s="132"/>
      <c r="AA764" s="132"/>
      <c r="AB764" s="132"/>
    </row>
    <row r="765" spans="1:28" s="133" customFormat="1" ht="15" customHeight="1" outlineLevel="1" x14ac:dyDescent="0.2">
      <c r="A765" s="121">
        <v>18</v>
      </c>
      <c r="B765" s="134">
        <v>10707</v>
      </c>
      <c r="C765" s="135">
        <v>41743</v>
      </c>
      <c r="D765" s="136" t="s">
        <v>1341</v>
      </c>
      <c r="E765" s="134" t="s">
        <v>473</v>
      </c>
      <c r="F765" s="137" t="s">
        <v>215</v>
      </c>
      <c r="G765" s="138" t="s">
        <v>482</v>
      </c>
      <c r="H765" s="139" t="s">
        <v>486</v>
      </c>
      <c r="I765" s="140">
        <v>2</v>
      </c>
      <c r="J765" s="141">
        <v>44597</v>
      </c>
      <c r="K765" s="141">
        <v>89194</v>
      </c>
      <c r="L765" s="644"/>
      <c r="M765" s="659"/>
      <c r="N765" s="131"/>
      <c r="O765" s="132"/>
      <c r="P765" s="132"/>
      <c r="Q765" s="132"/>
      <c r="R765" s="132"/>
      <c r="S765" s="132"/>
      <c r="T765" s="132"/>
      <c r="U765" s="132"/>
      <c r="V765" s="132"/>
      <c r="W765" s="132"/>
      <c r="X765" s="132"/>
      <c r="Y765" s="132"/>
      <c r="Z765" s="132"/>
      <c r="AA765" s="132"/>
      <c r="AB765" s="132"/>
    </row>
    <row r="766" spans="1:28" s="133" customFormat="1" ht="15" customHeight="1" outlineLevel="1" x14ac:dyDescent="0.2">
      <c r="A766" s="121">
        <v>19</v>
      </c>
      <c r="B766" s="134">
        <v>8235</v>
      </c>
      <c r="C766" s="135">
        <v>41733</v>
      </c>
      <c r="D766" s="136" t="s">
        <v>1274</v>
      </c>
      <c r="E766" s="134" t="s">
        <v>475</v>
      </c>
      <c r="F766" s="137" t="s">
        <v>215</v>
      </c>
      <c r="G766" s="138" t="s">
        <v>366</v>
      </c>
      <c r="H766" s="139" t="s">
        <v>486</v>
      </c>
      <c r="I766" s="140">
        <v>1</v>
      </c>
      <c r="J766" s="141">
        <v>44597</v>
      </c>
      <c r="K766" s="141">
        <v>44597</v>
      </c>
      <c r="L766" s="644"/>
      <c r="M766" s="659"/>
      <c r="N766" s="131"/>
      <c r="O766" s="132"/>
      <c r="P766" s="132"/>
      <c r="Q766" s="132"/>
      <c r="R766" s="132"/>
      <c r="S766" s="132"/>
      <c r="T766" s="132"/>
      <c r="U766" s="132"/>
      <c r="V766" s="132"/>
      <c r="W766" s="132"/>
      <c r="X766" s="132"/>
      <c r="Y766" s="132"/>
      <c r="Z766" s="132"/>
      <c r="AA766" s="132"/>
      <c r="AB766" s="132"/>
    </row>
    <row r="767" spans="1:28" s="133" customFormat="1" ht="15" customHeight="1" outlineLevel="1" x14ac:dyDescent="0.2">
      <c r="A767" s="121">
        <v>20</v>
      </c>
      <c r="B767" s="134">
        <v>11148</v>
      </c>
      <c r="C767" s="135">
        <v>41744</v>
      </c>
      <c r="D767" s="136" t="s">
        <v>1274</v>
      </c>
      <c r="E767" s="134" t="s">
        <v>475</v>
      </c>
      <c r="F767" s="137" t="s">
        <v>619</v>
      </c>
      <c r="G767" s="138" t="s">
        <v>368</v>
      </c>
      <c r="H767" s="139" t="s">
        <v>486</v>
      </c>
      <c r="I767" s="140">
        <v>1</v>
      </c>
      <c r="J767" s="141">
        <v>15722</v>
      </c>
      <c r="K767" s="141">
        <v>15722</v>
      </c>
      <c r="L767" s="644"/>
      <c r="M767" s="659"/>
      <c r="N767" s="131"/>
      <c r="O767" s="132"/>
      <c r="P767" s="132"/>
      <c r="Q767" s="132"/>
      <c r="R767" s="132"/>
      <c r="S767" s="132"/>
      <c r="T767" s="132"/>
      <c r="U767" s="132"/>
      <c r="V767" s="132"/>
      <c r="W767" s="132"/>
      <c r="X767" s="132"/>
      <c r="Y767" s="132"/>
      <c r="Z767" s="132"/>
      <c r="AA767" s="132"/>
      <c r="AB767" s="132"/>
    </row>
    <row r="768" spans="1:28" s="133" customFormat="1" ht="15" customHeight="1" outlineLevel="1" x14ac:dyDescent="0.2">
      <c r="A768" s="121">
        <v>21</v>
      </c>
      <c r="B768" s="134">
        <v>10342</v>
      </c>
      <c r="C768" s="135">
        <v>41740</v>
      </c>
      <c r="D768" s="136" t="s">
        <v>1342</v>
      </c>
      <c r="E768" s="134" t="s">
        <v>481</v>
      </c>
      <c r="F768" s="137" t="s">
        <v>115</v>
      </c>
      <c r="G768" s="138" t="s">
        <v>414</v>
      </c>
      <c r="H768" s="139" t="s">
        <v>483</v>
      </c>
      <c r="I768" s="140">
        <v>1</v>
      </c>
      <c r="J768" s="141">
        <v>5274</v>
      </c>
      <c r="K768" s="141">
        <v>5274</v>
      </c>
      <c r="L768" s="644"/>
      <c r="M768" s="659"/>
      <c r="N768" s="131"/>
      <c r="O768" s="132"/>
      <c r="P768" s="132"/>
      <c r="Q768" s="132"/>
      <c r="R768" s="132"/>
      <c r="S768" s="132"/>
      <c r="T768" s="132"/>
      <c r="U768" s="132"/>
      <c r="V768" s="132"/>
      <c r="W768" s="132"/>
      <c r="X768" s="132"/>
      <c r="Y768" s="132"/>
      <c r="Z768" s="132"/>
      <c r="AA768" s="132"/>
      <c r="AB768" s="132"/>
    </row>
    <row r="769" spans="1:28" s="133" customFormat="1" ht="15" customHeight="1" outlineLevel="1" x14ac:dyDescent="0.2">
      <c r="A769" s="121">
        <v>22</v>
      </c>
      <c r="B769" s="134">
        <v>6626</v>
      </c>
      <c r="C769" s="135">
        <v>41729</v>
      </c>
      <c r="D769" s="136" t="s">
        <v>1343</v>
      </c>
      <c r="E769" s="134" t="s">
        <v>478</v>
      </c>
      <c r="F769" s="137" t="s">
        <v>619</v>
      </c>
      <c r="G769" s="138" t="s">
        <v>368</v>
      </c>
      <c r="H769" s="139"/>
      <c r="I769" s="140">
        <v>1</v>
      </c>
      <c r="J769" s="141">
        <v>15722</v>
      </c>
      <c r="K769" s="141">
        <v>15722</v>
      </c>
      <c r="L769" s="644"/>
      <c r="M769" s="659"/>
      <c r="N769" s="131"/>
      <c r="O769" s="132"/>
      <c r="P769" s="132"/>
      <c r="Q769" s="132"/>
      <c r="R769" s="132"/>
      <c r="S769" s="132"/>
      <c r="T769" s="132"/>
      <c r="U769" s="132"/>
      <c r="V769" s="132"/>
      <c r="W769" s="132"/>
      <c r="X769" s="132"/>
      <c r="Y769" s="132"/>
      <c r="Z769" s="132"/>
      <c r="AA769" s="132"/>
      <c r="AB769" s="132"/>
    </row>
    <row r="770" spans="1:28" s="133" customFormat="1" ht="15" customHeight="1" outlineLevel="1" x14ac:dyDescent="0.2">
      <c r="A770" s="121">
        <v>23</v>
      </c>
      <c r="B770" s="134">
        <v>1541</v>
      </c>
      <c r="C770" s="135">
        <v>41710</v>
      </c>
      <c r="D770" s="136" t="s">
        <v>1344</v>
      </c>
      <c r="E770" s="134" t="s">
        <v>478</v>
      </c>
      <c r="F770" s="137" t="s">
        <v>217</v>
      </c>
      <c r="G770" s="138" t="s">
        <v>368</v>
      </c>
      <c r="H770" s="139"/>
      <c r="I770" s="140">
        <v>1</v>
      </c>
      <c r="J770" s="141">
        <v>22299</v>
      </c>
      <c r="K770" s="141">
        <v>22299</v>
      </c>
      <c r="L770" s="644"/>
      <c r="M770" s="659"/>
      <c r="N770" s="131"/>
      <c r="O770" s="132"/>
      <c r="P770" s="132"/>
      <c r="Q770" s="132"/>
      <c r="R770" s="132"/>
      <c r="S770" s="132"/>
      <c r="T770" s="132"/>
      <c r="U770" s="132"/>
      <c r="V770" s="132"/>
      <c r="W770" s="132"/>
      <c r="X770" s="132"/>
      <c r="Y770" s="132"/>
      <c r="Z770" s="132"/>
      <c r="AA770" s="132"/>
      <c r="AB770" s="132"/>
    </row>
    <row r="771" spans="1:28" s="133" customFormat="1" ht="15" customHeight="1" outlineLevel="1" x14ac:dyDescent="0.2">
      <c r="A771" s="121">
        <v>24</v>
      </c>
      <c r="B771" s="134">
        <v>9341</v>
      </c>
      <c r="C771" s="135">
        <v>41737</v>
      </c>
      <c r="D771" s="136" t="s">
        <v>1345</v>
      </c>
      <c r="E771" s="134" t="s">
        <v>473</v>
      </c>
      <c r="F771" s="137" t="s">
        <v>114</v>
      </c>
      <c r="G771" s="138" t="s">
        <v>1063</v>
      </c>
      <c r="H771" s="139"/>
      <c r="I771" s="140">
        <v>3</v>
      </c>
      <c r="J771" s="141">
        <v>33370</v>
      </c>
      <c r="K771" s="141">
        <v>100110</v>
      </c>
      <c r="L771" s="644"/>
      <c r="M771" s="659"/>
      <c r="N771" s="131"/>
      <c r="O771" s="132"/>
      <c r="P771" s="132"/>
      <c r="Q771" s="132"/>
      <c r="R771" s="132"/>
      <c r="S771" s="132"/>
      <c r="T771" s="132"/>
      <c r="U771" s="132"/>
      <c r="V771" s="132"/>
      <c r="W771" s="132"/>
      <c r="X771" s="132"/>
      <c r="Y771" s="132"/>
      <c r="Z771" s="132"/>
      <c r="AA771" s="132"/>
      <c r="AB771" s="132"/>
    </row>
    <row r="772" spans="1:28" s="133" customFormat="1" ht="15" customHeight="1" outlineLevel="1" x14ac:dyDescent="0.2">
      <c r="A772" s="121">
        <v>25</v>
      </c>
      <c r="B772" s="134">
        <v>81240</v>
      </c>
      <c r="C772" s="135">
        <v>41624</v>
      </c>
      <c r="D772" s="136" t="s">
        <v>1346</v>
      </c>
      <c r="E772" s="134" t="s">
        <v>478</v>
      </c>
      <c r="F772" s="137" t="s">
        <v>215</v>
      </c>
      <c r="G772" s="138" t="s">
        <v>368</v>
      </c>
      <c r="H772" s="139" t="s">
        <v>486</v>
      </c>
      <c r="I772" s="140">
        <v>1</v>
      </c>
      <c r="J772" s="141">
        <v>44597</v>
      </c>
      <c r="K772" s="141">
        <v>44597</v>
      </c>
      <c r="L772" s="644"/>
      <c r="M772" s="659"/>
      <c r="N772" s="131"/>
      <c r="O772" s="132"/>
      <c r="P772" s="132"/>
      <c r="Q772" s="132"/>
      <c r="R772" s="132"/>
      <c r="S772" s="132"/>
      <c r="T772" s="132"/>
      <c r="U772" s="132"/>
      <c r="V772" s="132"/>
      <c r="W772" s="132"/>
      <c r="X772" s="132"/>
      <c r="Y772" s="132"/>
      <c r="Z772" s="132"/>
      <c r="AA772" s="132"/>
      <c r="AB772" s="132"/>
    </row>
    <row r="773" spans="1:28" s="133" customFormat="1" ht="15" customHeight="1" outlineLevel="1" x14ac:dyDescent="0.2">
      <c r="A773" s="121">
        <v>26</v>
      </c>
      <c r="B773" s="134">
        <v>8554</v>
      </c>
      <c r="C773" s="135">
        <v>41736</v>
      </c>
      <c r="D773" s="136" t="s">
        <v>1347</v>
      </c>
      <c r="E773" s="134" t="s">
        <v>481</v>
      </c>
      <c r="F773" s="137" t="s">
        <v>115</v>
      </c>
      <c r="G773" s="138" t="s">
        <v>428</v>
      </c>
      <c r="H773" s="139" t="s">
        <v>570</v>
      </c>
      <c r="I773" s="140">
        <v>1</v>
      </c>
      <c r="J773" s="141">
        <v>5274</v>
      </c>
      <c r="K773" s="141">
        <v>5274</v>
      </c>
      <c r="L773" s="644"/>
      <c r="M773" s="659"/>
      <c r="N773" s="131"/>
      <c r="O773" s="132"/>
      <c r="P773" s="132"/>
      <c r="Q773" s="132"/>
      <c r="R773" s="132"/>
      <c r="S773" s="132"/>
      <c r="T773" s="132"/>
      <c r="U773" s="132"/>
      <c r="V773" s="132"/>
      <c r="W773" s="132"/>
      <c r="X773" s="132"/>
      <c r="Y773" s="132"/>
      <c r="Z773" s="132"/>
      <c r="AA773" s="132"/>
      <c r="AB773" s="132"/>
    </row>
    <row r="774" spans="1:28" s="133" customFormat="1" ht="15" customHeight="1" outlineLevel="1" x14ac:dyDescent="0.2">
      <c r="A774" s="121">
        <v>28</v>
      </c>
      <c r="B774" s="134">
        <v>14702</v>
      </c>
      <c r="C774" s="135">
        <v>41758</v>
      </c>
      <c r="D774" s="136" t="s">
        <v>1348</v>
      </c>
      <c r="E774" s="134" t="s">
        <v>473</v>
      </c>
      <c r="F774" s="137" t="s">
        <v>190</v>
      </c>
      <c r="G774" s="138" t="s">
        <v>380</v>
      </c>
      <c r="H774" s="139" t="s">
        <v>580</v>
      </c>
      <c r="I774" s="140">
        <v>1</v>
      </c>
      <c r="J774" s="141">
        <v>57960</v>
      </c>
      <c r="K774" s="141">
        <v>57960</v>
      </c>
      <c r="L774" s="644"/>
      <c r="M774" s="659"/>
      <c r="N774" s="131"/>
      <c r="O774" s="132"/>
      <c r="P774" s="132"/>
      <c r="Q774" s="132"/>
      <c r="R774" s="132"/>
      <c r="S774" s="132"/>
      <c r="T774" s="132"/>
      <c r="U774" s="132"/>
      <c r="V774" s="132"/>
      <c r="W774" s="132"/>
      <c r="X774" s="132"/>
      <c r="Y774" s="132"/>
      <c r="Z774" s="132"/>
      <c r="AA774" s="132"/>
      <c r="AB774" s="132"/>
    </row>
    <row r="775" spans="1:28" s="133" customFormat="1" ht="15" customHeight="1" outlineLevel="1" x14ac:dyDescent="0.2">
      <c r="A775" s="121">
        <v>29</v>
      </c>
      <c r="B775" s="134">
        <v>12954</v>
      </c>
      <c r="C775" s="135">
        <v>41751</v>
      </c>
      <c r="D775" s="136" t="s">
        <v>1349</v>
      </c>
      <c r="E775" s="134" t="s">
        <v>481</v>
      </c>
      <c r="F775" s="137" t="s">
        <v>215</v>
      </c>
      <c r="G775" s="138" t="s">
        <v>368</v>
      </c>
      <c r="H775" s="139" t="s">
        <v>1337</v>
      </c>
      <c r="I775" s="140">
        <v>1</v>
      </c>
      <c r="J775" s="141">
        <v>44597</v>
      </c>
      <c r="K775" s="141">
        <v>44597</v>
      </c>
      <c r="L775" s="644"/>
      <c r="M775" s="659"/>
      <c r="N775" s="131"/>
      <c r="O775" s="132"/>
      <c r="P775" s="132"/>
      <c r="Q775" s="132"/>
      <c r="R775" s="132"/>
      <c r="S775" s="132"/>
      <c r="T775" s="132"/>
      <c r="U775" s="132"/>
      <c r="V775" s="132"/>
      <c r="W775" s="132"/>
      <c r="X775" s="132"/>
      <c r="Y775" s="132"/>
      <c r="Z775" s="132"/>
      <c r="AA775" s="132"/>
      <c r="AB775" s="132"/>
    </row>
    <row r="776" spans="1:28" s="133" customFormat="1" ht="15" customHeight="1" outlineLevel="1" x14ac:dyDescent="0.2">
      <c r="A776" s="121">
        <v>30</v>
      </c>
      <c r="B776" s="134">
        <v>9967</v>
      </c>
      <c r="C776" s="135">
        <v>41740</v>
      </c>
      <c r="D776" s="136" t="s">
        <v>1350</v>
      </c>
      <c r="E776" s="134" t="s">
        <v>473</v>
      </c>
      <c r="F776" s="137" t="s">
        <v>215</v>
      </c>
      <c r="G776" s="138" t="s">
        <v>368</v>
      </c>
      <c r="H776" s="139" t="s">
        <v>486</v>
      </c>
      <c r="I776" s="140">
        <v>1</v>
      </c>
      <c r="J776" s="141">
        <v>44597</v>
      </c>
      <c r="K776" s="141">
        <v>44597</v>
      </c>
      <c r="L776" s="644"/>
      <c r="M776" s="659"/>
      <c r="N776" s="131"/>
      <c r="O776" s="132"/>
      <c r="P776" s="132"/>
      <c r="Q776" s="132"/>
      <c r="R776" s="132"/>
      <c r="S776" s="132"/>
      <c r="T776" s="132"/>
      <c r="U776" s="132"/>
      <c r="V776" s="132"/>
      <c r="W776" s="132"/>
      <c r="X776" s="132"/>
      <c r="Y776" s="132"/>
      <c r="Z776" s="132"/>
      <c r="AA776" s="132"/>
      <c r="AB776" s="132"/>
    </row>
    <row r="777" spans="1:28" s="133" customFormat="1" ht="15" customHeight="1" outlineLevel="1" x14ac:dyDescent="0.2">
      <c r="A777" s="121">
        <v>31</v>
      </c>
      <c r="B777" s="134">
        <v>14244</v>
      </c>
      <c r="C777" s="135">
        <v>41755</v>
      </c>
      <c r="D777" s="136" t="s">
        <v>1351</v>
      </c>
      <c r="E777" s="134" t="s">
        <v>473</v>
      </c>
      <c r="F777" s="137" t="s">
        <v>114</v>
      </c>
      <c r="G777" s="138" t="s">
        <v>469</v>
      </c>
      <c r="H777" s="139"/>
      <c r="I777" s="140">
        <v>1</v>
      </c>
      <c r="J777" s="141">
        <v>33370</v>
      </c>
      <c r="K777" s="141">
        <v>33370</v>
      </c>
      <c r="L777" s="644"/>
      <c r="M777" s="659"/>
      <c r="N777" s="207" t="s">
        <v>1352</v>
      </c>
      <c r="O777" s="186"/>
      <c r="P777" s="131"/>
      <c r="Q777" s="132"/>
      <c r="R777" s="132"/>
      <c r="S777" s="132"/>
      <c r="T777" s="132"/>
      <c r="U777" s="132"/>
      <c r="V777" s="132"/>
      <c r="W777" s="132"/>
      <c r="X777" s="132"/>
      <c r="Y777" s="132"/>
      <c r="Z777" s="132"/>
      <c r="AA777" s="132"/>
      <c r="AB777" s="132"/>
    </row>
    <row r="778" spans="1:28" s="133" customFormat="1" ht="15" customHeight="1" outlineLevel="1" x14ac:dyDescent="0.2">
      <c r="A778" s="121">
        <v>32</v>
      </c>
      <c r="B778" s="134">
        <v>14244</v>
      </c>
      <c r="C778" s="135">
        <v>41755</v>
      </c>
      <c r="D778" s="136" t="s">
        <v>1351</v>
      </c>
      <c r="E778" s="134" t="s">
        <v>473</v>
      </c>
      <c r="F778" s="137" t="s">
        <v>186</v>
      </c>
      <c r="G778" s="138" t="s">
        <v>1353</v>
      </c>
      <c r="H778" s="139"/>
      <c r="I778" s="140">
        <v>2</v>
      </c>
      <c r="J778" s="141">
        <v>42601</v>
      </c>
      <c r="K778" s="141">
        <v>85202</v>
      </c>
      <c r="L778" s="644"/>
      <c r="M778" s="659"/>
      <c r="N778" s="131"/>
      <c r="O778" s="132"/>
      <c r="P778" s="132"/>
      <c r="Q778" s="132"/>
      <c r="R778" s="132"/>
      <c r="S778" s="132"/>
      <c r="T778" s="132"/>
      <c r="U778" s="132"/>
      <c r="V778" s="132"/>
      <c r="W778" s="132"/>
      <c r="X778" s="132"/>
      <c r="Y778" s="132"/>
      <c r="Z778" s="132"/>
      <c r="AA778" s="132"/>
      <c r="AB778" s="132"/>
    </row>
    <row r="779" spans="1:28" s="133" customFormat="1" ht="15" customHeight="1" outlineLevel="1" x14ac:dyDescent="0.2">
      <c r="A779" s="121">
        <v>33</v>
      </c>
      <c r="B779" s="134">
        <v>84970</v>
      </c>
      <c r="C779" s="135">
        <v>41638</v>
      </c>
      <c r="D779" s="136" t="s">
        <v>1354</v>
      </c>
      <c r="E779" s="134" t="s">
        <v>478</v>
      </c>
      <c r="F779" s="137" t="s">
        <v>215</v>
      </c>
      <c r="G779" s="138" t="s">
        <v>482</v>
      </c>
      <c r="H779" s="139" t="s">
        <v>486</v>
      </c>
      <c r="I779" s="140">
        <v>2</v>
      </c>
      <c r="J779" s="141">
        <v>44597</v>
      </c>
      <c r="K779" s="141">
        <v>89194</v>
      </c>
      <c r="L779" s="644"/>
      <c r="M779" s="659"/>
      <c r="N779" s="131"/>
      <c r="O779" s="132"/>
      <c r="P779" s="132"/>
      <c r="Q779" s="132"/>
      <c r="R779" s="132"/>
      <c r="S779" s="132"/>
      <c r="T779" s="132"/>
      <c r="U779" s="132"/>
      <c r="V779" s="132"/>
      <c r="W779" s="132"/>
      <c r="X779" s="132"/>
      <c r="Y779" s="132"/>
      <c r="Z779" s="132"/>
      <c r="AA779" s="132"/>
      <c r="AB779" s="132"/>
    </row>
    <row r="780" spans="1:28" s="133" customFormat="1" ht="15" customHeight="1" outlineLevel="1" x14ac:dyDescent="0.2">
      <c r="A780" s="121">
        <v>34</v>
      </c>
      <c r="B780" s="134">
        <v>8933</v>
      </c>
      <c r="C780" s="135">
        <v>41736</v>
      </c>
      <c r="D780" s="136" t="s">
        <v>1355</v>
      </c>
      <c r="E780" s="134" t="s">
        <v>481</v>
      </c>
      <c r="F780" s="137" t="s">
        <v>115</v>
      </c>
      <c r="G780" s="138" t="s">
        <v>508</v>
      </c>
      <c r="H780" s="139" t="s">
        <v>486</v>
      </c>
      <c r="I780" s="140">
        <v>1</v>
      </c>
      <c r="J780" s="141">
        <v>5274</v>
      </c>
      <c r="K780" s="141">
        <v>5274</v>
      </c>
      <c r="L780" s="644"/>
      <c r="M780" s="659"/>
      <c r="N780" s="131"/>
      <c r="O780" s="132"/>
      <c r="P780" s="132"/>
      <c r="Q780" s="132"/>
      <c r="R780" s="132"/>
      <c r="S780" s="132"/>
      <c r="T780" s="132"/>
      <c r="U780" s="132"/>
      <c r="V780" s="132"/>
      <c r="W780" s="132"/>
      <c r="X780" s="132"/>
      <c r="Y780" s="132"/>
      <c r="Z780" s="132"/>
      <c r="AA780" s="132"/>
      <c r="AB780" s="132"/>
    </row>
    <row r="781" spans="1:28" s="133" customFormat="1" ht="15" customHeight="1" outlineLevel="1" x14ac:dyDescent="0.2">
      <c r="A781" s="121">
        <v>35</v>
      </c>
      <c r="B781" s="134">
        <v>6258</v>
      </c>
      <c r="C781" s="135">
        <v>41725</v>
      </c>
      <c r="D781" s="136" t="s">
        <v>1356</v>
      </c>
      <c r="E781" s="134" t="s">
        <v>502</v>
      </c>
      <c r="F781" s="137" t="s">
        <v>577</v>
      </c>
      <c r="G781" s="138" t="s">
        <v>368</v>
      </c>
      <c r="H781" s="139"/>
      <c r="I781" s="140">
        <v>1</v>
      </c>
      <c r="J781" s="141">
        <v>25800</v>
      </c>
      <c r="K781" s="141">
        <v>25800</v>
      </c>
      <c r="L781" s="644"/>
      <c r="M781" s="659"/>
      <c r="N781" s="131"/>
      <c r="O781" s="132"/>
      <c r="P781" s="132"/>
      <c r="Q781" s="132"/>
      <c r="R781" s="132"/>
      <c r="S781" s="132"/>
      <c r="T781" s="132"/>
      <c r="U781" s="132"/>
      <c r="V781" s="132"/>
      <c r="W781" s="132"/>
      <c r="X781" s="132"/>
      <c r="Y781" s="132"/>
      <c r="Z781" s="132"/>
      <c r="AA781" s="132"/>
      <c r="AB781" s="132"/>
    </row>
    <row r="782" spans="1:28" s="133" customFormat="1" ht="15" customHeight="1" outlineLevel="1" x14ac:dyDescent="0.2">
      <c r="A782" s="121">
        <v>36</v>
      </c>
      <c r="B782" s="134">
        <v>10553</v>
      </c>
      <c r="C782" s="135">
        <v>41744</v>
      </c>
      <c r="D782" s="136" t="s">
        <v>1251</v>
      </c>
      <c r="E782" s="134" t="s">
        <v>473</v>
      </c>
      <c r="F782" s="137" t="s">
        <v>115</v>
      </c>
      <c r="G782" s="138" t="s">
        <v>404</v>
      </c>
      <c r="H782" s="139"/>
      <c r="I782" s="140">
        <v>1</v>
      </c>
      <c r="J782" s="141">
        <v>5274</v>
      </c>
      <c r="K782" s="141">
        <v>5274</v>
      </c>
      <c r="L782" s="644"/>
      <c r="M782" s="659"/>
      <c r="N782" s="131"/>
      <c r="O782" s="132"/>
      <c r="P782" s="132"/>
      <c r="Q782" s="132"/>
      <c r="R782" s="132"/>
      <c r="S782" s="132"/>
      <c r="T782" s="132"/>
      <c r="U782" s="132"/>
      <c r="V782" s="132"/>
      <c r="W782" s="132"/>
      <c r="X782" s="132"/>
      <c r="Y782" s="132"/>
      <c r="Z782" s="132"/>
      <c r="AA782" s="132"/>
      <c r="AB782" s="132"/>
    </row>
    <row r="783" spans="1:28" s="133" customFormat="1" ht="15" customHeight="1" outlineLevel="1" x14ac:dyDescent="0.2">
      <c r="A783" s="121">
        <v>37</v>
      </c>
      <c r="B783" s="134">
        <v>10553</v>
      </c>
      <c r="C783" s="135">
        <v>41744</v>
      </c>
      <c r="D783" s="136" t="s">
        <v>1251</v>
      </c>
      <c r="E783" s="134" t="s">
        <v>473</v>
      </c>
      <c r="F783" s="137" t="s">
        <v>208</v>
      </c>
      <c r="G783" s="138" t="s">
        <v>404</v>
      </c>
      <c r="H783" s="139"/>
      <c r="I783" s="140">
        <v>1</v>
      </c>
      <c r="J783" s="141">
        <v>14099</v>
      </c>
      <c r="K783" s="141">
        <v>14099</v>
      </c>
      <c r="L783" s="645"/>
      <c r="M783" s="660"/>
      <c r="N783" s="131"/>
      <c r="O783" s="132"/>
      <c r="P783" s="132"/>
      <c r="Q783" s="132"/>
      <c r="R783" s="132"/>
      <c r="S783" s="132"/>
      <c r="T783" s="132"/>
      <c r="U783" s="132"/>
      <c r="V783" s="132"/>
      <c r="W783" s="132"/>
      <c r="X783" s="132"/>
      <c r="Y783" s="132"/>
      <c r="Z783" s="132"/>
      <c r="AA783" s="132"/>
      <c r="AB783" s="132"/>
    </row>
    <row r="784" spans="1:28" s="133" customFormat="1" ht="15" customHeight="1" outlineLevel="1" x14ac:dyDescent="0.2">
      <c r="A784" s="121">
        <v>1</v>
      </c>
      <c r="B784" s="121">
        <v>22821</v>
      </c>
      <c r="C784" s="122">
        <v>41790</v>
      </c>
      <c r="D784" s="123" t="s">
        <v>1357</v>
      </c>
      <c r="E784" s="121" t="s">
        <v>481</v>
      </c>
      <c r="F784" s="124" t="s">
        <v>115</v>
      </c>
      <c r="G784" s="125" t="s">
        <v>1358</v>
      </c>
      <c r="H784" s="126" t="s">
        <v>486</v>
      </c>
      <c r="I784" s="127">
        <v>1</v>
      </c>
      <c r="J784" s="128">
        <v>5274</v>
      </c>
      <c r="K784" s="128">
        <v>5274</v>
      </c>
      <c r="L784" s="655" t="s">
        <v>603</v>
      </c>
      <c r="M784" s="167" t="s">
        <v>36</v>
      </c>
      <c r="N784" s="131"/>
      <c r="O784" s="132"/>
      <c r="P784" s="132"/>
      <c r="Q784" s="132"/>
      <c r="R784" s="132"/>
      <c r="S784" s="132"/>
      <c r="T784" s="132"/>
      <c r="U784" s="132"/>
      <c r="V784" s="132"/>
      <c r="W784" s="132"/>
      <c r="X784" s="132"/>
      <c r="Y784" s="132"/>
      <c r="Z784" s="132"/>
      <c r="AA784" s="132"/>
      <c r="AB784" s="132"/>
    </row>
    <row r="785" spans="1:28" s="133" customFormat="1" ht="15" customHeight="1" outlineLevel="1" x14ac:dyDescent="0.2">
      <c r="A785" s="121">
        <v>2</v>
      </c>
      <c r="B785" s="121">
        <v>19167</v>
      </c>
      <c r="C785" s="122">
        <v>41775</v>
      </c>
      <c r="D785" s="123" t="s">
        <v>1359</v>
      </c>
      <c r="E785" s="121" t="s">
        <v>481</v>
      </c>
      <c r="F785" s="124" t="s">
        <v>577</v>
      </c>
      <c r="G785" s="125" t="s">
        <v>368</v>
      </c>
      <c r="H785" s="126"/>
      <c r="I785" s="127">
        <v>1</v>
      </c>
      <c r="J785" s="128">
        <v>25800</v>
      </c>
      <c r="K785" s="128">
        <v>25800</v>
      </c>
      <c r="L785" s="644"/>
      <c r="M785" s="167" t="s">
        <v>36</v>
      </c>
      <c r="N785" s="131"/>
      <c r="O785" s="132"/>
      <c r="P785" s="132"/>
      <c r="Q785" s="132"/>
      <c r="R785" s="132"/>
      <c r="S785" s="132"/>
      <c r="T785" s="132"/>
      <c r="U785" s="132"/>
      <c r="V785" s="132"/>
      <c r="W785" s="132"/>
      <c r="X785" s="132"/>
      <c r="Y785" s="132"/>
      <c r="Z785" s="132"/>
      <c r="AA785" s="132"/>
      <c r="AB785" s="132"/>
    </row>
    <row r="786" spans="1:28" s="133" customFormat="1" ht="15" customHeight="1" outlineLevel="1" x14ac:dyDescent="0.2">
      <c r="A786" s="121">
        <v>3</v>
      </c>
      <c r="B786" s="121">
        <v>21246</v>
      </c>
      <c r="C786" s="122">
        <v>41785</v>
      </c>
      <c r="D786" s="123" t="s">
        <v>1360</v>
      </c>
      <c r="E786" s="121" t="s">
        <v>471</v>
      </c>
      <c r="F786" s="124" t="s">
        <v>577</v>
      </c>
      <c r="G786" s="125" t="s">
        <v>368</v>
      </c>
      <c r="H786" s="126"/>
      <c r="I786" s="127">
        <v>1</v>
      </c>
      <c r="J786" s="128">
        <v>25800</v>
      </c>
      <c r="K786" s="128">
        <v>25800</v>
      </c>
      <c r="L786" s="644"/>
      <c r="M786" s="167" t="s">
        <v>36</v>
      </c>
      <c r="N786" s="131"/>
      <c r="O786" s="132"/>
      <c r="P786" s="132"/>
      <c r="Q786" s="132"/>
      <c r="R786" s="132"/>
      <c r="S786" s="132"/>
      <c r="T786" s="132"/>
      <c r="U786" s="132"/>
      <c r="V786" s="132"/>
      <c r="W786" s="132"/>
      <c r="X786" s="132"/>
      <c r="Y786" s="132"/>
      <c r="Z786" s="132"/>
      <c r="AA786" s="132"/>
      <c r="AB786" s="132"/>
    </row>
    <row r="787" spans="1:28" s="133" customFormat="1" ht="15" customHeight="1" outlineLevel="1" x14ac:dyDescent="0.2">
      <c r="A787" s="121">
        <v>4</v>
      </c>
      <c r="B787" s="121">
        <v>16675</v>
      </c>
      <c r="C787" s="122">
        <v>41767</v>
      </c>
      <c r="D787" s="123" t="s">
        <v>1361</v>
      </c>
      <c r="E787" s="121" t="s">
        <v>471</v>
      </c>
      <c r="F787" s="124" t="s">
        <v>679</v>
      </c>
      <c r="G787" s="125" t="s">
        <v>366</v>
      </c>
      <c r="H787" s="126" t="s">
        <v>700</v>
      </c>
      <c r="I787" s="127">
        <v>1</v>
      </c>
      <c r="J787" s="128">
        <v>55058</v>
      </c>
      <c r="K787" s="128">
        <v>55058</v>
      </c>
      <c r="L787" s="644"/>
      <c r="M787" s="167" t="s">
        <v>36</v>
      </c>
      <c r="N787" s="131"/>
      <c r="O787" s="132"/>
      <c r="P787" s="132"/>
      <c r="Q787" s="132"/>
      <c r="R787" s="132"/>
      <c r="S787" s="132"/>
      <c r="T787" s="132"/>
      <c r="U787" s="132"/>
      <c r="V787" s="132"/>
      <c r="W787" s="132"/>
      <c r="X787" s="132"/>
      <c r="Y787" s="132"/>
      <c r="Z787" s="132"/>
      <c r="AA787" s="132"/>
      <c r="AB787" s="132"/>
    </row>
    <row r="788" spans="1:28" s="192" customFormat="1" ht="15" customHeight="1" outlineLevel="1" x14ac:dyDescent="0.2">
      <c r="A788" s="121">
        <v>5</v>
      </c>
      <c r="B788" s="147">
        <v>12191</v>
      </c>
      <c r="C788" s="148">
        <v>41750</v>
      </c>
      <c r="D788" s="149" t="s">
        <v>1362</v>
      </c>
      <c r="E788" s="147" t="s">
        <v>471</v>
      </c>
      <c r="F788" s="150" t="s">
        <v>577</v>
      </c>
      <c r="G788" s="151" t="s">
        <v>368</v>
      </c>
      <c r="H788" s="152"/>
      <c r="I788" s="153">
        <v>1</v>
      </c>
      <c r="J788" s="128">
        <v>25800</v>
      </c>
      <c r="K788" s="128">
        <v>25800</v>
      </c>
      <c r="L788" s="644"/>
      <c r="M788" s="167" t="s">
        <v>36</v>
      </c>
      <c r="N788" s="190"/>
      <c r="O788" s="191"/>
      <c r="P788" s="191"/>
      <c r="Q788" s="191"/>
      <c r="R788" s="191"/>
      <c r="S788" s="191"/>
      <c r="T788" s="191"/>
      <c r="U788" s="191"/>
      <c r="V788" s="191"/>
      <c r="W788" s="191"/>
      <c r="X788" s="191"/>
      <c r="Y788" s="191"/>
      <c r="Z788" s="191"/>
      <c r="AA788" s="191"/>
      <c r="AB788" s="191"/>
    </row>
    <row r="789" spans="1:28" s="133" customFormat="1" ht="15" customHeight="1" outlineLevel="1" x14ac:dyDescent="0.2">
      <c r="A789" s="121">
        <v>6</v>
      </c>
      <c r="B789" s="121">
        <v>17982</v>
      </c>
      <c r="C789" s="122">
        <v>41769</v>
      </c>
      <c r="D789" s="123" t="s">
        <v>1363</v>
      </c>
      <c r="E789" s="121" t="s">
        <v>481</v>
      </c>
      <c r="F789" s="124" t="s">
        <v>115</v>
      </c>
      <c r="G789" s="125" t="s">
        <v>508</v>
      </c>
      <c r="H789" s="126" t="s">
        <v>570</v>
      </c>
      <c r="I789" s="127">
        <v>1</v>
      </c>
      <c r="J789" s="128">
        <v>5274</v>
      </c>
      <c r="K789" s="128">
        <v>5274</v>
      </c>
      <c r="L789" s="644"/>
      <c r="M789" s="167" t="s">
        <v>36</v>
      </c>
      <c r="N789" s="131"/>
      <c r="O789" s="132"/>
      <c r="P789" s="132"/>
      <c r="Q789" s="132"/>
      <c r="R789" s="132"/>
      <c r="S789" s="132"/>
      <c r="T789" s="132"/>
      <c r="U789" s="132"/>
      <c r="V789" s="132"/>
      <c r="W789" s="132"/>
      <c r="X789" s="132"/>
      <c r="Y789" s="132"/>
      <c r="Z789" s="132"/>
      <c r="AA789" s="132"/>
      <c r="AB789" s="132"/>
    </row>
    <row r="790" spans="1:28" s="192" customFormat="1" ht="15" customHeight="1" outlineLevel="1" x14ac:dyDescent="0.2">
      <c r="A790" s="121">
        <v>7</v>
      </c>
      <c r="B790" s="147">
        <v>13907</v>
      </c>
      <c r="C790" s="148">
        <v>41754</v>
      </c>
      <c r="D790" s="149" t="s">
        <v>1230</v>
      </c>
      <c r="E790" s="147" t="s">
        <v>478</v>
      </c>
      <c r="F790" s="150" t="s">
        <v>843</v>
      </c>
      <c r="G790" s="151" t="s">
        <v>368</v>
      </c>
      <c r="H790" s="152"/>
      <c r="I790" s="153">
        <v>1</v>
      </c>
      <c r="J790" s="128">
        <v>334719</v>
      </c>
      <c r="K790" s="128">
        <v>334719</v>
      </c>
      <c r="L790" s="644"/>
      <c r="M790" s="167" t="s">
        <v>36</v>
      </c>
      <c r="N790" s="190"/>
      <c r="O790" s="191"/>
      <c r="P790" s="191"/>
      <c r="Q790" s="191"/>
      <c r="R790" s="191"/>
      <c r="S790" s="191"/>
      <c r="T790" s="191"/>
      <c r="U790" s="191"/>
      <c r="V790" s="191"/>
      <c r="W790" s="191"/>
      <c r="X790" s="191"/>
      <c r="Y790" s="191"/>
      <c r="Z790" s="191"/>
      <c r="AA790" s="191"/>
      <c r="AB790" s="191"/>
    </row>
    <row r="791" spans="1:28" s="133" customFormat="1" ht="15" customHeight="1" outlineLevel="1" x14ac:dyDescent="0.2">
      <c r="A791" s="121">
        <v>8</v>
      </c>
      <c r="B791" s="121">
        <v>21884</v>
      </c>
      <c r="C791" s="122">
        <v>41787</v>
      </c>
      <c r="D791" s="123" t="s">
        <v>1364</v>
      </c>
      <c r="E791" s="121" t="s">
        <v>481</v>
      </c>
      <c r="F791" s="124" t="s">
        <v>115</v>
      </c>
      <c r="G791" s="125" t="s">
        <v>389</v>
      </c>
      <c r="H791" s="126" t="s">
        <v>1233</v>
      </c>
      <c r="I791" s="127">
        <v>1</v>
      </c>
      <c r="J791" s="128">
        <v>5274</v>
      </c>
      <c r="K791" s="128">
        <v>5274</v>
      </c>
      <c r="L791" s="644"/>
      <c r="M791" s="167" t="s">
        <v>36</v>
      </c>
      <c r="N791" s="131"/>
      <c r="O791" s="132"/>
      <c r="P791" s="132"/>
      <c r="Q791" s="132"/>
      <c r="R791" s="132"/>
      <c r="S791" s="132"/>
      <c r="T791" s="132"/>
      <c r="U791" s="132"/>
      <c r="V791" s="132"/>
      <c r="W791" s="132"/>
      <c r="X791" s="132"/>
      <c r="Y791" s="132"/>
      <c r="Z791" s="132"/>
      <c r="AA791" s="132"/>
      <c r="AB791" s="132"/>
    </row>
    <row r="792" spans="1:28" s="133" customFormat="1" ht="15" customHeight="1" outlineLevel="1" x14ac:dyDescent="0.2">
      <c r="A792" s="121">
        <v>9</v>
      </c>
      <c r="B792" s="121">
        <v>20225</v>
      </c>
      <c r="C792" s="122">
        <v>41779</v>
      </c>
      <c r="D792" s="123" t="s">
        <v>1365</v>
      </c>
      <c r="E792" s="121" t="s">
        <v>473</v>
      </c>
      <c r="F792" s="124" t="s">
        <v>534</v>
      </c>
      <c r="G792" s="125" t="s">
        <v>508</v>
      </c>
      <c r="H792" s="126" t="s">
        <v>580</v>
      </c>
      <c r="I792" s="127">
        <v>1</v>
      </c>
      <c r="J792" s="128">
        <v>30429</v>
      </c>
      <c r="K792" s="128">
        <v>30429</v>
      </c>
      <c r="L792" s="644"/>
      <c r="M792" s="167" t="s">
        <v>36</v>
      </c>
      <c r="N792" s="131"/>
      <c r="O792" s="132"/>
      <c r="P792" s="132"/>
      <c r="Q792" s="132"/>
      <c r="R792" s="132"/>
      <c r="S792" s="132"/>
      <c r="T792" s="132"/>
      <c r="U792" s="132"/>
      <c r="V792" s="132"/>
      <c r="W792" s="132"/>
      <c r="X792" s="132"/>
      <c r="Y792" s="132"/>
      <c r="Z792" s="132"/>
      <c r="AA792" s="132"/>
      <c r="AB792" s="132"/>
    </row>
    <row r="793" spans="1:28" s="133" customFormat="1" ht="15" customHeight="1" outlineLevel="1" x14ac:dyDescent="0.2">
      <c r="A793" s="121">
        <v>10</v>
      </c>
      <c r="B793" s="121">
        <v>21853</v>
      </c>
      <c r="C793" s="122">
        <v>41786</v>
      </c>
      <c r="D793" s="123" t="s">
        <v>1366</v>
      </c>
      <c r="E793" s="121" t="s">
        <v>473</v>
      </c>
      <c r="F793" s="124" t="s">
        <v>215</v>
      </c>
      <c r="G793" s="125" t="s">
        <v>366</v>
      </c>
      <c r="H793" s="126" t="s">
        <v>483</v>
      </c>
      <c r="I793" s="127">
        <v>1</v>
      </c>
      <c r="J793" s="128">
        <v>44597</v>
      </c>
      <c r="K793" s="128">
        <v>44597</v>
      </c>
      <c r="L793" s="644"/>
      <c r="M793" s="167" t="s">
        <v>36</v>
      </c>
      <c r="N793" s="131"/>
      <c r="O793" s="132"/>
      <c r="P793" s="132"/>
      <c r="Q793" s="132"/>
      <c r="R793" s="132"/>
      <c r="S793" s="132"/>
      <c r="T793" s="132"/>
      <c r="U793" s="132"/>
      <c r="V793" s="132"/>
      <c r="W793" s="132"/>
      <c r="X793" s="132"/>
      <c r="Y793" s="132"/>
      <c r="Z793" s="132"/>
      <c r="AA793" s="132"/>
      <c r="AB793" s="132"/>
    </row>
    <row r="794" spans="1:28" s="133" customFormat="1" ht="15" customHeight="1" outlineLevel="1" x14ac:dyDescent="0.2">
      <c r="A794" s="121">
        <v>11</v>
      </c>
      <c r="B794" s="121">
        <v>21821</v>
      </c>
      <c r="C794" s="122">
        <v>41786</v>
      </c>
      <c r="D794" s="123" t="s">
        <v>1367</v>
      </c>
      <c r="E794" s="121" t="s">
        <v>471</v>
      </c>
      <c r="F794" s="124" t="s">
        <v>233</v>
      </c>
      <c r="G794" s="125" t="s">
        <v>366</v>
      </c>
      <c r="H794" s="126"/>
      <c r="I794" s="127">
        <v>1</v>
      </c>
      <c r="J794" s="128">
        <v>12499</v>
      </c>
      <c r="K794" s="128">
        <v>12499</v>
      </c>
      <c r="L794" s="644"/>
      <c r="M794" s="167" t="s">
        <v>36</v>
      </c>
      <c r="N794" s="131"/>
      <c r="O794" s="132"/>
      <c r="P794" s="132"/>
      <c r="Q794" s="132"/>
      <c r="R794" s="132"/>
      <c r="S794" s="132"/>
      <c r="T794" s="132"/>
      <c r="U794" s="132"/>
      <c r="V794" s="132"/>
      <c r="W794" s="132"/>
      <c r="X794" s="132"/>
      <c r="Y794" s="132"/>
      <c r="Z794" s="132"/>
      <c r="AA794" s="132"/>
      <c r="AB794" s="132"/>
    </row>
    <row r="795" spans="1:28" s="133" customFormat="1" ht="15" customHeight="1" outlineLevel="1" x14ac:dyDescent="0.2">
      <c r="A795" s="121">
        <v>12</v>
      </c>
      <c r="B795" s="121">
        <v>19800</v>
      </c>
      <c r="C795" s="122">
        <v>41778</v>
      </c>
      <c r="D795" s="123" t="s">
        <v>1368</v>
      </c>
      <c r="E795" s="121" t="s">
        <v>471</v>
      </c>
      <c r="F795" s="124" t="s">
        <v>577</v>
      </c>
      <c r="G795" s="125" t="s">
        <v>368</v>
      </c>
      <c r="H795" s="126"/>
      <c r="I795" s="127">
        <v>1</v>
      </c>
      <c r="J795" s="128">
        <v>25800</v>
      </c>
      <c r="K795" s="128">
        <v>25800</v>
      </c>
      <c r="L795" s="644"/>
      <c r="M795" s="167" t="s">
        <v>36</v>
      </c>
      <c r="N795" s="131"/>
      <c r="O795" s="132"/>
      <c r="P795" s="132"/>
      <c r="Q795" s="132"/>
      <c r="R795" s="132"/>
      <c r="S795" s="132"/>
      <c r="T795" s="132"/>
      <c r="U795" s="132"/>
      <c r="V795" s="132"/>
      <c r="W795" s="132"/>
      <c r="X795" s="132"/>
      <c r="Y795" s="132"/>
      <c r="Z795" s="132"/>
      <c r="AA795" s="132"/>
      <c r="AB795" s="132"/>
    </row>
    <row r="796" spans="1:28" s="133" customFormat="1" ht="15" customHeight="1" outlineLevel="1" x14ac:dyDescent="0.2">
      <c r="A796" s="121">
        <v>13</v>
      </c>
      <c r="B796" s="121">
        <v>20988</v>
      </c>
      <c r="C796" s="122">
        <v>41782</v>
      </c>
      <c r="D796" s="123" t="s">
        <v>1369</v>
      </c>
      <c r="E796" s="121" t="s">
        <v>473</v>
      </c>
      <c r="F796" s="124" t="s">
        <v>577</v>
      </c>
      <c r="G796" s="125" t="s">
        <v>368</v>
      </c>
      <c r="H796" s="126"/>
      <c r="I796" s="127">
        <v>1</v>
      </c>
      <c r="J796" s="128">
        <v>25800</v>
      </c>
      <c r="K796" s="128">
        <v>25800</v>
      </c>
      <c r="L796" s="644"/>
      <c r="M796" s="167" t="s">
        <v>36</v>
      </c>
      <c r="N796" s="131"/>
      <c r="O796" s="132"/>
      <c r="P796" s="132"/>
      <c r="Q796" s="132"/>
      <c r="R796" s="132"/>
      <c r="S796" s="132"/>
      <c r="T796" s="132"/>
      <c r="U796" s="132"/>
      <c r="V796" s="132"/>
      <c r="W796" s="132"/>
      <c r="X796" s="132"/>
      <c r="Y796" s="132"/>
      <c r="Z796" s="132"/>
      <c r="AA796" s="132"/>
      <c r="AB796" s="132"/>
    </row>
    <row r="797" spans="1:28" s="133" customFormat="1" ht="15" customHeight="1" outlineLevel="1" x14ac:dyDescent="0.2">
      <c r="A797" s="121">
        <v>14</v>
      </c>
      <c r="B797" s="121">
        <v>16649</v>
      </c>
      <c r="C797" s="122">
        <v>41766</v>
      </c>
      <c r="D797" s="123" t="s">
        <v>1370</v>
      </c>
      <c r="E797" s="121" t="s">
        <v>694</v>
      </c>
      <c r="F797" s="124" t="s">
        <v>195</v>
      </c>
      <c r="G797" s="125" t="s">
        <v>397</v>
      </c>
      <c r="H797" s="126"/>
      <c r="I797" s="127">
        <v>2</v>
      </c>
      <c r="J797" s="128">
        <v>2739</v>
      </c>
      <c r="K797" s="128">
        <v>5478</v>
      </c>
      <c r="L797" s="644"/>
      <c r="M797" s="167" t="s">
        <v>36</v>
      </c>
      <c r="N797" s="131"/>
      <c r="O797" s="132"/>
      <c r="P797" s="132"/>
      <c r="Q797" s="132"/>
      <c r="R797" s="132"/>
      <c r="S797" s="132"/>
      <c r="T797" s="132"/>
      <c r="U797" s="132"/>
      <c r="V797" s="132"/>
      <c r="W797" s="132"/>
      <c r="X797" s="132"/>
      <c r="Y797" s="132"/>
      <c r="Z797" s="132"/>
      <c r="AA797" s="132"/>
      <c r="AB797" s="132"/>
    </row>
    <row r="798" spans="1:28" s="133" customFormat="1" ht="15" customHeight="1" outlineLevel="1" x14ac:dyDescent="0.2">
      <c r="A798" s="121">
        <v>15</v>
      </c>
      <c r="B798" s="121">
        <v>18564</v>
      </c>
      <c r="C798" s="122">
        <v>41773</v>
      </c>
      <c r="D798" s="123" t="s">
        <v>1371</v>
      </c>
      <c r="E798" s="121" t="s">
        <v>502</v>
      </c>
      <c r="F798" s="124" t="s">
        <v>577</v>
      </c>
      <c r="G798" s="125" t="s">
        <v>368</v>
      </c>
      <c r="H798" s="126"/>
      <c r="I798" s="127">
        <v>1</v>
      </c>
      <c r="J798" s="128">
        <v>25800</v>
      </c>
      <c r="K798" s="128">
        <v>25800</v>
      </c>
      <c r="L798" s="644"/>
      <c r="M798" s="167" t="s">
        <v>36</v>
      </c>
      <c r="N798" s="131"/>
      <c r="O798" s="132"/>
      <c r="P798" s="132"/>
      <c r="Q798" s="132"/>
      <c r="R798" s="132"/>
      <c r="S798" s="132"/>
      <c r="T798" s="132"/>
      <c r="U798" s="132"/>
      <c r="V798" s="132"/>
      <c r="W798" s="132"/>
      <c r="X798" s="132"/>
      <c r="Y798" s="132"/>
      <c r="Z798" s="132"/>
      <c r="AA798" s="132"/>
      <c r="AB798" s="132"/>
    </row>
    <row r="799" spans="1:28" s="133" customFormat="1" ht="15" customHeight="1" outlineLevel="1" x14ac:dyDescent="0.2">
      <c r="A799" s="121">
        <v>16</v>
      </c>
      <c r="B799" s="121">
        <v>17902</v>
      </c>
      <c r="C799" s="122">
        <v>41771</v>
      </c>
      <c r="D799" s="123" t="s">
        <v>1372</v>
      </c>
      <c r="E799" s="121" t="s">
        <v>471</v>
      </c>
      <c r="F799" s="124" t="s">
        <v>577</v>
      </c>
      <c r="G799" s="125" t="s">
        <v>368</v>
      </c>
      <c r="H799" s="126"/>
      <c r="I799" s="127">
        <v>1</v>
      </c>
      <c r="J799" s="128">
        <v>25800</v>
      </c>
      <c r="K799" s="128">
        <v>25800</v>
      </c>
      <c r="L799" s="644"/>
      <c r="M799" s="167" t="s">
        <v>36</v>
      </c>
      <c r="N799" s="131"/>
      <c r="O799" s="132"/>
      <c r="P799" s="132"/>
      <c r="Q799" s="132"/>
      <c r="R799" s="132"/>
      <c r="S799" s="132"/>
      <c r="T799" s="132"/>
      <c r="U799" s="132"/>
      <c r="V799" s="132"/>
      <c r="W799" s="132"/>
      <c r="X799" s="132"/>
      <c r="Y799" s="132"/>
      <c r="Z799" s="132"/>
      <c r="AA799" s="132"/>
      <c r="AB799" s="132"/>
    </row>
    <row r="800" spans="1:28" s="133" customFormat="1" ht="15" customHeight="1" outlineLevel="1" x14ac:dyDescent="0.2">
      <c r="A800" s="121">
        <v>17</v>
      </c>
      <c r="B800" s="121">
        <v>21885</v>
      </c>
      <c r="C800" s="122">
        <v>41787</v>
      </c>
      <c r="D800" s="123" t="s">
        <v>1373</v>
      </c>
      <c r="E800" s="121" t="s">
        <v>481</v>
      </c>
      <c r="F800" s="124" t="s">
        <v>115</v>
      </c>
      <c r="G800" s="125" t="s">
        <v>414</v>
      </c>
      <c r="H800" s="126" t="s">
        <v>483</v>
      </c>
      <c r="I800" s="127">
        <v>1</v>
      </c>
      <c r="J800" s="128">
        <v>5274</v>
      </c>
      <c r="K800" s="128">
        <v>5274</v>
      </c>
      <c r="L800" s="644"/>
      <c r="M800" s="167" t="s">
        <v>36</v>
      </c>
      <c r="N800" s="131"/>
      <c r="O800" s="132"/>
      <c r="P800" s="132"/>
      <c r="Q800" s="132"/>
      <c r="R800" s="132"/>
      <c r="S800" s="132"/>
      <c r="T800" s="132"/>
      <c r="U800" s="132"/>
      <c r="V800" s="132"/>
      <c r="W800" s="132"/>
      <c r="X800" s="132"/>
      <c r="Y800" s="132"/>
      <c r="Z800" s="132"/>
      <c r="AA800" s="132"/>
      <c r="AB800" s="132"/>
    </row>
    <row r="801" spans="1:28" s="192" customFormat="1" ht="15" customHeight="1" outlineLevel="1" x14ac:dyDescent="0.2">
      <c r="A801" s="121">
        <v>18</v>
      </c>
      <c r="B801" s="147">
        <v>12999</v>
      </c>
      <c r="C801" s="148">
        <v>41752</v>
      </c>
      <c r="D801" s="149" t="s">
        <v>1374</v>
      </c>
      <c r="E801" s="147" t="s">
        <v>473</v>
      </c>
      <c r="F801" s="150" t="s">
        <v>114</v>
      </c>
      <c r="G801" s="151" t="s">
        <v>1375</v>
      </c>
      <c r="H801" s="152" t="s">
        <v>560</v>
      </c>
      <c r="I801" s="153">
        <v>2</v>
      </c>
      <c r="J801" s="128">
        <v>33370</v>
      </c>
      <c r="K801" s="128">
        <v>66740</v>
      </c>
      <c r="L801" s="644"/>
      <c r="M801" s="167" t="s">
        <v>36</v>
      </c>
      <c r="N801" s="190"/>
      <c r="O801" s="191"/>
      <c r="P801" s="191"/>
      <c r="Q801" s="191"/>
      <c r="R801" s="191"/>
      <c r="S801" s="191"/>
      <c r="T801" s="191"/>
      <c r="U801" s="191"/>
      <c r="V801" s="191"/>
      <c r="W801" s="191"/>
      <c r="X801" s="191"/>
      <c r="Y801" s="191"/>
      <c r="Z801" s="191"/>
      <c r="AA801" s="191"/>
      <c r="AB801" s="191"/>
    </row>
    <row r="802" spans="1:28" s="133" customFormat="1" ht="15" customHeight="1" outlineLevel="1" x14ac:dyDescent="0.2">
      <c r="A802" s="121">
        <v>19</v>
      </c>
      <c r="B802" s="121">
        <v>16656</v>
      </c>
      <c r="C802" s="122">
        <v>41766</v>
      </c>
      <c r="D802" s="123" t="s">
        <v>1376</v>
      </c>
      <c r="E802" s="121" t="s">
        <v>481</v>
      </c>
      <c r="F802" s="124" t="s">
        <v>115</v>
      </c>
      <c r="G802" s="125" t="s">
        <v>1377</v>
      </c>
      <c r="H802" s="126" t="s">
        <v>486</v>
      </c>
      <c r="I802" s="127">
        <v>2</v>
      </c>
      <c r="J802" s="128">
        <v>5274</v>
      </c>
      <c r="K802" s="128">
        <v>10548</v>
      </c>
      <c r="L802" s="644"/>
      <c r="M802" s="167" t="s">
        <v>36</v>
      </c>
      <c r="N802" s="131"/>
      <c r="O802" s="132"/>
      <c r="P802" s="132"/>
      <c r="Q802" s="132"/>
      <c r="R802" s="132"/>
      <c r="S802" s="132"/>
      <c r="T802" s="132"/>
      <c r="U802" s="132"/>
      <c r="V802" s="132"/>
      <c r="W802" s="132"/>
      <c r="X802" s="132"/>
      <c r="Y802" s="132"/>
      <c r="Z802" s="132"/>
      <c r="AA802" s="132"/>
      <c r="AB802" s="132"/>
    </row>
    <row r="803" spans="1:28" s="133" customFormat="1" ht="15" customHeight="1" outlineLevel="1" x14ac:dyDescent="0.2">
      <c r="A803" s="121">
        <v>20</v>
      </c>
      <c r="B803" s="121">
        <v>19524</v>
      </c>
      <c r="C803" s="122">
        <v>41775</v>
      </c>
      <c r="D803" s="123" t="s">
        <v>1378</v>
      </c>
      <c r="E803" s="121" t="s">
        <v>471</v>
      </c>
      <c r="F803" s="124" t="s">
        <v>577</v>
      </c>
      <c r="G803" s="125" t="s">
        <v>368</v>
      </c>
      <c r="H803" s="126"/>
      <c r="I803" s="127">
        <v>1</v>
      </c>
      <c r="J803" s="128">
        <v>25800</v>
      </c>
      <c r="K803" s="128">
        <v>25800</v>
      </c>
      <c r="L803" s="644"/>
      <c r="M803" s="167" t="s">
        <v>36</v>
      </c>
      <c r="N803" s="131"/>
      <c r="O803" s="132"/>
      <c r="P803" s="132"/>
      <c r="Q803" s="132"/>
      <c r="R803" s="132"/>
      <c r="S803" s="132"/>
      <c r="T803" s="132"/>
      <c r="U803" s="132"/>
      <c r="V803" s="132"/>
      <c r="W803" s="132"/>
      <c r="X803" s="132"/>
      <c r="Y803" s="132"/>
      <c r="Z803" s="132"/>
      <c r="AA803" s="132"/>
      <c r="AB803" s="132"/>
    </row>
    <row r="804" spans="1:28" s="133" customFormat="1" ht="15" customHeight="1" outlineLevel="1" x14ac:dyDescent="0.2">
      <c r="A804" s="121">
        <v>21</v>
      </c>
      <c r="B804" s="121">
        <v>19393</v>
      </c>
      <c r="C804" s="122">
        <v>41778</v>
      </c>
      <c r="D804" s="123" t="s">
        <v>1379</v>
      </c>
      <c r="E804" s="121" t="s">
        <v>478</v>
      </c>
      <c r="F804" s="124" t="s">
        <v>217</v>
      </c>
      <c r="G804" s="125" t="s">
        <v>368</v>
      </c>
      <c r="H804" s="126"/>
      <c r="I804" s="127">
        <v>1</v>
      </c>
      <c r="J804" s="128">
        <v>22299</v>
      </c>
      <c r="K804" s="128">
        <v>22299</v>
      </c>
      <c r="L804" s="644"/>
      <c r="M804" s="167" t="s">
        <v>36</v>
      </c>
      <c r="N804" s="131"/>
      <c r="O804" s="132"/>
      <c r="P804" s="132"/>
      <c r="Q804" s="132"/>
      <c r="R804" s="132"/>
      <c r="S804" s="132"/>
      <c r="T804" s="132"/>
      <c r="U804" s="132"/>
      <c r="V804" s="132"/>
      <c r="W804" s="132"/>
      <c r="X804" s="132"/>
      <c r="Y804" s="132"/>
      <c r="Z804" s="132"/>
      <c r="AA804" s="132"/>
      <c r="AB804" s="132"/>
    </row>
    <row r="805" spans="1:28" s="133" customFormat="1" ht="15" customHeight="1" outlineLevel="1" x14ac:dyDescent="0.2">
      <c r="A805" s="121">
        <v>22</v>
      </c>
      <c r="B805" s="121">
        <v>19091</v>
      </c>
      <c r="C805" s="122">
        <v>41778</v>
      </c>
      <c r="D805" s="123" t="s">
        <v>1380</v>
      </c>
      <c r="E805" s="121" t="s">
        <v>478</v>
      </c>
      <c r="F805" s="124" t="s">
        <v>217</v>
      </c>
      <c r="G805" s="125" t="s">
        <v>368</v>
      </c>
      <c r="H805" s="126"/>
      <c r="I805" s="127">
        <v>1</v>
      </c>
      <c r="J805" s="128">
        <v>22299</v>
      </c>
      <c r="K805" s="128">
        <v>22299</v>
      </c>
      <c r="L805" s="644"/>
      <c r="M805" s="167" t="s">
        <v>36</v>
      </c>
      <c r="N805" s="131"/>
      <c r="O805" s="132"/>
      <c r="P805" s="132"/>
      <c r="Q805" s="132"/>
      <c r="R805" s="132"/>
      <c r="S805" s="132"/>
      <c r="T805" s="132"/>
      <c r="U805" s="132"/>
      <c r="V805" s="132"/>
      <c r="W805" s="132"/>
      <c r="X805" s="132"/>
      <c r="Y805" s="132"/>
      <c r="Z805" s="132"/>
      <c r="AA805" s="132"/>
      <c r="AB805" s="132"/>
    </row>
    <row r="806" spans="1:28" s="133" customFormat="1" ht="15" customHeight="1" outlineLevel="1" x14ac:dyDescent="0.2">
      <c r="A806" s="121">
        <v>23</v>
      </c>
      <c r="B806" s="121">
        <v>18816</v>
      </c>
      <c r="C806" s="122">
        <v>41774</v>
      </c>
      <c r="D806" s="123" t="s">
        <v>1381</v>
      </c>
      <c r="E806" s="121" t="s">
        <v>478</v>
      </c>
      <c r="F806" s="124" t="s">
        <v>235</v>
      </c>
      <c r="G806" s="125" t="s">
        <v>366</v>
      </c>
      <c r="H806" s="126"/>
      <c r="I806" s="127">
        <v>1</v>
      </c>
      <c r="J806" s="128">
        <v>10401</v>
      </c>
      <c r="K806" s="128">
        <v>10401</v>
      </c>
      <c r="L806" s="644"/>
      <c r="M806" s="167" t="s">
        <v>36</v>
      </c>
      <c r="N806" s="131"/>
      <c r="O806" s="132"/>
      <c r="P806" s="132"/>
      <c r="Q806" s="132"/>
      <c r="R806" s="132"/>
      <c r="S806" s="132"/>
      <c r="T806" s="132"/>
      <c r="U806" s="132"/>
      <c r="V806" s="132"/>
      <c r="W806" s="132"/>
      <c r="X806" s="132"/>
      <c r="Y806" s="132"/>
      <c r="Z806" s="132"/>
      <c r="AA806" s="132"/>
      <c r="AB806" s="132"/>
    </row>
    <row r="807" spans="1:28" s="133" customFormat="1" ht="15" customHeight="1" outlineLevel="1" x14ac:dyDescent="0.2">
      <c r="A807" s="121">
        <v>24</v>
      </c>
      <c r="B807" s="121">
        <v>20679</v>
      </c>
      <c r="C807" s="122">
        <v>41781</v>
      </c>
      <c r="D807" s="123" t="s">
        <v>1382</v>
      </c>
      <c r="E807" s="121" t="s">
        <v>473</v>
      </c>
      <c r="F807" s="124" t="s">
        <v>115</v>
      </c>
      <c r="G807" s="125" t="s">
        <v>439</v>
      </c>
      <c r="H807" s="126" t="s">
        <v>570</v>
      </c>
      <c r="I807" s="127">
        <v>1</v>
      </c>
      <c r="J807" s="128">
        <v>5274</v>
      </c>
      <c r="K807" s="128">
        <v>5274</v>
      </c>
      <c r="L807" s="644"/>
      <c r="M807" s="167" t="s">
        <v>36</v>
      </c>
      <c r="N807" s="131"/>
      <c r="O807" s="132"/>
      <c r="P807" s="132"/>
      <c r="Q807" s="132"/>
      <c r="R807" s="132"/>
      <c r="S807" s="132"/>
      <c r="T807" s="132"/>
      <c r="U807" s="132"/>
      <c r="V807" s="132"/>
      <c r="W807" s="132"/>
      <c r="X807" s="132"/>
      <c r="Y807" s="132"/>
      <c r="Z807" s="132"/>
      <c r="AA807" s="132"/>
      <c r="AB807" s="132"/>
    </row>
    <row r="808" spans="1:28" s="133" customFormat="1" ht="15" customHeight="1" outlineLevel="1" x14ac:dyDescent="0.2">
      <c r="A808" s="121">
        <v>25</v>
      </c>
      <c r="B808" s="121">
        <v>20679</v>
      </c>
      <c r="C808" s="122">
        <v>41781</v>
      </c>
      <c r="D808" s="123" t="s">
        <v>1382</v>
      </c>
      <c r="E808" s="121" t="s">
        <v>473</v>
      </c>
      <c r="F808" s="124" t="s">
        <v>208</v>
      </c>
      <c r="G808" s="125" t="s">
        <v>439</v>
      </c>
      <c r="H808" s="126"/>
      <c r="I808" s="127">
        <v>1</v>
      </c>
      <c r="J808" s="128">
        <v>14099</v>
      </c>
      <c r="K808" s="128">
        <v>14099</v>
      </c>
      <c r="L808" s="644"/>
      <c r="M808" s="167" t="s">
        <v>36</v>
      </c>
      <c r="N808" s="131"/>
      <c r="O808" s="132"/>
      <c r="P808" s="132"/>
      <c r="Q808" s="132"/>
      <c r="R808" s="132"/>
      <c r="S808" s="132"/>
      <c r="T808" s="132"/>
      <c r="U808" s="132"/>
      <c r="V808" s="132"/>
      <c r="W808" s="132"/>
      <c r="X808" s="132"/>
      <c r="Y808" s="132"/>
      <c r="Z808" s="132"/>
      <c r="AA808" s="132"/>
      <c r="AB808" s="132"/>
    </row>
    <row r="809" spans="1:28" s="133" customFormat="1" ht="15" customHeight="1" outlineLevel="1" x14ac:dyDescent="0.2">
      <c r="A809" s="121">
        <v>26</v>
      </c>
      <c r="B809" s="121">
        <v>22441</v>
      </c>
      <c r="C809" s="122">
        <v>41787</v>
      </c>
      <c r="D809" s="123" t="s">
        <v>1383</v>
      </c>
      <c r="E809" s="121" t="s">
        <v>481</v>
      </c>
      <c r="F809" s="124" t="s">
        <v>1298</v>
      </c>
      <c r="G809" s="125" t="s">
        <v>368</v>
      </c>
      <c r="H809" s="126"/>
      <c r="I809" s="127">
        <v>1</v>
      </c>
      <c r="J809" s="128">
        <v>35501</v>
      </c>
      <c r="K809" s="128">
        <v>35501</v>
      </c>
      <c r="L809" s="644"/>
      <c r="M809" s="167" t="s">
        <v>36</v>
      </c>
      <c r="N809" s="131"/>
      <c r="O809" s="132"/>
      <c r="P809" s="132"/>
      <c r="Q809" s="132"/>
      <c r="R809" s="132"/>
      <c r="S809" s="132"/>
      <c r="T809" s="132"/>
      <c r="U809" s="132"/>
      <c r="V809" s="132"/>
      <c r="W809" s="132"/>
      <c r="X809" s="132"/>
      <c r="Y809" s="132"/>
      <c r="Z809" s="132"/>
      <c r="AA809" s="132"/>
      <c r="AB809" s="132"/>
    </row>
    <row r="810" spans="1:28" s="133" customFormat="1" ht="15" customHeight="1" outlineLevel="1" x14ac:dyDescent="0.2">
      <c r="A810" s="121">
        <v>27</v>
      </c>
      <c r="B810" s="121">
        <v>17981</v>
      </c>
      <c r="C810" s="122">
        <v>41771</v>
      </c>
      <c r="D810" s="123" t="s">
        <v>1384</v>
      </c>
      <c r="E810" s="121" t="s">
        <v>481</v>
      </c>
      <c r="F810" s="124" t="s">
        <v>233</v>
      </c>
      <c r="G810" s="125" t="s">
        <v>368</v>
      </c>
      <c r="H810" s="126"/>
      <c r="I810" s="127">
        <v>1</v>
      </c>
      <c r="J810" s="128">
        <v>12499</v>
      </c>
      <c r="K810" s="128">
        <v>12499</v>
      </c>
      <c r="L810" s="645"/>
      <c r="M810" s="167" t="s">
        <v>36</v>
      </c>
      <c r="N810" s="131"/>
      <c r="O810" s="132"/>
      <c r="P810" s="132"/>
      <c r="Q810" s="132"/>
      <c r="R810" s="132"/>
      <c r="S810" s="132"/>
      <c r="T810" s="132"/>
      <c r="U810" s="132"/>
      <c r="V810" s="132"/>
      <c r="W810" s="132"/>
      <c r="X810" s="132"/>
      <c r="Y810" s="132"/>
      <c r="Z810" s="132"/>
      <c r="AA810" s="132"/>
      <c r="AB810" s="132"/>
    </row>
    <row r="811" spans="1:28" s="133" customFormat="1" ht="15" customHeight="1" outlineLevel="1" x14ac:dyDescent="0.2">
      <c r="A811" s="121">
        <v>5</v>
      </c>
      <c r="B811" s="147">
        <v>16974</v>
      </c>
      <c r="C811" s="148">
        <v>41768</v>
      </c>
      <c r="D811" s="149" t="s">
        <v>1385</v>
      </c>
      <c r="E811" s="147" t="s">
        <v>471</v>
      </c>
      <c r="F811" s="150" t="s">
        <v>577</v>
      </c>
      <c r="G811" s="151" t="s">
        <v>368</v>
      </c>
      <c r="H811" s="152"/>
      <c r="I811" s="153">
        <v>1</v>
      </c>
      <c r="J811" s="128">
        <v>25800</v>
      </c>
      <c r="K811" s="128">
        <v>25800</v>
      </c>
      <c r="L811" s="682" t="s">
        <v>605</v>
      </c>
      <c r="M811" s="641" t="s">
        <v>36</v>
      </c>
      <c r="N811" s="131"/>
      <c r="O811" s="132"/>
      <c r="P811" s="132"/>
      <c r="Q811" s="132"/>
      <c r="R811" s="132"/>
      <c r="S811" s="132"/>
      <c r="T811" s="132"/>
      <c r="U811" s="132"/>
      <c r="V811" s="132"/>
      <c r="W811" s="132"/>
      <c r="X811" s="132"/>
      <c r="Y811" s="132"/>
      <c r="Z811" s="132"/>
      <c r="AA811" s="132"/>
      <c r="AB811" s="132"/>
    </row>
    <row r="812" spans="1:28" s="133" customFormat="1" ht="15" customHeight="1" outlineLevel="1" x14ac:dyDescent="0.2">
      <c r="A812" s="121">
        <v>6</v>
      </c>
      <c r="B812" s="147">
        <v>17579</v>
      </c>
      <c r="C812" s="148">
        <v>41768</v>
      </c>
      <c r="D812" s="149" t="s">
        <v>1386</v>
      </c>
      <c r="E812" s="147" t="s">
        <v>481</v>
      </c>
      <c r="F812" s="150" t="s">
        <v>577</v>
      </c>
      <c r="G812" s="151" t="s">
        <v>368</v>
      </c>
      <c r="H812" s="152"/>
      <c r="I812" s="153">
        <v>1</v>
      </c>
      <c r="J812" s="128">
        <v>25800</v>
      </c>
      <c r="K812" s="128">
        <v>25800</v>
      </c>
      <c r="L812" s="653"/>
      <c r="M812" s="681"/>
      <c r="N812" s="131"/>
      <c r="O812" s="132"/>
      <c r="P812" s="132"/>
      <c r="Q812" s="132"/>
      <c r="R812" s="132"/>
      <c r="S812" s="132"/>
      <c r="T812" s="132"/>
      <c r="U812" s="132"/>
      <c r="V812" s="132"/>
      <c r="W812" s="132"/>
      <c r="X812" s="132"/>
      <c r="Y812" s="132"/>
      <c r="Z812" s="132"/>
      <c r="AA812" s="132"/>
      <c r="AB812" s="132"/>
    </row>
    <row r="813" spans="1:28" s="133" customFormat="1" ht="15" customHeight="1" outlineLevel="1" x14ac:dyDescent="0.2">
      <c r="A813" s="121">
        <v>7</v>
      </c>
      <c r="B813" s="147">
        <v>20195</v>
      </c>
      <c r="C813" s="148">
        <v>41779</v>
      </c>
      <c r="D813" s="149" t="s">
        <v>1387</v>
      </c>
      <c r="E813" s="147" t="s">
        <v>473</v>
      </c>
      <c r="F813" s="150" t="s">
        <v>577</v>
      </c>
      <c r="G813" s="151" t="s">
        <v>368</v>
      </c>
      <c r="H813" s="152"/>
      <c r="I813" s="153">
        <v>1</v>
      </c>
      <c r="J813" s="128">
        <v>25800</v>
      </c>
      <c r="K813" s="128">
        <v>25800</v>
      </c>
      <c r="L813" s="653"/>
      <c r="M813" s="681"/>
      <c r="N813" s="131"/>
      <c r="O813" s="132"/>
      <c r="P813" s="132"/>
      <c r="Q813" s="132"/>
      <c r="R813" s="132"/>
      <c r="S813" s="132"/>
      <c r="T813" s="132"/>
      <c r="U813" s="132"/>
      <c r="V813" s="132"/>
      <c r="W813" s="132"/>
      <c r="X813" s="132"/>
      <c r="Y813" s="132"/>
      <c r="Z813" s="132"/>
      <c r="AA813" s="132"/>
      <c r="AB813" s="132"/>
    </row>
    <row r="814" spans="1:28" s="133" customFormat="1" ht="15" customHeight="1" outlineLevel="1" x14ac:dyDescent="0.2">
      <c r="A814" s="121">
        <v>8</v>
      </c>
      <c r="B814" s="147">
        <v>20930</v>
      </c>
      <c r="C814" s="148">
        <v>41782</v>
      </c>
      <c r="D814" s="149" t="s">
        <v>1388</v>
      </c>
      <c r="E814" s="147" t="s">
        <v>473</v>
      </c>
      <c r="F814" s="150" t="s">
        <v>577</v>
      </c>
      <c r="G814" s="151" t="s">
        <v>368</v>
      </c>
      <c r="H814" s="152"/>
      <c r="I814" s="153">
        <v>1</v>
      </c>
      <c r="J814" s="128">
        <v>25800</v>
      </c>
      <c r="K814" s="128">
        <v>25800</v>
      </c>
      <c r="L814" s="653"/>
      <c r="M814" s="681"/>
      <c r="N814" s="131"/>
      <c r="O814" s="132"/>
      <c r="P814" s="132"/>
      <c r="Q814" s="132"/>
      <c r="R814" s="132"/>
      <c r="S814" s="132"/>
      <c r="T814" s="132"/>
      <c r="U814" s="132"/>
      <c r="V814" s="132"/>
      <c r="W814" s="132"/>
      <c r="X814" s="132"/>
      <c r="Y814" s="132"/>
      <c r="Z814" s="132"/>
      <c r="AA814" s="132"/>
      <c r="AB814" s="132"/>
    </row>
    <row r="815" spans="1:28" s="133" customFormat="1" ht="15" customHeight="1" outlineLevel="1" x14ac:dyDescent="0.2">
      <c r="A815" s="121">
        <v>9</v>
      </c>
      <c r="B815" s="121">
        <v>23660</v>
      </c>
      <c r="C815" s="122">
        <v>41792</v>
      </c>
      <c r="D815" s="123" t="s">
        <v>1389</v>
      </c>
      <c r="E815" s="121" t="s">
        <v>471</v>
      </c>
      <c r="F815" s="124" t="s">
        <v>235</v>
      </c>
      <c r="G815" s="125" t="s">
        <v>368</v>
      </c>
      <c r="H815" s="126"/>
      <c r="I815" s="127">
        <v>1</v>
      </c>
      <c r="J815" s="128">
        <v>10401</v>
      </c>
      <c r="K815" s="128">
        <v>10401</v>
      </c>
      <c r="L815" s="653"/>
      <c r="M815" s="681"/>
      <c r="N815" s="131"/>
      <c r="O815" s="132"/>
      <c r="P815" s="132"/>
      <c r="Q815" s="132"/>
      <c r="R815" s="132"/>
      <c r="S815" s="132"/>
      <c r="T815" s="132"/>
      <c r="U815" s="132"/>
      <c r="V815" s="132"/>
      <c r="W815" s="132"/>
      <c r="X815" s="132"/>
      <c r="Y815" s="132"/>
      <c r="Z815" s="132"/>
      <c r="AA815" s="132"/>
      <c r="AB815" s="132"/>
    </row>
    <row r="816" spans="1:28" s="133" customFormat="1" ht="15" customHeight="1" outlineLevel="1" x14ac:dyDescent="0.2">
      <c r="A816" s="121">
        <v>10</v>
      </c>
      <c r="B816" s="121">
        <v>23754</v>
      </c>
      <c r="C816" s="122">
        <v>41793</v>
      </c>
      <c r="D816" s="123" t="s">
        <v>1390</v>
      </c>
      <c r="E816" s="121" t="s">
        <v>473</v>
      </c>
      <c r="F816" s="124" t="s">
        <v>114</v>
      </c>
      <c r="G816" s="125" t="s">
        <v>1391</v>
      </c>
      <c r="H816" s="126"/>
      <c r="I816" s="127">
        <v>2</v>
      </c>
      <c r="J816" s="128">
        <v>33370</v>
      </c>
      <c r="K816" s="128">
        <v>66740</v>
      </c>
      <c r="L816" s="653"/>
      <c r="M816" s="681"/>
      <c r="N816" s="131"/>
      <c r="O816" s="132"/>
      <c r="P816" s="132"/>
      <c r="Q816" s="132"/>
      <c r="R816" s="132"/>
      <c r="S816" s="132"/>
      <c r="T816" s="132"/>
      <c r="U816" s="132"/>
      <c r="V816" s="132"/>
      <c r="W816" s="132"/>
      <c r="X816" s="132"/>
      <c r="Y816" s="132"/>
      <c r="Z816" s="132"/>
      <c r="AA816" s="132"/>
      <c r="AB816" s="132"/>
    </row>
    <row r="817" spans="1:28" s="133" customFormat="1" ht="15" customHeight="1" outlineLevel="1" x14ac:dyDescent="0.2">
      <c r="A817" s="121">
        <v>11</v>
      </c>
      <c r="B817" s="121">
        <v>23837</v>
      </c>
      <c r="C817" s="122">
        <v>41793</v>
      </c>
      <c r="D817" s="123" t="s">
        <v>1392</v>
      </c>
      <c r="E817" s="121" t="s">
        <v>473</v>
      </c>
      <c r="F817" s="124" t="s">
        <v>679</v>
      </c>
      <c r="G817" s="125" t="s">
        <v>368</v>
      </c>
      <c r="H817" s="126"/>
      <c r="I817" s="127">
        <v>1</v>
      </c>
      <c r="J817" s="128">
        <v>55058</v>
      </c>
      <c r="K817" s="128">
        <v>55058</v>
      </c>
      <c r="L817" s="653"/>
      <c r="M817" s="681"/>
      <c r="N817" s="131"/>
      <c r="O817" s="132"/>
      <c r="P817" s="132"/>
      <c r="Q817" s="132"/>
      <c r="R817" s="132"/>
      <c r="S817" s="132"/>
      <c r="T817" s="132"/>
      <c r="U817" s="132"/>
      <c r="V817" s="132"/>
      <c r="W817" s="132"/>
      <c r="X817" s="132"/>
      <c r="Y817" s="132"/>
      <c r="Z817" s="132"/>
      <c r="AA817" s="132"/>
      <c r="AB817" s="132"/>
    </row>
    <row r="818" spans="1:28" s="133" customFormat="1" ht="15" customHeight="1" outlineLevel="1" x14ac:dyDescent="0.2">
      <c r="A818" s="121">
        <v>12</v>
      </c>
      <c r="B818" s="121">
        <v>24143</v>
      </c>
      <c r="C818" s="122">
        <v>41793</v>
      </c>
      <c r="D818" s="123" t="s">
        <v>1393</v>
      </c>
      <c r="E818" s="121" t="s">
        <v>481</v>
      </c>
      <c r="F818" s="124" t="s">
        <v>186</v>
      </c>
      <c r="G818" s="125" t="s">
        <v>439</v>
      </c>
      <c r="H818" s="126"/>
      <c r="I818" s="127">
        <v>1</v>
      </c>
      <c r="J818" s="128">
        <v>42601</v>
      </c>
      <c r="K818" s="128">
        <v>42601</v>
      </c>
      <c r="L818" s="653"/>
      <c r="M818" s="681"/>
      <c r="N818" s="131"/>
      <c r="O818" s="132"/>
      <c r="P818" s="132"/>
      <c r="Q818" s="132"/>
      <c r="R818" s="132"/>
      <c r="S818" s="132"/>
      <c r="T818" s="132"/>
      <c r="U818" s="132"/>
      <c r="V818" s="132"/>
      <c r="W818" s="132"/>
      <c r="X818" s="132"/>
      <c r="Y818" s="132"/>
      <c r="Z818" s="132"/>
      <c r="AA818" s="132"/>
      <c r="AB818" s="132"/>
    </row>
    <row r="819" spans="1:28" s="133" customFormat="1" ht="15" customHeight="1" outlineLevel="1" x14ac:dyDescent="0.2">
      <c r="A819" s="121">
        <v>13</v>
      </c>
      <c r="B819" s="121">
        <v>24143</v>
      </c>
      <c r="C819" s="122">
        <v>41793</v>
      </c>
      <c r="D819" s="123" t="s">
        <v>1393</v>
      </c>
      <c r="E819" s="121" t="s">
        <v>481</v>
      </c>
      <c r="F819" s="124" t="s">
        <v>182</v>
      </c>
      <c r="G819" s="125" t="s">
        <v>389</v>
      </c>
      <c r="H819" s="126"/>
      <c r="I819" s="127">
        <v>1</v>
      </c>
      <c r="J819" s="128">
        <v>45644</v>
      </c>
      <c r="K819" s="128">
        <v>45644</v>
      </c>
      <c r="L819" s="653"/>
      <c r="M819" s="681"/>
      <c r="N819" s="131"/>
      <c r="O819" s="132"/>
      <c r="P819" s="132"/>
      <c r="Q819" s="132"/>
      <c r="R819" s="132"/>
      <c r="S819" s="132"/>
      <c r="T819" s="132"/>
      <c r="U819" s="132"/>
      <c r="V819" s="132"/>
      <c r="W819" s="132"/>
      <c r="X819" s="132"/>
      <c r="Y819" s="132"/>
      <c r="Z819" s="132"/>
      <c r="AA819" s="132"/>
      <c r="AB819" s="132"/>
    </row>
    <row r="820" spans="1:28" s="133" customFormat="1" ht="15" customHeight="1" outlineLevel="1" x14ac:dyDescent="0.2">
      <c r="A820" s="121">
        <v>14</v>
      </c>
      <c r="B820" s="121">
        <v>24147</v>
      </c>
      <c r="C820" s="122">
        <v>41793</v>
      </c>
      <c r="D820" s="123" t="s">
        <v>1376</v>
      </c>
      <c r="E820" s="121" t="s">
        <v>481</v>
      </c>
      <c r="F820" s="124" t="s">
        <v>114</v>
      </c>
      <c r="G820" s="125" t="s">
        <v>1394</v>
      </c>
      <c r="H820" s="126"/>
      <c r="I820" s="127">
        <v>2</v>
      </c>
      <c r="J820" s="128">
        <v>33370</v>
      </c>
      <c r="K820" s="128">
        <v>66740</v>
      </c>
      <c r="L820" s="653"/>
      <c r="M820" s="681"/>
      <c r="N820" s="131"/>
      <c r="O820" s="132"/>
      <c r="P820" s="132"/>
      <c r="Q820" s="132"/>
      <c r="R820" s="132"/>
      <c r="S820" s="132"/>
      <c r="T820" s="132"/>
      <c r="U820" s="132"/>
      <c r="V820" s="132"/>
      <c r="W820" s="132"/>
      <c r="X820" s="132"/>
      <c r="Y820" s="132"/>
      <c r="Z820" s="132"/>
      <c r="AA820" s="132"/>
      <c r="AB820" s="132"/>
    </row>
    <row r="821" spans="1:28" s="192" customFormat="1" ht="15" customHeight="1" outlineLevel="1" x14ac:dyDescent="0.2">
      <c r="A821" s="121">
        <v>15</v>
      </c>
      <c r="B821" s="121">
        <v>24494</v>
      </c>
      <c r="C821" s="122">
        <v>41794</v>
      </c>
      <c r="D821" s="123" t="s">
        <v>1395</v>
      </c>
      <c r="E821" s="121" t="s">
        <v>481</v>
      </c>
      <c r="F821" s="124" t="s">
        <v>215</v>
      </c>
      <c r="G821" s="125" t="s">
        <v>368</v>
      </c>
      <c r="H821" s="126"/>
      <c r="I821" s="127">
        <v>1</v>
      </c>
      <c r="J821" s="128">
        <v>44597</v>
      </c>
      <c r="K821" s="128">
        <v>44597</v>
      </c>
      <c r="L821" s="653"/>
      <c r="M821" s="681"/>
      <c r="N821" s="190"/>
      <c r="O821" s="191"/>
      <c r="P821" s="191"/>
      <c r="Q821" s="191"/>
      <c r="R821" s="191"/>
      <c r="S821" s="191"/>
      <c r="T821" s="191"/>
      <c r="U821" s="191"/>
      <c r="V821" s="191"/>
      <c r="W821" s="191"/>
      <c r="X821" s="191"/>
      <c r="Y821" s="191"/>
      <c r="Z821" s="191"/>
      <c r="AA821" s="191"/>
      <c r="AB821" s="191"/>
    </row>
    <row r="822" spans="1:28" s="133" customFormat="1" ht="15" customHeight="1" outlineLevel="1" x14ac:dyDescent="0.2">
      <c r="A822" s="121">
        <v>16</v>
      </c>
      <c r="B822" s="121">
        <v>24728</v>
      </c>
      <c r="C822" s="122">
        <v>41799</v>
      </c>
      <c r="D822" s="123" t="s">
        <v>1396</v>
      </c>
      <c r="E822" s="121" t="s">
        <v>481</v>
      </c>
      <c r="F822" s="124" t="s">
        <v>215</v>
      </c>
      <c r="G822" s="125" t="s">
        <v>366</v>
      </c>
      <c r="H822" s="126"/>
      <c r="I822" s="127">
        <v>1</v>
      </c>
      <c r="J822" s="128">
        <v>44597</v>
      </c>
      <c r="K822" s="128">
        <v>44597</v>
      </c>
      <c r="L822" s="653"/>
      <c r="M822" s="681"/>
      <c r="N822" s="131"/>
      <c r="O822" s="132"/>
      <c r="P822" s="132"/>
      <c r="Q822" s="132"/>
      <c r="R822" s="132"/>
      <c r="S822" s="132"/>
      <c r="T822" s="132"/>
      <c r="U822" s="132"/>
      <c r="V822" s="132"/>
      <c r="W822" s="132"/>
      <c r="X822" s="132"/>
      <c r="Y822" s="132"/>
      <c r="Z822" s="132"/>
      <c r="AA822" s="132"/>
      <c r="AB822" s="132"/>
    </row>
    <row r="823" spans="1:28" s="133" customFormat="1" ht="15" customHeight="1" outlineLevel="1" x14ac:dyDescent="0.2">
      <c r="A823" s="121">
        <v>17</v>
      </c>
      <c r="B823" s="121">
        <v>24954</v>
      </c>
      <c r="C823" s="122">
        <v>41797</v>
      </c>
      <c r="D823" s="123" t="s">
        <v>1397</v>
      </c>
      <c r="E823" s="121" t="s">
        <v>481</v>
      </c>
      <c r="F823" s="124" t="s">
        <v>115</v>
      </c>
      <c r="G823" s="125" t="s">
        <v>428</v>
      </c>
      <c r="H823" s="126"/>
      <c r="I823" s="127">
        <v>1</v>
      </c>
      <c r="J823" s="128">
        <v>5274</v>
      </c>
      <c r="K823" s="128">
        <v>5274</v>
      </c>
      <c r="L823" s="653"/>
      <c r="M823" s="681"/>
      <c r="N823" s="131"/>
      <c r="O823" s="132"/>
      <c r="P823" s="132"/>
      <c r="Q823" s="132"/>
      <c r="R823" s="132"/>
      <c r="S823" s="132"/>
      <c r="T823" s="132"/>
      <c r="U823" s="132"/>
      <c r="V823" s="132"/>
      <c r="W823" s="132"/>
      <c r="X823" s="132"/>
      <c r="Y823" s="132"/>
      <c r="Z823" s="132"/>
      <c r="AA823" s="132"/>
      <c r="AB823" s="132"/>
    </row>
    <row r="824" spans="1:28" s="133" customFormat="1" ht="15" customHeight="1" outlineLevel="1" x14ac:dyDescent="0.2">
      <c r="A824" s="121">
        <v>18</v>
      </c>
      <c r="B824" s="121">
        <v>25839</v>
      </c>
      <c r="C824" s="122">
        <v>41800</v>
      </c>
      <c r="D824" s="123" t="s">
        <v>1398</v>
      </c>
      <c r="E824" s="121" t="s">
        <v>473</v>
      </c>
      <c r="F824" s="124" t="s">
        <v>202</v>
      </c>
      <c r="G824" s="125" t="s">
        <v>412</v>
      </c>
      <c r="H824" s="126"/>
      <c r="I824" s="127">
        <v>1</v>
      </c>
      <c r="J824" s="128">
        <v>17244</v>
      </c>
      <c r="K824" s="128">
        <v>17244</v>
      </c>
      <c r="L824" s="653"/>
      <c r="M824" s="681"/>
      <c r="N824" s="131"/>
      <c r="O824" s="132"/>
      <c r="P824" s="132"/>
      <c r="Q824" s="132"/>
      <c r="R824" s="132"/>
      <c r="S824" s="132"/>
      <c r="T824" s="132"/>
      <c r="U824" s="132"/>
      <c r="V824" s="132"/>
      <c r="W824" s="132"/>
      <c r="X824" s="132"/>
      <c r="Y824" s="132"/>
      <c r="Z824" s="132"/>
      <c r="AA824" s="132"/>
      <c r="AB824" s="132"/>
    </row>
    <row r="825" spans="1:28" s="133" customFormat="1" ht="15" customHeight="1" outlineLevel="1" x14ac:dyDescent="0.2">
      <c r="A825" s="121">
        <v>19</v>
      </c>
      <c r="B825" s="121">
        <v>26063</v>
      </c>
      <c r="C825" s="122">
        <v>41801</v>
      </c>
      <c r="D825" s="123" t="s">
        <v>1399</v>
      </c>
      <c r="E825" s="121" t="s">
        <v>481</v>
      </c>
      <c r="F825" s="124" t="s">
        <v>679</v>
      </c>
      <c r="G825" s="125" t="s">
        <v>366</v>
      </c>
      <c r="H825" s="126"/>
      <c r="I825" s="127">
        <v>1</v>
      </c>
      <c r="J825" s="128">
        <v>55058</v>
      </c>
      <c r="K825" s="128">
        <v>55058</v>
      </c>
      <c r="L825" s="653"/>
      <c r="M825" s="681"/>
      <c r="N825" s="131"/>
      <c r="O825" s="132"/>
      <c r="P825" s="132"/>
      <c r="Q825" s="132"/>
      <c r="R825" s="132"/>
      <c r="S825" s="132"/>
      <c r="T825" s="132"/>
      <c r="U825" s="132"/>
      <c r="V825" s="132"/>
      <c r="W825" s="132"/>
      <c r="X825" s="132"/>
      <c r="Y825" s="132"/>
      <c r="Z825" s="132"/>
      <c r="AA825" s="132"/>
      <c r="AB825" s="132"/>
    </row>
    <row r="826" spans="1:28" s="133" customFormat="1" ht="15" customHeight="1" outlineLevel="1" x14ac:dyDescent="0.2">
      <c r="A826" s="121">
        <v>20</v>
      </c>
      <c r="B826" s="121">
        <v>26290</v>
      </c>
      <c r="C826" s="122">
        <v>41802</v>
      </c>
      <c r="D826" s="123" t="s">
        <v>1400</v>
      </c>
      <c r="E826" s="121" t="s">
        <v>481</v>
      </c>
      <c r="F826" s="124" t="s">
        <v>679</v>
      </c>
      <c r="G826" s="125" t="s">
        <v>366</v>
      </c>
      <c r="H826" s="126"/>
      <c r="I826" s="127">
        <v>1</v>
      </c>
      <c r="J826" s="128">
        <v>55058</v>
      </c>
      <c r="K826" s="128">
        <v>55058</v>
      </c>
      <c r="L826" s="653"/>
      <c r="M826" s="681"/>
      <c r="N826" s="131"/>
      <c r="O826" s="132"/>
      <c r="P826" s="132"/>
      <c r="Q826" s="132"/>
      <c r="R826" s="132"/>
      <c r="S826" s="132"/>
      <c r="T826" s="132"/>
      <c r="U826" s="132"/>
      <c r="V826" s="132"/>
      <c r="W826" s="132"/>
      <c r="X826" s="132"/>
      <c r="Y826" s="132"/>
      <c r="Z826" s="132"/>
      <c r="AA826" s="132"/>
      <c r="AB826" s="132"/>
    </row>
    <row r="827" spans="1:28" s="133" customFormat="1" ht="15" customHeight="1" outlineLevel="1" x14ac:dyDescent="0.2">
      <c r="A827" s="121">
        <v>21</v>
      </c>
      <c r="B827" s="121">
        <v>26568</v>
      </c>
      <c r="C827" s="122">
        <v>41802</v>
      </c>
      <c r="D827" s="123" t="s">
        <v>1401</v>
      </c>
      <c r="E827" s="121" t="s">
        <v>502</v>
      </c>
      <c r="F827" s="124" t="s">
        <v>577</v>
      </c>
      <c r="G827" s="125" t="s">
        <v>368</v>
      </c>
      <c r="H827" s="126"/>
      <c r="I827" s="127">
        <v>1</v>
      </c>
      <c r="J827" s="128">
        <v>25800</v>
      </c>
      <c r="K827" s="128">
        <v>25800</v>
      </c>
      <c r="L827" s="653"/>
      <c r="M827" s="681"/>
      <c r="N827" s="131"/>
      <c r="O827" s="132"/>
      <c r="P827" s="132"/>
      <c r="Q827" s="132"/>
      <c r="R827" s="132"/>
      <c r="S827" s="132"/>
      <c r="T827" s="132"/>
      <c r="U827" s="132"/>
      <c r="V827" s="132"/>
      <c r="W827" s="132"/>
      <c r="X827" s="132"/>
      <c r="Y827" s="132"/>
      <c r="Z827" s="132"/>
      <c r="AA827" s="132"/>
      <c r="AB827" s="132"/>
    </row>
    <row r="828" spans="1:28" s="133" customFormat="1" ht="15" customHeight="1" outlineLevel="1" x14ac:dyDescent="0.2">
      <c r="A828" s="121">
        <v>22</v>
      </c>
      <c r="B828" s="121">
        <v>26906</v>
      </c>
      <c r="C828" s="122">
        <v>41803</v>
      </c>
      <c r="D828" s="123" t="s">
        <v>1402</v>
      </c>
      <c r="E828" s="121" t="s">
        <v>471</v>
      </c>
      <c r="F828" s="124" t="s">
        <v>679</v>
      </c>
      <c r="G828" s="125" t="s">
        <v>368</v>
      </c>
      <c r="H828" s="126"/>
      <c r="I828" s="127">
        <v>1</v>
      </c>
      <c r="J828" s="128">
        <v>55058</v>
      </c>
      <c r="K828" s="128">
        <v>55058</v>
      </c>
      <c r="L828" s="653"/>
      <c r="M828" s="681"/>
      <c r="N828" s="131"/>
      <c r="O828" s="132"/>
      <c r="P828" s="132"/>
      <c r="Q828" s="132"/>
      <c r="R828" s="132"/>
      <c r="S828" s="132"/>
      <c r="T828" s="132"/>
      <c r="U828" s="132"/>
      <c r="V828" s="132"/>
      <c r="W828" s="132"/>
      <c r="X828" s="132"/>
      <c r="Y828" s="132"/>
      <c r="Z828" s="132"/>
      <c r="AA828" s="132"/>
      <c r="AB828" s="132"/>
    </row>
    <row r="829" spans="1:28" s="133" customFormat="1" ht="15" customHeight="1" outlineLevel="1" x14ac:dyDescent="0.2">
      <c r="A829" s="121">
        <v>23</v>
      </c>
      <c r="B829" s="121">
        <v>27378</v>
      </c>
      <c r="C829" s="122">
        <v>41806</v>
      </c>
      <c r="D829" s="123" t="s">
        <v>1403</v>
      </c>
      <c r="E829" s="121" t="s">
        <v>473</v>
      </c>
      <c r="F829" s="124" t="s">
        <v>215</v>
      </c>
      <c r="G829" s="125" t="s">
        <v>384</v>
      </c>
      <c r="H829" s="126"/>
      <c r="I829" s="127">
        <v>2</v>
      </c>
      <c r="J829" s="128">
        <v>44597</v>
      </c>
      <c r="K829" s="128">
        <v>89194</v>
      </c>
      <c r="L829" s="653"/>
      <c r="M829" s="681"/>
      <c r="N829" s="131"/>
      <c r="O829" s="132"/>
      <c r="P829" s="132"/>
      <c r="Q829" s="132"/>
      <c r="R829" s="132"/>
      <c r="S829" s="132"/>
      <c r="T829" s="132"/>
      <c r="U829" s="132"/>
      <c r="V829" s="132"/>
      <c r="W829" s="132"/>
      <c r="X829" s="132"/>
      <c r="Y829" s="132"/>
      <c r="Z829" s="132"/>
      <c r="AA829" s="132"/>
      <c r="AB829" s="132"/>
    </row>
    <row r="830" spans="1:28" s="133" customFormat="1" ht="15" customHeight="1" outlineLevel="1" x14ac:dyDescent="0.2">
      <c r="A830" s="121">
        <v>24</v>
      </c>
      <c r="B830" s="121">
        <v>27486</v>
      </c>
      <c r="C830" s="122">
        <v>41806</v>
      </c>
      <c r="D830" s="123" t="s">
        <v>1404</v>
      </c>
      <c r="E830" s="121" t="s">
        <v>473</v>
      </c>
      <c r="F830" s="124" t="s">
        <v>534</v>
      </c>
      <c r="G830" s="125" t="s">
        <v>524</v>
      </c>
      <c r="H830" s="126"/>
      <c r="I830" s="127">
        <v>1</v>
      </c>
      <c r="J830" s="128">
        <v>30429</v>
      </c>
      <c r="K830" s="128">
        <v>30429</v>
      </c>
      <c r="L830" s="653"/>
      <c r="M830" s="681"/>
      <c r="N830" s="131"/>
      <c r="O830" s="132"/>
      <c r="P830" s="132"/>
      <c r="Q830" s="132"/>
      <c r="R830" s="132"/>
      <c r="S830" s="132"/>
      <c r="T830" s="132"/>
      <c r="U830" s="132"/>
      <c r="V830" s="132"/>
      <c r="W830" s="132"/>
      <c r="X830" s="132"/>
      <c r="Y830" s="132"/>
      <c r="Z830" s="132"/>
      <c r="AA830" s="132"/>
      <c r="AB830" s="132"/>
    </row>
    <row r="831" spans="1:28" s="133" customFormat="1" ht="15" customHeight="1" outlineLevel="1" x14ac:dyDescent="0.2">
      <c r="A831" s="121">
        <v>25</v>
      </c>
      <c r="B831" s="121">
        <v>27534</v>
      </c>
      <c r="C831" s="122">
        <v>41807</v>
      </c>
      <c r="D831" s="123" t="s">
        <v>1376</v>
      </c>
      <c r="E831" s="121" t="s">
        <v>481</v>
      </c>
      <c r="F831" s="124" t="s">
        <v>1405</v>
      </c>
      <c r="G831" s="125" t="s">
        <v>366</v>
      </c>
      <c r="H831" s="126"/>
      <c r="I831" s="127">
        <v>1</v>
      </c>
      <c r="J831" s="128">
        <v>83071</v>
      </c>
      <c r="K831" s="128">
        <v>83071</v>
      </c>
      <c r="L831" s="653"/>
      <c r="M831" s="681"/>
      <c r="N831" s="131"/>
      <c r="O831" s="132"/>
      <c r="P831" s="132"/>
      <c r="Q831" s="132"/>
      <c r="R831" s="132"/>
      <c r="S831" s="132"/>
      <c r="T831" s="132"/>
      <c r="U831" s="132"/>
      <c r="V831" s="132"/>
      <c r="W831" s="132"/>
      <c r="X831" s="132"/>
      <c r="Y831" s="132"/>
      <c r="Z831" s="132"/>
      <c r="AA831" s="132"/>
      <c r="AB831" s="132"/>
    </row>
    <row r="832" spans="1:28" s="192" customFormat="1" ht="15" customHeight="1" outlineLevel="1" x14ac:dyDescent="0.2">
      <c r="A832" s="121">
        <v>3</v>
      </c>
      <c r="B832" s="121">
        <v>27571</v>
      </c>
      <c r="C832" s="122">
        <v>41808</v>
      </c>
      <c r="D832" s="123" t="s">
        <v>1406</v>
      </c>
      <c r="E832" s="121" t="s">
        <v>481</v>
      </c>
      <c r="F832" s="124" t="s">
        <v>235</v>
      </c>
      <c r="G832" s="125" t="s">
        <v>368</v>
      </c>
      <c r="H832" s="126"/>
      <c r="I832" s="127">
        <v>1</v>
      </c>
      <c r="J832" s="128">
        <v>10401</v>
      </c>
      <c r="K832" s="128">
        <v>10401</v>
      </c>
      <c r="L832" s="653"/>
      <c r="M832" s="681"/>
      <c r="N832" s="190"/>
      <c r="O832" s="191"/>
      <c r="P832" s="191"/>
      <c r="Q832" s="191"/>
      <c r="R832" s="191"/>
      <c r="S832" s="191"/>
      <c r="T832" s="191"/>
      <c r="U832" s="191"/>
      <c r="V832" s="191"/>
      <c r="W832" s="191"/>
      <c r="X832" s="191"/>
      <c r="Y832" s="191"/>
      <c r="Z832" s="191"/>
      <c r="AA832" s="191"/>
      <c r="AB832" s="191"/>
    </row>
    <row r="833" spans="1:28" s="192" customFormat="1" ht="15" customHeight="1" outlineLevel="1" x14ac:dyDescent="0.2">
      <c r="A833" s="121">
        <v>27</v>
      </c>
      <c r="B833" s="121">
        <v>27686</v>
      </c>
      <c r="C833" s="122">
        <v>41809</v>
      </c>
      <c r="D833" s="123" t="s">
        <v>1357</v>
      </c>
      <c r="E833" s="121" t="s">
        <v>478</v>
      </c>
      <c r="F833" s="124" t="s">
        <v>215</v>
      </c>
      <c r="G833" s="125" t="s">
        <v>368</v>
      </c>
      <c r="H833" s="126"/>
      <c r="I833" s="127">
        <v>1</v>
      </c>
      <c r="J833" s="128">
        <v>44597</v>
      </c>
      <c r="K833" s="128">
        <v>44597</v>
      </c>
      <c r="L833" s="653"/>
      <c r="M833" s="681"/>
      <c r="N833" s="190"/>
      <c r="O833" s="191"/>
      <c r="P833" s="191"/>
      <c r="Q833" s="191"/>
      <c r="R833" s="191"/>
      <c r="S833" s="191"/>
      <c r="T833" s="191"/>
      <c r="U833" s="191"/>
      <c r="V833" s="191"/>
      <c r="W833" s="191"/>
      <c r="X833" s="191"/>
      <c r="Y833" s="191"/>
      <c r="Z833" s="191"/>
      <c r="AA833" s="191"/>
      <c r="AB833" s="191"/>
    </row>
    <row r="834" spans="1:28" s="133" customFormat="1" ht="15" customHeight="1" outlineLevel="1" x14ac:dyDescent="0.2">
      <c r="A834" s="121">
        <v>28</v>
      </c>
      <c r="B834" s="121">
        <v>27947</v>
      </c>
      <c r="C834" s="122">
        <v>41807</v>
      </c>
      <c r="D834" s="123" t="s">
        <v>1407</v>
      </c>
      <c r="E834" s="121" t="s">
        <v>481</v>
      </c>
      <c r="F834" s="124" t="s">
        <v>577</v>
      </c>
      <c r="G834" s="125" t="s">
        <v>366</v>
      </c>
      <c r="H834" s="126"/>
      <c r="I834" s="127">
        <v>1</v>
      </c>
      <c r="J834" s="128">
        <v>25800</v>
      </c>
      <c r="K834" s="128">
        <v>25800</v>
      </c>
      <c r="L834" s="653"/>
      <c r="M834" s="681"/>
      <c r="N834" s="131"/>
      <c r="O834" s="132"/>
      <c r="P834" s="132"/>
      <c r="Q834" s="132"/>
      <c r="R834" s="132"/>
      <c r="S834" s="132"/>
      <c r="T834" s="132"/>
      <c r="U834" s="132"/>
      <c r="V834" s="132"/>
      <c r="W834" s="132"/>
      <c r="X834" s="132"/>
      <c r="Y834" s="132"/>
      <c r="Z834" s="132"/>
      <c r="AA834" s="132"/>
      <c r="AB834" s="132"/>
    </row>
    <row r="835" spans="1:28" s="133" customFormat="1" ht="15" customHeight="1" outlineLevel="1" x14ac:dyDescent="0.2">
      <c r="A835" s="121">
        <v>29</v>
      </c>
      <c r="B835" s="121">
        <v>28186</v>
      </c>
      <c r="C835" s="122">
        <v>41809</v>
      </c>
      <c r="D835" s="123" t="s">
        <v>1408</v>
      </c>
      <c r="E835" s="121" t="s">
        <v>481</v>
      </c>
      <c r="F835" s="124" t="s">
        <v>215</v>
      </c>
      <c r="G835" s="125" t="s">
        <v>366</v>
      </c>
      <c r="H835" s="126"/>
      <c r="I835" s="127">
        <v>1</v>
      </c>
      <c r="J835" s="128">
        <v>44597</v>
      </c>
      <c r="K835" s="128">
        <v>44597</v>
      </c>
      <c r="L835" s="653"/>
      <c r="M835" s="681"/>
      <c r="N835" s="131"/>
      <c r="O835" s="132"/>
      <c r="P835" s="132"/>
      <c r="Q835" s="132"/>
      <c r="R835" s="132"/>
      <c r="S835" s="132"/>
      <c r="T835" s="132"/>
      <c r="U835" s="132"/>
      <c r="V835" s="132"/>
      <c r="W835" s="132"/>
      <c r="X835" s="132"/>
      <c r="Y835" s="132"/>
      <c r="Z835" s="132"/>
      <c r="AA835" s="132"/>
      <c r="AB835" s="132"/>
    </row>
    <row r="836" spans="1:28" s="133" customFormat="1" ht="15" customHeight="1" outlineLevel="1" x14ac:dyDescent="0.2">
      <c r="A836" s="121">
        <v>30</v>
      </c>
      <c r="B836" s="121">
        <v>28208</v>
      </c>
      <c r="C836" s="122">
        <v>41808</v>
      </c>
      <c r="D836" s="123" t="s">
        <v>1409</v>
      </c>
      <c r="E836" s="121" t="s">
        <v>473</v>
      </c>
      <c r="F836" s="124" t="s">
        <v>114</v>
      </c>
      <c r="G836" s="125" t="s">
        <v>389</v>
      </c>
      <c r="H836" s="126"/>
      <c r="I836" s="127">
        <v>1</v>
      </c>
      <c r="J836" s="128">
        <v>33370</v>
      </c>
      <c r="K836" s="128">
        <v>33370</v>
      </c>
      <c r="L836" s="653"/>
      <c r="M836" s="681"/>
      <c r="N836" s="131"/>
      <c r="O836" s="132"/>
      <c r="P836" s="132"/>
      <c r="Q836" s="132"/>
      <c r="R836" s="132"/>
      <c r="S836" s="132"/>
      <c r="T836" s="132"/>
      <c r="U836" s="132"/>
      <c r="V836" s="132"/>
      <c r="W836" s="132"/>
      <c r="X836" s="132"/>
      <c r="Y836" s="132"/>
      <c r="Z836" s="132"/>
      <c r="AA836" s="132"/>
      <c r="AB836" s="132"/>
    </row>
    <row r="837" spans="1:28" s="133" customFormat="1" ht="15" customHeight="1" outlineLevel="1" x14ac:dyDescent="0.2">
      <c r="A837" s="121">
        <v>31</v>
      </c>
      <c r="B837" s="121">
        <v>28350</v>
      </c>
      <c r="C837" s="122">
        <v>41809</v>
      </c>
      <c r="D837" s="123" t="s">
        <v>1410</v>
      </c>
      <c r="E837" s="121" t="s">
        <v>473</v>
      </c>
      <c r="F837" s="124" t="s">
        <v>202</v>
      </c>
      <c r="G837" s="125" t="s">
        <v>565</v>
      </c>
      <c r="H837" s="126"/>
      <c r="I837" s="127">
        <v>1</v>
      </c>
      <c r="J837" s="128">
        <v>17244</v>
      </c>
      <c r="K837" s="128">
        <v>17244</v>
      </c>
      <c r="L837" s="653"/>
      <c r="M837" s="681"/>
      <c r="N837" s="131"/>
      <c r="O837" s="132"/>
      <c r="P837" s="132"/>
      <c r="Q837" s="132"/>
      <c r="R837" s="132"/>
      <c r="S837" s="132"/>
      <c r="T837" s="132"/>
      <c r="U837" s="132"/>
      <c r="V837" s="132"/>
      <c r="W837" s="132"/>
      <c r="X837" s="132"/>
      <c r="Y837" s="132"/>
      <c r="Z837" s="132"/>
      <c r="AA837" s="132"/>
      <c r="AB837" s="132"/>
    </row>
    <row r="838" spans="1:28" s="133" customFormat="1" ht="15" customHeight="1" outlineLevel="1" x14ac:dyDescent="0.2">
      <c r="A838" s="121">
        <v>32</v>
      </c>
      <c r="B838" s="121">
        <v>28451</v>
      </c>
      <c r="C838" s="122">
        <v>41810</v>
      </c>
      <c r="D838" s="123" t="s">
        <v>1411</v>
      </c>
      <c r="E838" s="121" t="s">
        <v>481</v>
      </c>
      <c r="F838" s="124" t="s">
        <v>215</v>
      </c>
      <c r="G838" s="125" t="s">
        <v>368</v>
      </c>
      <c r="H838" s="126"/>
      <c r="I838" s="127">
        <v>1</v>
      </c>
      <c r="J838" s="128">
        <v>44597</v>
      </c>
      <c r="K838" s="128">
        <v>44597</v>
      </c>
      <c r="L838" s="653"/>
      <c r="M838" s="681"/>
      <c r="N838" s="131"/>
      <c r="O838" s="132"/>
      <c r="P838" s="132"/>
      <c r="Q838" s="132"/>
      <c r="R838" s="132"/>
      <c r="S838" s="132"/>
      <c r="T838" s="132"/>
      <c r="U838" s="132"/>
      <c r="V838" s="132"/>
      <c r="W838" s="132"/>
      <c r="X838" s="132"/>
      <c r="Y838" s="132"/>
      <c r="Z838" s="132"/>
      <c r="AA838" s="132"/>
      <c r="AB838" s="132"/>
    </row>
    <row r="839" spans="1:28" s="133" customFormat="1" ht="15" customHeight="1" outlineLevel="1" x14ac:dyDescent="0.2">
      <c r="A839" s="121">
        <v>33</v>
      </c>
      <c r="B839" s="121">
        <v>28610</v>
      </c>
      <c r="C839" s="122">
        <v>41809</v>
      </c>
      <c r="D839" s="123" t="s">
        <v>1412</v>
      </c>
      <c r="E839" s="121" t="s">
        <v>473</v>
      </c>
      <c r="F839" s="124" t="s">
        <v>186</v>
      </c>
      <c r="G839" s="125" t="s">
        <v>416</v>
      </c>
      <c r="H839" s="126"/>
      <c r="I839" s="127">
        <v>1</v>
      </c>
      <c r="J839" s="128">
        <v>42601</v>
      </c>
      <c r="K839" s="128" t="s">
        <v>1015</v>
      </c>
      <c r="L839" s="653"/>
      <c r="M839" s="681"/>
      <c r="N839" s="131"/>
      <c r="O839" s="132"/>
      <c r="P839" s="132"/>
      <c r="Q839" s="132"/>
      <c r="R839" s="132"/>
      <c r="S839" s="132"/>
      <c r="T839" s="132"/>
      <c r="U839" s="132"/>
      <c r="V839" s="132"/>
      <c r="W839" s="132"/>
      <c r="X839" s="132"/>
      <c r="Y839" s="132"/>
      <c r="Z839" s="132"/>
      <c r="AA839" s="132"/>
      <c r="AB839" s="132"/>
    </row>
    <row r="840" spans="1:28" s="133" customFormat="1" ht="15" customHeight="1" outlineLevel="1" x14ac:dyDescent="0.2">
      <c r="A840" s="121">
        <v>34</v>
      </c>
      <c r="B840" s="121">
        <v>28869</v>
      </c>
      <c r="C840" s="122">
        <v>41810</v>
      </c>
      <c r="D840" s="123" t="s">
        <v>1413</v>
      </c>
      <c r="E840" s="121" t="s">
        <v>481</v>
      </c>
      <c r="F840" s="124" t="s">
        <v>679</v>
      </c>
      <c r="G840" s="125" t="s">
        <v>366</v>
      </c>
      <c r="H840" s="126"/>
      <c r="I840" s="127">
        <v>1</v>
      </c>
      <c r="J840" s="128">
        <v>55058</v>
      </c>
      <c r="K840" s="128">
        <v>55058</v>
      </c>
      <c r="L840" s="653"/>
      <c r="M840" s="681"/>
      <c r="N840" s="131"/>
      <c r="O840" s="132"/>
      <c r="P840" s="132"/>
      <c r="Q840" s="132"/>
      <c r="R840" s="132"/>
      <c r="S840" s="132"/>
      <c r="T840" s="132"/>
      <c r="U840" s="132"/>
      <c r="V840" s="132"/>
      <c r="W840" s="132"/>
      <c r="X840" s="132"/>
      <c r="Y840" s="132"/>
      <c r="Z840" s="132"/>
      <c r="AA840" s="132"/>
      <c r="AB840" s="132"/>
    </row>
    <row r="841" spans="1:28" s="133" customFormat="1" ht="15" customHeight="1" outlineLevel="1" x14ac:dyDescent="0.2">
      <c r="A841" s="121">
        <v>35</v>
      </c>
      <c r="B841" s="121">
        <v>28943</v>
      </c>
      <c r="C841" s="122">
        <v>41810</v>
      </c>
      <c r="D841" s="123" t="s">
        <v>1414</v>
      </c>
      <c r="E841" s="121" t="s">
        <v>473</v>
      </c>
      <c r="F841" s="124" t="s">
        <v>114</v>
      </c>
      <c r="G841" s="125" t="s">
        <v>895</v>
      </c>
      <c r="H841" s="126"/>
      <c r="I841" s="127">
        <v>3</v>
      </c>
      <c r="J841" s="128">
        <v>33370</v>
      </c>
      <c r="K841" s="128">
        <v>100110</v>
      </c>
      <c r="L841" s="653"/>
      <c r="M841" s="681"/>
      <c r="N841" s="131"/>
      <c r="O841" s="132"/>
      <c r="P841" s="132"/>
      <c r="Q841" s="132"/>
      <c r="R841" s="132"/>
      <c r="S841" s="132"/>
      <c r="T841" s="132"/>
      <c r="U841" s="132"/>
      <c r="V841" s="132"/>
      <c r="W841" s="132"/>
      <c r="X841" s="132"/>
      <c r="Y841" s="132"/>
      <c r="Z841" s="132"/>
      <c r="AA841" s="132"/>
      <c r="AB841" s="132"/>
    </row>
    <row r="842" spans="1:28" s="133" customFormat="1" ht="15" customHeight="1" outlineLevel="1" x14ac:dyDescent="0.2">
      <c r="A842" s="121">
        <v>36</v>
      </c>
      <c r="B842" s="121">
        <v>29107</v>
      </c>
      <c r="C842" s="122">
        <v>41807</v>
      </c>
      <c r="D842" s="123" t="s">
        <v>1415</v>
      </c>
      <c r="E842" s="121" t="s">
        <v>473</v>
      </c>
      <c r="F842" s="124" t="s">
        <v>114</v>
      </c>
      <c r="G842" s="125" t="s">
        <v>1416</v>
      </c>
      <c r="H842" s="126"/>
      <c r="I842" s="127">
        <v>2</v>
      </c>
      <c r="J842" s="128">
        <v>33370</v>
      </c>
      <c r="K842" s="128">
        <v>66740</v>
      </c>
      <c r="L842" s="653"/>
      <c r="M842" s="681"/>
      <c r="N842" s="131"/>
      <c r="O842" s="132"/>
      <c r="P842" s="132"/>
      <c r="Q842" s="132"/>
      <c r="R842" s="132"/>
      <c r="S842" s="132"/>
      <c r="T842" s="132"/>
      <c r="U842" s="132"/>
      <c r="V842" s="132"/>
      <c r="W842" s="132"/>
      <c r="X842" s="132"/>
      <c r="Y842" s="132"/>
      <c r="Z842" s="132"/>
      <c r="AA842" s="132"/>
      <c r="AB842" s="132"/>
    </row>
    <row r="843" spans="1:28" s="133" customFormat="1" ht="15" customHeight="1" outlineLevel="1" x14ac:dyDescent="0.2">
      <c r="A843" s="121">
        <v>37</v>
      </c>
      <c r="B843" s="121">
        <v>29152</v>
      </c>
      <c r="C843" s="122">
        <v>41813</v>
      </c>
      <c r="D843" s="123" t="s">
        <v>1417</v>
      </c>
      <c r="E843" s="121" t="s">
        <v>473</v>
      </c>
      <c r="F843" s="124" t="s">
        <v>215</v>
      </c>
      <c r="G843" s="125" t="s">
        <v>368</v>
      </c>
      <c r="H843" s="126"/>
      <c r="I843" s="127">
        <v>1</v>
      </c>
      <c r="J843" s="128">
        <v>44597</v>
      </c>
      <c r="K843" s="128">
        <v>44597</v>
      </c>
      <c r="L843" s="653"/>
      <c r="M843" s="681"/>
      <c r="N843" s="131"/>
      <c r="O843" s="132"/>
      <c r="P843" s="132"/>
      <c r="Q843" s="132"/>
      <c r="R843" s="132"/>
      <c r="S843" s="132"/>
      <c r="T843" s="132"/>
      <c r="U843" s="132"/>
      <c r="V843" s="132"/>
      <c r="W843" s="132"/>
      <c r="X843" s="132"/>
      <c r="Y843" s="132"/>
      <c r="Z843" s="132"/>
      <c r="AA843" s="132"/>
      <c r="AB843" s="132"/>
    </row>
    <row r="844" spans="1:28" s="133" customFormat="1" ht="15" customHeight="1" outlineLevel="1" x14ac:dyDescent="0.2">
      <c r="A844" s="121">
        <v>38</v>
      </c>
      <c r="B844" s="121">
        <v>29170</v>
      </c>
      <c r="C844" s="122">
        <v>41813</v>
      </c>
      <c r="D844" s="123" t="s">
        <v>1238</v>
      </c>
      <c r="E844" s="121" t="s">
        <v>473</v>
      </c>
      <c r="F844" s="124" t="s">
        <v>679</v>
      </c>
      <c r="G844" s="125" t="s">
        <v>368</v>
      </c>
      <c r="H844" s="126"/>
      <c r="I844" s="127">
        <v>1</v>
      </c>
      <c r="J844" s="128">
        <v>55058</v>
      </c>
      <c r="K844" s="128">
        <v>55058</v>
      </c>
      <c r="L844" s="653"/>
      <c r="M844" s="681"/>
      <c r="N844" s="131"/>
      <c r="O844" s="132"/>
      <c r="P844" s="132"/>
      <c r="Q844" s="132"/>
      <c r="R844" s="132"/>
      <c r="S844" s="132"/>
      <c r="T844" s="132"/>
      <c r="U844" s="132"/>
      <c r="V844" s="132"/>
      <c r="W844" s="132"/>
      <c r="X844" s="132"/>
      <c r="Y844" s="132"/>
      <c r="Z844" s="132"/>
      <c r="AA844" s="132"/>
      <c r="AB844" s="132"/>
    </row>
    <row r="845" spans="1:28" s="133" customFormat="1" ht="15" customHeight="1" outlineLevel="1" x14ac:dyDescent="0.2">
      <c r="A845" s="121">
        <v>39</v>
      </c>
      <c r="B845" s="121">
        <v>29354</v>
      </c>
      <c r="C845" s="122">
        <v>41813</v>
      </c>
      <c r="D845" s="123" t="s">
        <v>1418</v>
      </c>
      <c r="E845" s="121" t="s">
        <v>473</v>
      </c>
      <c r="F845" s="124" t="s">
        <v>577</v>
      </c>
      <c r="G845" s="125" t="s">
        <v>368</v>
      </c>
      <c r="H845" s="126"/>
      <c r="I845" s="127">
        <v>1</v>
      </c>
      <c r="J845" s="128">
        <v>25800</v>
      </c>
      <c r="K845" s="128">
        <v>25800</v>
      </c>
      <c r="L845" s="653"/>
      <c r="M845" s="681"/>
      <c r="N845" s="131"/>
      <c r="O845" s="132"/>
      <c r="P845" s="132"/>
      <c r="Q845" s="132"/>
      <c r="R845" s="132"/>
      <c r="S845" s="132"/>
      <c r="T845" s="132"/>
      <c r="U845" s="132"/>
      <c r="V845" s="132"/>
      <c r="W845" s="132"/>
      <c r="X845" s="132"/>
      <c r="Y845" s="132"/>
      <c r="Z845" s="132"/>
      <c r="AA845" s="132"/>
      <c r="AB845" s="132"/>
    </row>
    <row r="846" spans="1:28" s="192" customFormat="1" ht="15" customHeight="1" outlineLevel="1" x14ac:dyDescent="0.2">
      <c r="A846" s="121">
        <v>40</v>
      </c>
      <c r="B846" s="121">
        <v>29525</v>
      </c>
      <c r="C846" s="122">
        <v>41814</v>
      </c>
      <c r="D846" s="123" t="s">
        <v>490</v>
      </c>
      <c r="E846" s="121" t="s">
        <v>481</v>
      </c>
      <c r="F846" s="124" t="s">
        <v>679</v>
      </c>
      <c r="G846" s="125" t="s">
        <v>366</v>
      </c>
      <c r="H846" s="126"/>
      <c r="I846" s="127">
        <v>1</v>
      </c>
      <c r="J846" s="128">
        <v>55058</v>
      </c>
      <c r="K846" s="128">
        <v>55058</v>
      </c>
      <c r="L846" s="653"/>
      <c r="M846" s="681"/>
      <c r="N846" s="190"/>
      <c r="O846" s="191"/>
      <c r="P846" s="191"/>
      <c r="Q846" s="191"/>
      <c r="R846" s="191"/>
      <c r="S846" s="191"/>
      <c r="T846" s="191"/>
      <c r="U846" s="191"/>
      <c r="V846" s="191"/>
      <c r="W846" s="191"/>
      <c r="X846" s="191"/>
      <c r="Y846" s="191"/>
      <c r="Z846" s="191"/>
      <c r="AA846" s="191"/>
      <c r="AB846" s="191"/>
    </row>
    <row r="847" spans="1:28" s="133" customFormat="1" ht="15" customHeight="1" outlineLevel="1" x14ac:dyDescent="0.2">
      <c r="A847" s="121">
        <v>41</v>
      </c>
      <c r="B847" s="121">
        <v>29562</v>
      </c>
      <c r="C847" s="122">
        <v>41814</v>
      </c>
      <c r="D847" s="123" t="s">
        <v>1419</v>
      </c>
      <c r="E847" s="121" t="s">
        <v>481</v>
      </c>
      <c r="F847" s="124" t="s">
        <v>115</v>
      </c>
      <c r="G847" s="125" t="s">
        <v>442</v>
      </c>
      <c r="H847" s="126"/>
      <c r="I847" s="127">
        <v>1</v>
      </c>
      <c r="J847" s="128">
        <v>5274</v>
      </c>
      <c r="K847" s="128">
        <v>5274</v>
      </c>
      <c r="L847" s="653"/>
      <c r="M847" s="681"/>
      <c r="N847" s="131"/>
      <c r="O847" s="132"/>
      <c r="P847" s="132"/>
      <c r="Q847" s="132"/>
      <c r="R847" s="132"/>
      <c r="S847" s="132"/>
      <c r="T847" s="132"/>
      <c r="U847" s="132"/>
      <c r="V847" s="132"/>
      <c r="W847" s="132"/>
      <c r="X847" s="132"/>
      <c r="Y847" s="132"/>
      <c r="Z847" s="132"/>
      <c r="AA847" s="132"/>
      <c r="AB847" s="132"/>
    </row>
    <row r="848" spans="1:28" s="133" customFormat="1" ht="15" customHeight="1" outlineLevel="1" x14ac:dyDescent="0.2">
      <c r="A848" s="121">
        <v>42</v>
      </c>
      <c r="B848" s="121">
        <v>29839</v>
      </c>
      <c r="C848" s="122">
        <v>41814</v>
      </c>
      <c r="D848" s="123" t="s">
        <v>1420</v>
      </c>
      <c r="E848" s="121" t="s">
        <v>473</v>
      </c>
      <c r="F848" s="124" t="s">
        <v>577</v>
      </c>
      <c r="G848" s="125" t="s">
        <v>368</v>
      </c>
      <c r="H848" s="126"/>
      <c r="I848" s="127">
        <v>1</v>
      </c>
      <c r="J848" s="128">
        <v>25800</v>
      </c>
      <c r="K848" s="128">
        <v>25800</v>
      </c>
      <c r="L848" s="653"/>
      <c r="M848" s="681"/>
      <c r="N848" s="131"/>
      <c r="O848" s="132"/>
      <c r="P848" s="132"/>
      <c r="Q848" s="132"/>
      <c r="R848" s="132"/>
      <c r="S848" s="132"/>
      <c r="T848" s="132"/>
      <c r="U848" s="132"/>
      <c r="V848" s="132"/>
      <c r="W848" s="132"/>
      <c r="X848" s="132"/>
      <c r="Y848" s="132"/>
      <c r="Z848" s="132"/>
      <c r="AA848" s="132"/>
      <c r="AB848" s="132"/>
    </row>
    <row r="849" spans="1:28" s="133" customFormat="1" ht="15" customHeight="1" outlineLevel="1" x14ac:dyDescent="0.2">
      <c r="A849" s="121">
        <v>43</v>
      </c>
      <c r="B849" s="121">
        <v>30104</v>
      </c>
      <c r="C849" s="122">
        <v>41815</v>
      </c>
      <c r="D849" s="123" t="s">
        <v>1421</v>
      </c>
      <c r="E849" s="121" t="s">
        <v>475</v>
      </c>
      <c r="F849" s="124" t="s">
        <v>215</v>
      </c>
      <c r="G849" s="125" t="s">
        <v>368</v>
      </c>
      <c r="H849" s="126"/>
      <c r="I849" s="127">
        <v>1</v>
      </c>
      <c r="J849" s="128">
        <v>44597</v>
      </c>
      <c r="K849" s="128">
        <v>44597</v>
      </c>
      <c r="L849" s="653"/>
      <c r="M849" s="681"/>
      <c r="N849" s="131"/>
      <c r="O849" s="132"/>
      <c r="P849" s="132"/>
      <c r="Q849" s="132"/>
      <c r="R849" s="132"/>
      <c r="S849" s="132"/>
      <c r="T849" s="132"/>
      <c r="U849" s="132"/>
      <c r="V849" s="132"/>
      <c r="W849" s="132"/>
      <c r="X849" s="132"/>
      <c r="Y849" s="132"/>
      <c r="Z849" s="132"/>
      <c r="AA849" s="132"/>
      <c r="AB849" s="132"/>
    </row>
    <row r="850" spans="1:28" s="133" customFormat="1" ht="15" customHeight="1" outlineLevel="1" x14ac:dyDescent="0.2">
      <c r="A850" s="121">
        <v>44</v>
      </c>
      <c r="B850" s="121">
        <v>30158</v>
      </c>
      <c r="C850" s="122">
        <v>41816</v>
      </c>
      <c r="D850" s="123" t="s">
        <v>1422</v>
      </c>
      <c r="E850" s="121" t="s">
        <v>471</v>
      </c>
      <c r="F850" s="124" t="s">
        <v>577</v>
      </c>
      <c r="G850" s="125" t="s">
        <v>368</v>
      </c>
      <c r="H850" s="126"/>
      <c r="I850" s="127">
        <v>1</v>
      </c>
      <c r="J850" s="128">
        <v>25800</v>
      </c>
      <c r="K850" s="128">
        <v>25800</v>
      </c>
      <c r="L850" s="653"/>
      <c r="M850" s="681"/>
      <c r="N850" s="131"/>
      <c r="O850" s="132"/>
      <c r="P850" s="132"/>
      <c r="Q850" s="132"/>
      <c r="R850" s="132"/>
      <c r="S850" s="132"/>
      <c r="T850" s="132"/>
      <c r="U850" s="132"/>
      <c r="V850" s="132"/>
      <c r="W850" s="132"/>
      <c r="X850" s="132"/>
      <c r="Y850" s="132"/>
      <c r="Z850" s="132"/>
      <c r="AA850" s="132"/>
      <c r="AB850" s="132"/>
    </row>
    <row r="851" spans="1:28" s="133" customFormat="1" ht="15" customHeight="1" outlineLevel="1" x14ac:dyDescent="0.2">
      <c r="A851" s="121">
        <v>45</v>
      </c>
      <c r="B851" s="121">
        <v>30283</v>
      </c>
      <c r="C851" s="122">
        <v>41816</v>
      </c>
      <c r="D851" s="123" t="s">
        <v>1423</v>
      </c>
      <c r="E851" s="121" t="s">
        <v>481</v>
      </c>
      <c r="F851" s="124" t="s">
        <v>679</v>
      </c>
      <c r="G851" s="125" t="s">
        <v>384</v>
      </c>
      <c r="H851" s="126"/>
      <c r="I851" s="127">
        <v>2</v>
      </c>
      <c r="J851" s="128">
        <v>55058</v>
      </c>
      <c r="K851" s="128">
        <v>110116</v>
      </c>
      <c r="L851" s="653"/>
      <c r="M851" s="681"/>
      <c r="N851" s="131"/>
      <c r="O851" s="132"/>
      <c r="P851" s="132"/>
      <c r="Q851" s="132"/>
      <c r="R851" s="132"/>
      <c r="S851" s="132"/>
      <c r="T851" s="132"/>
      <c r="U851" s="132"/>
      <c r="V851" s="132"/>
      <c r="W851" s="132"/>
      <c r="X851" s="132"/>
      <c r="Y851" s="132"/>
      <c r="Z851" s="132"/>
      <c r="AA851" s="132"/>
      <c r="AB851" s="132"/>
    </row>
    <row r="852" spans="1:28" s="192" customFormat="1" ht="15" customHeight="1" outlineLevel="1" x14ac:dyDescent="0.2">
      <c r="A852" s="121">
        <v>46</v>
      </c>
      <c r="B852" s="121">
        <v>30870</v>
      </c>
      <c r="C852" s="122">
        <v>41820</v>
      </c>
      <c r="D852" s="123" t="s">
        <v>1424</v>
      </c>
      <c r="E852" s="121" t="s">
        <v>1425</v>
      </c>
      <c r="F852" s="124" t="s">
        <v>577</v>
      </c>
      <c r="G852" s="125" t="s">
        <v>368</v>
      </c>
      <c r="H852" s="126"/>
      <c r="I852" s="127">
        <v>1</v>
      </c>
      <c r="J852" s="128">
        <v>25800</v>
      </c>
      <c r="K852" s="128">
        <v>25800</v>
      </c>
      <c r="L852" s="654"/>
      <c r="M852" s="642"/>
      <c r="N852" s="190"/>
      <c r="O852" s="191"/>
      <c r="P852" s="191"/>
      <c r="Q852" s="191"/>
      <c r="R852" s="191"/>
      <c r="S852" s="191"/>
      <c r="T852" s="191"/>
      <c r="U852" s="191"/>
      <c r="V852" s="191"/>
      <c r="W852" s="191"/>
      <c r="X852" s="191"/>
      <c r="Y852" s="191"/>
      <c r="Z852" s="191"/>
      <c r="AA852" s="191"/>
      <c r="AB852" s="191"/>
    </row>
    <row r="853" spans="1:28" s="133" customFormat="1" ht="15" customHeight="1" outlineLevel="1" x14ac:dyDescent="0.2">
      <c r="A853" s="121">
        <v>1</v>
      </c>
      <c r="B853" s="147">
        <v>18744</v>
      </c>
      <c r="C853" s="148">
        <v>41774</v>
      </c>
      <c r="D853" s="149" t="s">
        <v>1426</v>
      </c>
      <c r="E853" s="147" t="s">
        <v>471</v>
      </c>
      <c r="F853" s="150" t="s">
        <v>215</v>
      </c>
      <c r="G853" s="151" t="s">
        <v>368</v>
      </c>
      <c r="H853" s="152"/>
      <c r="I853" s="153">
        <v>1</v>
      </c>
      <c r="J853" s="128">
        <v>44597</v>
      </c>
      <c r="K853" s="208">
        <v>44597</v>
      </c>
      <c r="L853" s="643" t="s">
        <v>757</v>
      </c>
      <c r="M853" s="166" t="s">
        <v>36</v>
      </c>
      <c r="N853" s="131"/>
      <c r="O853" s="132"/>
      <c r="P853" s="132"/>
      <c r="Q853" s="132"/>
      <c r="R853" s="132"/>
      <c r="S853" s="132"/>
      <c r="T853" s="132"/>
      <c r="U853" s="132"/>
      <c r="V853" s="132"/>
      <c r="W853" s="132"/>
      <c r="X853" s="132"/>
      <c r="Y853" s="132"/>
      <c r="Z853" s="132"/>
      <c r="AA853" s="132"/>
      <c r="AB853" s="132"/>
    </row>
    <row r="854" spans="1:28" s="133" customFormat="1" ht="15" customHeight="1" outlineLevel="1" x14ac:dyDescent="0.2">
      <c r="A854" s="121">
        <v>2</v>
      </c>
      <c r="B854" s="121">
        <v>28817</v>
      </c>
      <c r="C854" s="122">
        <v>41810</v>
      </c>
      <c r="D854" s="123" t="s">
        <v>1427</v>
      </c>
      <c r="E854" s="121" t="s">
        <v>471</v>
      </c>
      <c r="F854" s="124" t="s">
        <v>679</v>
      </c>
      <c r="G854" s="125" t="s">
        <v>384</v>
      </c>
      <c r="H854" s="126"/>
      <c r="I854" s="127">
        <v>2</v>
      </c>
      <c r="J854" s="128">
        <v>55058</v>
      </c>
      <c r="K854" s="208">
        <v>110116</v>
      </c>
      <c r="L854" s="644"/>
      <c r="M854" s="166" t="s">
        <v>36</v>
      </c>
      <c r="N854" s="131"/>
      <c r="O854" s="132"/>
      <c r="P854" s="132"/>
      <c r="Q854" s="132"/>
      <c r="R854" s="132"/>
      <c r="S854" s="132"/>
      <c r="T854" s="132"/>
      <c r="U854" s="132"/>
      <c r="V854" s="132"/>
      <c r="W854" s="132"/>
      <c r="X854" s="132"/>
      <c r="Y854" s="132"/>
      <c r="Z854" s="132"/>
      <c r="AA854" s="132"/>
      <c r="AB854" s="132"/>
    </row>
    <row r="855" spans="1:28" s="133" customFormat="1" ht="15" customHeight="1" outlineLevel="1" x14ac:dyDescent="0.2">
      <c r="A855" s="121">
        <v>3</v>
      </c>
      <c r="B855" s="121">
        <v>28943</v>
      </c>
      <c r="C855" s="122">
        <v>41810</v>
      </c>
      <c r="D855" s="123" t="s">
        <v>1414</v>
      </c>
      <c r="E855" s="121" t="s">
        <v>473</v>
      </c>
      <c r="F855" s="124" t="s">
        <v>186</v>
      </c>
      <c r="G855" s="125" t="s">
        <v>1428</v>
      </c>
      <c r="H855" s="126"/>
      <c r="I855" s="127">
        <v>7</v>
      </c>
      <c r="J855" s="128">
        <v>42601</v>
      </c>
      <c r="K855" s="208">
        <v>298207</v>
      </c>
      <c r="L855" s="644"/>
      <c r="M855" s="166" t="s">
        <v>36</v>
      </c>
      <c r="N855" s="131"/>
      <c r="O855" s="132"/>
      <c r="P855" s="132"/>
      <c r="Q855" s="132"/>
      <c r="R855" s="132"/>
      <c r="S855" s="132"/>
      <c r="T855" s="132"/>
      <c r="U855" s="132"/>
      <c r="V855" s="132"/>
      <c r="W855" s="132"/>
      <c r="X855" s="132"/>
      <c r="Y855" s="132"/>
      <c r="Z855" s="132"/>
      <c r="AA855" s="132"/>
      <c r="AB855" s="132"/>
    </row>
    <row r="856" spans="1:28" s="133" customFormat="1" ht="15" customHeight="1" outlineLevel="1" x14ac:dyDescent="0.2">
      <c r="A856" s="121">
        <v>4</v>
      </c>
      <c r="B856" s="121">
        <v>30907</v>
      </c>
      <c r="C856" s="122">
        <v>41817</v>
      </c>
      <c r="D856" s="123" t="s">
        <v>1429</v>
      </c>
      <c r="E856" s="121" t="s">
        <v>471</v>
      </c>
      <c r="F856" s="124" t="s">
        <v>679</v>
      </c>
      <c r="G856" s="125" t="s">
        <v>368</v>
      </c>
      <c r="H856" s="126"/>
      <c r="I856" s="127">
        <v>1</v>
      </c>
      <c r="J856" s="128">
        <v>55058</v>
      </c>
      <c r="K856" s="208">
        <v>55058</v>
      </c>
      <c r="L856" s="644"/>
      <c r="M856" s="166" t="s">
        <v>36</v>
      </c>
      <c r="N856" s="131"/>
      <c r="O856" s="132"/>
      <c r="P856" s="132"/>
      <c r="Q856" s="132"/>
      <c r="R856" s="132"/>
      <c r="S856" s="132"/>
      <c r="T856" s="132"/>
      <c r="U856" s="132"/>
      <c r="V856" s="132"/>
      <c r="W856" s="132"/>
      <c r="X856" s="132"/>
      <c r="Y856" s="132"/>
      <c r="Z856" s="132"/>
      <c r="AA856" s="132"/>
      <c r="AB856" s="132"/>
    </row>
    <row r="857" spans="1:28" s="133" customFormat="1" ht="15" customHeight="1" outlineLevel="1" x14ac:dyDescent="0.2">
      <c r="A857" s="121">
        <v>5</v>
      </c>
      <c r="B857" s="121">
        <v>32169</v>
      </c>
      <c r="C857" s="122">
        <v>41822</v>
      </c>
      <c r="D857" s="123" t="s">
        <v>1430</v>
      </c>
      <c r="E857" s="121" t="s">
        <v>481</v>
      </c>
      <c r="F857" s="124" t="s">
        <v>215</v>
      </c>
      <c r="G857" s="125" t="s">
        <v>368</v>
      </c>
      <c r="H857" s="126"/>
      <c r="I857" s="127">
        <v>1</v>
      </c>
      <c r="J857" s="128">
        <v>44597</v>
      </c>
      <c r="K857" s="128">
        <v>44597</v>
      </c>
      <c r="L857" s="644"/>
      <c r="M857" s="166" t="s">
        <v>36</v>
      </c>
      <c r="N857" s="131"/>
      <c r="O857" s="132"/>
      <c r="P857" s="132"/>
      <c r="Q857" s="132"/>
      <c r="R857" s="132"/>
      <c r="S857" s="132"/>
      <c r="T857" s="132"/>
      <c r="U857" s="132"/>
      <c r="V857" s="132"/>
      <c r="W857" s="132"/>
      <c r="X857" s="132"/>
      <c r="Y857" s="132"/>
      <c r="Z857" s="132"/>
      <c r="AA857" s="132"/>
      <c r="AB857" s="132"/>
    </row>
    <row r="858" spans="1:28" s="133" customFormat="1" ht="15" customHeight="1" outlineLevel="1" x14ac:dyDescent="0.2">
      <c r="A858" s="121">
        <v>6</v>
      </c>
      <c r="B858" s="121">
        <v>33095</v>
      </c>
      <c r="C858" s="122">
        <v>41827</v>
      </c>
      <c r="D858" s="123" t="s">
        <v>1364</v>
      </c>
      <c r="E858" s="121" t="s">
        <v>481</v>
      </c>
      <c r="F858" s="124" t="s">
        <v>114</v>
      </c>
      <c r="G858" s="125" t="s">
        <v>389</v>
      </c>
      <c r="H858" s="126"/>
      <c r="I858" s="127">
        <v>1</v>
      </c>
      <c r="J858" s="128">
        <v>33370</v>
      </c>
      <c r="K858" s="128">
        <v>33370</v>
      </c>
      <c r="L858" s="644"/>
      <c r="M858" s="166" t="s">
        <v>36</v>
      </c>
      <c r="N858" s="131"/>
      <c r="O858" s="132"/>
      <c r="P858" s="132"/>
      <c r="Q858" s="132"/>
      <c r="R858" s="132"/>
      <c r="S858" s="132"/>
      <c r="T858" s="132"/>
      <c r="U858" s="132"/>
      <c r="V858" s="132"/>
      <c r="W858" s="132"/>
      <c r="X858" s="132"/>
      <c r="Y858" s="132"/>
      <c r="Z858" s="132"/>
      <c r="AA858" s="132"/>
      <c r="AB858" s="132"/>
    </row>
    <row r="859" spans="1:28" s="133" customFormat="1" ht="15" customHeight="1" outlineLevel="1" x14ac:dyDescent="0.2">
      <c r="A859" s="121">
        <v>7</v>
      </c>
      <c r="B859" s="121">
        <v>33120</v>
      </c>
      <c r="C859" s="122">
        <v>41827</v>
      </c>
      <c r="D859" s="123" t="s">
        <v>1431</v>
      </c>
      <c r="E859" s="121" t="s">
        <v>473</v>
      </c>
      <c r="F859" s="124" t="s">
        <v>679</v>
      </c>
      <c r="G859" s="125" t="s">
        <v>384</v>
      </c>
      <c r="H859" s="126"/>
      <c r="I859" s="127">
        <v>2</v>
      </c>
      <c r="J859" s="128">
        <v>55058</v>
      </c>
      <c r="K859" s="128">
        <v>110116</v>
      </c>
      <c r="L859" s="644"/>
      <c r="M859" s="166" t="s">
        <v>36</v>
      </c>
      <c r="N859" s="131"/>
      <c r="O859" s="132"/>
      <c r="P859" s="132"/>
      <c r="Q859" s="132"/>
      <c r="R859" s="132"/>
      <c r="S859" s="132"/>
      <c r="T859" s="132"/>
      <c r="U859" s="132"/>
      <c r="V859" s="132"/>
      <c r="W859" s="132"/>
      <c r="X859" s="132"/>
      <c r="Y859" s="132"/>
      <c r="Z859" s="132"/>
      <c r="AA859" s="132"/>
      <c r="AB859" s="132"/>
    </row>
    <row r="860" spans="1:28" s="133" customFormat="1" ht="15" customHeight="1" outlineLevel="1" x14ac:dyDescent="0.2">
      <c r="A860" s="121">
        <v>8</v>
      </c>
      <c r="B860" s="121">
        <v>33180</v>
      </c>
      <c r="C860" s="122">
        <v>41827</v>
      </c>
      <c r="D860" s="123" t="s">
        <v>949</v>
      </c>
      <c r="E860" s="121" t="s">
        <v>473</v>
      </c>
      <c r="F860" s="124" t="s">
        <v>679</v>
      </c>
      <c r="G860" s="125" t="s">
        <v>384</v>
      </c>
      <c r="H860" s="126"/>
      <c r="I860" s="127">
        <v>2</v>
      </c>
      <c r="J860" s="128">
        <v>55058</v>
      </c>
      <c r="K860" s="128">
        <v>110116</v>
      </c>
      <c r="L860" s="644"/>
      <c r="M860" s="166" t="s">
        <v>36</v>
      </c>
      <c r="N860" s="131"/>
      <c r="O860" s="132"/>
      <c r="P860" s="132"/>
      <c r="Q860" s="132"/>
      <c r="R860" s="132"/>
      <c r="S860" s="132"/>
      <c r="T860" s="132"/>
      <c r="U860" s="132"/>
      <c r="V860" s="132"/>
      <c r="W860" s="132"/>
      <c r="X860" s="132"/>
      <c r="Y860" s="132"/>
      <c r="Z860" s="132"/>
      <c r="AA860" s="132"/>
      <c r="AB860" s="132"/>
    </row>
    <row r="861" spans="1:28" s="133" customFormat="1" ht="15" customHeight="1" outlineLevel="1" x14ac:dyDescent="0.2">
      <c r="A861" s="121">
        <v>9</v>
      </c>
      <c r="B861" s="121">
        <v>34239</v>
      </c>
      <c r="C861" s="122">
        <v>41851</v>
      </c>
      <c r="D861" s="123" t="s">
        <v>1432</v>
      </c>
      <c r="E861" s="121" t="s">
        <v>694</v>
      </c>
      <c r="F861" s="124" t="s">
        <v>679</v>
      </c>
      <c r="G861" s="125" t="s">
        <v>384</v>
      </c>
      <c r="H861" s="126"/>
      <c r="I861" s="127">
        <v>2</v>
      </c>
      <c r="J861" s="128">
        <v>55058</v>
      </c>
      <c r="K861" s="128">
        <v>110116</v>
      </c>
      <c r="L861" s="644"/>
      <c r="M861" s="166" t="s">
        <v>36</v>
      </c>
      <c r="N861" s="131"/>
      <c r="O861" s="132"/>
      <c r="P861" s="132"/>
      <c r="Q861" s="132"/>
      <c r="R861" s="132"/>
      <c r="S861" s="132"/>
      <c r="T861" s="132"/>
      <c r="U861" s="132"/>
      <c r="V861" s="132"/>
      <c r="W861" s="132"/>
      <c r="X861" s="132"/>
      <c r="Y861" s="132"/>
      <c r="Z861" s="132"/>
      <c r="AA861" s="132"/>
      <c r="AB861" s="132"/>
    </row>
    <row r="862" spans="1:28" s="133" customFormat="1" ht="15" customHeight="1" outlineLevel="1" x14ac:dyDescent="0.2">
      <c r="A862" s="121">
        <v>10</v>
      </c>
      <c r="B862" s="121">
        <v>34354</v>
      </c>
      <c r="C862" s="122">
        <v>41830</v>
      </c>
      <c r="D862" s="123" t="s">
        <v>1335</v>
      </c>
      <c r="E862" s="121" t="s">
        <v>481</v>
      </c>
      <c r="F862" s="124" t="s">
        <v>679</v>
      </c>
      <c r="G862" s="125" t="s">
        <v>366</v>
      </c>
      <c r="H862" s="126"/>
      <c r="I862" s="127">
        <v>1</v>
      </c>
      <c r="J862" s="128">
        <v>55058</v>
      </c>
      <c r="K862" s="128">
        <v>55058</v>
      </c>
      <c r="L862" s="644"/>
      <c r="M862" s="166" t="s">
        <v>36</v>
      </c>
      <c r="N862" s="131"/>
      <c r="O862" s="132"/>
      <c r="P862" s="132"/>
      <c r="Q862" s="132"/>
      <c r="R862" s="132"/>
      <c r="S862" s="132"/>
      <c r="T862" s="132"/>
      <c r="U862" s="132"/>
      <c r="V862" s="132"/>
      <c r="W862" s="132"/>
      <c r="X862" s="132"/>
      <c r="Y862" s="132"/>
      <c r="Z862" s="132"/>
      <c r="AA862" s="132"/>
      <c r="AB862" s="132"/>
    </row>
    <row r="863" spans="1:28" s="133" customFormat="1" ht="15" customHeight="1" outlineLevel="1" x14ac:dyDescent="0.2">
      <c r="A863" s="121">
        <v>11</v>
      </c>
      <c r="B863" s="121">
        <v>34626</v>
      </c>
      <c r="C863" s="122">
        <v>41830</v>
      </c>
      <c r="D863" s="123" t="s">
        <v>1433</v>
      </c>
      <c r="E863" s="121" t="s">
        <v>481</v>
      </c>
      <c r="F863" s="124" t="s">
        <v>215</v>
      </c>
      <c r="G863" s="125" t="s">
        <v>384</v>
      </c>
      <c r="H863" s="126"/>
      <c r="I863" s="127">
        <v>2</v>
      </c>
      <c r="J863" s="128">
        <v>44597</v>
      </c>
      <c r="K863" s="128">
        <v>89194</v>
      </c>
      <c r="L863" s="644"/>
      <c r="M863" s="166" t="s">
        <v>36</v>
      </c>
      <c r="N863" s="131"/>
      <c r="O863" s="132"/>
      <c r="P863" s="132"/>
      <c r="Q863" s="132"/>
      <c r="R863" s="132"/>
      <c r="S863" s="132"/>
      <c r="T863" s="132"/>
      <c r="U863" s="132"/>
      <c r="V863" s="132"/>
      <c r="W863" s="132"/>
      <c r="X863" s="132"/>
      <c r="Y863" s="132"/>
      <c r="Z863" s="132"/>
      <c r="AA863" s="132"/>
      <c r="AB863" s="132"/>
    </row>
    <row r="864" spans="1:28" s="133" customFormat="1" ht="15" customHeight="1" outlineLevel="1" x14ac:dyDescent="0.2">
      <c r="A864" s="121">
        <v>12</v>
      </c>
      <c r="B864" s="121">
        <v>35021</v>
      </c>
      <c r="C864" s="122">
        <v>41831</v>
      </c>
      <c r="D864" s="123" t="s">
        <v>1434</v>
      </c>
      <c r="E864" s="121" t="s">
        <v>478</v>
      </c>
      <c r="F864" s="124" t="s">
        <v>619</v>
      </c>
      <c r="G864" s="125" t="s">
        <v>366</v>
      </c>
      <c r="H864" s="126"/>
      <c r="I864" s="127">
        <v>1</v>
      </c>
      <c r="J864" s="128">
        <v>15722</v>
      </c>
      <c r="K864" s="128">
        <v>15722</v>
      </c>
      <c r="L864" s="644"/>
      <c r="M864" s="166" t="s">
        <v>36</v>
      </c>
      <c r="N864" s="131"/>
      <c r="O864" s="132"/>
      <c r="P864" s="132"/>
      <c r="Q864" s="132"/>
      <c r="R864" s="132"/>
      <c r="S864" s="132"/>
      <c r="T864" s="132"/>
      <c r="U864" s="132"/>
      <c r="V864" s="132"/>
      <c r="W864" s="132"/>
      <c r="X864" s="132"/>
      <c r="Y864" s="132"/>
      <c r="Z864" s="132"/>
      <c r="AA864" s="132"/>
      <c r="AB864" s="132"/>
    </row>
    <row r="865" spans="1:28" s="133" customFormat="1" ht="15" customHeight="1" outlineLevel="1" x14ac:dyDescent="0.2">
      <c r="A865" s="121">
        <v>13</v>
      </c>
      <c r="B865" s="121">
        <v>35230</v>
      </c>
      <c r="C865" s="122">
        <v>41834</v>
      </c>
      <c r="D865" s="123" t="s">
        <v>1435</v>
      </c>
      <c r="E865" s="121" t="s">
        <v>471</v>
      </c>
      <c r="F865" s="124" t="s">
        <v>577</v>
      </c>
      <c r="G865" s="125" t="s">
        <v>368</v>
      </c>
      <c r="H865" s="126"/>
      <c r="I865" s="127">
        <v>1</v>
      </c>
      <c r="J865" s="128">
        <v>25800</v>
      </c>
      <c r="K865" s="128">
        <v>25800</v>
      </c>
      <c r="L865" s="644"/>
      <c r="M865" s="166" t="s">
        <v>36</v>
      </c>
      <c r="N865" s="131"/>
      <c r="O865" s="132"/>
      <c r="P865" s="132"/>
      <c r="Q865" s="132"/>
      <c r="R865" s="132"/>
      <c r="S865" s="132"/>
      <c r="T865" s="132"/>
      <c r="U865" s="132"/>
      <c r="V865" s="132"/>
      <c r="W865" s="132"/>
      <c r="X865" s="132"/>
      <c r="Y865" s="132"/>
      <c r="Z865" s="132"/>
      <c r="AA865" s="132"/>
      <c r="AB865" s="132"/>
    </row>
    <row r="866" spans="1:28" s="133" customFormat="1" ht="15" customHeight="1" outlineLevel="1" x14ac:dyDescent="0.2">
      <c r="A866" s="121">
        <v>14</v>
      </c>
      <c r="B866" s="121">
        <v>35498</v>
      </c>
      <c r="C866" s="122">
        <v>41834</v>
      </c>
      <c r="D866" s="123" t="s">
        <v>1436</v>
      </c>
      <c r="E866" s="121" t="s">
        <v>473</v>
      </c>
      <c r="F866" s="124" t="s">
        <v>215</v>
      </c>
      <c r="G866" s="125" t="s">
        <v>368</v>
      </c>
      <c r="H866" s="126"/>
      <c r="I866" s="127">
        <v>1</v>
      </c>
      <c r="J866" s="128">
        <v>44597</v>
      </c>
      <c r="K866" s="128">
        <v>44597</v>
      </c>
      <c r="L866" s="644"/>
      <c r="M866" s="166" t="s">
        <v>36</v>
      </c>
      <c r="N866" s="131"/>
      <c r="O866" s="132"/>
      <c r="P866" s="132"/>
      <c r="Q866" s="132"/>
      <c r="R866" s="132"/>
      <c r="S866" s="132"/>
      <c r="T866" s="132"/>
      <c r="U866" s="132"/>
      <c r="V866" s="132"/>
      <c r="W866" s="132"/>
      <c r="X866" s="132"/>
      <c r="Y866" s="132"/>
      <c r="Z866" s="132"/>
      <c r="AA866" s="132"/>
      <c r="AB866" s="132"/>
    </row>
    <row r="867" spans="1:28" s="133" customFormat="1" ht="15" customHeight="1" outlineLevel="1" x14ac:dyDescent="0.2">
      <c r="A867" s="121">
        <v>15</v>
      </c>
      <c r="B867" s="121">
        <v>35537</v>
      </c>
      <c r="C867" s="122">
        <v>41834</v>
      </c>
      <c r="D867" s="123" t="s">
        <v>1437</v>
      </c>
      <c r="E867" s="121" t="s">
        <v>481</v>
      </c>
      <c r="F867" s="124" t="s">
        <v>233</v>
      </c>
      <c r="G867" s="125" t="s">
        <v>368</v>
      </c>
      <c r="H867" s="126"/>
      <c r="I867" s="127">
        <v>1</v>
      </c>
      <c r="J867" s="128">
        <v>12499</v>
      </c>
      <c r="K867" s="128">
        <v>12499</v>
      </c>
      <c r="L867" s="644"/>
      <c r="M867" s="166" t="s">
        <v>36</v>
      </c>
      <c r="N867" s="131"/>
      <c r="O867" s="132"/>
      <c r="P867" s="132"/>
      <c r="Q867" s="132"/>
      <c r="R867" s="132"/>
      <c r="S867" s="132"/>
      <c r="T867" s="132"/>
      <c r="U867" s="132"/>
      <c r="V867" s="132"/>
      <c r="W867" s="132"/>
      <c r="X867" s="132"/>
      <c r="Y867" s="132"/>
      <c r="Z867" s="132"/>
      <c r="AA867" s="132"/>
      <c r="AB867" s="132"/>
    </row>
    <row r="868" spans="1:28" s="133" customFormat="1" ht="15" customHeight="1" outlineLevel="1" x14ac:dyDescent="0.2">
      <c r="A868" s="121">
        <v>16</v>
      </c>
      <c r="B868" s="121">
        <v>36126</v>
      </c>
      <c r="C868" s="122">
        <v>41837</v>
      </c>
      <c r="D868" s="123" t="s">
        <v>1438</v>
      </c>
      <c r="E868" s="121" t="s">
        <v>481</v>
      </c>
      <c r="F868" s="124" t="s">
        <v>577</v>
      </c>
      <c r="G868" s="125" t="s">
        <v>368</v>
      </c>
      <c r="H868" s="126"/>
      <c r="I868" s="127">
        <v>1</v>
      </c>
      <c r="J868" s="128">
        <v>25800</v>
      </c>
      <c r="K868" s="128">
        <v>25800</v>
      </c>
      <c r="L868" s="644"/>
      <c r="M868" s="166" t="s">
        <v>36</v>
      </c>
      <c r="N868" s="131"/>
      <c r="O868" s="132"/>
      <c r="P868" s="132"/>
      <c r="Q868" s="132"/>
      <c r="R868" s="132"/>
      <c r="S868" s="132"/>
      <c r="T868" s="132"/>
      <c r="U868" s="132"/>
      <c r="V868" s="132"/>
      <c r="W868" s="132"/>
      <c r="X868" s="132"/>
      <c r="Y868" s="132"/>
      <c r="Z868" s="132"/>
      <c r="AA868" s="132"/>
      <c r="AB868" s="132"/>
    </row>
    <row r="869" spans="1:28" s="133" customFormat="1" ht="15" customHeight="1" outlineLevel="1" x14ac:dyDescent="0.2">
      <c r="A869" s="121">
        <v>17</v>
      </c>
      <c r="B869" s="121">
        <v>36201</v>
      </c>
      <c r="C869" s="122">
        <v>41838</v>
      </c>
      <c r="D869" s="123" t="s">
        <v>1439</v>
      </c>
      <c r="E869" s="121" t="s">
        <v>481</v>
      </c>
      <c r="F869" s="124" t="s">
        <v>577</v>
      </c>
      <c r="G869" s="125" t="s">
        <v>368</v>
      </c>
      <c r="H869" s="126"/>
      <c r="I869" s="127">
        <v>1</v>
      </c>
      <c r="J869" s="128">
        <v>25800</v>
      </c>
      <c r="K869" s="128">
        <v>25800</v>
      </c>
      <c r="L869" s="644"/>
      <c r="M869" s="166" t="s">
        <v>36</v>
      </c>
      <c r="N869" s="131"/>
      <c r="O869" s="132"/>
      <c r="P869" s="132"/>
      <c r="Q869" s="132"/>
      <c r="R869" s="132"/>
      <c r="S869" s="132"/>
      <c r="T869" s="132"/>
      <c r="U869" s="132"/>
      <c r="V869" s="132"/>
      <c r="W869" s="132"/>
      <c r="X869" s="132"/>
      <c r="Y869" s="132"/>
      <c r="Z869" s="132"/>
      <c r="AA869" s="132"/>
      <c r="AB869" s="132"/>
    </row>
    <row r="870" spans="1:28" s="133" customFormat="1" ht="15" customHeight="1" outlineLevel="1" x14ac:dyDescent="0.2">
      <c r="A870" s="121">
        <v>18</v>
      </c>
      <c r="B870" s="121">
        <v>36211</v>
      </c>
      <c r="C870" s="122">
        <v>41838</v>
      </c>
      <c r="D870" s="123" t="s">
        <v>1440</v>
      </c>
      <c r="E870" s="121" t="s">
        <v>471</v>
      </c>
      <c r="F870" s="124" t="s">
        <v>577</v>
      </c>
      <c r="G870" s="125" t="s">
        <v>368</v>
      </c>
      <c r="H870" s="126"/>
      <c r="I870" s="127">
        <v>1</v>
      </c>
      <c r="J870" s="128">
        <v>25800</v>
      </c>
      <c r="K870" s="128">
        <v>25800</v>
      </c>
      <c r="L870" s="644"/>
      <c r="M870" s="166" t="s">
        <v>36</v>
      </c>
      <c r="N870" s="131"/>
      <c r="O870" s="132"/>
      <c r="P870" s="132"/>
      <c r="Q870" s="132"/>
      <c r="R870" s="132"/>
      <c r="S870" s="132"/>
      <c r="T870" s="132"/>
      <c r="U870" s="132"/>
      <c r="V870" s="132"/>
      <c r="W870" s="132"/>
      <c r="X870" s="132"/>
      <c r="Y870" s="132"/>
      <c r="Z870" s="132"/>
      <c r="AA870" s="132"/>
      <c r="AB870" s="132"/>
    </row>
    <row r="871" spans="1:28" s="133" customFormat="1" ht="15" customHeight="1" outlineLevel="1" x14ac:dyDescent="0.2">
      <c r="A871" s="121">
        <v>19</v>
      </c>
      <c r="B871" s="121">
        <v>37177</v>
      </c>
      <c r="C871" s="122">
        <v>41844</v>
      </c>
      <c r="D871" s="123" t="s">
        <v>1441</v>
      </c>
      <c r="E871" s="121" t="s">
        <v>502</v>
      </c>
      <c r="F871" s="124" t="s">
        <v>577</v>
      </c>
      <c r="G871" s="125" t="s">
        <v>368</v>
      </c>
      <c r="H871" s="126"/>
      <c r="I871" s="127">
        <v>1</v>
      </c>
      <c r="J871" s="128">
        <v>25800</v>
      </c>
      <c r="K871" s="128">
        <v>25800</v>
      </c>
      <c r="L871" s="644"/>
      <c r="M871" s="166" t="s">
        <v>36</v>
      </c>
      <c r="N871" s="131"/>
      <c r="O871" s="132"/>
      <c r="P871" s="132"/>
      <c r="Q871" s="132"/>
      <c r="R871" s="132"/>
      <c r="S871" s="132"/>
      <c r="T871" s="132"/>
      <c r="U871" s="132"/>
      <c r="V871" s="132"/>
      <c r="W871" s="132"/>
      <c r="X871" s="132"/>
      <c r="Y871" s="132"/>
      <c r="Z871" s="132"/>
      <c r="AA871" s="132"/>
      <c r="AB871" s="132"/>
    </row>
    <row r="872" spans="1:28" s="133" customFormat="1" ht="15" customHeight="1" outlineLevel="1" x14ac:dyDescent="0.2">
      <c r="A872" s="121">
        <v>20</v>
      </c>
      <c r="B872" s="121">
        <v>37259</v>
      </c>
      <c r="C872" s="122">
        <v>41842</v>
      </c>
      <c r="D872" s="123" t="s">
        <v>1442</v>
      </c>
      <c r="E872" s="121" t="s">
        <v>502</v>
      </c>
      <c r="F872" s="124" t="s">
        <v>577</v>
      </c>
      <c r="G872" s="125" t="s">
        <v>519</v>
      </c>
      <c r="H872" s="126"/>
      <c r="I872" s="127">
        <v>1</v>
      </c>
      <c r="J872" s="128">
        <v>25800</v>
      </c>
      <c r="K872" s="128">
        <v>25800</v>
      </c>
      <c r="L872" s="644"/>
      <c r="M872" s="166" t="s">
        <v>36</v>
      </c>
      <c r="N872" s="131"/>
      <c r="O872" s="132"/>
      <c r="P872" s="132"/>
      <c r="Q872" s="132"/>
      <c r="R872" s="132"/>
      <c r="S872" s="132"/>
      <c r="T872" s="132"/>
      <c r="U872" s="132"/>
      <c r="V872" s="132"/>
      <c r="W872" s="132"/>
      <c r="X872" s="132"/>
      <c r="Y872" s="132"/>
      <c r="Z872" s="132"/>
      <c r="AA872" s="132"/>
      <c r="AB872" s="132"/>
    </row>
    <row r="873" spans="1:28" s="133" customFormat="1" ht="15" customHeight="1" outlineLevel="1" x14ac:dyDescent="0.2">
      <c r="A873" s="121">
        <v>21</v>
      </c>
      <c r="B873" s="121">
        <v>38463</v>
      </c>
      <c r="C873" s="122">
        <v>41848</v>
      </c>
      <c r="D873" s="123" t="s">
        <v>1443</v>
      </c>
      <c r="E873" s="121" t="s">
        <v>478</v>
      </c>
      <c r="F873" s="124" t="s">
        <v>215</v>
      </c>
      <c r="G873" s="125" t="s">
        <v>368</v>
      </c>
      <c r="H873" s="126"/>
      <c r="I873" s="127">
        <v>1</v>
      </c>
      <c r="J873" s="128">
        <v>22299</v>
      </c>
      <c r="K873" s="128">
        <v>22299</v>
      </c>
      <c r="L873" s="644"/>
      <c r="M873" s="166" t="s">
        <v>36</v>
      </c>
      <c r="N873" s="131"/>
      <c r="O873" s="132"/>
      <c r="P873" s="132"/>
      <c r="Q873" s="132"/>
      <c r="R873" s="132"/>
      <c r="S873" s="132"/>
      <c r="T873" s="132"/>
      <c r="U873" s="132"/>
      <c r="V873" s="132"/>
      <c r="W873" s="132"/>
      <c r="X873" s="132"/>
      <c r="Y873" s="132"/>
      <c r="Z873" s="132"/>
      <c r="AA873" s="132"/>
      <c r="AB873" s="132"/>
    </row>
    <row r="874" spans="1:28" s="133" customFormat="1" ht="15" customHeight="1" outlineLevel="1" x14ac:dyDescent="0.2">
      <c r="A874" s="121">
        <v>22</v>
      </c>
      <c r="B874" s="121">
        <v>39053</v>
      </c>
      <c r="C874" s="122">
        <v>41850</v>
      </c>
      <c r="D874" s="123" t="s">
        <v>1444</v>
      </c>
      <c r="E874" s="121" t="s">
        <v>478</v>
      </c>
      <c r="F874" s="124" t="s">
        <v>215</v>
      </c>
      <c r="G874" s="125" t="s">
        <v>368</v>
      </c>
      <c r="H874" s="126"/>
      <c r="I874" s="127">
        <v>1</v>
      </c>
      <c r="J874" s="128">
        <v>44597</v>
      </c>
      <c r="K874" s="128">
        <v>44597</v>
      </c>
      <c r="L874" s="644"/>
      <c r="M874" s="166" t="s">
        <v>36</v>
      </c>
      <c r="N874" s="131"/>
      <c r="O874" s="132"/>
      <c r="P874" s="132"/>
      <c r="Q874" s="132"/>
      <c r="R874" s="132"/>
      <c r="S874" s="132"/>
      <c r="T874" s="132"/>
      <c r="U874" s="132"/>
      <c r="V874" s="132"/>
      <c r="W874" s="132"/>
      <c r="X874" s="132"/>
      <c r="Y874" s="132"/>
      <c r="Z874" s="132"/>
      <c r="AA874" s="132"/>
      <c r="AB874" s="132"/>
    </row>
    <row r="875" spans="1:28" s="133" customFormat="1" ht="15" customHeight="1" outlineLevel="1" x14ac:dyDescent="0.2">
      <c r="A875" s="121">
        <v>23</v>
      </c>
      <c r="B875" s="121">
        <v>39490</v>
      </c>
      <c r="C875" s="122">
        <v>41851</v>
      </c>
      <c r="D875" s="123" t="s">
        <v>1445</v>
      </c>
      <c r="E875" s="121" t="s">
        <v>471</v>
      </c>
      <c r="F875" s="124" t="s">
        <v>577</v>
      </c>
      <c r="G875" s="125" t="s">
        <v>368</v>
      </c>
      <c r="H875" s="126"/>
      <c r="I875" s="127">
        <v>1</v>
      </c>
      <c r="J875" s="128">
        <v>25800</v>
      </c>
      <c r="K875" s="128">
        <v>25800</v>
      </c>
      <c r="L875" s="644"/>
      <c r="M875" s="166" t="s">
        <v>36</v>
      </c>
      <c r="N875" s="131"/>
      <c r="O875" s="132"/>
      <c r="P875" s="132"/>
      <c r="Q875" s="132"/>
      <c r="R875" s="132"/>
      <c r="S875" s="132"/>
      <c r="T875" s="132"/>
      <c r="U875" s="132"/>
      <c r="V875" s="132"/>
      <c r="W875" s="132"/>
      <c r="X875" s="132"/>
      <c r="Y875" s="132"/>
      <c r="Z875" s="132"/>
      <c r="AA875" s="132"/>
      <c r="AB875" s="132"/>
    </row>
    <row r="876" spans="1:28" s="133" customFormat="1" ht="15" customHeight="1" outlineLevel="1" x14ac:dyDescent="0.2">
      <c r="A876" s="121">
        <v>24</v>
      </c>
      <c r="B876" s="121">
        <v>39606</v>
      </c>
      <c r="C876" s="122">
        <v>41851</v>
      </c>
      <c r="D876" s="123" t="s">
        <v>1446</v>
      </c>
      <c r="E876" s="121" t="s">
        <v>694</v>
      </c>
      <c r="F876" s="124" t="s">
        <v>577</v>
      </c>
      <c r="G876" s="125" t="s">
        <v>368</v>
      </c>
      <c r="H876" s="126"/>
      <c r="I876" s="127">
        <v>1</v>
      </c>
      <c r="J876" s="128">
        <v>25800</v>
      </c>
      <c r="K876" s="128">
        <v>25800</v>
      </c>
      <c r="L876" s="644"/>
      <c r="M876" s="166" t="s">
        <v>36</v>
      </c>
      <c r="N876" s="131"/>
      <c r="O876" s="132"/>
      <c r="P876" s="132"/>
      <c r="Q876" s="132"/>
      <c r="R876" s="132"/>
      <c r="S876" s="132"/>
      <c r="T876" s="132"/>
      <c r="U876" s="132"/>
      <c r="V876" s="132"/>
      <c r="W876" s="132"/>
      <c r="X876" s="132"/>
      <c r="Y876" s="132"/>
      <c r="Z876" s="132"/>
      <c r="AA876" s="132"/>
      <c r="AB876" s="132"/>
    </row>
    <row r="877" spans="1:28" s="133" customFormat="1" ht="15" customHeight="1" outlineLevel="1" x14ac:dyDescent="0.2">
      <c r="A877" s="121">
        <v>25</v>
      </c>
      <c r="B877" s="121">
        <v>39790</v>
      </c>
      <c r="C877" s="122">
        <v>41852</v>
      </c>
      <c r="D877" s="123" t="s">
        <v>1447</v>
      </c>
      <c r="E877" s="121" t="s">
        <v>481</v>
      </c>
      <c r="F877" s="124" t="s">
        <v>115</v>
      </c>
      <c r="G877" s="125" t="s">
        <v>414</v>
      </c>
      <c r="H877" s="126"/>
      <c r="I877" s="127">
        <v>1</v>
      </c>
      <c r="J877" s="128">
        <v>5274</v>
      </c>
      <c r="K877" s="128">
        <v>5274</v>
      </c>
      <c r="L877" s="644"/>
      <c r="M877" s="166" t="s">
        <v>36</v>
      </c>
      <c r="N877" s="131"/>
      <c r="O877" s="132"/>
      <c r="P877" s="132"/>
      <c r="Q877" s="132"/>
      <c r="R877" s="132"/>
      <c r="S877" s="132"/>
      <c r="T877" s="132"/>
      <c r="U877" s="132"/>
      <c r="V877" s="132"/>
      <c r="W877" s="132"/>
      <c r="X877" s="132"/>
      <c r="Y877" s="132"/>
      <c r="Z877" s="132"/>
      <c r="AA877" s="132"/>
      <c r="AB877" s="132"/>
    </row>
    <row r="878" spans="1:28" s="133" customFormat="1" ht="15" customHeight="1" outlineLevel="1" x14ac:dyDescent="0.2">
      <c r="A878" s="121">
        <v>26</v>
      </c>
      <c r="B878" s="121">
        <v>39851</v>
      </c>
      <c r="C878" s="122">
        <v>41851</v>
      </c>
      <c r="D878" s="123" t="s">
        <v>1448</v>
      </c>
      <c r="E878" s="121" t="s">
        <v>471</v>
      </c>
      <c r="F878" s="124" t="s">
        <v>215</v>
      </c>
      <c r="G878" s="125" t="s">
        <v>368</v>
      </c>
      <c r="H878" s="126"/>
      <c r="I878" s="127">
        <v>1</v>
      </c>
      <c r="J878" s="128">
        <v>44597</v>
      </c>
      <c r="K878" s="128">
        <v>44597</v>
      </c>
      <c r="L878" s="645"/>
      <c r="M878" s="166" t="s">
        <v>36</v>
      </c>
      <c r="N878" s="131"/>
      <c r="O878" s="132"/>
      <c r="P878" s="132"/>
      <c r="Q878" s="132"/>
      <c r="R878" s="132"/>
      <c r="S878" s="132"/>
      <c r="T878" s="132"/>
      <c r="U878" s="132"/>
      <c r="V878" s="132"/>
      <c r="W878" s="132"/>
      <c r="X878" s="132"/>
      <c r="Y878" s="132"/>
      <c r="Z878" s="132"/>
      <c r="AA878" s="132"/>
      <c r="AB878" s="132"/>
    </row>
    <row r="879" spans="1:28" s="133" customFormat="1" ht="15" customHeight="1" outlineLevel="1" x14ac:dyDescent="0.2">
      <c r="A879" s="121">
        <v>1</v>
      </c>
      <c r="B879" s="121">
        <v>47540</v>
      </c>
      <c r="C879" s="122">
        <v>41878</v>
      </c>
      <c r="D879" s="123" t="s">
        <v>1449</v>
      </c>
      <c r="E879" s="121" t="s">
        <v>694</v>
      </c>
      <c r="F879" s="124" t="s">
        <v>233</v>
      </c>
      <c r="G879" s="125" t="s">
        <v>368</v>
      </c>
      <c r="H879" s="126"/>
      <c r="I879" s="127">
        <v>1</v>
      </c>
      <c r="J879" s="128">
        <v>12499</v>
      </c>
      <c r="K879" s="128">
        <v>12499</v>
      </c>
      <c r="L879" s="166" t="s">
        <v>785</v>
      </c>
      <c r="M879" s="167" t="s">
        <v>36</v>
      </c>
      <c r="N879" s="131"/>
      <c r="O879" s="132"/>
      <c r="P879" s="132"/>
      <c r="Q879" s="132"/>
      <c r="R879" s="132"/>
      <c r="S879" s="132"/>
      <c r="T879" s="132"/>
      <c r="U879" s="132"/>
      <c r="V879" s="132"/>
      <c r="W879" s="132"/>
      <c r="X879" s="132"/>
      <c r="Y879" s="132"/>
      <c r="Z879" s="132"/>
      <c r="AA879" s="132"/>
      <c r="AB879" s="132"/>
    </row>
    <row r="880" spans="1:28" s="133" customFormat="1" ht="15" customHeight="1" outlineLevel="1" x14ac:dyDescent="0.2">
      <c r="A880" s="121">
        <v>3</v>
      </c>
      <c r="B880" s="121">
        <v>40199</v>
      </c>
      <c r="C880" s="122">
        <v>41855</v>
      </c>
      <c r="D880" s="123" t="s">
        <v>1450</v>
      </c>
      <c r="E880" s="121" t="s">
        <v>694</v>
      </c>
      <c r="F880" s="124" t="s">
        <v>577</v>
      </c>
      <c r="G880" s="125" t="s">
        <v>368</v>
      </c>
      <c r="H880" s="126"/>
      <c r="I880" s="127">
        <v>1</v>
      </c>
      <c r="J880" s="128">
        <v>25800</v>
      </c>
      <c r="K880" s="128">
        <v>25800</v>
      </c>
      <c r="L880" s="166" t="s">
        <v>785</v>
      </c>
      <c r="M880" s="167" t="s">
        <v>36</v>
      </c>
      <c r="N880" s="131"/>
      <c r="O880" s="132"/>
      <c r="P880" s="132"/>
      <c r="Q880" s="132"/>
      <c r="R880" s="132"/>
      <c r="S880" s="132"/>
      <c r="T880" s="132"/>
      <c r="U880" s="132"/>
      <c r="V880" s="132"/>
      <c r="W880" s="132"/>
      <c r="X880" s="132"/>
      <c r="Y880" s="132"/>
      <c r="Z880" s="132"/>
      <c r="AA880" s="132"/>
      <c r="AB880" s="132"/>
    </row>
    <row r="881" spans="1:28" s="133" customFormat="1" ht="15" customHeight="1" outlineLevel="1" x14ac:dyDescent="0.2">
      <c r="A881" s="121">
        <v>4</v>
      </c>
      <c r="B881" s="121">
        <v>44291</v>
      </c>
      <c r="C881" s="122">
        <v>41869</v>
      </c>
      <c r="D881" s="123" t="s">
        <v>1451</v>
      </c>
      <c r="E881" s="121" t="s">
        <v>471</v>
      </c>
      <c r="F881" s="124" t="s">
        <v>577</v>
      </c>
      <c r="G881" s="125" t="s">
        <v>368</v>
      </c>
      <c r="H881" s="126"/>
      <c r="I881" s="127">
        <v>1</v>
      </c>
      <c r="J881" s="128">
        <v>25800</v>
      </c>
      <c r="K881" s="128">
        <v>25800</v>
      </c>
      <c r="L881" s="166" t="s">
        <v>785</v>
      </c>
      <c r="M881" s="167" t="s">
        <v>36</v>
      </c>
      <c r="N881" s="131"/>
      <c r="O881" s="132"/>
      <c r="P881" s="132"/>
      <c r="Q881" s="132"/>
      <c r="R881" s="132"/>
      <c r="S881" s="132"/>
      <c r="T881" s="132"/>
      <c r="U881" s="132"/>
      <c r="V881" s="132"/>
      <c r="W881" s="132"/>
      <c r="X881" s="132"/>
      <c r="Y881" s="132"/>
      <c r="Z881" s="132"/>
      <c r="AA881" s="132"/>
      <c r="AB881" s="132"/>
    </row>
    <row r="882" spans="1:28" s="133" customFormat="1" ht="15" customHeight="1" outlineLevel="1" x14ac:dyDescent="0.2">
      <c r="A882" s="121">
        <v>5</v>
      </c>
      <c r="B882" s="121">
        <v>43390</v>
      </c>
      <c r="C882" s="122">
        <v>41865</v>
      </c>
      <c r="D882" s="123" t="s">
        <v>1452</v>
      </c>
      <c r="E882" s="121" t="s">
        <v>481</v>
      </c>
      <c r="F882" s="124" t="s">
        <v>215</v>
      </c>
      <c r="G882" s="125" t="s">
        <v>368</v>
      </c>
      <c r="H882" s="126"/>
      <c r="I882" s="127">
        <v>1</v>
      </c>
      <c r="J882" s="128">
        <v>44597</v>
      </c>
      <c r="K882" s="128">
        <v>44597</v>
      </c>
      <c r="L882" s="166" t="s">
        <v>785</v>
      </c>
      <c r="M882" s="167" t="s">
        <v>36</v>
      </c>
      <c r="N882" s="131"/>
      <c r="O882" s="132"/>
      <c r="P882" s="132"/>
      <c r="Q882" s="132"/>
      <c r="R882" s="132"/>
      <c r="S882" s="132"/>
      <c r="T882" s="132"/>
      <c r="U882" s="132"/>
      <c r="V882" s="132"/>
      <c r="W882" s="132"/>
      <c r="X882" s="132"/>
      <c r="Y882" s="132"/>
      <c r="Z882" s="132"/>
      <c r="AA882" s="132"/>
      <c r="AB882" s="132"/>
    </row>
    <row r="883" spans="1:28" s="133" customFormat="1" ht="15" customHeight="1" outlineLevel="1" x14ac:dyDescent="0.2">
      <c r="A883" s="121">
        <v>6</v>
      </c>
      <c r="B883" s="121">
        <v>42873</v>
      </c>
      <c r="C883" s="122">
        <v>41863</v>
      </c>
      <c r="D883" s="123" t="s">
        <v>1453</v>
      </c>
      <c r="E883" s="121" t="s">
        <v>481</v>
      </c>
      <c r="F883" s="124" t="s">
        <v>215</v>
      </c>
      <c r="G883" s="125" t="s">
        <v>384</v>
      </c>
      <c r="H883" s="126"/>
      <c r="I883" s="127">
        <v>2</v>
      </c>
      <c r="J883" s="128">
        <v>44597</v>
      </c>
      <c r="K883" s="128">
        <v>89194</v>
      </c>
      <c r="L883" s="166" t="s">
        <v>785</v>
      </c>
      <c r="M883" s="167" t="s">
        <v>36</v>
      </c>
      <c r="N883" s="131"/>
      <c r="O883" s="132"/>
      <c r="P883" s="132"/>
      <c r="Q883" s="132"/>
      <c r="R883" s="132"/>
      <c r="S883" s="132"/>
      <c r="T883" s="132"/>
      <c r="U883" s="132"/>
      <c r="V883" s="132"/>
      <c r="W883" s="132"/>
      <c r="X883" s="132"/>
      <c r="Y883" s="132"/>
      <c r="Z883" s="132"/>
      <c r="AA883" s="132"/>
      <c r="AB883" s="132"/>
    </row>
    <row r="884" spans="1:28" s="133" customFormat="1" ht="15" customHeight="1" outlineLevel="1" x14ac:dyDescent="0.2">
      <c r="A884" s="121">
        <v>7</v>
      </c>
      <c r="B884" s="121">
        <v>42388</v>
      </c>
      <c r="C884" s="122">
        <v>41862</v>
      </c>
      <c r="D884" s="123" t="s">
        <v>1454</v>
      </c>
      <c r="E884" s="121" t="s">
        <v>502</v>
      </c>
      <c r="F884" s="124" t="s">
        <v>577</v>
      </c>
      <c r="G884" s="125" t="s">
        <v>368</v>
      </c>
      <c r="H884" s="126"/>
      <c r="I884" s="127">
        <v>1</v>
      </c>
      <c r="J884" s="128">
        <v>25800</v>
      </c>
      <c r="K884" s="128">
        <v>25800</v>
      </c>
      <c r="L884" s="166" t="s">
        <v>785</v>
      </c>
      <c r="M884" s="167" t="s">
        <v>36</v>
      </c>
      <c r="N884" s="131"/>
      <c r="O884" s="132"/>
      <c r="P884" s="132"/>
      <c r="Q884" s="132"/>
      <c r="R884" s="132"/>
      <c r="S884" s="132"/>
      <c r="T884" s="132"/>
      <c r="U884" s="132"/>
      <c r="V884" s="132"/>
      <c r="W884" s="132"/>
      <c r="X884" s="132"/>
      <c r="Y884" s="132"/>
      <c r="Z884" s="132"/>
      <c r="AA884" s="132"/>
      <c r="AB884" s="132"/>
    </row>
    <row r="885" spans="1:28" s="133" customFormat="1" ht="15" customHeight="1" outlineLevel="1" x14ac:dyDescent="0.2">
      <c r="A885" s="121">
        <v>9</v>
      </c>
      <c r="B885" s="121">
        <v>40212</v>
      </c>
      <c r="C885" s="122">
        <v>41852</v>
      </c>
      <c r="D885" s="123" t="s">
        <v>1455</v>
      </c>
      <c r="E885" s="121" t="s">
        <v>1313</v>
      </c>
      <c r="F885" s="124" t="s">
        <v>235</v>
      </c>
      <c r="G885" s="125" t="s">
        <v>368</v>
      </c>
      <c r="H885" s="126"/>
      <c r="I885" s="127">
        <v>1</v>
      </c>
      <c r="J885" s="128">
        <v>10401</v>
      </c>
      <c r="K885" s="128">
        <v>10401</v>
      </c>
      <c r="L885" s="166" t="s">
        <v>785</v>
      </c>
      <c r="M885" s="167" t="s">
        <v>36</v>
      </c>
      <c r="N885" s="131"/>
      <c r="O885" s="132"/>
      <c r="P885" s="132"/>
      <c r="Q885" s="132"/>
      <c r="R885" s="132"/>
      <c r="S885" s="132"/>
      <c r="T885" s="132"/>
      <c r="U885" s="132"/>
      <c r="V885" s="132"/>
      <c r="W885" s="132"/>
      <c r="X885" s="132"/>
      <c r="Y885" s="132"/>
      <c r="Z885" s="132"/>
      <c r="AA885" s="132"/>
      <c r="AB885" s="132"/>
    </row>
    <row r="886" spans="1:28" s="133" customFormat="1" ht="15" customHeight="1" outlineLevel="1" x14ac:dyDescent="0.2">
      <c r="A886" s="121">
        <v>10</v>
      </c>
      <c r="B886" s="121">
        <v>47477</v>
      </c>
      <c r="C886" s="122">
        <v>41878</v>
      </c>
      <c r="D886" s="123" t="s">
        <v>1456</v>
      </c>
      <c r="E886" s="121" t="s">
        <v>481</v>
      </c>
      <c r="F886" s="124" t="s">
        <v>577</v>
      </c>
      <c r="G886" s="125" t="s">
        <v>368</v>
      </c>
      <c r="H886" s="126"/>
      <c r="I886" s="127">
        <v>1</v>
      </c>
      <c r="J886" s="128">
        <v>25800</v>
      </c>
      <c r="K886" s="128">
        <v>25800</v>
      </c>
      <c r="L886" s="166" t="s">
        <v>785</v>
      </c>
      <c r="M886" s="167" t="s">
        <v>36</v>
      </c>
      <c r="N886" s="131"/>
      <c r="O886" s="132"/>
      <c r="P886" s="132"/>
      <c r="Q886" s="132"/>
      <c r="R886" s="132"/>
      <c r="S886" s="132"/>
      <c r="T886" s="132"/>
      <c r="U886" s="132"/>
      <c r="V886" s="132"/>
      <c r="W886" s="132"/>
      <c r="X886" s="132"/>
      <c r="Y886" s="132"/>
      <c r="Z886" s="132"/>
      <c r="AA886" s="132"/>
      <c r="AB886" s="132"/>
    </row>
    <row r="887" spans="1:28" s="133" customFormat="1" ht="15" customHeight="1" outlineLevel="1" x14ac:dyDescent="0.2">
      <c r="A887" s="121">
        <v>11</v>
      </c>
      <c r="B887" s="121">
        <v>44989</v>
      </c>
      <c r="C887" s="122">
        <v>41870</v>
      </c>
      <c r="D887" s="123" t="s">
        <v>1457</v>
      </c>
      <c r="E887" s="121" t="s">
        <v>694</v>
      </c>
      <c r="F887" s="124" t="s">
        <v>577</v>
      </c>
      <c r="G887" s="125" t="s">
        <v>368</v>
      </c>
      <c r="H887" s="126"/>
      <c r="I887" s="127">
        <v>1</v>
      </c>
      <c r="J887" s="128">
        <v>25800</v>
      </c>
      <c r="K887" s="128">
        <v>25800</v>
      </c>
      <c r="L887" s="166" t="s">
        <v>785</v>
      </c>
      <c r="M887" s="167" t="s">
        <v>36</v>
      </c>
      <c r="N887" s="131"/>
      <c r="O887" s="132"/>
      <c r="P887" s="132"/>
      <c r="Q887" s="132"/>
      <c r="R887" s="132"/>
      <c r="S887" s="132"/>
      <c r="T887" s="132"/>
      <c r="U887" s="132"/>
      <c r="V887" s="132"/>
      <c r="W887" s="132"/>
      <c r="X887" s="132"/>
      <c r="Y887" s="132"/>
      <c r="Z887" s="132"/>
      <c r="AA887" s="132"/>
      <c r="AB887" s="132"/>
    </row>
    <row r="888" spans="1:28" s="133" customFormat="1" ht="15" customHeight="1" outlineLevel="1" x14ac:dyDescent="0.2">
      <c r="A888" s="121">
        <v>12</v>
      </c>
      <c r="B888" s="121">
        <v>47475</v>
      </c>
      <c r="C888" s="122">
        <v>41879</v>
      </c>
      <c r="D888" s="123" t="s">
        <v>1458</v>
      </c>
      <c r="E888" s="121" t="s">
        <v>481</v>
      </c>
      <c r="F888" s="124" t="s">
        <v>577</v>
      </c>
      <c r="G888" s="125" t="s">
        <v>368</v>
      </c>
      <c r="H888" s="126"/>
      <c r="I888" s="127">
        <v>1</v>
      </c>
      <c r="J888" s="128">
        <v>25800</v>
      </c>
      <c r="K888" s="128">
        <v>25800</v>
      </c>
      <c r="L888" s="166" t="s">
        <v>785</v>
      </c>
      <c r="M888" s="167" t="s">
        <v>36</v>
      </c>
      <c r="N888" s="131"/>
      <c r="O888" s="132"/>
      <c r="P888" s="132"/>
      <c r="Q888" s="132"/>
      <c r="R888" s="132"/>
      <c r="S888" s="132"/>
      <c r="T888" s="132"/>
      <c r="U888" s="132"/>
      <c r="V888" s="132"/>
      <c r="W888" s="132"/>
      <c r="X888" s="132"/>
      <c r="Y888" s="132"/>
      <c r="Z888" s="132"/>
      <c r="AA888" s="132"/>
      <c r="AB888" s="132"/>
    </row>
    <row r="889" spans="1:28" s="133" customFormat="1" ht="15" customHeight="1" outlineLevel="1" x14ac:dyDescent="0.2">
      <c r="A889" s="121">
        <v>1</v>
      </c>
      <c r="B889" s="121">
        <v>56440</v>
      </c>
      <c r="C889" s="122">
        <v>41912</v>
      </c>
      <c r="D889" s="123" t="s">
        <v>1459</v>
      </c>
      <c r="E889" s="121" t="s">
        <v>481</v>
      </c>
      <c r="F889" s="124" t="s">
        <v>215</v>
      </c>
      <c r="G889" s="125" t="s">
        <v>384</v>
      </c>
      <c r="H889" s="126"/>
      <c r="I889" s="127">
        <v>2</v>
      </c>
      <c r="J889" s="128">
        <v>44597</v>
      </c>
      <c r="K889" s="128">
        <v>89194</v>
      </c>
      <c r="L889" s="646" t="s">
        <v>614</v>
      </c>
      <c r="M889" s="658" t="s">
        <v>36</v>
      </c>
      <c r="N889" s="131"/>
      <c r="O889" s="132"/>
      <c r="P889" s="132"/>
      <c r="Q889" s="132"/>
      <c r="R889" s="132"/>
      <c r="S889" s="132"/>
      <c r="T889" s="132"/>
      <c r="U889" s="132"/>
      <c r="V889" s="132"/>
      <c r="W889" s="132"/>
      <c r="X889" s="132"/>
      <c r="Y889" s="132"/>
      <c r="Z889" s="132"/>
      <c r="AA889" s="132"/>
      <c r="AB889" s="132"/>
    </row>
    <row r="890" spans="1:28" s="133" customFormat="1" ht="15" customHeight="1" outlineLevel="1" x14ac:dyDescent="0.2">
      <c r="A890" s="121">
        <v>2</v>
      </c>
      <c r="B890" s="121">
        <v>54107</v>
      </c>
      <c r="C890" s="122">
        <v>41904</v>
      </c>
      <c r="D890" s="123" t="s">
        <v>1460</v>
      </c>
      <c r="E890" s="121" t="s">
        <v>481</v>
      </c>
      <c r="F890" s="124" t="s">
        <v>679</v>
      </c>
      <c r="G890" s="125" t="s">
        <v>366</v>
      </c>
      <c r="H890" s="126"/>
      <c r="I890" s="127">
        <v>1</v>
      </c>
      <c r="J890" s="128">
        <v>55058</v>
      </c>
      <c r="K890" s="128">
        <v>55058</v>
      </c>
      <c r="L890" s="647"/>
      <c r="M890" s="659"/>
      <c r="N890" s="131"/>
      <c r="O890" s="132"/>
      <c r="P890" s="132"/>
      <c r="Q890" s="132"/>
      <c r="R890" s="132"/>
      <c r="S890" s="132"/>
      <c r="T890" s="132"/>
      <c r="U890" s="132"/>
      <c r="V890" s="132"/>
      <c r="W890" s="132"/>
      <c r="X890" s="132"/>
      <c r="Y890" s="132"/>
      <c r="Z890" s="132"/>
      <c r="AA890" s="132"/>
      <c r="AB890" s="132"/>
    </row>
    <row r="891" spans="1:28" s="133" customFormat="1" ht="15" customHeight="1" outlineLevel="1" x14ac:dyDescent="0.2">
      <c r="A891" s="121">
        <v>3</v>
      </c>
      <c r="B891" s="121">
        <v>54635</v>
      </c>
      <c r="C891" s="122">
        <v>41904</v>
      </c>
      <c r="D891" s="123" t="s">
        <v>1461</v>
      </c>
      <c r="E891" s="121" t="s">
        <v>481</v>
      </c>
      <c r="F891" s="124" t="s">
        <v>233</v>
      </c>
      <c r="G891" s="125" t="s">
        <v>368</v>
      </c>
      <c r="H891" s="126"/>
      <c r="I891" s="127">
        <v>1</v>
      </c>
      <c r="J891" s="128">
        <v>12499</v>
      </c>
      <c r="K891" s="128">
        <v>12499</v>
      </c>
      <c r="L891" s="647"/>
      <c r="M891" s="659"/>
      <c r="N891" s="131"/>
      <c r="O891" s="132"/>
      <c r="P891" s="132"/>
      <c r="Q891" s="132"/>
      <c r="R891" s="132"/>
      <c r="S891" s="132"/>
      <c r="T891" s="132"/>
      <c r="U891" s="132"/>
      <c r="V891" s="132"/>
      <c r="W891" s="132"/>
      <c r="X891" s="132"/>
      <c r="Y891" s="132"/>
      <c r="Z891" s="132"/>
      <c r="AA891" s="132"/>
      <c r="AB891" s="132"/>
    </row>
    <row r="892" spans="1:28" s="133" customFormat="1" ht="15" customHeight="1" outlineLevel="1" x14ac:dyDescent="0.2">
      <c r="A892" s="121">
        <v>4</v>
      </c>
      <c r="B892" s="121">
        <v>53050</v>
      </c>
      <c r="C892" s="122">
        <v>41894</v>
      </c>
      <c r="D892" s="123" t="s">
        <v>1462</v>
      </c>
      <c r="E892" s="121" t="s">
        <v>481</v>
      </c>
      <c r="F892" s="124" t="s">
        <v>215</v>
      </c>
      <c r="G892" s="125" t="s">
        <v>384</v>
      </c>
      <c r="H892" s="126"/>
      <c r="I892" s="127">
        <v>2</v>
      </c>
      <c r="J892" s="128">
        <v>44597</v>
      </c>
      <c r="K892" s="128">
        <v>89194</v>
      </c>
      <c r="L892" s="647"/>
      <c r="M892" s="659"/>
      <c r="N892" s="131"/>
      <c r="O892" s="132"/>
      <c r="P892" s="132"/>
      <c r="Q892" s="132"/>
      <c r="R892" s="132"/>
      <c r="S892" s="132"/>
      <c r="T892" s="132"/>
      <c r="U892" s="132"/>
      <c r="V892" s="132"/>
      <c r="W892" s="132"/>
      <c r="X892" s="132"/>
      <c r="Y892" s="132"/>
      <c r="Z892" s="132"/>
      <c r="AA892" s="132"/>
      <c r="AB892" s="132"/>
    </row>
    <row r="893" spans="1:28" s="133" customFormat="1" ht="15" customHeight="1" outlineLevel="1" x14ac:dyDescent="0.2">
      <c r="A893" s="121">
        <v>6</v>
      </c>
      <c r="B893" s="121">
        <v>50647</v>
      </c>
      <c r="C893" s="122">
        <v>41887</v>
      </c>
      <c r="D893" s="123" t="s">
        <v>1463</v>
      </c>
      <c r="E893" s="121" t="s">
        <v>481</v>
      </c>
      <c r="F893" s="124" t="s">
        <v>115</v>
      </c>
      <c r="G893" s="125" t="s">
        <v>397</v>
      </c>
      <c r="H893" s="126"/>
      <c r="I893" s="127">
        <v>2</v>
      </c>
      <c r="J893" s="128">
        <v>5274</v>
      </c>
      <c r="K893" s="128">
        <v>10548</v>
      </c>
      <c r="L893" s="647"/>
      <c r="M893" s="659"/>
      <c r="N893" s="131"/>
      <c r="O893" s="132"/>
      <c r="P893" s="132"/>
      <c r="Q893" s="132"/>
      <c r="R893" s="132"/>
      <c r="S893" s="132"/>
      <c r="T893" s="132"/>
      <c r="U893" s="132"/>
      <c r="V893" s="132"/>
      <c r="W893" s="132"/>
      <c r="X893" s="132"/>
      <c r="Y893" s="132"/>
      <c r="Z893" s="132"/>
      <c r="AA893" s="132"/>
      <c r="AB893" s="132"/>
    </row>
    <row r="894" spans="1:28" s="133" customFormat="1" ht="15" customHeight="1" outlineLevel="1" x14ac:dyDescent="0.2">
      <c r="A894" s="121">
        <v>7</v>
      </c>
      <c r="B894" s="121">
        <v>55548</v>
      </c>
      <c r="C894" s="122">
        <v>41911</v>
      </c>
      <c r="D894" s="123" t="s">
        <v>1464</v>
      </c>
      <c r="E894" s="121" t="s">
        <v>481</v>
      </c>
      <c r="F894" s="124" t="s">
        <v>577</v>
      </c>
      <c r="G894" s="125" t="s">
        <v>368</v>
      </c>
      <c r="H894" s="126"/>
      <c r="I894" s="127">
        <v>1</v>
      </c>
      <c r="J894" s="128">
        <v>25800</v>
      </c>
      <c r="K894" s="128">
        <v>25800</v>
      </c>
      <c r="L894" s="647"/>
      <c r="M894" s="659"/>
      <c r="N894" s="131"/>
      <c r="O894" s="132"/>
      <c r="P894" s="132"/>
      <c r="Q894" s="132"/>
      <c r="R894" s="132"/>
      <c r="S894" s="132"/>
      <c r="T894" s="132"/>
      <c r="U894" s="132"/>
      <c r="V894" s="132"/>
      <c r="W894" s="132"/>
      <c r="X894" s="132"/>
      <c r="Y894" s="132"/>
      <c r="Z894" s="132"/>
      <c r="AA894" s="132"/>
      <c r="AB894" s="132"/>
    </row>
    <row r="895" spans="1:28" s="133" customFormat="1" ht="15" customHeight="1" outlineLevel="1" x14ac:dyDescent="0.2">
      <c r="A895" s="121">
        <v>8</v>
      </c>
      <c r="B895" s="121">
        <v>45598</v>
      </c>
      <c r="C895" s="122">
        <v>41872</v>
      </c>
      <c r="D895" s="123" t="s">
        <v>1465</v>
      </c>
      <c r="E895" s="121" t="s">
        <v>471</v>
      </c>
      <c r="F895" s="124" t="s">
        <v>679</v>
      </c>
      <c r="G895" s="125" t="s">
        <v>368</v>
      </c>
      <c r="H895" s="126"/>
      <c r="I895" s="127">
        <v>1</v>
      </c>
      <c r="J895" s="128">
        <v>55058</v>
      </c>
      <c r="K895" s="209">
        <v>55058</v>
      </c>
      <c r="L895" s="647"/>
      <c r="M895" s="659"/>
      <c r="N895" s="131"/>
      <c r="O895" s="132"/>
      <c r="P895" s="132"/>
      <c r="Q895" s="132"/>
      <c r="R895" s="132"/>
      <c r="S895" s="132"/>
      <c r="T895" s="132"/>
      <c r="U895" s="132"/>
      <c r="V895" s="132"/>
      <c r="W895" s="132"/>
      <c r="X895" s="132"/>
      <c r="Y895" s="132"/>
      <c r="Z895" s="132"/>
      <c r="AA895" s="132"/>
      <c r="AB895" s="132"/>
    </row>
    <row r="896" spans="1:28" s="133" customFormat="1" ht="15" customHeight="1" outlineLevel="1" x14ac:dyDescent="0.2">
      <c r="A896" s="121">
        <v>9</v>
      </c>
      <c r="B896" s="121">
        <v>49611</v>
      </c>
      <c r="C896" s="122">
        <v>41885</v>
      </c>
      <c r="D896" s="123" t="s">
        <v>1466</v>
      </c>
      <c r="E896" s="121" t="s">
        <v>478</v>
      </c>
      <c r="F896" s="124" t="s">
        <v>215</v>
      </c>
      <c r="G896" s="125" t="s">
        <v>368</v>
      </c>
      <c r="H896" s="126"/>
      <c r="I896" s="127">
        <v>1</v>
      </c>
      <c r="J896" s="128">
        <v>44597</v>
      </c>
      <c r="K896" s="128">
        <v>44597</v>
      </c>
      <c r="L896" s="647"/>
      <c r="M896" s="659"/>
      <c r="N896" s="131"/>
      <c r="O896" s="132"/>
      <c r="P896" s="132"/>
      <c r="Q896" s="132"/>
      <c r="R896" s="132"/>
      <c r="S896" s="132"/>
      <c r="T896" s="132"/>
      <c r="U896" s="132"/>
      <c r="V896" s="132"/>
      <c r="W896" s="132"/>
      <c r="X896" s="132"/>
      <c r="Y896" s="132"/>
      <c r="Z896" s="132"/>
      <c r="AA896" s="132"/>
      <c r="AB896" s="132"/>
    </row>
    <row r="897" spans="1:28" s="133" customFormat="1" ht="15" customHeight="1" outlineLevel="1" x14ac:dyDescent="0.2">
      <c r="A897" s="121">
        <v>10</v>
      </c>
      <c r="B897" s="121">
        <v>54103</v>
      </c>
      <c r="C897" s="122">
        <v>41904</v>
      </c>
      <c r="D897" s="123" t="s">
        <v>1467</v>
      </c>
      <c r="E897" s="121" t="s">
        <v>481</v>
      </c>
      <c r="F897" s="124" t="s">
        <v>215</v>
      </c>
      <c r="G897" s="125" t="s">
        <v>368</v>
      </c>
      <c r="H897" s="126"/>
      <c r="I897" s="127">
        <v>1</v>
      </c>
      <c r="J897" s="128">
        <v>44597</v>
      </c>
      <c r="K897" s="128">
        <v>44597</v>
      </c>
      <c r="L897" s="647"/>
      <c r="M897" s="659"/>
      <c r="N897" s="131"/>
      <c r="O897" s="132"/>
      <c r="P897" s="132"/>
      <c r="Q897" s="132"/>
      <c r="R897" s="132"/>
      <c r="S897" s="132"/>
      <c r="T897" s="132"/>
      <c r="U897" s="132"/>
      <c r="V897" s="132"/>
      <c r="W897" s="132"/>
      <c r="X897" s="132"/>
      <c r="Y897" s="132"/>
      <c r="Z897" s="132"/>
      <c r="AA897" s="132"/>
      <c r="AB897" s="132"/>
    </row>
    <row r="898" spans="1:28" s="133" customFormat="1" ht="15" customHeight="1" outlineLevel="1" x14ac:dyDescent="0.2">
      <c r="A898" s="121">
        <v>11</v>
      </c>
      <c r="B898" s="121">
        <v>55930</v>
      </c>
      <c r="C898" s="122">
        <v>41911</v>
      </c>
      <c r="D898" s="123" t="s">
        <v>1468</v>
      </c>
      <c r="E898" s="121" t="s">
        <v>1469</v>
      </c>
      <c r="F898" s="124" t="s">
        <v>115</v>
      </c>
      <c r="G898" s="125" t="s">
        <v>1470</v>
      </c>
      <c r="H898" s="126"/>
      <c r="I898" s="127">
        <v>2</v>
      </c>
      <c r="J898" s="128">
        <v>5274</v>
      </c>
      <c r="K898" s="128">
        <v>10548</v>
      </c>
      <c r="L898" s="647"/>
      <c r="M898" s="659"/>
      <c r="N898" s="131"/>
      <c r="O898" s="132"/>
      <c r="P898" s="132"/>
      <c r="Q898" s="132"/>
      <c r="R898" s="132"/>
      <c r="S898" s="132"/>
      <c r="T898" s="132"/>
      <c r="U898" s="132"/>
      <c r="V898" s="132"/>
      <c r="W898" s="132"/>
      <c r="X898" s="132"/>
      <c r="Y898" s="132"/>
      <c r="Z898" s="132"/>
      <c r="AA898" s="132"/>
      <c r="AB898" s="132"/>
    </row>
    <row r="899" spans="1:28" s="133" customFormat="1" ht="15" customHeight="1" outlineLevel="1" x14ac:dyDescent="0.2">
      <c r="A899" s="121">
        <v>12</v>
      </c>
      <c r="B899" s="121">
        <v>53996</v>
      </c>
      <c r="C899" s="122">
        <v>41899</v>
      </c>
      <c r="D899" s="123" t="s">
        <v>1471</v>
      </c>
      <c r="E899" s="121" t="s">
        <v>481</v>
      </c>
      <c r="F899" s="124" t="s">
        <v>215</v>
      </c>
      <c r="G899" s="125" t="s">
        <v>366</v>
      </c>
      <c r="H899" s="126"/>
      <c r="I899" s="127">
        <v>1</v>
      </c>
      <c r="J899" s="128">
        <v>44597</v>
      </c>
      <c r="K899" s="128">
        <v>44597</v>
      </c>
      <c r="L899" s="647"/>
      <c r="M899" s="659"/>
      <c r="N899" s="131"/>
      <c r="O899" s="132"/>
      <c r="P899" s="132"/>
      <c r="Q899" s="132"/>
      <c r="R899" s="132"/>
      <c r="S899" s="132"/>
      <c r="T899" s="132"/>
      <c r="U899" s="132"/>
      <c r="V899" s="132"/>
      <c r="W899" s="132"/>
      <c r="X899" s="132"/>
      <c r="Y899" s="132"/>
      <c r="Z899" s="132"/>
      <c r="AA899" s="132"/>
      <c r="AB899" s="132"/>
    </row>
    <row r="900" spans="1:28" s="133" customFormat="1" ht="15" customHeight="1" outlineLevel="1" x14ac:dyDescent="0.2">
      <c r="A900" s="121">
        <v>13</v>
      </c>
      <c r="B900" s="121">
        <v>53186</v>
      </c>
      <c r="C900" s="122">
        <v>41897</v>
      </c>
      <c r="D900" s="123" t="s">
        <v>1472</v>
      </c>
      <c r="E900" s="121" t="s">
        <v>481</v>
      </c>
      <c r="F900" s="124" t="s">
        <v>679</v>
      </c>
      <c r="G900" s="125" t="s">
        <v>366</v>
      </c>
      <c r="H900" s="126"/>
      <c r="I900" s="127">
        <v>1</v>
      </c>
      <c r="J900" s="128">
        <v>55058</v>
      </c>
      <c r="K900" s="128">
        <v>55058</v>
      </c>
      <c r="L900" s="647"/>
      <c r="M900" s="659"/>
      <c r="N900" s="131"/>
      <c r="O900" s="132"/>
      <c r="P900" s="132"/>
      <c r="Q900" s="132"/>
      <c r="R900" s="132"/>
      <c r="S900" s="132"/>
      <c r="T900" s="132"/>
      <c r="U900" s="132"/>
      <c r="V900" s="132"/>
      <c r="W900" s="132"/>
      <c r="X900" s="132"/>
      <c r="Y900" s="132"/>
      <c r="Z900" s="132"/>
      <c r="AA900" s="132"/>
      <c r="AB900" s="132"/>
    </row>
    <row r="901" spans="1:28" s="133" customFormat="1" ht="15" customHeight="1" outlineLevel="1" x14ac:dyDescent="0.2">
      <c r="A901" s="121">
        <v>14</v>
      </c>
      <c r="B901" s="121">
        <v>49557</v>
      </c>
      <c r="C901" s="122">
        <v>41886</v>
      </c>
      <c r="D901" s="123" t="s">
        <v>1473</v>
      </c>
      <c r="E901" s="121" t="s">
        <v>502</v>
      </c>
      <c r="F901" s="124" t="s">
        <v>577</v>
      </c>
      <c r="G901" s="125" t="s">
        <v>368</v>
      </c>
      <c r="H901" s="126"/>
      <c r="I901" s="127">
        <v>1</v>
      </c>
      <c r="J901" s="128">
        <v>25800</v>
      </c>
      <c r="K901" s="128">
        <v>25800</v>
      </c>
      <c r="L901" s="647"/>
      <c r="M901" s="659"/>
      <c r="N901" s="131"/>
      <c r="O901" s="132"/>
      <c r="P901" s="132"/>
      <c r="Q901" s="132"/>
      <c r="R901" s="132"/>
      <c r="S901" s="132"/>
      <c r="T901" s="132"/>
      <c r="U901" s="132"/>
      <c r="V901" s="132"/>
      <c r="W901" s="132"/>
      <c r="X901" s="132"/>
      <c r="Y901" s="132"/>
      <c r="Z901" s="132"/>
      <c r="AA901" s="132"/>
      <c r="AB901" s="132"/>
    </row>
    <row r="902" spans="1:28" s="133" customFormat="1" ht="15" customHeight="1" outlineLevel="1" x14ac:dyDescent="0.2">
      <c r="A902" s="121">
        <v>17</v>
      </c>
      <c r="B902" s="121">
        <v>55071</v>
      </c>
      <c r="C902" s="122">
        <v>41907</v>
      </c>
      <c r="D902" s="123" t="s">
        <v>1474</v>
      </c>
      <c r="E902" s="121" t="s">
        <v>481</v>
      </c>
      <c r="F902" s="124" t="s">
        <v>577</v>
      </c>
      <c r="G902" s="125" t="s">
        <v>368</v>
      </c>
      <c r="H902" s="126"/>
      <c r="I902" s="127">
        <v>1</v>
      </c>
      <c r="J902" s="128">
        <v>25800</v>
      </c>
      <c r="K902" s="128">
        <v>25800</v>
      </c>
      <c r="L902" s="647"/>
      <c r="M902" s="659"/>
      <c r="N902" s="131"/>
      <c r="O902" s="132"/>
      <c r="P902" s="132"/>
      <c r="Q902" s="132"/>
      <c r="R902" s="132"/>
      <c r="S902" s="132"/>
      <c r="T902" s="132"/>
      <c r="U902" s="132"/>
      <c r="V902" s="132"/>
      <c r="W902" s="132"/>
      <c r="X902" s="132"/>
      <c r="Y902" s="132"/>
      <c r="Z902" s="132"/>
      <c r="AA902" s="132"/>
      <c r="AB902" s="132"/>
    </row>
    <row r="903" spans="1:28" s="133" customFormat="1" ht="15" customHeight="1" outlineLevel="1" x14ac:dyDescent="0.2">
      <c r="A903" s="121">
        <v>18</v>
      </c>
      <c r="B903" s="121">
        <v>43565</v>
      </c>
      <c r="C903" s="122">
        <v>41871</v>
      </c>
      <c r="D903" s="123" t="s">
        <v>1475</v>
      </c>
      <c r="E903" s="121" t="s">
        <v>481</v>
      </c>
      <c r="F903" s="124" t="s">
        <v>215</v>
      </c>
      <c r="G903" s="125" t="s">
        <v>366</v>
      </c>
      <c r="H903" s="126"/>
      <c r="I903" s="127">
        <v>1</v>
      </c>
      <c r="J903" s="128">
        <v>44597</v>
      </c>
      <c r="K903" s="209">
        <v>44597</v>
      </c>
      <c r="L903" s="647"/>
      <c r="M903" s="659"/>
      <c r="N903" s="131"/>
      <c r="O903" s="132"/>
      <c r="P903" s="132"/>
      <c r="Q903" s="132"/>
      <c r="R903" s="132"/>
      <c r="S903" s="132"/>
      <c r="T903" s="132"/>
      <c r="U903" s="132"/>
      <c r="V903" s="132"/>
      <c r="W903" s="132"/>
      <c r="X903" s="132"/>
      <c r="Y903" s="132"/>
      <c r="Z903" s="132"/>
      <c r="AA903" s="132"/>
      <c r="AB903" s="132"/>
    </row>
    <row r="904" spans="1:28" s="133" customFormat="1" ht="15" customHeight="1" outlineLevel="1" x14ac:dyDescent="0.2">
      <c r="A904" s="121">
        <v>19</v>
      </c>
      <c r="B904" s="121">
        <v>51127</v>
      </c>
      <c r="C904" s="122">
        <v>41890</v>
      </c>
      <c r="D904" s="123" t="s">
        <v>1476</v>
      </c>
      <c r="E904" s="121" t="s">
        <v>471</v>
      </c>
      <c r="F904" s="124" t="s">
        <v>679</v>
      </c>
      <c r="G904" s="125" t="s">
        <v>384</v>
      </c>
      <c r="H904" s="126"/>
      <c r="I904" s="127">
        <v>2</v>
      </c>
      <c r="J904" s="128">
        <v>55058</v>
      </c>
      <c r="K904" s="128">
        <v>110116</v>
      </c>
      <c r="L904" s="647"/>
      <c r="M904" s="659"/>
      <c r="N904" s="131"/>
      <c r="O904" s="132"/>
      <c r="P904" s="132"/>
      <c r="Q904" s="132"/>
      <c r="R904" s="132"/>
      <c r="S904" s="132"/>
      <c r="T904" s="132"/>
      <c r="U904" s="132"/>
      <c r="V904" s="132"/>
      <c r="W904" s="132"/>
      <c r="X904" s="132"/>
      <c r="Y904" s="132"/>
      <c r="Z904" s="132"/>
      <c r="AA904" s="132"/>
      <c r="AB904" s="132"/>
    </row>
    <row r="905" spans="1:28" s="133" customFormat="1" ht="15" customHeight="1" outlineLevel="1" x14ac:dyDescent="0.2">
      <c r="A905" s="121">
        <v>20</v>
      </c>
      <c r="B905" s="121">
        <v>51335</v>
      </c>
      <c r="C905" s="122">
        <v>41892</v>
      </c>
      <c r="D905" s="123" t="s">
        <v>1477</v>
      </c>
      <c r="E905" s="121" t="s">
        <v>1425</v>
      </c>
      <c r="F905" s="124" t="s">
        <v>577</v>
      </c>
      <c r="G905" s="125" t="s">
        <v>368</v>
      </c>
      <c r="H905" s="126"/>
      <c r="I905" s="127">
        <v>1</v>
      </c>
      <c r="J905" s="128">
        <v>25800</v>
      </c>
      <c r="K905" s="128">
        <v>25800</v>
      </c>
      <c r="L905" s="647"/>
      <c r="M905" s="659"/>
      <c r="N905" s="131"/>
      <c r="O905" s="132"/>
      <c r="P905" s="132"/>
      <c r="Q905" s="132"/>
      <c r="R905" s="132"/>
      <c r="S905" s="132"/>
      <c r="T905" s="132"/>
      <c r="U905" s="132"/>
      <c r="V905" s="132"/>
      <c r="W905" s="132"/>
      <c r="X905" s="132"/>
      <c r="Y905" s="132"/>
      <c r="Z905" s="132"/>
      <c r="AA905" s="132"/>
      <c r="AB905" s="132"/>
    </row>
    <row r="906" spans="1:28" s="133" customFormat="1" ht="14.25" customHeight="1" outlineLevel="1" x14ac:dyDescent="0.2">
      <c r="A906" s="121">
        <v>21</v>
      </c>
      <c r="B906" s="121">
        <v>52176</v>
      </c>
      <c r="C906" s="122">
        <v>41892</v>
      </c>
      <c r="D906" s="123" t="s">
        <v>1455</v>
      </c>
      <c r="E906" s="121" t="s">
        <v>481</v>
      </c>
      <c r="F906" s="124" t="s">
        <v>215</v>
      </c>
      <c r="G906" s="125" t="s">
        <v>368</v>
      </c>
      <c r="H906" s="126"/>
      <c r="I906" s="127">
        <v>1</v>
      </c>
      <c r="J906" s="128">
        <v>44597</v>
      </c>
      <c r="K906" s="128">
        <v>44597</v>
      </c>
      <c r="L906" s="647"/>
      <c r="M906" s="659"/>
      <c r="N906" s="131"/>
      <c r="O906" s="132"/>
      <c r="P906" s="132"/>
      <c r="Q906" s="132"/>
      <c r="R906" s="132"/>
      <c r="S906" s="132"/>
      <c r="T906" s="132"/>
      <c r="U906" s="132"/>
      <c r="V906" s="132"/>
      <c r="W906" s="132"/>
      <c r="X906" s="132"/>
      <c r="Y906" s="132"/>
      <c r="Z906" s="132"/>
      <c r="AA906" s="132"/>
      <c r="AB906" s="132"/>
    </row>
    <row r="907" spans="1:28" s="133" customFormat="1" ht="14.25" customHeight="1" outlineLevel="1" x14ac:dyDescent="0.2">
      <c r="A907" s="121">
        <v>22</v>
      </c>
      <c r="B907" s="121">
        <v>56405</v>
      </c>
      <c r="C907" s="122">
        <v>41912</v>
      </c>
      <c r="D907" s="123" t="s">
        <v>1478</v>
      </c>
      <c r="E907" s="121" t="s">
        <v>481</v>
      </c>
      <c r="F907" s="124" t="s">
        <v>577</v>
      </c>
      <c r="G907" s="125" t="s">
        <v>368</v>
      </c>
      <c r="H907" s="126"/>
      <c r="I907" s="127">
        <v>1</v>
      </c>
      <c r="J907" s="128">
        <v>25800</v>
      </c>
      <c r="K907" s="128">
        <v>25800</v>
      </c>
      <c r="L907" s="647"/>
      <c r="M907" s="659"/>
      <c r="N907" s="131"/>
      <c r="O907" s="132"/>
      <c r="P907" s="132"/>
      <c r="Q907" s="132"/>
      <c r="R907" s="132"/>
      <c r="S907" s="132"/>
      <c r="T907" s="132"/>
      <c r="U907" s="132"/>
      <c r="V907" s="132"/>
      <c r="W907" s="132"/>
      <c r="X907" s="132"/>
      <c r="Y907" s="132"/>
      <c r="Z907" s="132"/>
      <c r="AA907" s="132"/>
      <c r="AB907" s="132"/>
    </row>
    <row r="908" spans="1:28" s="133" customFormat="1" ht="15" customHeight="1" outlineLevel="1" x14ac:dyDescent="0.2">
      <c r="A908" s="121">
        <v>23</v>
      </c>
      <c r="B908" s="121">
        <v>52007</v>
      </c>
      <c r="C908" s="122">
        <v>41893</v>
      </c>
      <c r="D908" s="123" t="s">
        <v>1321</v>
      </c>
      <c r="E908" s="121" t="s">
        <v>481</v>
      </c>
      <c r="F908" s="124" t="s">
        <v>679</v>
      </c>
      <c r="G908" s="125" t="s">
        <v>368</v>
      </c>
      <c r="H908" s="126"/>
      <c r="I908" s="127">
        <v>1</v>
      </c>
      <c r="J908" s="128">
        <v>55058</v>
      </c>
      <c r="K908" s="128">
        <v>55058</v>
      </c>
      <c r="L908" s="647"/>
      <c r="M908" s="659"/>
      <c r="N908" s="131"/>
      <c r="O908" s="132"/>
      <c r="P908" s="132"/>
      <c r="Q908" s="132"/>
      <c r="R908" s="132"/>
      <c r="S908" s="132"/>
      <c r="T908" s="132"/>
      <c r="U908" s="132"/>
      <c r="V908" s="132"/>
      <c r="W908" s="132"/>
      <c r="X908" s="132"/>
      <c r="Y908" s="132"/>
      <c r="Z908" s="132"/>
      <c r="AA908" s="132"/>
      <c r="AB908" s="132"/>
    </row>
    <row r="909" spans="1:28" s="133" customFormat="1" ht="15" customHeight="1" outlineLevel="1" x14ac:dyDescent="0.2">
      <c r="A909" s="121">
        <v>24</v>
      </c>
      <c r="B909" s="121">
        <v>46325</v>
      </c>
      <c r="C909" s="122">
        <v>41876</v>
      </c>
      <c r="D909" s="123" t="s">
        <v>1479</v>
      </c>
      <c r="E909" s="121" t="s">
        <v>502</v>
      </c>
      <c r="F909" s="124" t="s">
        <v>577</v>
      </c>
      <c r="G909" s="125" t="s">
        <v>368</v>
      </c>
      <c r="H909" s="126"/>
      <c r="I909" s="127">
        <v>1</v>
      </c>
      <c r="J909" s="128">
        <v>25800</v>
      </c>
      <c r="K909" s="209">
        <v>25800</v>
      </c>
      <c r="L909" s="647"/>
      <c r="M909" s="659"/>
      <c r="N909" s="131"/>
      <c r="O909" s="132"/>
      <c r="P909" s="132"/>
      <c r="Q909" s="132"/>
      <c r="R909" s="132"/>
      <c r="S909" s="132"/>
      <c r="T909" s="132"/>
      <c r="U909" s="132"/>
      <c r="V909" s="132"/>
      <c r="W909" s="132"/>
      <c r="X909" s="132"/>
      <c r="Y909" s="132"/>
      <c r="Z909" s="132"/>
      <c r="AA909" s="132"/>
      <c r="AB909" s="132"/>
    </row>
    <row r="910" spans="1:28" s="133" customFormat="1" ht="15" customHeight="1" outlineLevel="1" x14ac:dyDescent="0.2">
      <c r="A910" s="121">
        <v>26</v>
      </c>
      <c r="B910" s="121">
        <v>55750</v>
      </c>
      <c r="C910" s="122">
        <v>41911</v>
      </c>
      <c r="D910" s="123" t="s">
        <v>1480</v>
      </c>
      <c r="E910" s="121" t="s">
        <v>481</v>
      </c>
      <c r="F910" s="124" t="s">
        <v>215</v>
      </c>
      <c r="G910" s="125" t="s">
        <v>366</v>
      </c>
      <c r="H910" s="126"/>
      <c r="I910" s="127">
        <v>1</v>
      </c>
      <c r="J910" s="128">
        <v>44597</v>
      </c>
      <c r="K910" s="128">
        <v>44597</v>
      </c>
      <c r="L910" s="647"/>
      <c r="M910" s="659"/>
      <c r="N910" s="131"/>
      <c r="O910" s="132"/>
      <c r="P910" s="132"/>
      <c r="Q910" s="132"/>
      <c r="R910" s="132"/>
      <c r="S910" s="132"/>
      <c r="T910" s="132"/>
      <c r="U910" s="132"/>
      <c r="V910" s="132"/>
      <c r="W910" s="132"/>
      <c r="X910" s="132"/>
      <c r="Y910" s="132"/>
      <c r="Z910" s="132"/>
      <c r="AA910" s="132"/>
      <c r="AB910" s="132"/>
    </row>
    <row r="911" spans="1:28" s="133" customFormat="1" ht="15" customHeight="1" outlineLevel="1" x14ac:dyDescent="0.2">
      <c r="A911" s="121">
        <v>27</v>
      </c>
      <c r="B911" s="121">
        <v>56198</v>
      </c>
      <c r="C911" s="122">
        <v>41912</v>
      </c>
      <c r="D911" s="123" t="s">
        <v>492</v>
      </c>
      <c r="E911" s="121" t="s">
        <v>475</v>
      </c>
      <c r="F911" s="124" t="s">
        <v>186</v>
      </c>
      <c r="G911" s="125" t="s">
        <v>722</v>
      </c>
      <c r="H911" s="126"/>
      <c r="I911" s="127">
        <v>3</v>
      </c>
      <c r="J911" s="128">
        <v>42601</v>
      </c>
      <c r="K911" s="128">
        <v>127803</v>
      </c>
      <c r="L911" s="648"/>
      <c r="M911" s="660"/>
      <c r="N911" s="131"/>
      <c r="O911" s="132"/>
      <c r="P911" s="132"/>
      <c r="Q911" s="132"/>
      <c r="R911" s="132"/>
      <c r="S911" s="132"/>
      <c r="T911" s="132"/>
      <c r="U911" s="132"/>
      <c r="V911" s="132"/>
      <c r="W911" s="132"/>
      <c r="X911" s="132"/>
      <c r="Y911" s="132"/>
      <c r="Z911" s="132"/>
      <c r="AA911" s="132"/>
      <c r="AB911" s="132"/>
    </row>
    <row r="912" spans="1:28" s="133" customFormat="1" ht="15" customHeight="1" outlineLevel="1" x14ac:dyDescent="0.2">
      <c r="A912" s="121">
        <v>1</v>
      </c>
      <c r="B912" s="147">
        <v>59081</v>
      </c>
      <c r="C912" s="122">
        <v>41940</v>
      </c>
      <c r="D912" s="123" t="s">
        <v>498</v>
      </c>
      <c r="E912" s="121" t="s">
        <v>497</v>
      </c>
      <c r="F912" s="124" t="s">
        <v>577</v>
      </c>
      <c r="G912" s="125" t="s">
        <v>368</v>
      </c>
      <c r="H912" s="126"/>
      <c r="I912" s="127">
        <v>1</v>
      </c>
      <c r="J912" s="128">
        <v>25800</v>
      </c>
      <c r="K912" s="128">
        <v>25800</v>
      </c>
      <c r="L912" s="210" t="s">
        <v>617</v>
      </c>
      <c r="M912" s="167" t="s">
        <v>36</v>
      </c>
      <c r="N912" s="131"/>
      <c r="O912" s="132"/>
      <c r="P912" s="132"/>
      <c r="Q912" s="132"/>
      <c r="R912" s="132"/>
      <c r="S912" s="132"/>
      <c r="T912" s="132"/>
      <c r="U912" s="132"/>
      <c r="V912" s="132"/>
      <c r="W912" s="132"/>
      <c r="X912" s="132"/>
      <c r="Y912" s="132"/>
      <c r="Z912" s="132"/>
      <c r="AA912" s="132"/>
      <c r="AB912" s="132"/>
    </row>
    <row r="913" spans="1:28" s="133" customFormat="1" ht="15" customHeight="1" outlineLevel="1" x14ac:dyDescent="0.2">
      <c r="A913" s="121">
        <v>2</v>
      </c>
      <c r="B913" s="147">
        <v>54852</v>
      </c>
      <c r="C913" s="122">
        <v>41928</v>
      </c>
      <c r="D913" s="123" t="s">
        <v>1481</v>
      </c>
      <c r="E913" s="121" t="s">
        <v>1231</v>
      </c>
      <c r="F913" s="124" t="s">
        <v>1482</v>
      </c>
      <c r="G913" s="125" t="s">
        <v>428</v>
      </c>
      <c r="H913" s="126"/>
      <c r="I913" s="127">
        <v>1</v>
      </c>
      <c r="J913" s="128">
        <v>48203</v>
      </c>
      <c r="K913" s="128">
        <v>48203</v>
      </c>
      <c r="L913" s="210" t="s">
        <v>617</v>
      </c>
      <c r="M913" s="167" t="s">
        <v>36</v>
      </c>
      <c r="N913" s="131"/>
      <c r="O913" s="132"/>
      <c r="P913" s="132"/>
      <c r="Q913" s="132"/>
      <c r="R913" s="132"/>
      <c r="S913" s="132"/>
      <c r="T913" s="132"/>
      <c r="U913" s="132"/>
      <c r="V913" s="132"/>
      <c r="W913" s="132"/>
      <c r="X913" s="132"/>
      <c r="Y913" s="132"/>
      <c r="Z913" s="132"/>
      <c r="AA913" s="132"/>
      <c r="AB913" s="132"/>
    </row>
    <row r="914" spans="1:28" s="133" customFormat="1" ht="15" customHeight="1" outlineLevel="1" x14ac:dyDescent="0.2">
      <c r="A914" s="121">
        <v>3</v>
      </c>
      <c r="B914" s="147">
        <v>53422</v>
      </c>
      <c r="C914" s="122">
        <v>41922</v>
      </c>
      <c r="D914" s="123" t="s">
        <v>1483</v>
      </c>
      <c r="E914" s="121" t="s">
        <v>497</v>
      </c>
      <c r="F914" s="124" t="s">
        <v>115</v>
      </c>
      <c r="G914" s="125" t="s">
        <v>1358</v>
      </c>
      <c r="H914" s="126"/>
      <c r="I914" s="127">
        <v>1</v>
      </c>
      <c r="J914" s="128">
        <v>5274</v>
      </c>
      <c r="K914" s="128">
        <v>5274</v>
      </c>
      <c r="L914" s="210" t="s">
        <v>617</v>
      </c>
      <c r="M914" s="167" t="s">
        <v>36</v>
      </c>
      <c r="N914" s="131"/>
      <c r="O914" s="132"/>
      <c r="P914" s="132"/>
      <c r="Q914" s="132"/>
      <c r="R914" s="132"/>
      <c r="S914" s="132"/>
      <c r="T914" s="132"/>
      <c r="U914" s="132"/>
      <c r="V914" s="132"/>
      <c r="W914" s="132"/>
      <c r="X914" s="132"/>
      <c r="Y914" s="132"/>
      <c r="Z914" s="132"/>
      <c r="AA914" s="132"/>
      <c r="AB914" s="132"/>
    </row>
    <row r="915" spans="1:28" s="133" customFormat="1" ht="15" customHeight="1" outlineLevel="1" x14ac:dyDescent="0.2">
      <c r="A915" s="121">
        <v>4</v>
      </c>
      <c r="B915" s="147">
        <v>59283</v>
      </c>
      <c r="C915" s="122">
        <v>41941</v>
      </c>
      <c r="D915" s="123" t="s">
        <v>1484</v>
      </c>
      <c r="E915" s="121" t="s">
        <v>471</v>
      </c>
      <c r="F915" s="124" t="s">
        <v>577</v>
      </c>
      <c r="G915" s="125" t="s">
        <v>368</v>
      </c>
      <c r="H915" s="126"/>
      <c r="I915" s="127">
        <v>1</v>
      </c>
      <c r="J915" s="128">
        <v>25800</v>
      </c>
      <c r="K915" s="128">
        <v>25800</v>
      </c>
      <c r="L915" s="210" t="s">
        <v>617</v>
      </c>
      <c r="M915" s="167" t="s">
        <v>36</v>
      </c>
      <c r="N915" s="131"/>
      <c r="O915" s="132"/>
      <c r="P915" s="132"/>
      <c r="Q915" s="132"/>
      <c r="R915" s="132"/>
      <c r="S915" s="132"/>
      <c r="T915" s="132"/>
      <c r="U915" s="132"/>
      <c r="V915" s="132"/>
      <c r="W915" s="132"/>
      <c r="X915" s="132"/>
      <c r="Y915" s="132"/>
      <c r="Z915" s="132"/>
      <c r="AA915" s="132"/>
      <c r="AB915" s="132"/>
    </row>
    <row r="916" spans="1:28" s="133" customFormat="1" ht="15" customHeight="1" outlineLevel="1" x14ac:dyDescent="0.2">
      <c r="A916" s="121">
        <v>5</v>
      </c>
      <c r="B916" s="121">
        <v>49545</v>
      </c>
      <c r="C916" s="122">
        <v>41885</v>
      </c>
      <c r="D916" s="123" t="s">
        <v>1485</v>
      </c>
      <c r="E916" s="121" t="s">
        <v>694</v>
      </c>
      <c r="F916" s="124" t="s">
        <v>233</v>
      </c>
      <c r="G916" s="125" t="s">
        <v>366</v>
      </c>
      <c r="H916" s="126"/>
      <c r="I916" s="127">
        <v>1</v>
      </c>
      <c r="J916" s="128">
        <v>12499</v>
      </c>
      <c r="K916" s="141">
        <v>12499</v>
      </c>
      <c r="L916" s="210" t="s">
        <v>617</v>
      </c>
      <c r="M916" s="167" t="s">
        <v>36</v>
      </c>
      <c r="N916" s="131"/>
      <c r="O916" s="132"/>
      <c r="P916" s="132"/>
      <c r="Q916" s="132"/>
      <c r="R916" s="132"/>
      <c r="S916" s="132"/>
      <c r="T916" s="132"/>
      <c r="U916" s="132"/>
      <c r="V916" s="132"/>
      <c r="W916" s="132"/>
      <c r="X916" s="132"/>
      <c r="Y916" s="132"/>
      <c r="Z916" s="132"/>
      <c r="AA916" s="132"/>
      <c r="AB916" s="132"/>
    </row>
    <row r="917" spans="1:28" s="133" customFormat="1" ht="15" customHeight="1" outlineLevel="1" x14ac:dyDescent="0.2">
      <c r="A917" s="121">
        <v>6</v>
      </c>
      <c r="B917" s="147">
        <v>55602</v>
      </c>
      <c r="C917" s="122">
        <v>41929</v>
      </c>
      <c r="D917" s="123" t="s">
        <v>1486</v>
      </c>
      <c r="E917" s="121" t="s">
        <v>471</v>
      </c>
      <c r="F917" s="124" t="s">
        <v>215</v>
      </c>
      <c r="G917" s="125" t="s">
        <v>368</v>
      </c>
      <c r="H917" s="126"/>
      <c r="I917" s="127">
        <v>1</v>
      </c>
      <c r="J917" s="128">
        <v>44597</v>
      </c>
      <c r="K917" s="128">
        <v>44597</v>
      </c>
      <c r="L917" s="210" t="s">
        <v>617</v>
      </c>
      <c r="M917" s="167" t="s">
        <v>36</v>
      </c>
      <c r="N917" s="131"/>
      <c r="O917" s="132"/>
      <c r="P917" s="132"/>
      <c r="Q917" s="132"/>
      <c r="R917" s="132"/>
      <c r="S917" s="132"/>
      <c r="T917" s="132"/>
      <c r="U917" s="132"/>
      <c r="V917" s="132"/>
      <c r="W917" s="132"/>
      <c r="X917" s="132"/>
      <c r="Y917" s="132"/>
      <c r="Z917" s="132"/>
      <c r="AA917" s="132"/>
      <c r="AB917" s="132"/>
    </row>
    <row r="918" spans="1:28" s="133" customFormat="1" ht="15" customHeight="1" outlineLevel="1" x14ac:dyDescent="0.2">
      <c r="A918" s="121">
        <v>7</v>
      </c>
      <c r="B918" s="147">
        <v>54423</v>
      </c>
      <c r="C918" s="122">
        <v>41926</v>
      </c>
      <c r="D918" s="123" t="s">
        <v>1449</v>
      </c>
      <c r="E918" s="121" t="s">
        <v>1231</v>
      </c>
      <c r="F918" s="124" t="s">
        <v>233</v>
      </c>
      <c r="G918" s="125" t="s">
        <v>368</v>
      </c>
      <c r="H918" s="126"/>
      <c r="I918" s="127">
        <v>1</v>
      </c>
      <c r="J918" s="128">
        <v>12499</v>
      </c>
      <c r="K918" s="128">
        <v>12499</v>
      </c>
      <c r="L918" s="210" t="s">
        <v>617</v>
      </c>
      <c r="M918" s="167" t="s">
        <v>36</v>
      </c>
      <c r="N918" s="131"/>
      <c r="O918" s="132"/>
      <c r="P918" s="132"/>
      <c r="Q918" s="132"/>
      <c r="R918" s="132"/>
      <c r="S918" s="132"/>
      <c r="T918" s="132"/>
      <c r="U918" s="132"/>
      <c r="V918" s="132"/>
      <c r="W918" s="132"/>
      <c r="X918" s="132"/>
      <c r="Y918" s="132"/>
      <c r="Z918" s="132"/>
      <c r="AA918" s="132"/>
      <c r="AB918" s="132"/>
    </row>
    <row r="919" spans="1:28" s="133" customFormat="1" ht="15" customHeight="1" outlineLevel="1" x14ac:dyDescent="0.2">
      <c r="A919" s="121">
        <v>8</v>
      </c>
      <c r="B919" s="147">
        <v>57736</v>
      </c>
      <c r="C919" s="122">
        <v>41915</v>
      </c>
      <c r="D919" s="123" t="s">
        <v>1487</v>
      </c>
      <c r="E919" s="121" t="s">
        <v>481</v>
      </c>
      <c r="F919" s="124" t="s">
        <v>233</v>
      </c>
      <c r="G919" s="125" t="s">
        <v>366</v>
      </c>
      <c r="H919" s="126"/>
      <c r="I919" s="127">
        <v>1</v>
      </c>
      <c r="J919" s="128">
        <v>12499</v>
      </c>
      <c r="K919" s="128">
        <v>12499</v>
      </c>
      <c r="L919" s="210" t="s">
        <v>617</v>
      </c>
      <c r="M919" s="167" t="s">
        <v>36</v>
      </c>
      <c r="N919" s="131"/>
      <c r="O919" s="132"/>
      <c r="P919" s="132"/>
      <c r="Q919" s="132"/>
      <c r="R919" s="132"/>
      <c r="S919" s="132"/>
      <c r="T919" s="132"/>
      <c r="U919" s="132"/>
      <c r="V919" s="132"/>
      <c r="W919" s="132"/>
      <c r="X919" s="132"/>
      <c r="Y919" s="132"/>
      <c r="Z919" s="132"/>
      <c r="AA919" s="132"/>
      <c r="AB919" s="132"/>
    </row>
    <row r="920" spans="1:28" s="133" customFormat="1" ht="15" customHeight="1" outlineLevel="1" x14ac:dyDescent="0.2">
      <c r="A920" s="121">
        <v>9</v>
      </c>
      <c r="B920" s="147">
        <v>57736</v>
      </c>
      <c r="C920" s="122">
        <v>41915</v>
      </c>
      <c r="D920" s="123" t="s">
        <v>1487</v>
      </c>
      <c r="E920" s="121" t="s">
        <v>481</v>
      </c>
      <c r="F920" s="124" t="s">
        <v>1032</v>
      </c>
      <c r="G920" s="125" t="s">
        <v>366</v>
      </c>
      <c r="H920" s="126"/>
      <c r="I920" s="127">
        <v>1</v>
      </c>
      <c r="J920" s="128">
        <v>10143</v>
      </c>
      <c r="K920" s="128">
        <v>10143</v>
      </c>
      <c r="L920" s="210" t="s">
        <v>617</v>
      </c>
      <c r="M920" s="167" t="s">
        <v>36</v>
      </c>
      <c r="N920" s="131"/>
      <c r="O920" s="132"/>
      <c r="P920" s="132"/>
      <c r="Q920" s="132"/>
      <c r="R920" s="132"/>
      <c r="S920" s="132"/>
      <c r="T920" s="132"/>
      <c r="U920" s="132"/>
      <c r="V920" s="132"/>
      <c r="W920" s="132"/>
      <c r="X920" s="132"/>
      <c r="Y920" s="132"/>
      <c r="Z920" s="132"/>
      <c r="AA920" s="132"/>
      <c r="AB920" s="132"/>
    </row>
    <row r="921" spans="1:28" s="133" customFormat="1" ht="15" customHeight="1" outlineLevel="1" x14ac:dyDescent="0.2">
      <c r="A921" s="121">
        <v>10</v>
      </c>
      <c r="B921" s="147">
        <v>57784</v>
      </c>
      <c r="C921" s="122">
        <v>41940</v>
      </c>
      <c r="D921" s="123" t="s">
        <v>1488</v>
      </c>
      <c r="E921" s="121" t="s">
        <v>481</v>
      </c>
      <c r="F921" s="124" t="s">
        <v>679</v>
      </c>
      <c r="G921" s="125" t="s">
        <v>368</v>
      </c>
      <c r="H921" s="126"/>
      <c r="I921" s="127">
        <v>1</v>
      </c>
      <c r="J921" s="128">
        <v>55058</v>
      </c>
      <c r="K921" s="128">
        <v>55058</v>
      </c>
      <c r="L921" s="210" t="s">
        <v>617</v>
      </c>
      <c r="M921" s="167" t="s">
        <v>36</v>
      </c>
      <c r="N921" s="131"/>
      <c r="O921" s="132"/>
      <c r="P921" s="132"/>
      <c r="Q921" s="132"/>
      <c r="R921" s="132"/>
      <c r="S921" s="132"/>
      <c r="T921" s="132"/>
      <c r="U921" s="132"/>
      <c r="V921" s="132"/>
      <c r="W921" s="132"/>
      <c r="X921" s="132"/>
      <c r="Y921" s="132"/>
      <c r="Z921" s="132"/>
      <c r="AA921" s="132"/>
      <c r="AB921" s="132"/>
    </row>
    <row r="922" spans="1:28" s="133" customFormat="1" ht="15" customHeight="1" outlineLevel="1" x14ac:dyDescent="0.2">
      <c r="A922" s="121">
        <v>11</v>
      </c>
      <c r="B922" s="147">
        <v>58774</v>
      </c>
      <c r="C922" s="122">
        <v>41940</v>
      </c>
      <c r="D922" s="123" t="s">
        <v>1489</v>
      </c>
      <c r="E922" s="121" t="s">
        <v>497</v>
      </c>
      <c r="F922" s="124" t="s">
        <v>534</v>
      </c>
      <c r="G922" s="125" t="s">
        <v>428</v>
      </c>
      <c r="H922" s="126"/>
      <c r="I922" s="127">
        <v>1</v>
      </c>
      <c r="J922" s="128">
        <v>30429</v>
      </c>
      <c r="K922" s="128">
        <v>30429</v>
      </c>
      <c r="L922" s="210" t="s">
        <v>617</v>
      </c>
      <c r="M922" s="167" t="s">
        <v>36</v>
      </c>
      <c r="N922" s="131"/>
      <c r="O922" s="132"/>
      <c r="P922" s="132"/>
      <c r="Q922" s="132"/>
      <c r="R922" s="132"/>
      <c r="S922" s="132"/>
      <c r="T922" s="132"/>
      <c r="U922" s="132"/>
      <c r="V922" s="132"/>
      <c r="W922" s="132"/>
      <c r="X922" s="132"/>
      <c r="Y922" s="132"/>
      <c r="Z922" s="132"/>
      <c r="AA922" s="132"/>
      <c r="AB922" s="132"/>
    </row>
    <row r="923" spans="1:28" s="133" customFormat="1" ht="15" customHeight="1" outlineLevel="1" x14ac:dyDescent="0.2">
      <c r="A923" s="121">
        <v>12</v>
      </c>
      <c r="B923" s="147">
        <v>55560</v>
      </c>
      <c r="C923" s="122">
        <v>41929</v>
      </c>
      <c r="D923" s="123" t="s">
        <v>1490</v>
      </c>
      <c r="E923" s="121" t="s">
        <v>497</v>
      </c>
      <c r="F923" s="124" t="s">
        <v>534</v>
      </c>
      <c r="G923" s="125" t="s">
        <v>524</v>
      </c>
      <c r="H923" s="126"/>
      <c r="I923" s="127">
        <v>1</v>
      </c>
      <c r="J923" s="128">
        <v>30429</v>
      </c>
      <c r="K923" s="128">
        <v>30429</v>
      </c>
      <c r="L923" s="210" t="s">
        <v>617</v>
      </c>
      <c r="M923" s="167" t="s">
        <v>36</v>
      </c>
      <c r="N923" s="131"/>
      <c r="O923" s="132"/>
      <c r="P923" s="132"/>
      <c r="Q923" s="132"/>
      <c r="R923" s="132"/>
      <c r="S923" s="132"/>
      <c r="T923" s="132"/>
      <c r="U923" s="132"/>
      <c r="V923" s="132"/>
      <c r="W923" s="132"/>
      <c r="X923" s="132"/>
      <c r="Y923" s="132"/>
      <c r="Z923" s="132"/>
      <c r="AA923" s="132"/>
      <c r="AB923" s="132"/>
    </row>
    <row r="924" spans="1:28" s="133" customFormat="1" ht="15" customHeight="1" outlineLevel="1" x14ac:dyDescent="0.2">
      <c r="A924" s="121">
        <v>13</v>
      </c>
      <c r="B924" s="147">
        <v>55689</v>
      </c>
      <c r="C924" s="122">
        <v>41929</v>
      </c>
      <c r="D924" s="123" t="s">
        <v>1491</v>
      </c>
      <c r="E924" s="121" t="s">
        <v>497</v>
      </c>
      <c r="F924" s="124" t="s">
        <v>114</v>
      </c>
      <c r="G924" s="125" t="s">
        <v>414</v>
      </c>
      <c r="H924" s="126"/>
      <c r="I924" s="127">
        <v>1</v>
      </c>
      <c r="J924" s="128">
        <v>33370</v>
      </c>
      <c r="K924" s="128">
        <v>33370</v>
      </c>
      <c r="L924" s="210" t="s">
        <v>617</v>
      </c>
      <c r="M924" s="167" t="s">
        <v>36</v>
      </c>
      <c r="N924" s="131"/>
      <c r="O924" s="132"/>
      <c r="P924" s="132"/>
      <c r="Q924" s="132"/>
      <c r="R924" s="132"/>
      <c r="S924" s="132"/>
      <c r="T924" s="132"/>
      <c r="U924" s="132"/>
      <c r="V924" s="132"/>
      <c r="W924" s="132"/>
      <c r="X924" s="132"/>
      <c r="Y924" s="132"/>
      <c r="Z924" s="132"/>
      <c r="AA924" s="132"/>
      <c r="AB924" s="132"/>
    </row>
    <row r="925" spans="1:28" s="133" customFormat="1" ht="15" customHeight="1" outlineLevel="1" x14ac:dyDescent="0.2">
      <c r="A925" s="121">
        <v>14</v>
      </c>
      <c r="B925" s="147">
        <v>59218</v>
      </c>
      <c r="C925" s="122">
        <v>41921</v>
      </c>
      <c r="D925" s="123" t="s">
        <v>1492</v>
      </c>
      <c r="E925" s="121" t="s">
        <v>478</v>
      </c>
      <c r="F925" s="124" t="s">
        <v>235</v>
      </c>
      <c r="G925" s="125" t="s">
        <v>366</v>
      </c>
      <c r="H925" s="126"/>
      <c r="I925" s="127">
        <v>1</v>
      </c>
      <c r="J925" s="128">
        <v>10401</v>
      </c>
      <c r="K925" s="128">
        <v>10401</v>
      </c>
      <c r="L925" s="210" t="s">
        <v>617</v>
      </c>
      <c r="M925" s="167" t="s">
        <v>36</v>
      </c>
      <c r="N925" s="131"/>
      <c r="O925" s="132"/>
      <c r="P925" s="132"/>
      <c r="Q925" s="132"/>
      <c r="R925" s="132"/>
      <c r="S925" s="132"/>
      <c r="T925" s="132"/>
      <c r="U925" s="132"/>
      <c r="V925" s="132"/>
      <c r="W925" s="132"/>
      <c r="X925" s="132"/>
      <c r="Y925" s="132"/>
      <c r="Z925" s="132"/>
      <c r="AA925" s="132"/>
      <c r="AB925" s="132"/>
    </row>
    <row r="926" spans="1:28" s="133" customFormat="1" ht="15" customHeight="1" outlineLevel="1" x14ac:dyDescent="0.2">
      <c r="A926" s="121">
        <v>15</v>
      </c>
      <c r="B926" s="147">
        <v>58805</v>
      </c>
      <c r="C926" s="122">
        <v>41939</v>
      </c>
      <c r="D926" s="123" t="s">
        <v>1493</v>
      </c>
      <c r="E926" s="121" t="s">
        <v>497</v>
      </c>
      <c r="F926" s="124" t="s">
        <v>534</v>
      </c>
      <c r="G926" s="125" t="s">
        <v>559</v>
      </c>
      <c r="H926" s="126"/>
      <c r="I926" s="127">
        <v>1</v>
      </c>
      <c r="J926" s="128">
        <v>30429</v>
      </c>
      <c r="K926" s="128">
        <v>30429</v>
      </c>
      <c r="L926" s="210" t="s">
        <v>617</v>
      </c>
      <c r="M926" s="167" t="s">
        <v>36</v>
      </c>
      <c r="N926" s="131"/>
      <c r="O926" s="132"/>
      <c r="P926" s="132"/>
      <c r="Q926" s="132"/>
      <c r="R926" s="132"/>
      <c r="S926" s="132"/>
      <c r="T926" s="132"/>
      <c r="U926" s="132"/>
      <c r="V926" s="132"/>
      <c r="W926" s="132"/>
      <c r="X926" s="132"/>
      <c r="Y926" s="132"/>
      <c r="Z926" s="132"/>
      <c r="AA926" s="132"/>
      <c r="AB926" s="132"/>
    </row>
    <row r="927" spans="1:28" s="133" customFormat="1" ht="15" customHeight="1" outlineLevel="1" x14ac:dyDescent="0.2">
      <c r="A927" s="121">
        <v>16</v>
      </c>
      <c r="B927" s="147">
        <v>54154</v>
      </c>
      <c r="C927" s="122">
        <v>41926</v>
      </c>
      <c r="D927" s="123" t="s">
        <v>1494</v>
      </c>
      <c r="E927" s="121" t="s">
        <v>497</v>
      </c>
      <c r="F927" s="124" t="s">
        <v>534</v>
      </c>
      <c r="G927" s="125" t="s">
        <v>559</v>
      </c>
      <c r="H927" s="126"/>
      <c r="I927" s="127">
        <v>1</v>
      </c>
      <c r="J927" s="128">
        <v>30429</v>
      </c>
      <c r="K927" s="128">
        <v>30429</v>
      </c>
      <c r="L927" s="210" t="s">
        <v>617</v>
      </c>
      <c r="M927" s="167" t="s">
        <v>36</v>
      </c>
      <c r="N927" s="131"/>
      <c r="O927" s="132"/>
      <c r="P927" s="132"/>
      <c r="Q927" s="132"/>
      <c r="R927" s="132"/>
      <c r="S927" s="132"/>
      <c r="T927" s="132"/>
      <c r="U927" s="132"/>
      <c r="V927" s="132"/>
      <c r="W927" s="132"/>
      <c r="X927" s="132"/>
      <c r="Y927" s="132"/>
      <c r="Z927" s="132"/>
      <c r="AA927" s="132"/>
      <c r="AB927" s="132"/>
    </row>
    <row r="928" spans="1:28" s="133" customFormat="1" ht="15" customHeight="1" outlineLevel="1" x14ac:dyDescent="0.2">
      <c r="A928" s="121">
        <v>17</v>
      </c>
      <c r="B928" s="147">
        <v>58723</v>
      </c>
      <c r="C928" s="122">
        <v>41920</v>
      </c>
      <c r="D928" s="123" t="s">
        <v>1495</v>
      </c>
      <c r="E928" s="121" t="s">
        <v>1425</v>
      </c>
      <c r="F928" s="124" t="s">
        <v>577</v>
      </c>
      <c r="G928" s="125" t="s">
        <v>368</v>
      </c>
      <c r="H928" s="126"/>
      <c r="I928" s="127">
        <v>1</v>
      </c>
      <c r="J928" s="128">
        <v>25800</v>
      </c>
      <c r="K928" s="128">
        <v>25800</v>
      </c>
      <c r="L928" s="210" t="s">
        <v>617</v>
      </c>
      <c r="M928" s="167" t="s">
        <v>36</v>
      </c>
      <c r="N928" s="131"/>
      <c r="O928" s="132"/>
      <c r="P928" s="132"/>
      <c r="Q928" s="132"/>
      <c r="R928" s="132"/>
      <c r="S928" s="132"/>
      <c r="T928" s="132"/>
      <c r="U928" s="132"/>
      <c r="V928" s="132"/>
      <c r="W928" s="132"/>
      <c r="X928" s="132"/>
      <c r="Y928" s="132"/>
      <c r="Z928" s="132"/>
      <c r="AA928" s="132"/>
      <c r="AB928" s="132"/>
    </row>
    <row r="929" spans="1:28" s="133" customFormat="1" ht="15" customHeight="1" outlineLevel="1" x14ac:dyDescent="0.2">
      <c r="A929" s="121">
        <v>18</v>
      </c>
      <c r="B929" s="147">
        <v>58979</v>
      </c>
      <c r="C929" s="122">
        <v>41939</v>
      </c>
      <c r="D929" s="123" t="s">
        <v>1496</v>
      </c>
      <c r="E929" s="121" t="s">
        <v>481</v>
      </c>
      <c r="F929" s="124" t="s">
        <v>1032</v>
      </c>
      <c r="G929" s="125" t="s">
        <v>368</v>
      </c>
      <c r="H929" s="126"/>
      <c r="I929" s="127">
        <v>1</v>
      </c>
      <c r="J929" s="128">
        <v>10143</v>
      </c>
      <c r="K929" s="128">
        <v>10143</v>
      </c>
      <c r="L929" s="210" t="s">
        <v>617</v>
      </c>
      <c r="M929" s="167" t="s">
        <v>36</v>
      </c>
      <c r="N929" s="131"/>
      <c r="O929" s="132"/>
      <c r="P929" s="132"/>
      <c r="Q929" s="132"/>
      <c r="R929" s="132"/>
      <c r="S929" s="132"/>
      <c r="T929" s="132"/>
      <c r="U929" s="132"/>
      <c r="V929" s="132"/>
      <c r="W929" s="132"/>
      <c r="X929" s="132"/>
      <c r="Y929" s="132"/>
      <c r="Z929" s="132"/>
      <c r="AA929" s="132"/>
      <c r="AB929" s="132"/>
    </row>
    <row r="930" spans="1:28" s="133" customFormat="1" ht="15" customHeight="1" outlineLevel="1" x14ac:dyDescent="0.2">
      <c r="A930" s="121">
        <v>19</v>
      </c>
      <c r="B930" s="147">
        <v>58979</v>
      </c>
      <c r="C930" s="122">
        <v>41939</v>
      </c>
      <c r="D930" s="123" t="s">
        <v>1496</v>
      </c>
      <c r="E930" s="121" t="s">
        <v>481</v>
      </c>
      <c r="F930" s="124" t="s">
        <v>235</v>
      </c>
      <c r="G930" s="125" t="s">
        <v>368</v>
      </c>
      <c r="H930" s="126"/>
      <c r="I930" s="127">
        <v>1</v>
      </c>
      <c r="J930" s="128">
        <v>10401</v>
      </c>
      <c r="K930" s="128">
        <v>10401</v>
      </c>
      <c r="L930" s="210" t="s">
        <v>617</v>
      </c>
      <c r="M930" s="167" t="s">
        <v>36</v>
      </c>
      <c r="N930" s="131"/>
      <c r="O930" s="132"/>
      <c r="P930" s="132"/>
      <c r="Q930" s="132"/>
      <c r="R930" s="132"/>
      <c r="S930" s="132"/>
      <c r="T930" s="132"/>
      <c r="U930" s="132"/>
      <c r="V930" s="132"/>
      <c r="W930" s="132"/>
      <c r="X930" s="132"/>
      <c r="Y930" s="132"/>
      <c r="Z930" s="132"/>
      <c r="AA930" s="132"/>
      <c r="AB930" s="132"/>
    </row>
    <row r="931" spans="1:28" s="133" customFormat="1" ht="15" customHeight="1" outlineLevel="1" x14ac:dyDescent="0.2">
      <c r="A931" s="121">
        <v>20</v>
      </c>
      <c r="B931" s="147">
        <v>58597</v>
      </c>
      <c r="C931" s="122">
        <v>41939</v>
      </c>
      <c r="D931" s="123" t="s">
        <v>1497</v>
      </c>
      <c r="E931" s="121" t="s">
        <v>497</v>
      </c>
      <c r="F931" s="124" t="s">
        <v>534</v>
      </c>
      <c r="G931" s="125" t="s">
        <v>412</v>
      </c>
      <c r="H931" s="126"/>
      <c r="I931" s="127">
        <v>1</v>
      </c>
      <c r="J931" s="128">
        <v>30429</v>
      </c>
      <c r="K931" s="128">
        <v>30429</v>
      </c>
      <c r="L931" s="210" t="s">
        <v>617</v>
      </c>
      <c r="M931" s="167" t="s">
        <v>36</v>
      </c>
      <c r="N931" s="131"/>
      <c r="O931" s="132"/>
      <c r="P931" s="132"/>
      <c r="Q931" s="132"/>
      <c r="R931" s="132"/>
      <c r="S931" s="132"/>
      <c r="T931" s="132"/>
      <c r="U931" s="132"/>
      <c r="V931" s="132"/>
      <c r="W931" s="132"/>
      <c r="X931" s="132"/>
      <c r="Y931" s="132"/>
      <c r="Z931" s="132"/>
      <c r="AA931" s="132"/>
      <c r="AB931" s="132"/>
    </row>
    <row r="932" spans="1:28" s="133" customFormat="1" ht="15" customHeight="1" outlineLevel="1" x14ac:dyDescent="0.2">
      <c r="A932" s="121">
        <v>21</v>
      </c>
      <c r="B932" s="121">
        <v>48758</v>
      </c>
      <c r="C932" s="122">
        <v>41883</v>
      </c>
      <c r="D932" s="123" t="s">
        <v>1498</v>
      </c>
      <c r="E932" s="121" t="s">
        <v>471</v>
      </c>
      <c r="F932" s="124" t="s">
        <v>215</v>
      </c>
      <c r="G932" s="125" t="s">
        <v>368</v>
      </c>
      <c r="H932" s="126"/>
      <c r="I932" s="127">
        <v>1</v>
      </c>
      <c r="J932" s="128">
        <v>44597</v>
      </c>
      <c r="K932" s="141">
        <v>44597</v>
      </c>
      <c r="L932" s="210" t="s">
        <v>617</v>
      </c>
      <c r="M932" s="167" t="s">
        <v>36</v>
      </c>
      <c r="N932" s="131"/>
      <c r="O932" s="132"/>
      <c r="P932" s="132"/>
      <c r="Q932" s="132"/>
      <c r="R932" s="132"/>
      <c r="S932" s="132"/>
      <c r="T932" s="132"/>
      <c r="U932" s="132"/>
      <c r="V932" s="132"/>
      <c r="W932" s="132"/>
      <c r="X932" s="132"/>
      <c r="Y932" s="132"/>
      <c r="Z932" s="132"/>
      <c r="AA932" s="132"/>
      <c r="AB932" s="132"/>
    </row>
    <row r="933" spans="1:28" s="133" customFormat="1" ht="15" customHeight="1" outlineLevel="1" x14ac:dyDescent="0.2">
      <c r="A933" s="121">
        <v>22</v>
      </c>
      <c r="B933" s="147">
        <v>57544</v>
      </c>
      <c r="C933" s="122">
        <v>41935</v>
      </c>
      <c r="D933" s="123" t="s">
        <v>1499</v>
      </c>
      <c r="E933" s="121" t="s">
        <v>1293</v>
      </c>
      <c r="F933" s="124" t="s">
        <v>577</v>
      </c>
      <c r="G933" s="125" t="s">
        <v>368</v>
      </c>
      <c r="H933" s="126"/>
      <c r="I933" s="127">
        <v>1</v>
      </c>
      <c r="J933" s="128">
        <v>25800</v>
      </c>
      <c r="K933" s="128">
        <v>25800</v>
      </c>
      <c r="L933" s="210" t="s">
        <v>617</v>
      </c>
      <c r="M933" s="167" t="s">
        <v>36</v>
      </c>
      <c r="N933" s="131"/>
      <c r="O933" s="132"/>
      <c r="P933" s="132"/>
      <c r="Q933" s="132"/>
      <c r="R933" s="132"/>
      <c r="S933" s="132"/>
      <c r="T933" s="132"/>
      <c r="U933" s="132"/>
      <c r="V933" s="132"/>
      <c r="W933" s="132"/>
      <c r="X933" s="132"/>
      <c r="Y933" s="132"/>
      <c r="Z933" s="132"/>
      <c r="AA933" s="132"/>
      <c r="AB933" s="132"/>
    </row>
    <row r="934" spans="1:28" s="133" customFormat="1" ht="15" customHeight="1" outlineLevel="1" x14ac:dyDescent="0.2">
      <c r="A934" s="121">
        <v>23</v>
      </c>
      <c r="B934" s="121">
        <v>52120</v>
      </c>
      <c r="C934" s="122">
        <v>41894</v>
      </c>
      <c r="D934" s="123" t="s">
        <v>1500</v>
      </c>
      <c r="E934" s="121" t="s">
        <v>475</v>
      </c>
      <c r="F934" s="124" t="s">
        <v>215</v>
      </c>
      <c r="G934" s="125" t="s">
        <v>368</v>
      </c>
      <c r="H934" s="126"/>
      <c r="I934" s="127">
        <v>1</v>
      </c>
      <c r="J934" s="128">
        <v>44597</v>
      </c>
      <c r="K934" s="141">
        <v>44597</v>
      </c>
      <c r="L934" s="210" t="s">
        <v>617</v>
      </c>
      <c r="M934" s="167" t="s">
        <v>36</v>
      </c>
      <c r="N934" s="131"/>
      <c r="O934" s="132"/>
      <c r="P934" s="132"/>
      <c r="Q934" s="132"/>
      <c r="R934" s="132"/>
      <c r="S934" s="132"/>
      <c r="T934" s="132"/>
      <c r="U934" s="132"/>
      <c r="V934" s="132"/>
      <c r="W934" s="132"/>
      <c r="X934" s="132"/>
      <c r="Y934" s="132"/>
      <c r="Z934" s="132"/>
      <c r="AA934" s="132"/>
      <c r="AB934" s="132"/>
    </row>
    <row r="935" spans="1:28" s="133" customFormat="1" ht="15" customHeight="1" outlineLevel="1" x14ac:dyDescent="0.2">
      <c r="A935" s="121">
        <v>24</v>
      </c>
      <c r="B935" s="147">
        <v>55512</v>
      </c>
      <c r="C935" s="122">
        <v>41929</v>
      </c>
      <c r="D935" s="123" t="s">
        <v>1501</v>
      </c>
      <c r="E935" s="121" t="s">
        <v>497</v>
      </c>
      <c r="F935" s="124" t="s">
        <v>577</v>
      </c>
      <c r="G935" s="125" t="s">
        <v>368</v>
      </c>
      <c r="H935" s="126"/>
      <c r="I935" s="127">
        <v>1</v>
      </c>
      <c r="J935" s="128">
        <v>25800</v>
      </c>
      <c r="K935" s="128">
        <v>25800</v>
      </c>
      <c r="L935" s="210" t="s">
        <v>617</v>
      </c>
      <c r="M935" s="167" t="s">
        <v>36</v>
      </c>
      <c r="N935" s="131"/>
      <c r="O935" s="132"/>
      <c r="P935" s="132"/>
      <c r="Q935" s="132"/>
      <c r="R935" s="132"/>
      <c r="S935" s="132"/>
      <c r="T935" s="132"/>
      <c r="U935" s="132"/>
      <c r="V935" s="132"/>
      <c r="W935" s="132"/>
      <c r="X935" s="132"/>
      <c r="Y935" s="132"/>
      <c r="Z935" s="132"/>
      <c r="AA935" s="132"/>
      <c r="AB935" s="132"/>
    </row>
    <row r="936" spans="1:28" s="133" customFormat="1" ht="15" customHeight="1" outlineLevel="1" x14ac:dyDescent="0.2">
      <c r="A936" s="121">
        <v>25</v>
      </c>
      <c r="B936" s="147">
        <v>53106</v>
      </c>
      <c r="C936" s="122">
        <v>41922</v>
      </c>
      <c r="D936" s="123" t="s">
        <v>1502</v>
      </c>
      <c r="E936" s="121" t="s">
        <v>497</v>
      </c>
      <c r="F936" s="124" t="s">
        <v>115</v>
      </c>
      <c r="G936" s="125" t="s">
        <v>397</v>
      </c>
      <c r="H936" s="126"/>
      <c r="I936" s="127">
        <v>2</v>
      </c>
      <c r="J936" s="128">
        <v>5274</v>
      </c>
      <c r="K936" s="128">
        <v>10548</v>
      </c>
      <c r="L936" s="210" t="s">
        <v>617</v>
      </c>
      <c r="M936" s="167" t="s">
        <v>36</v>
      </c>
      <c r="N936" s="131"/>
      <c r="O936" s="132"/>
      <c r="P936" s="132"/>
      <c r="Q936" s="132"/>
      <c r="R936" s="132"/>
      <c r="S936" s="132"/>
      <c r="T936" s="132"/>
      <c r="U936" s="132"/>
      <c r="V936" s="132"/>
      <c r="W936" s="132"/>
      <c r="X936" s="132"/>
      <c r="Y936" s="132"/>
      <c r="Z936" s="132"/>
      <c r="AA936" s="132"/>
      <c r="AB936" s="132"/>
    </row>
    <row r="937" spans="1:28" s="133" customFormat="1" ht="15" customHeight="1" outlineLevel="1" x14ac:dyDescent="0.2">
      <c r="A937" s="121">
        <v>26</v>
      </c>
      <c r="B937" s="147">
        <v>54182</v>
      </c>
      <c r="C937" s="122">
        <v>41927</v>
      </c>
      <c r="D937" s="123" t="s">
        <v>1457</v>
      </c>
      <c r="E937" s="121" t="s">
        <v>694</v>
      </c>
      <c r="F937" s="124" t="s">
        <v>577</v>
      </c>
      <c r="G937" s="125" t="s">
        <v>368</v>
      </c>
      <c r="H937" s="126"/>
      <c r="I937" s="127">
        <v>1</v>
      </c>
      <c r="J937" s="128">
        <v>25800</v>
      </c>
      <c r="K937" s="128">
        <v>25800</v>
      </c>
      <c r="L937" s="210" t="s">
        <v>617</v>
      </c>
      <c r="M937" s="167" t="s">
        <v>36</v>
      </c>
      <c r="N937" s="131"/>
      <c r="O937" s="132"/>
      <c r="P937" s="132"/>
      <c r="Q937" s="132"/>
      <c r="R937" s="132"/>
      <c r="S937" s="132"/>
      <c r="T937" s="132"/>
      <c r="U937" s="132"/>
      <c r="V937" s="132"/>
      <c r="W937" s="132"/>
      <c r="X937" s="132"/>
      <c r="Y937" s="132"/>
      <c r="Z937" s="132"/>
      <c r="AA937" s="132"/>
      <c r="AB937" s="132"/>
    </row>
    <row r="938" spans="1:28" s="133" customFormat="1" ht="15" customHeight="1" outlineLevel="1" x14ac:dyDescent="0.2">
      <c r="A938" s="121">
        <v>27</v>
      </c>
      <c r="B938" s="147">
        <v>59172</v>
      </c>
      <c r="C938" s="122">
        <v>41940</v>
      </c>
      <c r="D938" s="123" t="s">
        <v>1503</v>
      </c>
      <c r="E938" s="121" t="s">
        <v>497</v>
      </c>
      <c r="F938" s="124" t="s">
        <v>534</v>
      </c>
      <c r="G938" s="125" t="s">
        <v>524</v>
      </c>
      <c r="H938" s="126"/>
      <c r="I938" s="127">
        <v>1</v>
      </c>
      <c r="J938" s="128">
        <v>30429</v>
      </c>
      <c r="K938" s="128">
        <v>30429</v>
      </c>
      <c r="L938" s="210" t="s">
        <v>617</v>
      </c>
      <c r="M938" s="167" t="s">
        <v>36</v>
      </c>
      <c r="N938" s="131"/>
      <c r="O938" s="132"/>
      <c r="P938" s="132"/>
      <c r="Q938" s="132"/>
      <c r="R938" s="132"/>
      <c r="S938" s="132"/>
      <c r="T938" s="132"/>
      <c r="U938" s="132"/>
      <c r="V938" s="132"/>
      <c r="W938" s="132"/>
      <c r="X938" s="132"/>
      <c r="Y938" s="132"/>
      <c r="Z938" s="132"/>
      <c r="AA938" s="132"/>
      <c r="AB938" s="132"/>
    </row>
    <row r="939" spans="1:28" s="133" customFormat="1" ht="15" customHeight="1" outlineLevel="1" x14ac:dyDescent="0.2">
      <c r="A939" s="121">
        <v>28</v>
      </c>
      <c r="B939" s="147">
        <v>57635</v>
      </c>
      <c r="C939" s="122">
        <v>41919</v>
      </c>
      <c r="D939" s="123" t="s">
        <v>1504</v>
      </c>
      <c r="E939" s="121"/>
      <c r="F939" s="124" t="s">
        <v>215</v>
      </c>
      <c r="G939" s="125" t="s">
        <v>368</v>
      </c>
      <c r="H939" s="126"/>
      <c r="I939" s="127">
        <v>1</v>
      </c>
      <c r="J939" s="128">
        <v>44597</v>
      </c>
      <c r="K939" s="128">
        <v>44597</v>
      </c>
      <c r="L939" s="210" t="s">
        <v>617</v>
      </c>
      <c r="M939" s="167" t="s">
        <v>36</v>
      </c>
      <c r="N939" s="131"/>
      <c r="O939" s="132"/>
      <c r="P939" s="132"/>
      <c r="Q939" s="132"/>
      <c r="R939" s="132"/>
      <c r="S939" s="132"/>
      <c r="T939" s="132"/>
      <c r="U939" s="132"/>
      <c r="V939" s="132"/>
      <c r="W939" s="132"/>
      <c r="X939" s="132"/>
      <c r="Y939" s="132"/>
      <c r="Z939" s="132"/>
      <c r="AA939" s="132"/>
      <c r="AB939" s="132"/>
    </row>
    <row r="940" spans="1:28" s="133" customFormat="1" ht="15" customHeight="1" outlineLevel="1" x14ac:dyDescent="0.2">
      <c r="A940" s="121">
        <v>29</v>
      </c>
      <c r="B940" s="147">
        <v>57635</v>
      </c>
      <c r="C940" s="122">
        <v>41919</v>
      </c>
      <c r="D940" s="123" t="s">
        <v>1504</v>
      </c>
      <c r="E940" s="121"/>
      <c r="F940" s="124" t="s">
        <v>679</v>
      </c>
      <c r="G940" s="125" t="s">
        <v>368</v>
      </c>
      <c r="H940" s="126"/>
      <c r="I940" s="127">
        <v>1</v>
      </c>
      <c r="J940" s="128">
        <v>55058</v>
      </c>
      <c r="K940" s="128">
        <v>55058</v>
      </c>
      <c r="L940" s="210" t="s">
        <v>617</v>
      </c>
      <c r="M940" s="167" t="s">
        <v>36</v>
      </c>
      <c r="N940" s="131"/>
      <c r="O940" s="132"/>
      <c r="P940" s="132"/>
      <c r="Q940" s="132"/>
      <c r="R940" s="132"/>
      <c r="S940" s="132"/>
      <c r="T940" s="132"/>
      <c r="U940" s="132"/>
      <c r="V940" s="132"/>
      <c r="W940" s="132"/>
      <c r="X940" s="132"/>
      <c r="Y940" s="132"/>
      <c r="Z940" s="132"/>
      <c r="AA940" s="132"/>
      <c r="AB940" s="132"/>
    </row>
    <row r="941" spans="1:28" s="133" customFormat="1" ht="15" customHeight="1" outlineLevel="1" x14ac:dyDescent="0.2">
      <c r="A941" s="121">
        <v>30</v>
      </c>
      <c r="B941" s="147">
        <v>58898</v>
      </c>
      <c r="C941" s="122">
        <v>41919</v>
      </c>
      <c r="D941" s="123" t="s">
        <v>1505</v>
      </c>
      <c r="E941" s="121" t="s">
        <v>497</v>
      </c>
      <c r="F941" s="124" t="s">
        <v>534</v>
      </c>
      <c r="G941" s="125" t="s">
        <v>559</v>
      </c>
      <c r="H941" s="126"/>
      <c r="I941" s="127">
        <v>1</v>
      </c>
      <c r="J941" s="128">
        <v>30429</v>
      </c>
      <c r="K941" s="128">
        <v>30429</v>
      </c>
      <c r="L941" s="210" t="s">
        <v>617</v>
      </c>
      <c r="M941" s="167" t="s">
        <v>36</v>
      </c>
      <c r="N941" s="131"/>
      <c r="O941" s="132"/>
      <c r="P941" s="132"/>
      <c r="Q941" s="132"/>
      <c r="R941" s="132"/>
      <c r="S941" s="132"/>
      <c r="T941" s="132"/>
      <c r="U941" s="132"/>
      <c r="V941" s="132"/>
      <c r="W941" s="132"/>
      <c r="X941" s="132"/>
      <c r="Y941" s="132"/>
      <c r="Z941" s="132"/>
      <c r="AA941" s="132"/>
      <c r="AB941" s="132"/>
    </row>
    <row r="942" spans="1:28" s="133" customFormat="1" ht="15" customHeight="1" outlineLevel="1" x14ac:dyDescent="0.2">
      <c r="A942" s="121">
        <v>31</v>
      </c>
      <c r="B942" s="147">
        <v>54445</v>
      </c>
      <c r="C942" s="122">
        <v>41929</v>
      </c>
      <c r="D942" s="123" t="s">
        <v>1506</v>
      </c>
      <c r="E942" s="121" t="s">
        <v>481</v>
      </c>
      <c r="F942" s="124" t="s">
        <v>215</v>
      </c>
      <c r="G942" s="125" t="s">
        <v>368</v>
      </c>
      <c r="H942" s="126"/>
      <c r="I942" s="127">
        <v>1</v>
      </c>
      <c r="J942" s="128">
        <v>44597</v>
      </c>
      <c r="K942" s="128">
        <v>44597</v>
      </c>
      <c r="L942" s="210" t="s">
        <v>617</v>
      </c>
      <c r="M942" s="167" t="s">
        <v>36</v>
      </c>
      <c r="N942" s="131"/>
      <c r="O942" s="132"/>
      <c r="P942" s="132"/>
      <c r="Q942" s="132"/>
      <c r="R942" s="132"/>
      <c r="S942" s="132"/>
      <c r="T942" s="132"/>
      <c r="U942" s="132"/>
      <c r="V942" s="132"/>
      <c r="W942" s="132"/>
      <c r="X942" s="132"/>
      <c r="Y942" s="132"/>
      <c r="Z942" s="132"/>
      <c r="AA942" s="132"/>
      <c r="AB942" s="132"/>
    </row>
    <row r="943" spans="1:28" s="133" customFormat="1" ht="15" customHeight="1" outlineLevel="1" x14ac:dyDescent="0.2">
      <c r="A943" s="121">
        <v>32</v>
      </c>
      <c r="B943" s="147">
        <v>56474</v>
      </c>
      <c r="C943" s="122">
        <v>41912</v>
      </c>
      <c r="D943" s="123" t="s">
        <v>1507</v>
      </c>
      <c r="E943" s="121" t="s">
        <v>481</v>
      </c>
      <c r="F943" s="124" t="s">
        <v>1298</v>
      </c>
      <c r="G943" s="125" t="s">
        <v>368</v>
      </c>
      <c r="H943" s="126"/>
      <c r="I943" s="127">
        <v>1</v>
      </c>
      <c r="J943" s="128">
        <v>35501</v>
      </c>
      <c r="K943" s="141">
        <v>35501</v>
      </c>
      <c r="L943" s="210" t="s">
        <v>617</v>
      </c>
      <c r="M943" s="167" t="s">
        <v>36</v>
      </c>
      <c r="N943" s="131"/>
      <c r="O943" s="132"/>
      <c r="P943" s="132"/>
      <c r="Q943" s="132"/>
      <c r="R943" s="132"/>
      <c r="S943" s="132"/>
      <c r="T943" s="132"/>
      <c r="U943" s="132"/>
      <c r="V943" s="132"/>
      <c r="W943" s="132"/>
      <c r="X943" s="132"/>
      <c r="Y943" s="132"/>
      <c r="Z943" s="132"/>
      <c r="AA943" s="132"/>
      <c r="AB943" s="132"/>
    </row>
    <row r="944" spans="1:28" s="133" customFormat="1" ht="15" customHeight="1" outlineLevel="1" x14ac:dyDescent="0.2">
      <c r="A944" s="121">
        <v>33</v>
      </c>
      <c r="B944" s="147">
        <v>59026</v>
      </c>
      <c r="C944" s="122">
        <v>41920</v>
      </c>
      <c r="D944" s="123" t="s">
        <v>1508</v>
      </c>
      <c r="E944" s="121" t="s">
        <v>1425</v>
      </c>
      <c r="F944" s="124" t="s">
        <v>577</v>
      </c>
      <c r="G944" s="125" t="s">
        <v>368</v>
      </c>
      <c r="H944" s="126"/>
      <c r="I944" s="127">
        <v>1</v>
      </c>
      <c r="J944" s="128">
        <v>25800</v>
      </c>
      <c r="K944" s="128">
        <v>25800</v>
      </c>
      <c r="L944" s="210" t="s">
        <v>617</v>
      </c>
      <c r="M944" s="167" t="s">
        <v>36</v>
      </c>
      <c r="N944" s="131"/>
      <c r="O944" s="132"/>
      <c r="P944" s="132"/>
      <c r="Q944" s="132"/>
      <c r="R944" s="132"/>
      <c r="S944" s="132"/>
      <c r="T944" s="132"/>
      <c r="U944" s="132"/>
      <c r="V944" s="132"/>
      <c r="W944" s="132"/>
      <c r="X944" s="132"/>
      <c r="Y944" s="132"/>
      <c r="Z944" s="132"/>
      <c r="AA944" s="132"/>
      <c r="AB944" s="132"/>
    </row>
    <row r="945" spans="1:28" s="133" customFormat="1" ht="15" customHeight="1" outlineLevel="1" x14ac:dyDescent="0.2">
      <c r="A945" s="121">
        <v>34</v>
      </c>
      <c r="B945" s="147">
        <v>59462</v>
      </c>
      <c r="C945" s="122">
        <v>41941</v>
      </c>
      <c r="D945" s="123" t="s">
        <v>1381</v>
      </c>
      <c r="E945" s="121" t="s">
        <v>471</v>
      </c>
      <c r="F945" s="124" t="s">
        <v>215</v>
      </c>
      <c r="G945" s="125" t="s">
        <v>366</v>
      </c>
      <c r="H945" s="126"/>
      <c r="I945" s="127">
        <v>1</v>
      </c>
      <c r="J945" s="128">
        <v>44597</v>
      </c>
      <c r="K945" s="128">
        <v>44597</v>
      </c>
      <c r="L945" s="210" t="s">
        <v>617</v>
      </c>
      <c r="M945" s="167" t="s">
        <v>36</v>
      </c>
      <c r="N945" s="131"/>
      <c r="O945" s="132"/>
      <c r="P945" s="132"/>
      <c r="Q945" s="132"/>
      <c r="R945" s="132"/>
      <c r="S945" s="132"/>
      <c r="T945" s="132"/>
      <c r="U945" s="132"/>
      <c r="V945" s="132"/>
      <c r="W945" s="132"/>
      <c r="X945" s="132"/>
      <c r="Y945" s="132"/>
      <c r="Z945" s="132"/>
      <c r="AA945" s="132"/>
      <c r="AB945" s="132"/>
    </row>
    <row r="946" spans="1:28" s="133" customFormat="1" ht="15" customHeight="1" outlineLevel="1" x14ac:dyDescent="0.2">
      <c r="A946" s="121">
        <v>1</v>
      </c>
      <c r="B946" s="121">
        <v>70199</v>
      </c>
      <c r="C946" s="122">
        <v>41970</v>
      </c>
      <c r="D946" s="123" t="s">
        <v>501</v>
      </c>
      <c r="E946" s="121" t="s">
        <v>502</v>
      </c>
      <c r="F946" s="124" t="s">
        <v>577</v>
      </c>
      <c r="G946" s="125" t="s">
        <v>368</v>
      </c>
      <c r="H946" s="126"/>
      <c r="I946" s="127">
        <v>1</v>
      </c>
      <c r="J946" s="128">
        <v>25800</v>
      </c>
      <c r="K946" s="141">
        <v>25800</v>
      </c>
      <c r="L946" s="661" t="s">
        <v>957</v>
      </c>
      <c r="M946" s="658" t="s">
        <v>36</v>
      </c>
      <c r="N946" s="131"/>
      <c r="O946" s="132"/>
      <c r="P946" s="132"/>
      <c r="Q946" s="132"/>
      <c r="R946" s="132"/>
      <c r="S946" s="132"/>
      <c r="T946" s="132"/>
      <c r="U946" s="132"/>
      <c r="V946" s="132"/>
      <c r="W946" s="132"/>
      <c r="X946" s="132"/>
      <c r="Y946" s="132"/>
      <c r="Z946" s="132"/>
      <c r="AA946" s="132"/>
      <c r="AB946" s="132"/>
    </row>
    <row r="947" spans="1:28" s="133" customFormat="1" ht="15" customHeight="1" outlineLevel="1" x14ac:dyDescent="0.2">
      <c r="A947" s="121">
        <v>2</v>
      </c>
      <c r="B947" s="121">
        <v>67618</v>
      </c>
      <c r="C947" s="122">
        <v>41963</v>
      </c>
      <c r="D947" s="123" t="s">
        <v>1509</v>
      </c>
      <c r="E947" s="121" t="s">
        <v>502</v>
      </c>
      <c r="F947" s="124" t="s">
        <v>577</v>
      </c>
      <c r="G947" s="125" t="s">
        <v>368</v>
      </c>
      <c r="H947" s="126"/>
      <c r="I947" s="127">
        <v>1</v>
      </c>
      <c r="J947" s="128">
        <v>25800</v>
      </c>
      <c r="K947" s="141">
        <v>25800</v>
      </c>
      <c r="L947" s="662"/>
      <c r="M947" s="659"/>
      <c r="N947" s="131"/>
      <c r="O947" s="132"/>
      <c r="P947" s="132"/>
      <c r="Q947" s="132"/>
      <c r="R947" s="132"/>
      <c r="S947" s="132"/>
      <c r="T947" s="132"/>
      <c r="U947" s="132"/>
      <c r="V947" s="132"/>
      <c r="W947" s="132"/>
      <c r="X947" s="132"/>
      <c r="Y947" s="132"/>
      <c r="Z947" s="132"/>
      <c r="AA947" s="132"/>
      <c r="AB947" s="132"/>
    </row>
    <row r="948" spans="1:28" s="133" customFormat="1" ht="15" customHeight="1" outlineLevel="1" x14ac:dyDescent="0.2">
      <c r="A948" s="121">
        <v>4</v>
      </c>
      <c r="B948" s="121">
        <v>61565</v>
      </c>
      <c r="C948" s="122">
        <v>41949</v>
      </c>
      <c r="D948" s="123" t="s">
        <v>1510</v>
      </c>
      <c r="E948" s="121" t="s">
        <v>694</v>
      </c>
      <c r="F948" s="124" t="s">
        <v>577</v>
      </c>
      <c r="G948" s="125" t="s">
        <v>368</v>
      </c>
      <c r="H948" s="126"/>
      <c r="I948" s="127">
        <v>1</v>
      </c>
      <c r="J948" s="128">
        <v>25800</v>
      </c>
      <c r="K948" s="141">
        <v>25800</v>
      </c>
      <c r="L948" s="662"/>
      <c r="M948" s="659"/>
      <c r="N948" s="131"/>
      <c r="O948" s="132"/>
      <c r="P948" s="132"/>
      <c r="Q948" s="132"/>
      <c r="R948" s="132"/>
      <c r="S948" s="132"/>
      <c r="T948" s="132"/>
      <c r="U948" s="132"/>
      <c r="V948" s="132"/>
      <c r="W948" s="132"/>
      <c r="X948" s="132"/>
      <c r="Y948" s="132"/>
      <c r="Z948" s="132"/>
      <c r="AA948" s="132"/>
      <c r="AB948" s="132"/>
    </row>
    <row r="949" spans="1:28" s="133" customFormat="1" ht="15" customHeight="1" outlineLevel="1" x14ac:dyDescent="0.2">
      <c r="A949" s="121">
        <v>5</v>
      </c>
      <c r="B949" s="121">
        <v>61642</v>
      </c>
      <c r="C949" s="122">
        <v>41948</v>
      </c>
      <c r="D949" s="123" t="s">
        <v>1486</v>
      </c>
      <c r="E949" s="121" t="s">
        <v>471</v>
      </c>
      <c r="F949" s="124" t="s">
        <v>215</v>
      </c>
      <c r="G949" s="125" t="s">
        <v>368</v>
      </c>
      <c r="H949" s="126"/>
      <c r="I949" s="127">
        <v>1</v>
      </c>
      <c r="J949" s="128">
        <v>44597</v>
      </c>
      <c r="K949" s="141">
        <v>44597</v>
      </c>
      <c r="L949" s="662"/>
      <c r="M949" s="659"/>
      <c r="N949" s="131"/>
      <c r="O949" s="132"/>
      <c r="P949" s="132"/>
      <c r="Q949" s="132"/>
      <c r="R949" s="132"/>
      <c r="S949" s="132"/>
      <c r="T949" s="132"/>
      <c r="U949" s="132"/>
      <c r="V949" s="132"/>
      <c r="W949" s="132"/>
      <c r="X949" s="132"/>
      <c r="Y949" s="132"/>
      <c r="Z949" s="132"/>
      <c r="AA949" s="132"/>
      <c r="AB949" s="132"/>
    </row>
    <row r="950" spans="1:28" s="133" customFormat="1" ht="15" customHeight="1" outlineLevel="1" x14ac:dyDescent="0.2">
      <c r="A950" s="121">
        <v>6</v>
      </c>
      <c r="B950" s="121">
        <v>63741</v>
      </c>
      <c r="C950" s="122">
        <v>41954</v>
      </c>
      <c r="D950" s="123" t="s">
        <v>1511</v>
      </c>
      <c r="E950" s="121" t="s">
        <v>497</v>
      </c>
      <c r="F950" s="124" t="s">
        <v>114</v>
      </c>
      <c r="G950" s="125" t="s">
        <v>591</v>
      </c>
      <c r="H950" s="126"/>
      <c r="I950" s="127">
        <v>1</v>
      </c>
      <c r="J950" s="128">
        <v>33370</v>
      </c>
      <c r="K950" s="141">
        <v>33370</v>
      </c>
      <c r="L950" s="662"/>
      <c r="M950" s="659"/>
      <c r="N950" s="131"/>
      <c r="O950" s="132"/>
      <c r="P950" s="132"/>
      <c r="Q950" s="132"/>
      <c r="R950" s="132"/>
      <c r="S950" s="132"/>
      <c r="T950" s="132"/>
      <c r="U950" s="132"/>
      <c r="V950" s="132"/>
      <c r="W950" s="132"/>
      <c r="X950" s="132"/>
      <c r="Y950" s="132"/>
      <c r="Z950" s="132"/>
      <c r="AA950" s="132"/>
      <c r="AB950" s="132"/>
    </row>
    <row r="951" spans="1:28" s="133" customFormat="1" ht="15" customHeight="1" outlineLevel="1" x14ac:dyDescent="0.2">
      <c r="A951" s="121">
        <v>7</v>
      </c>
      <c r="B951" s="121">
        <v>62915</v>
      </c>
      <c r="C951" s="122">
        <v>41953</v>
      </c>
      <c r="D951" s="123" t="s">
        <v>1512</v>
      </c>
      <c r="E951" s="121" t="s">
        <v>471</v>
      </c>
      <c r="F951" s="124" t="s">
        <v>1008</v>
      </c>
      <c r="G951" s="125" t="s">
        <v>384</v>
      </c>
      <c r="H951" s="126"/>
      <c r="I951" s="127">
        <v>2</v>
      </c>
      <c r="J951" s="128">
        <v>9129</v>
      </c>
      <c r="K951" s="141">
        <v>18258</v>
      </c>
      <c r="L951" s="662"/>
      <c r="M951" s="659"/>
      <c r="N951" s="131"/>
      <c r="O951" s="132"/>
      <c r="P951" s="132"/>
      <c r="Q951" s="132"/>
      <c r="R951" s="132"/>
      <c r="S951" s="132"/>
      <c r="T951" s="132"/>
      <c r="U951" s="132"/>
      <c r="V951" s="132"/>
      <c r="W951" s="132"/>
      <c r="X951" s="132"/>
      <c r="Y951" s="132"/>
      <c r="Z951" s="132"/>
      <c r="AA951" s="132"/>
      <c r="AB951" s="132"/>
    </row>
    <row r="952" spans="1:28" s="133" customFormat="1" ht="15" customHeight="1" outlineLevel="1" x14ac:dyDescent="0.2">
      <c r="A952" s="121">
        <v>8</v>
      </c>
      <c r="B952" s="121">
        <v>61884</v>
      </c>
      <c r="C952" s="122">
        <v>41949</v>
      </c>
      <c r="D952" s="123" t="s">
        <v>1513</v>
      </c>
      <c r="E952" s="121" t="s">
        <v>1425</v>
      </c>
      <c r="F952" s="124" t="s">
        <v>215</v>
      </c>
      <c r="G952" s="125" t="s">
        <v>368</v>
      </c>
      <c r="H952" s="126"/>
      <c r="I952" s="127">
        <v>1</v>
      </c>
      <c r="J952" s="128">
        <v>44597</v>
      </c>
      <c r="K952" s="141">
        <v>44597</v>
      </c>
      <c r="L952" s="662"/>
      <c r="M952" s="659"/>
      <c r="N952" s="131"/>
      <c r="O952" s="132"/>
      <c r="P952" s="132"/>
      <c r="Q952" s="132"/>
      <c r="R952" s="132"/>
      <c r="S952" s="132"/>
      <c r="T952" s="132"/>
      <c r="U952" s="132"/>
      <c r="V952" s="132"/>
      <c r="W952" s="132"/>
      <c r="X952" s="132"/>
      <c r="Y952" s="132"/>
      <c r="Z952" s="132"/>
      <c r="AA952" s="132"/>
      <c r="AB952" s="132"/>
    </row>
    <row r="953" spans="1:28" s="133" customFormat="1" ht="15" customHeight="1" outlineLevel="1" x14ac:dyDescent="0.2">
      <c r="A953" s="121">
        <v>9</v>
      </c>
      <c r="B953" s="121">
        <v>65082</v>
      </c>
      <c r="C953" s="122">
        <v>41960</v>
      </c>
      <c r="D953" s="123" t="s">
        <v>1514</v>
      </c>
      <c r="E953" s="121" t="s">
        <v>481</v>
      </c>
      <c r="F953" s="124" t="s">
        <v>1298</v>
      </c>
      <c r="G953" s="125" t="s">
        <v>368</v>
      </c>
      <c r="H953" s="126"/>
      <c r="I953" s="127">
        <v>1</v>
      </c>
      <c r="J953" s="128">
        <v>35501</v>
      </c>
      <c r="K953" s="141">
        <v>35501</v>
      </c>
      <c r="L953" s="662"/>
      <c r="M953" s="659"/>
      <c r="N953" s="131"/>
      <c r="O953" s="132"/>
      <c r="P953" s="132"/>
      <c r="Q953" s="132"/>
      <c r="R953" s="132"/>
      <c r="S953" s="132"/>
      <c r="T953" s="132"/>
      <c r="U953" s="132"/>
      <c r="V953" s="132"/>
      <c r="W953" s="132"/>
      <c r="X953" s="132"/>
      <c r="Y953" s="132"/>
      <c r="Z953" s="132"/>
      <c r="AA953" s="132"/>
      <c r="AB953" s="132"/>
    </row>
    <row r="954" spans="1:28" s="133" customFormat="1" ht="15" customHeight="1" outlineLevel="1" x14ac:dyDescent="0.2">
      <c r="A954" s="121">
        <v>10</v>
      </c>
      <c r="B954" s="121">
        <v>65477</v>
      </c>
      <c r="C954" s="122">
        <v>41960</v>
      </c>
      <c r="D954" s="123" t="s">
        <v>499</v>
      </c>
      <c r="E954" s="121" t="s">
        <v>481</v>
      </c>
      <c r="F954" s="124" t="s">
        <v>679</v>
      </c>
      <c r="G954" s="125" t="s">
        <v>366</v>
      </c>
      <c r="H954" s="126"/>
      <c r="I954" s="127">
        <v>1</v>
      </c>
      <c r="J954" s="128">
        <v>55058</v>
      </c>
      <c r="K954" s="141">
        <v>55058</v>
      </c>
      <c r="L954" s="662"/>
      <c r="M954" s="659"/>
      <c r="N954" s="131"/>
      <c r="O954" s="132"/>
      <c r="P954" s="132"/>
      <c r="Q954" s="132"/>
      <c r="R954" s="132"/>
      <c r="S954" s="132"/>
      <c r="T954" s="132"/>
      <c r="U954" s="132"/>
      <c r="V954" s="132"/>
      <c r="W954" s="132"/>
      <c r="X954" s="132"/>
      <c r="Y954" s="132"/>
      <c r="Z954" s="132"/>
      <c r="AA954" s="132"/>
      <c r="AB954" s="132"/>
    </row>
    <row r="955" spans="1:28" s="133" customFormat="1" ht="15" customHeight="1" outlineLevel="1" x14ac:dyDescent="0.2">
      <c r="A955" s="121">
        <v>11</v>
      </c>
      <c r="B955" s="121">
        <v>63098</v>
      </c>
      <c r="C955" s="122">
        <v>41951</v>
      </c>
      <c r="D955" s="123" t="s">
        <v>1433</v>
      </c>
      <c r="E955" s="121" t="s">
        <v>481</v>
      </c>
      <c r="F955" s="124" t="s">
        <v>1032</v>
      </c>
      <c r="G955" s="125" t="s">
        <v>366</v>
      </c>
      <c r="H955" s="126"/>
      <c r="I955" s="127">
        <v>1</v>
      </c>
      <c r="J955" s="128">
        <v>10143</v>
      </c>
      <c r="K955" s="141">
        <v>10143</v>
      </c>
      <c r="L955" s="662"/>
      <c r="M955" s="659"/>
      <c r="N955" s="131"/>
      <c r="O955" s="132"/>
      <c r="P955" s="132"/>
      <c r="Q955" s="132"/>
      <c r="R955" s="132"/>
      <c r="S955" s="132"/>
      <c r="T955" s="132"/>
      <c r="U955" s="132"/>
      <c r="V955" s="132"/>
      <c r="W955" s="132"/>
      <c r="X955" s="132"/>
      <c r="Y955" s="132"/>
      <c r="Z955" s="132"/>
      <c r="AA955" s="132"/>
      <c r="AB955" s="132"/>
    </row>
    <row r="956" spans="1:28" s="133" customFormat="1" ht="15" customHeight="1" outlineLevel="1" x14ac:dyDescent="0.2">
      <c r="A956" s="121">
        <v>12</v>
      </c>
      <c r="B956" s="121">
        <v>64830</v>
      </c>
      <c r="C956" s="122">
        <v>41960</v>
      </c>
      <c r="D956" s="123" t="s">
        <v>1515</v>
      </c>
      <c r="E956" s="121" t="s">
        <v>481</v>
      </c>
      <c r="F956" s="124" t="s">
        <v>679</v>
      </c>
      <c r="G956" s="125" t="s">
        <v>366</v>
      </c>
      <c r="H956" s="126"/>
      <c r="I956" s="127">
        <v>1</v>
      </c>
      <c r="J956" s="128">
        <v>55058</v>
      </c>
      <c r="K956" s="141">
        <v>55058</v>
      </c>
      <c r="L956" s="662"/>
      <c r="M956" s="659"/>
      <c r="N956" s="131"/>
      <c r="O956" s="132"/>
      <c r="P956" s="132"/>
      <c r="Q956" s="132"/>
      <c r="R956" s="132"/>
      <c r="S956" s="132"/>
      <c r="T956" s="132"/>
      <c r="U956" s="132"/>
      <c r="V956" s="132"/>
      <c r="W956" s="132"/>
      <c r="X956" s="132"/>
      <c r="Y956" s="132"/>
      <c r="Z956" s="132"/>
      <c r="AA956" s="132"/>
      <c r="AB956" s="132"/>
    </row>
    <row r="957" spans="1:28" s="133" customFormat="1" ht="15" customHeight="1" outlineLevel="1" x14ac:dyDescent="0.2">
      <c r="A957" s="121">
        <v>13</v>
      </c>
      <c r="B957" s="121">
        <v>63541</v>
      </c>
      <c r="C957" s="122">
        <v>41954</v>
      </c>
      <c r="D957" s="123" t="s">
        <v>1516</v>
      </c>
      <c r="E957" s="121" t="s">
        <v>497</v>
      </c>
      <c r="F957" s="124" t="s">
        <v>190</v>
      </c>
      <c r="G957" s="125" t="s">
        <v>416</v>
      </c>
      <c r="H957" s="126"/>
      <c r="I957" s="127">
        <v>1</v>
      </c>
      <c r="J957" s="128">
        <v>57960</v>
      </c>
      <c r="K957" s="141">
        <v>57960</v>
      </c>
      <c r="L957" s="662"/>
      <c r="M957" s="659"/>
      <c r="N957" s="131"/>
      <c r="O957" s="132"/>
      <c r="P957" s="132"/>
      <c r="Q957" s="132"/>
      <c r="R957" s="132"/>
      <c r="S957" s="132"/>
      <c r="T957" s="132"/>
      <c r="U957" s="132"/>
      <c r="V957" s="132"/>
      <c r="W957" s="132"/>
      <c r="X957" s="132"/>
      <c r="Y957" s="132"/>
      <c r="Z957" s="132"/>
      <c r="AA957" s="132"/>
      <c r="AB957" s="132"/>
    </row>
    <row r="958" spans="1:28" s="133" customFormat="1" ht="15" customHeight="1" outlineLevel="1" x14ac:dyDescent="0.2">
      <c r="A958" s="121">
        <v>14</v>
      </c>
      <c r="B958" s="121">
        <v>61383</v>
      </c>
      <c r="C958" s="122">
        <v>41948</v>
      </c>
      <c r="D958" s="123" t="s">
        <v>496</v>
      </c>
      <c r="E958" s="121" t="s">
        <v>497</v>
      </c>
      <c r="F958" s="124" t="s">
        <v>190</v>
      </c>
      <c r="G958" s="125" t="s">
        <v>414</v>
      </c>
      <c r="H958" s="126"/>
      <c r="I958" s="127">
        <v>1</v>
      </c>
      <c r="J958" s="128">
        <v>57960</v>
      </c>
      <c r="K958" s="141">
        <v>57960</v>
      </c>
      <c r="L958" s="662"/>
      <c r="M958" s="659"/>
      <c r="N958" s="131"/>
      <c r="O958" s="132"/>
      <c r="P958" s="132"/>
      <c r="Q958" s="132"/>
      <c r="R958" s="132"/>
      <c r="S958" s="132"/>
      <c r="T958" s="132"/>
      <c r="U958" s="132"/>
      <c r="V958" s="132"/>
      <c r="W958" s="132"/>
      <c r="X958" s="132"/>
      <c r="Y958" s="132"/>
      <c r="Z958" s="132"/>
      <c r="AA958" s="132"/>
      <c r="AB958" s="132"/>
    </row>
    <row r="959" spans="1:28" s="133" customFormat="1" ht="15" customHeight="1" outlineLevel="1" x14ac:dyDescent="0.2">
      <c r="A959" s="121">
        <v>15</v>
      </c>
      <c r="B959" s="121">
        <v>69814</v>
      </c>
      <c r="C959" s="122">
        <v>41969</v>
      </c>
      <c r="D959" s="123" t="s">
        <v>1517</v>
      </c>
      <c r="E959" s="121" t="s">
        <v>694</v>
      </c>
      <c r="F959" s="124" t="s">
        <v>233</v>
      </c>
      <c r="G959" s="125" t="s">
        <v>368</v>
      </c>
      <c r="H959" s="126"/>
      <c r="I959" s="127">
        <v>1</v>
      </c>
      <c r="J959" s="128">
        <v>12499</v>
      </c>
      <c r="K959" s="141">
        <v>12499</v>
      </c>
      <c r="L959" s="662"/>
      <c r="M959" s="659"/>
      <c r="N959" s="131"/>
      <c r="O959" s="132"/>
      <c r="P959" s="132"/>
      <c r="Q959" s="132"/>
      <c r="R959" s="132"/>
      <c r="S959" s="132"/>
      <c r="T959" s="132"/>
      <c r="U959" s="132"/>
      <c r="V959" s="132"/>
      <c r="W959" s="132"/>
      <c r="X959" s="132"/>
      <c r="Y959" s="132"/>
      <c r="Z959" s="132"/>
      <c r="AA959" s="132"/>
      <c r="AB959" s="132"/>
    </row>
    <row r="960" spans="1:28" s="133" customFormat="1" ht="15" customHeight="1" outlineLevel="1" x14ac:dyDescent="0.2">
      <c r="A960" s="121">
        <v>16</v>
      </c>
      <c r="B960" s="121">
        <v>64562</v>
      </c>
      <c r="C960" s="122">
        <v>41956</v>
      </c>
      <c r="D960" s="123" t="s">
        <v>1518</v>
      </c>
      <c r="E960" s="121" t="s">
        <v>1425</v>
      </c>
      <c r="F960" s="124" t="s">
        <v>577</v>
      </c>
      <c r="G960" s="125" t="s">
        <v>368</v>
      </c>
      <c r="H960" s="126"/>
      <c r="I960" s="127">
        <v>1</v>
      </c>
      <c r="J960" s="128">
        <v>25800</v>
      </c>
      <c r="K960" s="141">
        <v>25800</v>
      </c>
      <c r="L960" s="662"/>
      <c r="M960" s="659"/>
      <c r="N960" s="131"/>
      <c r="O960" s="132"/>
      <c r="P960" s="132"/>
      <c r="Q960" s="132"/>
      <c r="R960" s="132"/>
      <c r="S960" s="132"/>
      <c r="T960" s="132"/>
      <c r="U960" s="132"/>
      <c r="V960" s="132"/>
      <c r="W960" s="132"/>
      <c r="X960" s="132"/>
      <c r="Y960" s="132"/>
      <c r="Z960" s="132"/>
      <c r="AA960" s="132"/>
      <c r="AB960" s="132"/>
    </row>
    <row r="961" spans="1:28" s="133" customFormat="1" ht="15" customHeight="1" outlineLevel="1" x14ac:dyDescent="0.2">
      <c r="A961" s="121">
        <v>17</v>
      </c>
      <c r="B961" s="121">
        <v>61104</v>
      </c>
      <c r="C961" s="122">
        <v>41947</v>
      </c>
      <c r="D961" s="123" t="s">
        <v>1519</v>
      </c>
      <c r="E961" s="121" t="s">
        <v>497</v>
      </c>
      <c r="F961" s="124" t="s">
        <v>534</v>
      </c>
      <c r="G961" s="125" t="s">
        <v>524</v>
      </c>
      <c r="H961" s="126"/>
      <c r="I961" s="127">
        <v>1</v>
      </c>
      <c r="J961" s="128">
        <v>30429</v>
      </c>
      <c r="K961" s="141">
        <v>30429</v>
      </c>
      <c r="L961" s="662"/>
      <c r="M961" s="659"/>
      <c r="N961" s="131"/>
      <c r="O961" s="132"/>
      <c r="P961" s="132"/>
      <c r="Q961" s="132"/>
      <c r="R961" s="132"/>
      <c r="S961" s="132"/>
      <c r="T961" s="132"/>
      <c r="U961" s="132"/>
      <c r="V961" s="132"/>
      <c r="W961" s="132"/>
      <c r="X961" s="132"/>
      <c r="Y961" s="132"/>
      <c r="Z961" s="132"/>
      <c r="AA961" s="132"/>
      <c r="AB961" s="132"/>
    </row>
    <row r="962" spans="1:28" s="133" customFormat="1" ht="15" customHeight="1" outlineLevel="1" x14ac:dyDescent="0.2">
      <c r="A962" s="121">
        <v>19</v>
      </c>
      <c r="B962" s="121">
        <v>60589</v>
      </c>
      <c r="C962" s="122">
        <v>41946</v>
      </c>
      <c r="D962" s="123" t="s">
        <v>1520</v>
      </c>
      <c r="E962" s="121" t="s">
        <v>1425</v>
      </c>
      <c r="F962" s="124" t="s">
        <v>577</v>
      </c>
      <c r="G962" s="125" t="s">
        <v>368</v>
      </c>
      <c r="H962" s="126"/>
      <c r="I962" s="127">
        <v>1</v>
      </c>
      <c r="J962" s="128">
        <v>25800</v>
      </c>
      <c r="K962" s="141">
        <v>25800</v>
      </c>
      <c r="L962" s="662"/>
      <c r="M962" s="659"/>
      <c r="N962" s="131"/>
      <c r="O962" s="132"/>
      <c r="P962" s="132"/>
      <c r="Q962" s="132"/>
      <c r="R962" s="132"/>
      <c r="S962" s="132"/>
      <c r="T962" s="132"/>
      <c r="U962" s="132"/>
      <c r="V962" s="132"/>
      <c r="W962" s="132"/>
      <c r="X962" s="132"/>
      <c r="Y962" s="132"/>
      <c r="Z962" s="132"/>
      <c r="AA962" s="132"/>
      <c r="AB962" s="132"/>
    </row>
    <row r="963" spans="1:28" s="133" customFormat="1" ht="15" customHeight="1" outlineLevel="1" x14ac:dyDescent="0.2">
      <c r="A963" s="121">
        <v>20</v>
      </c>
      <c r="B963" s="121">
        <v>61043</v>
      </c>
      <c r="C963" s="122">
        <v>41946</v>
      </c>
      <c r="D963" s="123" t="s">
        <v>1502</v>
      </c>
      <c r="E963" s="121" t="s">
        <v>497</v>
      </c>
      <c r="F963" s="124" t="s">
        <v>208</v>
      </c>
      <c r="G963" s="125" t="s">
        <v>397</v>
      </c>
      <c r="H963" s="126"/>
      <c r="I963" s="127">
        <v>2</v>
      </c>
      <c r="J963" s="128">
        <v>14099</v>
      </c>
      <c r="K963" s="141">
        <v>28198</v>
      </c>
      <c r="L963" s="662"/>
      <c r="M963" s="659"/>
      <c r="N963" s="131"/>
      <c r="O963" s="132"/>
      <c r="P963" s="132"/>
      <c r="Q963" s="132"/>
      <c r="R963" s="132"/>
      <c r="S963" s="132"/>
      <c r="T963" s="132"/>
      <c r="U963" s="132"/>
      <c r="V963" s="132"/>
      <c r="W963" s="132"/>
      <c r="X963" s="132"/>
      <c r="Y963" s="132"/>
      <c r="Z963" s="132"/>
      <c r="AA963" s="132"/>
      <c r="AB963" s="132"/>
    </row>
    <row r="964" spans="1:28" s="133" customFormat="1" ht="15" customHeight="1" outlineLevel="1" x14ac:dyDescent="0.2">
      <c r="A964" s="121">
        <v>21</v>
      </c>
      <c r="B964" s="121">
        <v>65793</v>
      </c>
      <c r="C964" s="122">
        <v>41960</v>
      </c>
      <c r="D964" s="123" t="s">
        <v>1502</v>
      </c>
      <c r="E964" s="121" t="s">
        <v>497</v>
      </c>
      <c r="F964" s="124" t="s">
        <v>190</v>
      </c>
      <c r="G964" s="125" t="s">
        <v>397</v>
      </c>
      <c r="H964" s="126"/>
      <c r="I964" s="127">
        <v>2</v>
      </c>
      <c r="J964" s="128">
        <v>57960</v>
      </c>
      <c r="K964" s="141">
        <v>115920</v>
      </c>
      <c r="L964" s="662"/>
      <c r="M964" s="659"/>
      <c r="N964" s="131"/>
      <c r="O964" s="132"/>
      <c r="P964" s="132"/>
      <c r="Q964" s="132"/>
      <c r="R964" s="132"/>
      <c r="S964" s="132"/>
      <c r="T964" s="132"/>
      <c r="U964" s="132"/>
      <c r="V964" s="132"/>
      <c r="W964" s="132"/>
      <c r="X964" s="132"/>
      <c r="Y964" s="132"/>
      <c r="Z964" s="132"/>
      <c r="AA964" s="132"/>
      <c r="AB964" s="132"/>
    </row>
    <row r="965" spans="1:28" s="133" customFormat="1" ht="15" customHeight="1" outlineLevel="1" x14ac:dyDescent="0.2">
      <c r="A965" s="121">
        <v>22</v>
      </c>
      <c r="B965" s="121">
        <v>62368</v>
      </c>
      <c r="C965" s="122">
        <v>41960</v>
      </c>
      <c r="D965" s="123" t="s">
        <v>1521</v>
      </c>
      <c r="E965" s="121" t="s">
        <v>481</v>
      </c>
      <c r="F965" s="124" t="s">
        <v>215</v>
      </c>
      <c r="G965" s="125" t="s">
        <v>368</v>
      </c>
      <c r="H965" s="126"/>
      <c r="I965" s="127">
        <v>1</v>
      </c>
      <c r="J965" s="128">
        <v>44597</v>
      </c>
      <c r="K965" s="141">
        <v>44597</v>
      </c>
      <c r="L965" s="662"/>
      <c r="M965" s="659"/>
      <c r="N965" s="131"/>
      <c r="O965" s="132"/>
      <c r="P965" s="132"/>
      <c r="Q965" s="132"/>
      <c r="R965" s="132"/>
      <c r="S965" s="132"/>
      <c r="T965" s="132"/>
      <c r="U965" s="132"/>
      <c r="V965" s="132"/>
      <c r="W965" s="132"/>
      <c r="X965" s="132"/>
      <c r="Y965" s="132"/>
      <c r="Z965" s="132"/>
      <c r="AA965" s="132"/>
      <c r="AB965" s="132"/>
    </row>
    <row r="966" spans="1:28" s="133" customFormat="1" ht="15" customHeight="1" outlineLevel="1" x14ac:dyDescent="0.2">
      <c r="A966" s="121">
        <v>23</v>
      </c>
      <c r="B966" s="121">
        <v>63516</v>
      </c>
      <c r="C966" s="122">
        <v>41954</v>
      </c>
      <c r="D966" s="123" t="s">
        <v>1505</v>
      </c>
      <c r="E966" s="121" t="s">
        <v>497</v>
      </c>
      <c r="F966" s="124" t="s">
        <v>577</v>
      </c>
      <c r="G966" s="125" t="s">
        <v>368</v>
      </c>
      <c r="H966" s="126"/>
      <c r="I966" s="127">
        <v>1</v>
      </c>
      <c r="J966" s="128">
        <v>25800</v>
      </c>
      <c r="K966" s="141">
        <v>25800</v>
      </c>
      <c r="L966" s="662"/>
      <c r="M966" s="659"/>
      <c r="N966" s="131"/>
      <c r="O966" s="132"/>
      <c r="P966" s="132"/>
      <c r="Q966" s="132"/>
      <c r="R966" s="132"/>
      <c r="S966" s="132"/>
      <c r="T966" s="132"/>
      <c r="U966" s="132"/>
      <c r="V966" s="132"/>
      <c r="W966" s="132"/>
      <c r="X966" s="132"/>
      <c r="Y966" s="132"/>
      <c r="Z966" s="132"/>
      <c r="AA966" s="132"/>
      <c r="AB966" s="132"/>
    </row>
    <row r="967" spans="1:28" s="133" customFormat="1" ht="15" customHeight="1" outlineLevel="1" x14ac:dyDescent="0.2">
      <c r="A967" s="121">
        <v>24</v>
      </c>
      <c r="B967" s="121">
        <v>64253</v>
      </c>
      <c r="C967" s="122">
        <v>41954</v>
      </c>
      <c r="D967" s="123" t="s">
        <v>1381</v>
      </c>
      <c r="E967" s="121" t="s">
        <v>471</v>
      </c>
      <c r="F967" s="124" t="s">
        <v>1522</v>
      </c>
      <c r="G967" s="125" t="s">
        <v>368</v>
      </c>
      <c r="H967" s="126"/>
      <c r="I967" s="127">
        <v>1</v>
      </c>
      <c r="J967" s="128">
        <v>8114.4</v>
      </c>
      <c r="K967" s="141">
        <v>8114.4</v>
      </c>
      <c r="L967" s="662"/>
      <c r="M967" s="659"/>
      <c r="N967" s="131"/>
      <c r="O967" s="132"/>
      <c r="P967" s="132"/>
      <c r="Q967" s="132"/>
      <c r="R967" s="132"/>
      <c r="S967" s="132"/>
      <c r="T967" s="132"/>
      <c r="U967" s="132"/>
      <c r="V967" s="132"/>
      <c r="W967" s="132"/>
      <c r="X967" s="132"/>
      <c r="Y967" s="132"/>
      <c r="Z967" s="132"/>
      <c r="AA967" s="132"/>
      <c r="AB967" s="132"/>
    </row>
    <row r="968" spans="1:28" s="133" customFormat="1" ht="15" customHeight="1" outlineLevel="1" x14ac:dyDescent="0.2">
      <c r="A968" s="121">
        <v>25</v>
      </c>
      <c r="B968" s="121">
        <v>65848</v>
      </c>
      <c r="C968" s="122">
        <v>41960</v>
      </c>
      <c r="D968" s="123" t="s">
        <v>1523</v>
      </c>
      <c r="E968" s="121" t="s">
        <v>497</v>
      </c>
      <c r="F968" s="124" t="s">
        <v>215</v>
      </c>
      <c r="G968" s="125" t="s">
        <v>368</v>
      </c>
      <c r="H968" s="126"/>
      <c r="I968" s="127">
        <v>1</v>
      </c>
      <c r="J968" s="128">
        <v>44597</v>
      </c>
      <c r="K968" s="141">
        <v>44597</v>
      </c>
      <c r="L968" s="662"/>
      <c r="M968" s="659"/>
      <c r="N968" s="131"/>
      <c r="O968" s="132"/>
      <c r="P968" s="132"/>
      <c r="Q968" s="132"/>
      <c r="R968" s="132"/>
      <c r="S968" s="132"/>
      <c r="T968" s="132"/>
      <c r="U968" s="132"/>
      <c r="V968" s="132"/>
      <c r="W968" s="132"/>
      <c r="X968" s="132"/>
      <c r="Y968" s="132"/>
      <c r="Z968" s="132"/>
      <c r="AA968" s="132"/>
      <c r="AB968" s="132"/>
    </row>
    <row r="969" spans="1:28" s="133" customFormat="1" ht="15" customHeight="1" outlineLevel="1" x14ac:dyDescent="0.2">
      <c r="A969" s="121">
        <v>26</v>
      </c>
      <c r="B969" s="121">
        <v>70921</v>
      </c>
      <c r="C969" s="122">
        <v>41974</v>
      </c>
      <c r="D969" s="123" t="s">
        <v>1524</v>
      </c>
      <c r="E969" s="121" t="s">
        <v>481</v>
      </c>
      <c r="F969" s="124" t="s">
        <v>215</v>
      </c>
      <c r="G969" s="125" t="s">
        <v>368</v>
      </c>
      <c r="H969" s="126"/>
      <c r="I969" s="127">
        <v>1</v>
      </c>
      <c r="J969" s="128">
        <v>44597</v>
      </c>
      <c r="K969" s="128">
        <v>44597</v>
      </c>
      <c r="L969" s="663"/>
      <c r="M969" s="660"/>
      <c r="N969" s="131"/>
      <c r="O969" s="132"/>
      <c r="P969" s="132"/>
      <c r="Q969" s="132"/>
      <c r="R969" s="132"/>
      <c r="S969" s="132"/>
      <c r="T969" s="132"/>
      <c r="U969" s="132"/>
      <c r="V969" s="132"/>
      <c r="W969" s="132"/>
      <c r="X969" s="132"/>
      <c r="Y969" s="132"/>
      <c r="Z969" s="132"/>
      <c r="AA969" s="132"/>
      <c r="AB969" s="132"/>
    </row>
    <row r="970" spans="1:28" s="133" customFormat="1" ht="15" customHeight="1" outlineLevel="1" x14ac:dyDescent="0.2">
      <c r="A970" s="121">
        <v>2</v>
      </c>
      <c r="B970" s="121">
        <v>52818</v>
      </c>
      <c r="C970" s="122">
        <v>41984</v>
      </c>
      <c r="D970" s="123" t="s">
        <v>1525</v>
      </c>
      <c r="E970" s="121" t="s">
        <v>475</v>
      </c>
      <c r="F970" s="124" t="s">
        <v>115</v>
      </c>
      <c r="G970" s="125" t="s">
        <v>531</v>
      </c>
      <c r="H970" s="126"/>
      <c r="I970" s="127">
        <v>1</v>
      </c>
      <c r="J970" s="128">
        <v>5274</v>
      </c>
      <c r="K970" s="128">
        <v>5274</v>
      </c>
      <c r="L970" s="211" t="s">
        <v>620</v>
      </c>
      <c r="M970" s="186" t="s">
        <v>36</v>
      </c>
      <c r="N970" s="131"/>
      <c r="O970" s="132"/>
      <c r="P970" s="132"/>
      <c r="Q970" s="132"/>
      <c r="R970" s="132"/>
      <c r="S970" s="132"/>
      <c r="T970" s="132"/>
      <c r="U970" s="132"/>
      <c r="V970" s="132"/>
      <c r="W970" s="132"/>
      <c r="X970" s="132"/>
      <c r="Y970" s="132"/>
      <c r="Z970" s="132"/>
      <c r="AA970" s="132"/>
      <c r="AB970" s="132"/>
    </row>
    <row r="971" spans="1:28" s="133" customFormat="1" ht="15" customHeight="1" outlineLevel="1" x14ac:dyDescent="0.2">
      <c r="A971" s="121">
        <v>3</v>
      </c>
      <c r="B971" s="121">
        <v>53082</v>
      </c>
      <c r="C971" s="122">
        <v>41988</v>
      </c>
      <c r="D971" s="123" t="s">
        <v>1526</v>
      </c>
      <c r="E971" s="121" t="s">
        <v>1231</v>
      </c>
      <c r="F971" s="124" t="s">
        <v>215</v>
      </c>
      <c r="G971" s="125" t="s">
        <v>368</v>
      </c>
      <c r="H971" s="126"/>
      <c r="I971" s="127">
        <v>1</v>
      </c>
      <c r="J971" s="128">
        <v>44597</v>
      </c>
      <c r="K971" s="128">
        <v>44597</v>
      </c>
      <c r="L971" s="211" t="s">
        <v>620</v>
      </c>
      <c r="M971" s="186" t="s">
        <v>36</v>
      </c>
      <c r="N971" s="131"/>
      <c r="O971" s="132"/>
      <c r="P971" s="132"/>
      <c r="Q971" s="132"/>
      <c r="R971" s="132"/>
      <c r="S971" s="132"/>
      <c r="T971" s="132"/>
      <c r="U971" s="132"/>
      <c r="V971" s="132"/>
      <c r="W971" s="132"/>
      <c r="X971" s="132"/>
      <c r="Y971" s="132"/>
      <c r="Z971" s="132"/>
      <c r="AA971" s="132"/>
      <c r="AB971" s="132"/>
    </row>
    <row r="972" spans="1:28" s="133" customFormat="1" ht="15" customHeight="1" outlineLevel="1" x14ac:dyDescent="0.2">
      <c r="A972" s="121">
        <v>4</v>
      </c>
      <c r="B972" s="121">
        <v>53236</v>
      </c>
      <c r="C972" s="122">
        <v>41989</v>
      </c>
      <c r="D972" s="123" t="s">
        <v>1400</v>
      </c>
      <c r="E972" s="121" t="s">
        <v>481</v>
      </c>
      <c r="F972" s="124" t="s">
        <v>1298</v>
      </c>
      <c r="G972" s="125" t="s">
        <v>368</v>
      </c>
      <c r="H972" s="126"/>
      <c r="I972" s="127">
        <v>1</v>
      </c>
      <c r="J972" s="128">
        <v>35501</v>
      </c>
      <c r="K972" s="128">
        <v>35501</v>
      </c>
      <c r="L972" s="211" t="s">
        <v>620</v>
      </c>
      <c r="M972" s="186" t="s">
        <v>36</v>
      </c>
      <c r="N972" s="131"/>
      <c r="O972" s="132"/>
      <c r="P972" s="132"/>
      <c r="Q972" s="132"/>
      <c r="R972" s="132"/>
      <c r="S972" s="132"/>
      <c r="T972" s="132"/>
      <c r="U972" s="132"/>
      <c r="V972" s="132"/>
      <c r="W972" s="132"/>
      <c r="X972" s="132"/>
      <c r="Y972" s="132"/>
      <c r="Z972" s="132"/>
      <c r="AA972" s="132"/>
      <c r="AB972" s="132"/>
    </row>
    <row r="973" spans="1:28" s="133" customFormat="1" ht="15" customHeight="1" outlineLevel="1" x14ac:dyDescent="0.2">
      <c r="A973" s="121">
        <v>5</v>
      </c>
      <c r="B973" s="121">
        <v>63096</v>
      </c>
      <c r="C973" s="122">
        <v>41953</v>
      </c>
      <c r="D973" s="123" t="s">
        <v>1527</v>
      </c>
      <c r="E973" s="121" t="s">
        <v>481</v>
      </c>
      <c r="F973" s="124" t="s">
        <v>577</v>
      </c>
      <c r="G973" s="125" t="s">
        <v>368</v>
      </c>
      <c r="H973" s="126"/>
      <c r="I973" s="127">
        <v>1</v>
      </c>
      <c r="J973" s="128">
        <v>25800</v>
      </c>
      <c r="K973" s="128">
        <v>25800</v>
      </c>
      <c r="L973" s="211" t="s">
        <v>620</v>
      </c>
      <c r="M973" s="186" t="s">
        <v>36</v>
      </c>
      <c r="N973" s="131"/>
      <c r="O973" s="132"/>
      <c r="P973" s="132"/>
      <c r="Q973" s="132"/>
      <c r="R973" s="132"/>
      <c r="S973" s="132"/>
      <c r="T973" s="132"/>
      <c r="U973" s="132"/>
      <c r="V973" s="132"/>
      <c r="W973" s="132"/>
      <c r="X973" s="132"/>
      <c r="Y973" s="132"/>
      <c r="Z973" s="132"/>
      <c r="AA973" s="132"/>
      <c r="AB973" s="132"/>
    </row>
    <row r="974" spans="1:28" s="133" customFormat="1" ht="15" customHeight="1" outlineLevel="1" x14ac:dyDescent="0.2">
      <c r="A974" s="121">
        <v>6</v>
      </c>
      <c r="B974" s="121">
        <v>68480</v>
      </c>
      <c r="C974" s="122">
        <v>41954</v>
      </c>
      <c r="D974" s="123" t="s">
        <v>1528</v>
      </c>
      <c r="E974" s="121" t="s">
        <v>497</v>
      </c>
      <c r="F974" s="124" t="s">
        <v>202</v>
      </c>
      <c r="G974" s="125" t="s">
        <v>565</v>
      </c>
      <c r="H974" s="126"/>
      <c r="I974" s="127">
        <v>1</v>
      </c>
      <c r="J974" s="128">
        <v>17244</v>
      </c>
      <c r="K974" s="128">
        <v>17244</v>
      </c>
      <c r="L974" s="211" t="s">
        <v>620</v>
      </c>
      <c r="M974" s="186" t="s">
        <v>36</v>
      </c>
      <c r="N974" s="131"/>
      <c r="O974" s="132"/>
      <c r="P974" s="132"/>
      <c r="Q974" s="132"/>
      <c r="R974" s="132"/>
      <c r="S974" s="132"/>
      <c r="T974" s="132"/>
      <c r="U974" s="132"/>
      <c r="V974" s="132"/>
      <c r="W974" s="132"/>
      <c r="X974" s="132"/>
      <c r="Y974" s="132"/>
      <c r="Z974" s="132"/>
      <c r="AA974" s="132"/>
      <c r="AB974" s="132"/>
    </row>
    <row r="975" spans="1:28" s="133" customFormat="1" ht="15" customHeight="1" outlineLevel="1" x14ac:dyDescent="0.2">
      <c r="A975" s="121">
        <v>7</v>
      </c>
      <c r="B975" s="121">
        <v>71214</v>
      </c>
      <c r="C975" s="122">
        <v>41974</v>
      </c>
      <c r="D975" s="123" t="s">
        <v>1529</v>
      </c>
      <c r="E975" s="121" t="s">
        <v>497</v>
      </c>
      <c r="F975" s="124" t="s">
        <v>577</v>
      </c>
      <c r="G975" s="125" t="s">
        <v>368</v>
      </c>
      <c r="H975" s="126"/>
      <c r="I975" s="127">
        <v>1</v>
      </c>
      <c r="J975" s="128">
        <v>25800</v>
      </c>
      <c r="K975" s="128">
        <v>25800</v>
      </c>
      <c r="L975" s="211" t="s">
        <v>620</v>
      </c>
      <c r="M975" s="186" t="s">
        <v>36</v>
      </c>
      <c r="N975" s="131"/>
      <c r="O975" s="132"/>
      <c r="P975" s="132"/>
      <c r="Q975" s="132"/>
      <c r="R975" s="132"/>
      <c r="S975" s="132"/>
      <c r="T975" s="132"/>
      <c r="U975" s="132"/>
      <c r="V975" s="132"/>
      <c r="W975" s="132"/>
      <c r="X975" s="132"/>
      <c r="Y975" s="132"/>
      <c r="Z975" s="132"/>
      <c r="AA975" s="132"/>
      <c r="AB975" s="132"/>
    </row>
    <row r="976" spans="1:28" s="133" customFormat="1" ht="15" customHeight="1" outlineLevel="1" x14ac:dyDescent="0.2">
      <c r="A976" s="121">
        <v>8</v>
      </c>
      <c r="B976" s="121">
        <v>71917</v>
      </c>
      <c r="C976" s="122">
        <v>41975</v>
      </c>
      <c r="D976" s="123" t="s">
        <v>1504</v>
      </c>
      <c r="E976" s="121" t="s">
        <v>471</v>
      </c>
      <c r="F976" s="124" t="s">
        <v>230</v>
      </c>
      <c r="G976" s="125" t="s">
        <v>368</v>
      </c>
      <c r="H976" s="126"/>
      <c r="I976" s="127">
        <v>1</v>
      </c>
      <c r="J976" s="128">
        <v>17244</v>
      </c>
      <c r="K976" s="128">
        <v>17244</v>
      </c>
      <c r="L976" s="211" t="s">
        <v>620</v>
      </c>
      <c r="M976" s="186" t="s">
        <v>36</v>
      </c>
      <c r="N976" s="131"/>
      <c r="O976" s="132"/>
      <c r="P976" s="132"/>
      <c r="Q976" s="132"/>
      <c r="R976" s="132"/>
      <c r="S976" s="132"/>
      <c r="T976" s="132"/>
      <c r="U976" s="132"/>
      <c r="V976" s="132"/>
      <c r="W976" s="132"/>
      <c r="X976" s="132"/>
      <c r="Y976" s="132"/>
      <c r="Z976" s="132"/>
      <c r="AA976" s="132"/>
      <c r="AB976" s="132"/>
    </row>
    <row r="977" spans="1:28" s="133" customFormat="1" ht="15" customHeight="1" outlineLevel="1" x14ac:dyDescent="0.2">
      <c r="A977" s="121">
        <v>9</v>
      </c>
      <c r="B977" s="121">
        <v>72281</v>
      </c>
      <c r="C977" s="122">
        <v>41976</v>
      </c>
      <c r="D977" s="123" t="s">
        <v>1530</v>
      </c>
      <c r="E977" s="121" t="s">
        <v>481</v>
      </c>
      <c r="F977" s="124" t="s">
        <v>215</v>
      </c>
      <c r="G977" s="125" t="s">
        <v>368</v>
      </c>
      <c r="H977" s="126"/>
      <c r="I977" s="127">
        <v>1</v>
      </c>
      <c r="J977" s="128">
        <v>44597</v>
      </c>
      <c r="K977" s="128">
        <v>44597</v>
      </c>
      <c r="L977" s="211" t="s">
        <v>620</v>
      </c>
      <c r="M977" s="186" t="s">
        <v>36</v>
      </c>
      <c r="N977" s="131"/>
      <c r="O977" s="132"/>
      <c r="P977" s="132"/>
      <c r="Q977" s="132"/>
      <c r="R977" s="132"/>
      <c r="S977" s="132"/>
      <c r="T977" s="132"/>
      <c r="U977" s="132"/>
      <c r="V977" s="132"/>
      <c r="W977" s="132"/>
      <c r="X977" s="132"/>
      <c r="Y977" s="132"/>
      <c r="Z977" s="132"/>
      <c r="AA977" s="132"/>
      <c r="AB977" s="132"/>
    </row>
    <row r="978" spans="1:28" s="133" customFormat="1" ht="15" customHeight="1" outlineLevel="1" x14ac:dyDescent="0.2">
      <c r="A978" s="121">
        <v>10</v>
      </c>
      <c r="B978" s="121">
        <v>72472</v>
      </c>
      <c r="C978" s="122">
        <v>41977</v>
      </c>
      <c r="D978" s="123" t="s">
        <v>1531</v>
      </c>
      <c r="E978" s="121" t="s">
        <v>481</v>
      </c>
      <c r="F978" s="124" t="s">
        <v>679</v>
      </c>
      <c r="G978" s="125" t="s">
        <v>368</v>
      </c>
      <c r="H978" s="126"/>
      <c r="I978" s="127">
        <v>1</v>
      </c>
      <c r="J978" s="128">
        <v>55058</v>
      </c>
      <c r="K978" s="128">
        <v>55058</v>
      </c>
      <c r="L978" s="211" t="s">
        <v>620</v>
      </c>
      <c r="M978" s="186" t="s">
        <v>36</v>
      </c>
      <c r="N978" s="131"/>
      <c r="O978" s="132"/>
      <c r="P978" s="132"/>
      <c r="Q978" s="132"/>
      <c r="R978" s="132"/>
      <c r="S978" s="132"/>
      <c r="T978" s="132"/>
      <c r="U978" s="132"/>
      <c r="V978" s="132"/>
      <c r="W978" s="132"/>
      <c r="X978" s="132"/>
      <c r="Y978" s="132"/>
      <c r="Z978" s="132"/>
      <c r="AA978" s="132"/>
      <c r="AB978" s="132"/>
    </row>
    <row r="979" spans="1:28" s="133" customFormat="1" ht="15" customHeight="1" outlineLevel="1" x14ac:dyDescent="0.2">
      <c r="A979" s="121">
        <v>11</v>
      </c>
      <c r="B979" s="121">
        <v>73828</v>
      </c>
      <c r="C979" s="122">
        <v>41982</v>
      </c>
      <c r="D979" s="123" t="s">
        <v>1528</v>
      </c>
      <c r="E979" s="121" t="s">
        <v>497</v>
      </c>
      <c r="F979" s="124" t="s">
        <v>202</v>
      </c>
      <c r="G979" s="125" t="s">
        <v>565</v>
      </c>
      <c r="H979" s="126"/>
      <c r="I979" s="127">
        <v>1</v>
      </c>
      <c r="J979" s="128">
        <v>17244</v>
      </c>
      <c r="K979" s="128">
        <v>17244</v>
      </c>
      <c r="L979" s="211" t="s">
        <v>620</v>
      </c>
      <c r="M979" s="186" t="s">
        <v>36</v>
      </c>
      <c r="N979" s="131"/>
      <c r="O979" s="132"/>
      <c r="P979" s="132"/>
      <c r="Q979" s="132"/>
      <c r="R979" s="132"/>
      <c r="S979" s="132"/>
      <c r="T979" s="132"/>
      <c r="U979" s="132"/>
      <c r="V979" s="132"/>
      <c r="W979" s="132"/>
      <c r="X979" s="132"/>
      <c r="Y979" s="132"/>
      <c r="Z979" s="132"/>
      <c r="AA979" s="132"/>
      <c r="AB979" s="132"/>
    </row>
    <row r="980" spans="1:28" s="133" customFormat="1" ht="15" customHeight="1" outlineLevel="1" x14ac:dyDescent="0.2">
      <c r="A980" s="121">
        <v>12</v>
      </c>
      <c r="B980" s="121">
        <v>80495</v>
      </c>
      <c r="C980" s="122">
        <v>41989</v>
      </c>
      <c r="D980" s="123" t="s">
        <v>1532</v>
      </c>
      <c r="E980" s="121" t="s">
        <v>497</v>
      </c>
      <c r="F980" s="124" t="s">
        <v>215</v>
      </c>
      <c r="G980" s="125" t="s">
        <v>384</v>
      </c>
      <c r="H980" s="126"/>
      <c r="I980" s="127">
        <v>2</v>
      </c>
      <c r="J980" s="128">
        <v>44597</v>
      </c>
      <c r="K980" s="128">
        <v>89194</v>
      </c>
      <c r="L980" s="211" t="s">
        <v>620</v>
      </c>
      <c r="M980" s="186" t="s">
        <v>36</v>
      </c>
      <c r="N980" s="131"/>
      <c r="O980" s="132"/>
      <c r="P980" s="132"/>
      <c r="Q980" s="132"/>
      <c r="R980" s="132"/>
      <c r="S980" s="132"/>
      <c r="T980" s="132"/>
      <c r="U980" s="132"/>
      <c r="V980" s="132"/>
      <c r="W980" s="132"/>
      <c r="X980" s="132"/>
      <c r="Y980" s="132"/>
      <c r="Z980" s="132"/>
      <c r="AA980" s="132"/>
      <c r="AB980" s="132"/>
    </row>
    <row r="981" spans="1:28" s="133" customFormat="1" ht="15" customHeight="1" outlineLevel="1" x14ac:dyDescent="0.2">
      <c r="A981" s="121">
        <v>13</v>
      </c>
      <c r="B981" s="121">
        <v>80648</v>
      </c>
      <c r="C981" s="122">
        <v>41989</v>
      </c>
      <c r="D981" s="123" t="s">
        <v>1533</v>
      </c>
      <c r="E981" s="121" t="s">
        <v>481</v>
      </c>
      <c r="F981" s="124" t="s">
        <v>215</v>
      </c>
      <c r="G981" s="125" t="s">
        <v>384</v>
      </c>
      <c r="H981" s="126"/>
      <c r="I981" s="127">
        <v>2</v>
      </c>
      <c r="J981" s="128">
        <v>44597</v>
      </c>
      <c r="K981" s="128">
        <v>89194</v>
      </c>
      <c r="L981" s="211" t="s">
        <v>620</v>
      </c>
      <c r="M981" s="186" t="s">
        <v>36</v>
      </c>
      <c r="N981" s="131"/>
      <c r="O981" s="132"/>
      <c r="P981" s="132"/>
      <c r="Q981" s="132"/>
      <c r="R981" s="132"/>
      <c r="S981" s="132"/>
      <c r="T981" s="132"/>
      <c r="U981" s="132"/>
      <c r="V981" s="132"/>
      <c r="W981" s="132"/>
      <c r="X981" s="132"/>
      <c r="Y981" s="132"/>
      <c r="Z981" s="132"/>
      <c r="AA981" s="132"/>
      <c r="AB981" s="132"/>
    </row>
    <row r="982" spans="1:28" s="133" customFormat="1" ht="15" customHeight="1" outlineLevel="1" x14ac:dyDescent="0.2">
      <c r="A982" s="121">
        <v>14</v>
      </c>
      <c r="B982" s="121">
        <v>80653</v>
      </c>
      <c r="C982" s="122">
        <v>41990</v>
      </c>
      <c r="D982" s="123" t="s">
        <v>1534</v>
      </c>
      <c r="E982" s="121" t="s">
        <v>497</v>
      </c>
      <c r="F982" s="124" t="s">
        <v>215</v>
      </c>
      <c r="G982" s="125" t="s">
        <v>368</v>
      </c>
      <c r="H982" s="126"/>
      <c r="I982" s="127">
        <v>1</v>
      </c>
      <c r="J982" s="128">
        <v>44597</v>
      </c>
      <c r="K982" s="128">
        <v>44597</v>
      </c>
      <c r="L982" s="211" t="s">
        <v>620</v>
      </c>
      <c r="M982" s="186" t="s">
        <v>36</v>
      </c>
      <c r="N982" s="131"/>
      <c r="O982" s="132"/>
      <c r="P982" s="132"/>
      <c r="Q982" s="132"/>
      <c r="R982" s="132"/>
      <c r="S982" s="132"/>
      <c r="T982" s="132"/>
      <c r="U982" s="132"/>
      <c r="V982" s="132"/>
      <c r="W982" s="132"/>
      <c r="X982" s="132"/>
      <c r="Y982" s="132"/>
      <c r="Z982" s="132"/>
      <c r="AA982" s="132"/>
      <c r="AB982" s="132"/>
    </row>
    <row r="983" spans="1:28" s="133" customFormat="1" ht="15" customHeight="1" outlineLevel="1" x14ac:dyDescent="0.2">
      <c r="A983" s="121">
        <v>15</v>
      </c>
      <c r="B983" s="121">
        <v>81088</v>
      </c>
      <c r="C983" s="122">
        <v>41990</v>
      </c>
      <c r="D983" s="123" t="s">
        <v>1535</v>
      </c>
      <c r="E983" s="121" t="s">
        <v>475</v>
      </c>
      <c r="F983" s="124" t="s">
        <v>215</v>
      </c>
      <c r="G983" s="125" t="s">
        <v>368</v>
      </c>
      <c r="H983" s="126"/>
      <c r="I983" s="127">
        <v>1</v>
      </c>
      <c r="J983" s="128">
        <v>44597</v>
      </c>
      <c r="K983" s="128">
        <v>44597</v>
      </c>
      <c r="L983" s="211" t="s">
        <v>620</v>
      </c>
      <c r="M983" s="186" t="s">
        <v>36</v>
      </c>
      <c r="N983" s="131"/>
      <c r="O983" s="132"/>
      <c r="P983" s="132"/>
      <c r="Q983" s="132"/>
      <c r="R983" s="132"/>
      <c r="S983" s="132"/>
      <c r="T983" s="132"/>
      <c r="U983" s="132"/>
      <c r="V983" s="132"/>
      <c r="W983" s="132"/>
      <c r="X983" s="132"/>
      <c r="Y983" s="132"/>
      <c r="Z983" s="132"/>
      <c r="AA983" s="132"/>
      <c r="AB983" s="132"/>
    </row>
    <row r="984" spans="1:28" s="133" customFormat="1" ht="15" customHeight="1" outlineLevel="1" x14ac:dyDescent="0.2">
      <c r="A984" s="121">
        <v>16</v>
      </c>
      <c r="B984" s="121">
        <v>81188</v>
      </c>
      <c r="C984" s="122">
        <v>41991</v>
      </c>
      <c r="D984" s="123" t="s">
        <v>1536</v>
      </c>
      <c r="E984" s="121" t="s">
        <v>475</v>
      </c>
      <c r="F984" s="124" t="s">
        <v>115</v>
      </c>
      <c r="G984" s="125" t="s">
        <v>469</v>
      </c>
      <c r="H984" s="126"/>
      <c r="I984" s="127">
        <v>1</v>
      </c>
      <c r="J984" s="128">
        <v>5274</v>
      </c>
      <c r="K984" s="128">
        <v>5274</v>
      </c>
      <c r="L984" s="211" t="s">
        <v>620</v>
      </c>
      <c r="M984" s="186" t="s">
        <v>36</v>
      </c>
      <c r="N984" s="131"/>
      <c r="O984" s="132"/>
      <c r="P984" s="132"/>
      <c r="Q984" s="132"/>
      <c r="R984" s="132"/>
      <c r="S984" s="132"/>
      <c r="T984" s="132"/>
      <c r="U984" s="132"/>
      <c r="V984" s="132"/>
      <c r="W984" s="132"/>
      <c r="X984" s="132"/>
      <c r="Y984" s="132"/>
      <c r="Z984" s="132"/>
      <c r="AA984" s="132"/>
      <c r="AB984" s="132"/>
    </row>
    <row r="985" spans="1:28" s="133" customFormat="1" ht="15" customHeight="1" outlineLevel="1" x14ac:dyDescent="0.2">
      <c r="A985" s="121">
        <v>17</v>
      </c>
      <c r="B985" s="121">
        <v>81188</v>
      </c>
      <c r="C985" s="122">
        <v>41991</v>
      </c>
      <c r="D985" s="123" t="s">
        <v>1536</v>
      </c>
      <c r="E985" s="121" t="s">
        <v>475</v>
      </c>
      <c r="F985" s="124" t="s">
        <v>173</v>
      </c>
      <c r="G985" s="125" t="s">
        <v>1537</v>
      </c>
      <c r="H985" s="126"/>
      <c r="I985" s="127">
        <v>2</v>
      </c>
      <c r="J985" s="128">
        <v>5274</v>
      </c>
      <c r="K985" s="128">
        <v>10548</v>
      </c>
      <c r="L985" s="211" t="s">
        <v>620</v>
      </c>
      <c r="M985" s="186" t="s">
        <v>36</v>
      </c>
      <c r="N985" s="131"/>
      <c r="O985" s="132"/>
      <c r="P985" s="132"/>
      <c r="Q985" s="132"/>
      <c r="R985" s="132"/>
      <c r="S985" s="132"/>
      <c r="T985" s="132"/>
      <c r="U985" s="132"/>
      <c r="V985" s="132"/>
      <c r="W985" s="132"/>
      <c r="X985" s="132"/>
      <c r="Y985" s="132"/>
      <c r="Z985" s="132"/>
      <c r="AA985" s="132"/>
      <c r="AB985" s="132"/>
    </row>
    <row r="986" spans="1:28" s="133" customFormat="1" ht="15" customHeight="1" outlineLevel="1" x14ac:dyDescent="0.2">
      <c r="A986" s="121">
        <v>18</v>
      </c>
      <c r="B986" s="121">
        <v>81376</v>
      </c>
      <c r="C986" s="122">
        <v>41990</v>
      </c>
      <c r="D986" s="123" t="s">
        <v>1538</v>
      </c>
      <c r="E986" s="121" t="s">
        <v>481</v>
      </c>
      <c r="F986" s="124" t="s">
        <v>215</v>
      </c>
      <c r="G986" s="125" t="s">
        <v>384</v>
      </c>
      <c r="H986" s="126"/>
      <c r="I986" s="127">
        <v>2</v>
      </c>
      <c r="J986" s="128">
        <v>44597</v>
      </c>
      <c r="K986" s="128">
        <v>89194</v>
      </c>
      <c r="L986" s="211" t="s">
        <v>620</v>
      </c>
      <c r="M986" s="186" t="s">
        <v>36</v>
      </c>
      <c r="N986" s="131"/>
      <c r="O986" s="132"/>
      <c r="P986" s="132"/>
      <c r="Q986" s="132"/>
      <c r="R986" s="132"/>
      <c r="S986" s="132"/>
      <c r="T986" s="132"/>
      <c r="U986" s="132"/>
      <c r="V986" s="132"/>
      <c r="W986" s="132"/>
      <c r="X986" s="132"/>
      <c r="Y986" s="132"/>
      <c r="Z986" s="132"/>
      <c r="AA986" s="132"/>
      <c r="AB986" s="132"/>
    </row>
    <row r="987" spans="1:28" s="133" customFormat="1" ht="15" customHeight="1" outlineLevel="1" x14ac:dyDescent="0.2">
      <c r="A987" s="121">
        <v>19</v>
      </c>
      <c r="B987" s="121">
        <v>81533</v>
      </c>
      <c r="C987" s="122">
        <v>41992</v>
      </c>
      <c r="D987" s="123" t="s">
        <v>503</v>
      </c>
      <c r="E987" s="121" t="s">
        <v>481</v>
      </c>
      <c r="F987" s="124" t="s">
        <v>577</v>
      </c>
      <c r="G987" s="125" t="s">
        <v>368</v>
      </c>
      <c r="H987" s="126"/>
      <c r="I987" s="127">
        <v>1</v>
      </c>
      <c r="J987" s="128">
        <v>25800</v>
      </c>
      <c r="K987" s="128">
        <v>25800</v>
      </c>
      <c r="L987" s="211" t="s">
        <v>620</v>
      </c>
      <c r="M987" s="186" t="s">
        <v>36</v>
      </c>
      <c r="N987" s="131"/>
      <c r="O987" s="132"/>
      <c r="P987" s="132"/>
      <c r="Q987" s="132"/>
      <c r="R987" s="132"/>
      <c r="S987" s="132"/>
      <c r="T987" s="132"/>
      <c r="U987" s="132"/>
      <c r="V987" s="132"/>
      <c r="W987" s="132"/>
      <c r="X987" s="132"/>
      <c r="Y987" s="132"/>
      <c r="Z987" s="132"/>
      <c r="AA987" s="132"/>
      <c r="AB987" s="132"/>
    </row>
    <row r="988" spans="1:28" s="133" customFormat="1" ht="15" customHeight="1" outlineLevel="1" x14ac:dyDescent="0.2">
      <c r="A988" s="121">
        <v>20</v>
      </c>
      <c r="B988" s="121">
        <v>82002</v>
      </c>
      <c r="C988" s="122">
        <v>41992</v>
      </c>
      <c r="D988" s="123" t="s">
        <v>507</v>
      </c>
      <c r="E988" s="121" t="s">
        <v>497</v>
      </c>
      <c r="F988" s="124" t="s">
        <v>1539</v>
      </c>
      <c r="G988" s="125" t="s">
        <v>508</v>
      </c>
      <c r="H988" s="126"/>
      <c r="I988" s="127">
        <v>1</v>
      </c>
      <c r="J988" s="128">
        <v>3651</v>
      </c>
      <c r="K988" s="128">
        <v>3651</v>
      </c>
      <c r="L988" s="211" t="s">
        <v>620</v>
      </c>
      <c r="M988" s="186" t="s">
        <v>36</v>
      </c>
      <c r="N988" s="131"/>
      <c r="O988" s="132"/>
      <c r="P988" s="132"/>
      <c r="Q988" s="132"/>
      <c r="R988" s="132"/>
      <c r="S988" s="132"/>
      <c r="T988" s="132"/>
      <c r="U988" s="132"/>
      <c r="V988" s="132"/>
      <c r="W988" s="132"/>
      <c r="X988" s="132"/>
      <c r="Y988" s="132"/>
      <c r="Z988" s="132"/>
      <c r="AA988" s="132"/>
      <c r="AB988" s="132"/>
    </row>
    <row r="989" spans="1:28" s="133" customFormat="1" ht="15" customHeight="1" outlineLevel="1" x14ac:dyDescent="0.2">
      <c r="A989" s="121">
        <v>21</v>
      </c>
      <c r="B989" s="121">
        <v>82169</v>
      </c>
      <c r="C989" s="122">
        <v>41995</v>
      </c>
      <c r="D989" s="123" t="s">
        <v>1540</v>
      </c>
      <c r="E989" s="121" t="s">
        <v>475</v>
      </c>
      <c r="F989" s="124" t="s">
        <v>115</v>
      </c>
      <c r="G989" s="125" t="s">
        <v>531</v>
      </c>
      <c r="H989" s="126"/>
      <c r="I989" s="127">
        <v>1</v>
      </c>
      <c r="J989" s="128">
        <v>5274</v>
      </c>
      <c r="K989" s="128">
        <v>5274</v>
      </c>
      <c r="L989" s="211" t="s">
        <v>620</v>
      </c>
      <c r="M989" s="186" t="s">
        <v>36</v>
      </c>
      <c r="N989" s="131"/>
      <c r="O989" s="132"/>
      <c r="P989" s="132"/>
      <c r="Q989" s="132"/>
      <c r="R989" s="132"/>
      <c r="S989" s="132"/>
      <c r="T989" s="132"/>
      <c r="U989" s="132"/>
      <c r="V989" s="132"/>
      <c r="W989" s="132"/>
      <c r="X989" s="132"/>
      <c r="Y989" s="132"/>
      <c r="Z989" s="132"/>
      <c r="AA989" s="132"/>
      <c r="AB989" s="132"/>
    </row>
    <row r="990" spans="1:28" s="133" customFormat="1" ht="15" customHeight="1" outlineLevel="1" x14ac:dyDescent="0.2">
      <c r="A990" s="121">
        <v>22</v>
      </c>
      <c r="B990" s="121">
        <v>82313</v>
      </c>
      <c r="C990" s="122">
        <v>41995</v>
      </c>
      <c r="D990" s="123" t="s">
        <v>1541</v>
      </c>
      <c r="E990" s="121" t="s">
        <v>694</v>
      </c>
      <c r="F990" s="124" t="s">
        <v>577</v>
      </c>
      <c r="G990" s="125" t="s">
        <v>368</v>
      </c>
      <c r="H990" s="126"/>
      <c r="I990" s="127">
        <v>1</v>
      </c>
      <c r="J990" s="128">
        <v>25800</v>
      </c>
      <c r="K990" s="128">
        <v>25800</v>
      </c>
      <c r="L990" s="211" t="s">
        <v>620</v>
      </c>
      <c r="M990" s="186" t="s">
        <v>36</v>
      </c>
      <c r="N990" s="131"/>
      <c r="O990" s="132"/>
      <c r="P990" s="132"/>
      <c r="Q990" s="132"/>
      <c r="R990" s="132"/>
      <c r="S990" s="132"/>
      <c r="T990" s="132"/>
      <c r="U990" s="132"/>
      <c r="V990" s="132"/>
      <c r="W990" s="132"/>
      <c r="X990" s="132"/>
      <c r="Y990" s="132"/>
      <c r="Z990" s="132"/>
      <c r="AA990" s="132"/>
      <c r="AB990" s="132"/>
    </row>
    <row r="991" spans="1:28" s="133" customFormat="1" ht="15" customHeight="1" outlineLevel="1" x14ac:dyDescent="0.2">
      <c r="A991" s="121">
        <v>23</v>
      </c>
      <c r="B991" s="121">
        <v>82699</v>
      </c>
      <c r="C991" s="122">
        <v>41995</v>
      </c>
      <c r="D991" s="123" t="s">
        <v>1502</v>
      </c>
      <c r="E991" s="121" t="s">
        <v>497</v>
      </c>
      <c r="F991" s="124" t="s">
        <v>679</v>
      </c>
      <c r="G991" s="125" t="s">
        <v>368</v>
      </c>
      <c r="H991" s="126"/>
      <c r="I991" s="127">
        <v>1</v>
      </c>
      <c r="J991" s="128">
        <v>55058</v>
      </c>
      <c r="K991" s="128">
        <v>55058</v>
      </c>
      <c r="L991" s="211" t="s">
        <v>620</v>
      </c>
      <c r="M991" s="186" t="s">
        <v>36</v>
      </c>
      <c r="N991" s="131"/>
      <c r="O991" s="132"/>
      <c r="P991" s="132"/>
      <c r="Q991" s="132"/>
      <c r="R991" s="132"/>
      <c r="S991" s="132"/>
      <c r="T991" s="132"/>
      <c r="U991" s="132"/>
      <c r="V991" s="132"/>
      <c r="W991" s="132"/>
      <c r="X991" s="132"/>
      <c r="Y991" s="132"/>
      <c r="Z991" s="132"/>
      <c r="AA991" s="132"/>
      <c r="AB991" s="132"/>
    </row>
    <row r="992" spans="1:28" s="133" customFormat="1" ht="15" customHeight="1" outlineLevel="1" x14ac:dyDescent="0.2">
      <c r="A992" s="121">
        <v>24</v>
      </c>
      <c r="B992" s="121">
        <v>84619</v>
      </c>
      <c r="C992" s="122">
        <v>42002</v>
      </c>
      <c r="D992" s="123" t="s">
        <v>504</v>
      </c>
      <c r="E992" s="121" t="s">
        <v>502</v>
      </c>
      <c r="F992" s="124" t="s">
        <v>577</v>
      </c>
      <c r="G992" s="125" t="s">
        <v>368</v>
      </c>
      <c r="H992" s="126"/>
      <c r="I992" s="127">
        <v>1</v>
      </c>
      <c r="J992" s="128">
        <v>25800</v>
      </c>
      <c r="K992" s="128">
        <v>25800</v>
      </c>
      <c r="L992" s="211" t="s">
        <v>620</v>
      </c>
      <c r="M992" s="186" t="s">
        <v>36</v>
      </c>
      <c r="N992" s="131"/>
      <c r="O992" s="132"/>
      <c r="P992" s="132"/>
      <c r="Q992" s="132"/>
      <c r="R992" s="132"/>
      <c r="S992" s="132"/>
      <c r="T992" s="132"/>
      <c r="U992" s="132"/>
      <c r="V992" s="132"/>
      <c r="W992" s="132"/>
      <c r="X992" s="132"/>
      <c r="Y992" s="132"/>
      <c r="Z992" s="132"/>
      <c r="AA992" s="132"/>
      <c r="AB992" s="132"/>
    </row>
    <row r="993" spans="1:28" s="133" customFormat="1" ht="15" customHeight="1" outlineLevel="1" x14ac:dyDescent="0.2">
      <c r="A993" s="121">
        <v>25</v>
      </c>
      <c r="B993" s="121">
        <v>84727</v>
      </c>
      <c r="C993" s="122">
        <v>42004</v>
      </c>
      <c r="D993" s="123" t="s">
        <v>1542</v>
      </c>
      <c r="E993" s="121" t="s">
        <v>497</v>
      </c>
      <c r="F993" s="124" t="s">
        <v>235</v>
      </c>
      <c r="G993" s="125" t="s">
        <v>368</v>
      </c>
      <c r="H993" s="126"/>
      <c r="I993" s="127">
        <v>1</v>
      </c>
      <c r="J993" s="128">
        <v>10401</v>
      </c>
      <c r="K993" s="128">
        <v>10401</v>
      </c>
      <c r="L993" s="211" t="s">
        <v>620</v>
      </c>
      <c r="M993" s="186" t="s">
        <v>36</v>
      </c>
      <c r="N993" s="131"/>
      <c r="O993" s="132"/>
      <c r="P993" s="132"/>
      <c r="Q993" s="132"/>
      <c r="R993" s="132"/>
      <c r="S993" s="132"/>
      <c r="T993" s="132"/>
      <c r="U993" s="132"/>
      <c r="V993" s="132"/>
      <c r="W993" s="132"/>
      <c r="X993" s="132"/>
      <c r="Y993" s="132"/>
      <c r="Z993" s="132"/>
      <c r="AA993" s="132"/>
      <c r="AB993" s="132"/>
    </row>
    <row r="994" spans="1:28" s="133" customFormat="1" ht="15" customHeight="1" outlineLevel="1" x14ac:dyDescent="0.2">
      <c r="A994" s="121">
        <v>26</v>
      </c>
      <c r="B994" s="121">
        <v>85014</v>
      </c>
      <c r="C994" s="122">
        <v>42004</v>
      </c>
      <c r="D994" s="123" t="s">
        <v>1543</v>
      </c>
      <c r="E994" s="121" t="s">
        <v>502</v>
      </c>
      <c r="F994" s="124" t="s">
        <v>577</v>
      </c>
      <c r="G994" s="125" t="s">
        <v>368</v>
      </c>
      <c r="H994" s="126"/>
      <c r="I994" s="127">
        <v>1</v>
      </c>
      <c r="J994" s="128">
        <v>25800</v>
      </c>
      <c r="K994" s="128">
        <v>25800</v>
      </c>
      <c r="L994" s="211" t="s">
        <v>620</v>
      </c>
      <c r="M994" s="186" t="s">
        <v>36</v>
      </c>
      <c r="N994" s="131"/>
      <c r="O994" s="132"/>
      <c r="P994" s="132"/>
      <c r="Q994" s="132"/>
      <c r="R994" s="132"/>
      <c r="S994" s="132"/>
      <c r="T994" s="132"/>
      <c r="U994" s="132"/>
      <c r="V994" s="132"/>
      <c r="W994" s="132"/>
      <c r="X994" s="132"/>
      <c r="Y994" s="132"/>
      <c r="Z994" s="132"/>
      <c r="AA994" s="132"/>
      <c r="AB994" s="132"/>
    </row>
    <row r="995" spans="1:28" s="133" customFormat="1" ht="15" customHeight="1" outlineLevel="1" x14ac:dyDescent="0.2">
      <c r="A995" s="134">
        <v>1</v>
      </c>
      <c r="B995" s="134">
        <v>28655</v>
      </c>
      <c r="C995" s="135">
        <v>41810</v>
      </c>
      <c r="D995" s="136" t="s">
        <v>1544</v>
      </c>
      <c r="E995" s="134" t="s">
        <v>453</v>
      </c>
      <c r="F995" s="137" t="s">
        <v>1221</v>
      </c>
      <c r="G995" s="138" t="s">
        <v>368</v>
      </c>
      <c r="H995" s="139"/>
      <c r="I995" s="140">
        <v>1</v>
      </c>
      <c r="J995" s="141">
        <v>14200</v>
      </c>
      <c r="K995" s="141">
        <v>14200</v>
      </c>
      <c r="L995" s="652" t="s">
        <v>605</v>
      </c>
      <c r="M995" s="186" t="s">
        <v>37</v>
      </c>
      <c r="N995" s="131"/>
      <c r="O995" s="132"/>
      <c r="P995" s="132"/>
      <c r="Q995" s="132"/>
      <c r="R995" s="132"/>
      <c r="S995" s="132"/>
      <c r="T995" s="132"/>
      <c r="U995" s="132"/>
      <c r="V995" s="132"/>
      <c r="W995" s="132"/>
      <c r="X995" s="132"/>
      <c r="Y995" s="132"/>
      <c r="Z995" s="132"/>
      <c r="AA995" s="132"/>
      <c r="AB995" s="132"/>
    </row>
    <row r="996" spans="1:28" s="133" customFormat="1" ht="15" customHeight="1" outlineLevel="1" x14ac:dyDescent="0.2">
      <c r="A996" s="134">
        <v>2</v>
      </c>
      <c r="B996" s="134">
        <v>29083</v>
      </c>
      <c r="C996" s="135">
        <v>41813</v>
      </c>
      <c r="D996" s="136" t="s">
        <v>1545</v>
      </c>
      <c r="E996" s="134" t="s">
        <v>542</v>
      </c>
      <c r="F996" s="137" t="s">
        <v>115</v>
      </c>
      <c r="G996" s="138" t="s">
        <v>416</v>
      </c>
      <c r="H996" s="139"/>
      <c r="I996" s="140">
        <v>1</v>
      </c>
      <c r="J996" s="141">
        <v>5274</v>
      </c>
      <c r="K996" s="141">
        <v>5274</v>
      </c>
      <c r="L996" s="664"/>
      <c r="M996" s="186" t="s">
        <v>37</v>
      </c>
      <c r="N996" s="131"/>
      <c r="O996" s="132"/>
      <c r="P996" s="132"/>
      <c r="Q996" s="132"/>
      <c r="R996" s="132"/>
      <c r="S996" s="132"/>
      <c r="T996" s="132"/>
      <c r="U996" s="132"/>
      <c r="V996" s="132"/>
      <c r="W996" s="132"/>
      <c r="X996" s="132"/>
      <c r="Y996" s="132"/>
      <c r="Z996" s="132"/>
      <c r="AA996" s="132"/>
      <c r="AB996" s="132"/>
    </row>
    <row r="997" spans="1:28" s="133" customFormat="1" ht="15" customHeight="1" outlineLevel="1" x14ac:dyDescent="0.2">
      <c r="A997" s="134">
        <v>3</v>
      </c>
      <c r="B997" s="134">
        <v>29083</v>
      </c>
      <c r="C997" s="135">
        <v>41813</v>
      </c>
      <c r="D997" s="136" t="s">
        <v>1545</v>
      </c>
      <c r="E997" s="134" t="s">
        <v>542</v>
      </c>
      <c r="F997" s="137" t="s">
        <v>208</v>
      </c>
      <c r="G997" s="138" t="s">
        <v>416</v>
      </c>
      <c r="H997" s="139"/>
      <c r="I997" s="140">
        <v>1</v>
      </c>
      <c r="J997" s="141">
        <v>14099</v>
      </c>
      <c r="K997" s="141">
        <v>14099</v>
      </c>
      <c r="L997" s="664"/>
      <c r="M997" s="186" t="s">
        <v>37</v>
      </c>
      <c r="N997" s="131"/>
      <c r="O997" s="132"/>
      <c r="P997" s="132"/>
      <c r="Q997" s="132"/>
      <c r="R997" s="132"/>
      <c r="S997" s="132"/>
      <c r="T997" s="132"/>
      <c r="U997" s="132"/>
      <c r="V997" s="132"/>
      <c r="W997" s="132"/>
      <c r="X997" s="132"/>
      <c r="Y997" s="132"/>
      <c r="Z997" s="132"/>
      <c r="AA997" s="132"/>
      <c r="AB997" s="132"/>
    </row>
    <row r="998" spans="1:28" s="133" customFormat="1" ht="15" customHeight="1" outlineLevel="1" x14ac:dyDescent="0.2">
      <c r="A998" s="134">
        <v>4</v>
      </c>
      <c r="B998" s="134">
        <v>30647</v>
      </c>
      <c r="C998" s="135">
        <v>41817</v>
      </c>
      <c r="D998" s="136" t="s">
        <v>1546</v>
      </c>
      <c r="E998" s="134" t="s">
        <v>453</v>
      </c>
      <c r="F998" s="137" t="s">
        <v>1221</v>
      </c>
      <c r="G998" s="138" t="s">
        <v>368</v>
      </c>
      <c r="H998" s="139"/>
      <c r="I998" s="140">
        <v>1</v>
      </c>
      <c r="J998" s="141">
        <v>14200</v>
      </c>
      <c r="K998" s="141">
        <v>14200</v>
      </c>
      <c r="L998" s="664"/>
      <c r="M998" s="186" t="s">
        <v>37</v>
      </c>
      <c r="N998" s="131"/>
      <c r="O998" s="132"/>
      <c r="P998" s="132"/>
      <c r="Q998" s="132"/>
      <c r="R998" s="132"/>
      <c r="S998" s="132"/>
      <c r="T998" s="132"/>
      <c r="U998" s="132"/>
      <c r="V998" s="132"/>
      <c r="W998" s="132"/>
      <c r="X998" s="132"/>
      <c r="Y998" s="132"/>
      <c r="Z998" s="132"/>
      <c r="AA998" s="132"/>
      <c r="AB998" s="132"/>
    </row>
    <row r="999" spans="1:28" s="133" customFormat="1" ht="15" customHeight="1" outlineLevel="1" x14ac:dyDescent="0.2">
      <c r="A999" s="134">
        <v>5</v>
      </c>
      <c r="B999" s="134">
        <v>29614</v>
      </c>
      <c r="C999" s="135">
        <v>41814</v>
      </c>
      <c r="D999" s="136" t="s">
        <v>1547</v>
      </c>
      <c r="E999" s="134" t="s">
        <v>542</v>
      </c>
      <c r="F999" s="137" t="s">
        <v>195</v>
      </c>
      <c r="G999" s="138" t="s">
        <v>1548</v>
      </c>
      <c r="H999" s="139"/>
      <c r="I999" s="140">
        <v>7</v>
      </c>
      <c r="J999" s="141">
        <v>2739</v>
      </c>
      <c r="K999" s="141">
        <v>19173</v>
      </c>
      <c r="L999" s="664"/>
      <c r="M999" s="186" t="s">
        <v>37</v>
      </c>
      <c r="N999" s="131"/>
      <c r="O999" s="132"/>
      <c r="P999" s="132"/>
      <c r="Q999" s="132"/>
      <c r="R999" s="132"/>
      <c r="S999" s="132"/>
      <c r="T999" s="132"/>
      <c r="U999" s="132"/>
      <c r="V999" s="132"/>
      <c r="W999" s="132"/>
      <c r="X999" s="132"/>
      <c r="Y999" s="132"/>
      <c r="Z999" s="132"/>
      <c r="AA999" s="132"/>
      <c r="AB999" s="132"/>
    </row>
    <row r="1000" spans="1:28" s="133" customFormat="1" ht="15" customHeight="1" outlineLevel="1" x14ac:dyDescent="0.2">
      <c r="A1000" s="134">
        <v>6</v>
      </c>
      <c r="B1000" s="134">
        <v>30676</v>
      </c>
      <c r="C1000" s="135">
        <v>41817</v>
      </c>
      <c r="D1000" s="136" t="s">
        <v>1549</v>
      </c>
      <c r="E1000" s="134" t="s">
        <v>1550</v>
      </c>
      <c r="F1000" s="137" t="s">
        <v>215</v>
      </c>
      <c r="G1000" s="138" t="s">
        <v>384</v>
      </c>
      <c r="H1000" s="139"/>
      <c r="I1000" s="140">
        <v>2</v>
      </c>
      <c r="J1000" s="141">
        <v>44597</v>
      </c>
      <c r="K1000" s="141">
        <v>89194</v>
      </c>
      <c r="L1000" s="664"/>
      <c r="M1000" s="186" t="s">
        <v>37</v>
      </c>
      <c r="N1000" s="131"/>
      <c r="O1000" s="132"/>
      <c r="P1000" s="132"/>
      <c r="Q1000" s="132"/>
      <c r="R1000" s="132"/>
      <c r="S1000" s="132"/>
      <c r="T1000" s="132"/>
      <c r="U1000" s="132"/>
      <c r="V1000" s="132"/>
      <c r="W1000" s="132"/>
      <c r="X1000" s="132"/>
      <c r="Y1000" s="132"/>
      <c r="Z1000" s="132"/>
      <c r="AA1000" s="132"/>
      <c r="AB1000" s="132"/>
    </row>
    <row r="1001" spans="1:28" s="133" customFormat="1" ht="15" customHeight="1" outlineLevel="1" x14ac:dyDescent="0.2">
      <c r="A1001" s="134">
        <v>7</v>
      </c>
      <c r="B1001" s="134">
        <v>31407</v>
      </c>
      <c r="C1001" s="135">
        <v>41820</v>
      </c>
      <c r="D1001" s="136" t="s">
        <v>1551</v>
      </c>
      <c r="E1001" s="134" t="s">
        <v>542</v>
      </c>
      <c r="F1001" s="137" t="s">
        <v>534</v>
      </c>
      <c r="G1001" s="138" t="s">
        <v>414</v>
      </c>
      <c r="H1001" s="139"/>
      <c r="I1001" s="140">
        <v>1</v>
      </c>
      <c r="J1001" s="141">
        <v>30429</v>
      </c>
      <c r="K1001" s="141">
        <v>30429</v>
      </c>
      <c r="L1001" s="665"/>
      <c r="M1001" s="186" t="s">
        <v>37</v>
      </c>
      <c r="N1001" s="131"/>
      <c r="O1001" s="132"/>
      <c r="P1001" s="132"/>
      <c r="Q1001" s="132"/>
      <c r="R1001" s="132"/>
      <c r="S1001" s="132"/>
      <c r="T1001" s="132"/>
      <c r="U1001" s="132"/>
      <c r="V1001" s="132"/>
      <c r="W1001" s="132"/>
      <c r="X1001" s="132"/>
      <c r="Y1001" s="132"/>
      <c r="Z1001" s="132"/>
      <c r="AA1001" s="132"/>
      <c r="AB1001" s="132"/>
    </row>
    <row r="1002" spans="1:28" s="133" customFormat="1" ht="15" customHeight="1" outlineLevel="1" x14ac:dyDescent="0.2">
      <c r="A1002" s="134">
        <v>1</v>
      </c>
      <c r="B1002" s="134">
        <v>37196</v>
      </c>
      <c r="C1002" s="135">
        <v>41843</v>
      </c>
      <c r="D1002" s="136" t="s">
        <v>1552</v>
      </c>
      <c r="E1002" s="134" t="s">
        <v>542</v>
      </c>
      <c r="F1002" s="137" t="s">
        <v>215</v>
      </c>
      <c r="G1002" s="138" t="s">
        <v>368</v>
      </c>
      <c r="H1002" s="139"/>
      <c r="I1002" s="140">
        <v>1</v>
      </c>
      <c r="J1002" s="141">
        <v>44597</v>
      </c>
      <c r="K1002" s="141">
        <v>44597</v>
      </c>
      <c r="L1002" s="673" t="s">
        <v>757</v>
      </c>
      <c r="M1002" s="186" t="s">
        <v>37</v>
      </c>
      <c r="N1002" s="131"/>
      <c r="O1002" s="132"/>
      <c r="P1002" s="132"/>
      <c r="Q1002" s="132"/>
      <c r="R1002" s="132"/>
      <c r="S1002" s="132"/>
      <c r="T1002" s="132"/>
      <c r="U1002" s="132"/>
      <c r="V1002" s="132"/>
      <c r="W1002" s="132"/>
      <c r="X1002" s="132"/>
      <c r="Y1002" s="132"/>
      <c r="Z1002" s="132"/>
      <c r="AA1002" s="132"/>
      <c r="AB1002" s="132"/>
    </row>
    <row r="1003" spans="1:28" s="133" customFormat="1" ht="15" customHeight="1" outlineLevel="1" x14ac:dyDescent="0.2">
      <c r="A1003" s="134">
        <v>2</v>
      </c>
      <c r="B1003" s="134">
        <v>38486</v>
      </c>
      <c r="C1003" s="135">
        <v>41848</v>
      </c>
      <c r="D1003" s="136" t="s">
        <v>1553</v>
      </c>
      <c r="E1003" s="134" t="s">
        <v>1550</v>
      </c>
      <c r="F1003" s="137" t="s">
        <v>215</v>
      </c>
      <c r="G1003" s="138" t="s">
        <v>368</v>
      </c>
      <c r="H1003" s="139"/>
      <c r="I1003" s="140">
        <v>1</v>
      </c>
      <c r="J1003" s="141">
        <v>44597</v>
      </c>
      <c r="K1003" s="141">
        <v>44597</v>
      </c>
      <c r="L1003" s="674"/>
      <c r="M1003" s="186" t="s">
        <v>37</v>
      </c>
      <c r="N1003" s="131"/>
      <c r="O1003" s="132"/>
      <c r="P1003" s="132"/>
      <c r="Q1003" s="132"/>
      <c r="R1003" s="132"/>
      <c r="S1003" s="132"/>
      <c r="T1003" s="132"/>
      <c r="U1003" s="132"/>
      <c r="V1003" s="132"/>
      <c r="W1003" s="132"/>
      <c r="X1003" s="132"/>
      <c r="Y1003" s="132"/>
      <c r="Z1003" s="132"/>
      <c r="AA1003" s="132"/>
      <c r="AB1003" s="132"/>
    </row>
    <row r="1004" spans="1:28" s="133" customFormat="1" ht="15" customHeight="1" outlineLevel="1" x14ac:dyDescent="0.2">
      <c r="A1004" s="134">
        <v>3</v>
      </c>
      <c r="B1004" s="134">
        <v>32637</v>
      </c>
      <c r="C1004" s="135">
        <v>41829</v>
      </c>
      <c r="D1004" s="136" t="s">
        <v>1545</v>
      </c>
      <c r="E1004" s="134" t="s">
        <v>542</v>
      </c>
      <c r="F1004" s="137" t="s">
        <v>114</v>
      </c>
      <c r="G1004" s="138" t="s">
        <v>416</v>
      </c>
      <c r="H1004" s="139"/>
      <c r="I1004" s="140">
        <v>1</v>
      </c>
      <c r="J1004" s="141">
        <v>33370</v>
      </c>
      <c r="K1004" s="141">
        <v>33370</v>
      </c>
      <c r="L1004" s="674"/>
      <c r="M1004" s="186" t="s">
        <v>37</v>
      </c>
      <c r="N1004" s="131"/>
      <c r="O1004" s="132"/>
      <c r="P1004" s="132"/>
      <c r="Q1004" s="132"/>
      <c r="R1004" s="132"/>
      <c r="S1004" s="132"/>
      <c r="T1004" s="132"/>
      <c r="U1004" s="132"/>
      <c r="V1004" s="132"/>
      <c r="W1004" s="132"/>
      <c r="X1004" s="132"/>
      <c r="Y1004" s="132"/>
      <c r="Z1004" s="132"/>
      <c r="AA1004" s="132"/>
      <c r="AB1004" s="132"/>
    </row>
    <row r="1005" spans="1:28" s="133" customFormat="1" ht="15" customHeight="1" outlineLevel="1" x14ac:dyDescent="0.2">
      <c r="A1005" s="134">
        <v>4</v>
      </c>
      <c r="B1005" s="134">
        <v>34187</v>
      </c>
      <c r="C1005" s="135">
        <v>41829</v>
      </c>
      <c r="D1005" s="136" t="s">
        <v>1547</v>
      </c>
      <c r="E1005" s="134" t="s">
        <v>542</v>
      </c>
      <c r="F1005" s="137" t="s">
        <v>619</v>
      </c>
      <c r="G1005" s="138" t="s">
        <v>368</v>
      </c>
      <c r="H1005" s="139"/>
      <c r="I1005" s="140">
        <v>1</v>
      </c>
      <c r="J1005" s="141">
        <v>15722</v>
      </c>
      <c r="K1005" s="141">
        <v>15722</v>
      </c>
      <c r="L1005" s="674"/>
      <c r="M1005" s="186" t="s">
        <v>37</v>
      </c>
      <c r="N1005" s="131"/>
      <c r="O1005" s="132"/>
      <c r="P1005" s="132"/>
      <c r="Q1005" s="132"/>
      <c r="R1005" s="132"/>
      <c r="S1005" s="132"/>
      <c r="T1005" s="132"/>
      <c r="U1005" s="132"/>
      <c r="V1005" s="132"/>
      <c r="W1005" s="132"/>
      <c r="X1005" s="132"/>
      <c r="Y1005" s="132"/>
      <c r="Z1005" s="132"/>
      <c r="AA1005" s="132"/>
      <c r="AB1005" s="132"/>
    </row>
    <row r="1006" spans="1:28" s="133" customFormat="1" ht="15" customHeight="1" outlineLevel="1" x14ac:dyDescent="0.2">
      <c r="A1006" s="134">
        <v>5</v>
      </c>
      <c r="B1006" s="134">
        <v>34187</v>
      </c>
      <c r="C1006" s="135">
        <v>41829</v>
      </c>
      <c r="D1006" s="136" t="s">
        <v>1547</v>
      </c>
      <c r="E1006" s="134" t="s">
        <v>542</v>
      </c>
      <c r="F1006" s="137" t="s">
        <v>202</v>
      </c>
      <c r="G1006" s="138" t="s">
        <v>508</v>
      </c>
      <c r="H1006" s="139"/>
      <c r="I1006" s="140">
        <v>1</v>
      </c>
      <c r="J1006" s="141">
        <v>17244</v>
      </c>
      <c r="K1006" s="141">
        <v>17244</v>
      </c>
      <c r="L1006" s="674"/>
      <c r="M1006" s="186" t="s">
        <v>37</v>
      </c>
      <c r="N1006" s="131"/>
      <c r="O1006" s="132"/>
      <c r="P1006" s="132"/>
      <c r="Q1006" s="132"/>
      <c r="R1006" s="132"/>
      <c r="S1006" s="132"/>
      <c r="T1006" s="132"/>
      <c r="U1006" s="132"/>
      <c r="V1006" s="132"/>
      <c r="W1006" s="132"/>
      <c r="X1006" s="132"/>
      <c r="Y1006" s="132"/>
      <c r="Z1006" s="132"/>
      <c r="AA1006" s="132"/>
      <c r="AB1006" s="132"/>
    </row>
    <row r="1007" spans="1:28" s="133" customFormat="1" ht="15" customHeight="1" outlineLevel="1" x14ac:dyDescent="0.2">
      <c r="A1007" s="134">
        <v>6</v>
      </c>
      <c r="B1007" s="134">
        <v>34187</v>
      </c>
      <c r="C1007" s="135">
        <v>41829</v>
      </c>
      <c r="D1007" s="136" t="s">
        <v>1547</v>
      </c>
      <c r="E1007" s="134" t="s">
        <v>542</v>
      </c>
      <c r="F1007" s="137" t="s">
        <v>115</v>
      </c>
      <c r="G1007" s="138" t="s">
        <v>401</v>
      </c>
      <c r="H1007" s="139"/>
      <c r="I1007" s="140">
        <v>1</v>
      </c>
      <c r="J1007" s="141">
        <v>5274</v>
      </c>
      <c r="K1007" s="141">
        <v>5274</v>
      </c>
      <c r="L1007" s="674"/>
      <c r="M1007" s="186" t="s">
        <v>37</v>
      </c>
      <c r="N1007" s="131"/>
      <c r="O1007" s="132"/>
      <c r="P1007" s="132"/>
      <c r="Q1007" s="132"/>
      <c r="R1007" s="132"/>
      <c r="S1007" s="132"/>
      <c r="T1007" s="132"/>
      <c r="U1007" s="132"/>
      <c r="V1007" s="132"/>
      <c r="W1007" s="132"/>
      <c r="X1007" s="132"/>
      <c r="Y1007" s="132"/>
      <c r="Z1007" s="132"/>
      <c r="AA1007" s="132"/>
      <c r="AB1007" s="132"/>
    </row>
    <row r="1008" spans="1:28" s="133" customFormat="1" ht="15" customHeight="1" outlineLevel="1" x14ac:dyDescent="0.2">
      <c r="A1008" s="134">
        <v>7</v>
      </c>
      <c r="B1008" s="134">
        <v>36403</v>
      </c>
      <c r="C1008" s="135">
        <v>41838</v>
      </c>
      <c r="D1008" s="136" t="s">
        <v>1547</v>
      </c>
      <c r="E1008" s="134" t="s">
        <v>542</v>
      </c>
      <c r="F1008" s="137" t="s">
        <v>114</v>
      </c>
      <c r="G1008" s="138" t="s">
        <v>401</v>
      </c>
      <c r="H1008" s="139"/>
      <c r="I1008" s="140">
        <v>1</v>
      </c>
      <c r="J1008" s="141">
        <v>33370</v>
      </c>
      <c r="K1008" s="141">
        <v>33370</v>
      </c>
      <c r="L1008" s="674"/>
      <c r="M1008" s="186" t="s">
        <v>37</v>
      </c>
      <c r="N1008" s="131"/>
      <c r="O1008" s="132"/>
      <c r="P1008" s="132"/>
      <c r="Q1008" s="132"/>
      <c r="R1008" s="132"/>
      <c r="S1008" s="132"/>
      <c r="T1008" s="132"/>
      <c r="U1008" s="132"/>
      <c r="V1008" s="132"/>
      <c r="W1008" s="132"/>
      <c r="X1008" s="132"/>
      <c r="Y1008" s="132"/>
      <c r="Z1008" s="132"/>
      <c r="AA1008" s="132"/>
      <c r="AB1008" s="132"/>
    </row>
    <row r="1009" spans="1:28" s="133" customFormat="1" ht="15" customHeight="1" outlineLevel="1" x14ac:dyDescent="0.2">
      <c r="A1009" s="134">
        <v>8</v>
      </c>
      <c r="B1009" s="134">
        <v>35315</v>
      </c>
      <c r="C1009" s="135">
        <v>41835</v>
      </c>
      <c r="D1009" s="136" t="s">
        <v>1554</v>
      </c>
      <c r="E1009" s="134" t="s">
        <v>1555</v>
      </c>
      <c r="F1009" s="137" t="s">
        <v>193</v>
      </c>
      <c r="G1009" s="138" t="s">
        <v>368</v>
      </c>
      <c r="H1009" s="139"/>
      <c r="I1009" s="140">
        <v>1</v>
      </c>
      <c r="J1009" s="141">
        <v>36514.799999999996</v>
      </c>
      <c r="K1009" s="141">
        <v>36514.799999999996</v>
      </c>
      <c r="L1009" s="674"/>
      <c r="M1009" s="186" t="s">
        <v>37</v>
      </c>
      <c r="N1009" s="131"/>
      <c r="O1009" s="132"/>
      <c r="P1009" s="132"/>
      <c r="Q1009" s="132"/>
      <c r="R1009" s="132"/>
      <c r="S1009" s="132"/>
      <c r="T1009" s="132"/>
      <c r="U1009" s="132"/>
      <c r="V1009" s="132"/>
      <c r="W1009" s="132"/>
      <c r="X1009" s="132"/>
      <c r="Y1009" s="132"/>
      <c r="Z1009" s="132"/>
      <c r="AA1009" s="132"/>
      <c r="AB1009" s="132"/>
    </row>
    <row r="1010" spans="1:28" s="133" customFormat="1" ht="15" customHeight="1" outlineLevel="1" x14ac:dyDescent="0.2">
      <c r="A1010" s="134">
        <v>9</v>
      </c>
      <c r="B1010" s="134">
        <v>35131</v>
      </c>
      <c r="C1010" s="135">
        <v>41834</v>
      </c>
      <c r="D1010" s="136" t="s">
        <v>1556</v>
      </c>
      <c r="E1010" s="134" t="s">
        <v>1550</v>
      </c>
      <c r="F1010" s="137" t="s">
        <v>534</v>
      </c>
      <c r="G1010" s="138" t="s">
        <v>469</v>
      </c>
      <c r="H1010" s="139"/>
      <c r="I1010" s="140">
        <v>1</v>
      </c>
      <c r="J1010" s="141">
        <v>30429</v>
      </c>
      <c r="K1010" s="141">
        <v>30429</v>
      </c>
      <c r="L1010" s="674"/>
      <c r="M1010" s="186" t="s">
        <v>37</v>
      </c>
      <c r="N1010" s="131"/>
      <c r="O1010" s="132"/>
      <c r="P1010" s="132"/>
      <c r="Q1010" s="132"/>
      <c r="R1010" s="132"/>
      <c r="S1010" s="132"/>
      <c r="T1010" s="132"/>
      <c r="U1010" s="132"/>
      <c r="V1010" s="132"/>
      <c r="W1010" s="132"/>
      <c r="X1010" s="132"/>
      <c r="Y1010" s="132"/>
      <c r="Z1010" s="132"/>
      <c r="AA1010" s="132"/>
      <c r="AB1010" s="132"/>
    </row>
    <row r="1011" spans="1:28" s="133" customFormat="1" ht="15" customHeight="1" outlineLevel="1" x14ac:dyDescent="0.2">
      <c r="A1011" s="134">
        <v>10</v>
      </c>
      <c r="B1011" s="134">
        <v>36378</v>
      </c>
      <c r="C1011" s="135">
        <v>41837</v>
      </c>
      <c r="D1011" s="136" t="s">
        <v>1557</v>
      </c>
      <c r="E1011" s="134" t="s">
        <v>542</v>
      </c>
      <c r="F1011" s="137" t="s">
        <v>114</v>
      </c>
      <c r="G1011" s="138" t="s">
        <v>439</v>
      </c>
      <c r="H1011" s="139"/>
      <c r="I1011" s="140">
        <v>1</v>
      </c>
      <c r="J1011" s="141">
        <v>33370</v>
      </c>
      <c r="K1011" s="141">
        <v>33370</v>
      </c>
      <c r="L1011" s="674"/>
      <c r="M1011" s="186" t="s">
        <v>37</v>
      </c>
      <c r="N1011" s="131"/>
      <c r="O1011" s="132"/>
      <c r="P1011" s="132"/>
      <c r="Q1011" s="132"/>
      <c r="R1011" s="132"/>
      <c r="S1011" s="132"/>
      <c r="T1011" s="132"/>
      <c r="U1011" s="132"/>
      <c r="V1011" s="132"/>
      <c r="W1011" s="132"/>
      <c r="X1011" s="132"/>
      <c r="Y1011" s="132"/>
      <c r="Z1011" s="132"/>
      <c r="AA1011" s="132"/>
      <c r="AB1011" s="132"/>
    </row>
    <row r="1012" spans="1:28" s="133" customFormat="1" ht="15" customHeight="1" outlineLevel="1" x14ac:dyDescent="0.2">
      <c r="A1012" s="134">
        <v>11</v>
      </c>
      <c r="B1012" s="134">
        <v>39642</v>
      </c>
      <c r="C1012" s="135">
        <v>41851</v>
      </c>
      <c r="D1012" s="136" t="s">
        <v>1558</v>
      </c>
      <c r="E1012" s="134" t="s">
        <v>542</v>
      </c>
      <c r="F1012" s="137" t="s">
        <v>679</v>
      </c>
      <c r="G1012" s="138" t="s">
        <v>366</v>
      </c>
      <c r="H1012" s="139"/>
      <c r="I1012" s="140">
        <v>1</v>
      </c>
      <c r="J1012" s="141">
        <v>55058</v>
      </c>
      <c r="K1012" s="141">
        <v>55058</v>
      </c>
      <c r="L1012" s="674"/>
      <c r="M1012" s="186" t="s">
        <v>37</v>
      </c>
      <c r="N1012" s="131"/>
      <c r="O1012" s="132"/>
      <c r="P1012" s="132"/>
      <c r="Q1012" s="132"/>
      <c r="R1012" s="132"/>
      <c r="S1012" s="132"/>
      <c r="T1012" s="132"/>
      <c r="U1012" s="132"/>
      <c r="V1012" s="132"/>
      <c r="W1012" s="132"/>
      <c r="X1012" s="132"/>
      <c r="Y1012" s="132"/>
      <c r="Z1012" s="132"/>
      <c r="AA1012" s="132"/>
      <c r="AB1012" s="132"/>
    </row>
    <row r="1013" spans="1:28" s="133" customFormat="1" ht="15" customHeight="1" outlineLevel="1" x14ac:dyDescent="0.2">
      <c r="A1013" s="134">
        <v>12</v>
      </c>
      <c r="B1013" s="134">
        <v>33598</v>
      </c>
      <c r="C1013" s="135">
        <v>41828</v>
      </c>
      <c r="D1013" s="136" t="s">
        <v>1559</v>
      </c>
      <c r="E1013" s="134" t="s">
        <v>542</v>
      </c>
      <c r="F1013" s="137" t="s">
        <v>195</v>
      </c>
      <c r="G1013" s="138" t="s">
        <v>1560</v>
      </c>
      <c r="H1013" s="139"/>
      <c r="I1013" s="140">
        <v>3</v>
      </c>
      <c r="J1013" s="141">
        <v>2739</v>
      </c>
      <c r="K1013" s="141">
        <v>8217</v>
      </c>
      <c r="L1013" s="674"/>
      <c r="M1013" s="186" t="s">
        <v>37</v>
      </c>
      <c r="N1013" s="131"/>
      <c r="O1013" s="132"/>
      <c r="P1013" s="132"/>
      <c r="Q1013" s="132"/>
      <c r="R1013" s="132"/>
      <c r="S1013" s="132"/>
      <c r="T1013" s="132"/>
      <c r="U1013" s="132"/>
      <c r="V1013" s="132"/>
      <c r="W1013" s="132"/>
      <c r="X1013" s="132"/>
      <c r="Y1013" s="132"/>
      <c r="Z1013" s="132"/>
      <c r="AA1013" s="132"/>
      <c r="AB1013" s="132"/>
    </row>
    <row r="1014" spans="1:28" s="133" customFormat="1" ht="15" customHeight="1" outlineLevel="1" x14ac:dyDescent="0.2">
      <c r="A1014" s="134">
        <v>14</v>
      </c>
      <c r="B1014" s="134">
        <v>33598</v>
      </c>
      <c r="C1014" s="135">
        <v>41828</v>
      </c>
      <c r="D1014" s="136" t="s">
        <v>1559</v>
      </c>
      <c r="E1014" s="134" t="s">
        <v>542</v>
      </c>
      <c r="F1014" s="137" t="s">
        <v>619</v>
      </c>
      <c r="G1014" s="138" t="s">
        <v>366</v>
      </c>
      <c r="H1014" s="139"/>
      <c r="I1014" s="140">
        <v>1</v>
      </c>
      <c r="J1014" s="141">
        <v>15722</v>
      </c>
      <c r="K1014" s="141">
        <v>15722</v>
      </c>
      <c r="L1014" s="674"/>
      <c r="M1014" s="186" t="s">
        <v>37</v>
      </c>
      <c r="N1014" s="131"/>
      <c r="O1014" s="132"/>
      <c r="P1014" s="132"/>
      <c r="Q1014" s="132"/>
      <c r="R1014" s="132"/>
      <c r="S1014" s="132"/>
      <c r="T1014" s="132"/>
      <c r="U1014" s="132"/>
      <c r="V1014" s="132"/>
      <c r="W1014" s="132"/>
      <c r="X1014" s="132"/>
      <c r="Y1014" s="132"/>
      <c r="Z1014" s="132"/>
      <c r="AA1014" s="132"/>
      <c r="AB1014" s="132"/>
    </row>
    <row r="1015" spans="1:28" s="133" customFormat="1" ht="15" customHeight="1" outlineLevel="1" x14ac:dyDescent="0.2">
      <c r="A1015" s="134">
        <v>23</v>
      </c>
      <c r="B1015" s="134">
        <v>35777</v>
      </c>
      <c r="C1015" s="135">
        <v>41837</v>
      </c>
      <c r="D1015" s="136" t="s">
        <v>1561</v>
      </c>
      <c r="E1015" s="134" t="s">
        <v>1550</v>
      </c>
      <c r="F1015" s="137" t="s">
        <v>619</v>
      </c>
      <c r="G1015" s="138" t="s">
        <v>366</v>
      </c>
      <c r="H1015" s="139"/>
      <c r="I1015" s="140">
        <v>1</v>
      </c>
      <c r="J1015" s="141">
        <v>15722</v>
      </c>
      <c r="K1015" s="141">
        <v>15722</v>
      </c>
      <c r="L1015" s="674"/>
      <c r="M1015" s="186" t="s">
        <v>37</v>
      </c>
      <c r="N1015" s="131"/>
      <c r="O1015" s="132"/>
      <c r="P1015" s="132"/>
      <c r="Q1015" s="132"/>
      <c r="R1015" s="132"/>
      <c r="S1015" s="132"/>
      <c r="T1015" s="132"/>
      <c r="U1015" s="132"/>
      <c r="V1015" s="132"/>
      <c r="W1015" s="132"/>
      <c r="X1015" s="132"/>
      <c r="Y1015" s="132"/>
      <c r="Z1015" s="132"/>
      <c r="AA1015" s="132"/>
      <c r="AB1015" s="132"/>
    </row>
    <row r="1016" spans="1:28" s="133" customFormat="1" ht="15" customHeight="1" outlineLevel="1" x14ac:dyDescent="0.2">
      <c r="A1016" s="134">
        <v>15</v>
      </c>
      <c r="B1016" s="134">
        <v>35777</v>
      </c>
      <c r="C1016" s="135">
        <v>41837</v>
      </c>
      <c r="D1016" s="136" t="s">
        <v>1561</v>
      </c>
      <c r="E1016" s="134" t="s">
        <v>1550</v>
      </c>
      <c r="F1016" s="137" t="s">
        <v>215</v>
      </c>
      <c r="G1016" s="138" t="s">
        <v>384</v>
      </c>
      <c r="H1016" s="139"/>
      <c r="I1016" s="140">
        <v>2</v>
      </c>
      <c r="J1016" s="141">
        <v>44597</v>
      </c>
      <c r="K1016" s="141">
        <v>89194</v>
      </c>
      <c r="L1016" s="675"/>
      <c r="M1016" s="186" t="s">
        <v>37</v>
      </c>
      <c r="N1016" s="131"/>
      <c r="O1016" s="132"/>
      <c r="P1016" s="132"/>
      <c r="Q1016" s="132"/>
      <c r="R1016" s="132"/>
      <c r="S1016" s="132"/>
      <c r="T1016" s="132"/>
      <c r="U1016" s="132"/>
      <c r="V1016" s="132"/>
      <c r="W1016" s="132"/>
      <c r="X1016" s="132"/>
      <c r="Y1016" s="132"/>
      <c r="Z1016" s="132"/>
      <c r="AA1016" s="132"/>
      <c r="AB1016" s="132"/>
    </row>
    <row r="1017" spans="1:28" s="133" customFormat="1" ht="15" customHeight="1" outlineLevel="1" x14ac:dyDescent="0.2">
      <c r="A1017" s="134">
        <v>1</v>
      </c>
      <c r="B1017" s="134">
        <v>45282</v>
      </c>
      <c r="C1017" s="135">
        <v>41872</v>
      </c>
      <c r="D1017" s="136" t="s">
        <v>1562</v>
      </c>
      <c r="E1017" s="134" t="s">
        <v>542</v>
      </c>
      <c r="F1017" s="137" t="s">
        <v>534</v>
      </c>
      <c r="G1017" s="138" t="s">
        <v>469</v>
      </c>
      <c r="H1017" s="139"/>
      <c r="I1017" s="140">
        <v>1</v>
      </c>
      <c r="J1017" s="141">
        <v>30429</v>
      </c>
      <c r="K1017" s="141">
        <v>30429</v>
      </c>
      <c r="L1017" s="666" t="s">
        <v>785</v>
      </c>
      <c r="M1017" s="186" t="s">
        <v>37</v>
      </c>
      <c r="N1017" s="131"/>
      <c r="O1017" s="132"/>
      <c r="P1017" s="132"/>
      <c r="Q1017" s="132"/>
      <c r="R1017" s="132"/>
      <c r="S1017" s="132"/>
      <c r="T1017" s="132"/>
      <c r="U1017" s="132"/>
      <c r="V1017" s="132"/>
      <c r="W1017" s="132"/>
      <c r="X1017" s="132"/>
      <c r="Y1017" s="132"/>
      <c r="Z1017" s="132"/>
      <c r="AA1017" s="132"/>
      <c r="AB1017" s="132"/>
    </row>
    <row r="1018" spans="1:28" s="133" customFormat="1" ht="15" customHeight="1" outlineLevel="1" x14ac:dyDescent="0.2">
      <c r="A1018" s="134">
        <v>2</v>
      </c>
      <c r="B1018" s="134">
        <v>45743</v>
      </c>
      <c r="C1018" s="135">
        <v>41873</v>
      </c>
      <c r="D1018" s="136" t="s">
        <v>1563</v>
      </c>
      <c r="E1018" s="134" t="s">
        <v>518</v>
      </c>
      <c r="F1018" s="137" t="s">
        <v>195</v>
      </c>
      <c r="G1018" s="138" t="s">
        <v>1564</v>
      </c>
      <c r="H1018" s="139"/>
      <c r="I1018" s="140">
        <v>5</v>
      </c>
      <c r="J1018" s="141">
        <v>2739</v>
      </c>
      <c r="K1018" s="141">
        <v>13695</v>
      </c>
      <c r="L1018" s="667"/>
      <c r="M1018" s="186" t="s">
        <v>37</v>
      </c>
      <c r="N1018" s="131"/>
      <c r="O1018" s="132"/>
      <c r="P1018" s="132"/>
      <c r="Q1018" s="132"/>
      <c r="R1018" s="132"/>
      <c r="S1018" s="132"/>
      <c r="T1018" s="132"/>
      <c r="U1018" s="132"/>
      <c r="V1018" s="132"/>
      <c r="W1018" s="132"/>
      <c r="X1018" s="132"/>
      <c r="Y1018" s="132"/>
      <c r="Z1018" s="132"/>
      <c r="AA1018" s="132"/>
      <c r="AB1018" s="132"/>
    </row>
    <row r="1019" spans="1:28" s="133" customFormat="1" ht="15" customHeight="1" outlineLevel="1" x14ac:dyDescent="0.2">
      <c r="A1019" s="134">
        <v>3</v>
      </c>
      <c r="B1019" s="134">
        <v>47951</v>
      </c>
      <c r="C1019" s="135">
        <v>41880</v>
      </c>
      <c r="D1019" s="136" t="s">
        <v>1565</v>
      </c>
      <c r="E1019" s="134" t="s">
        <v>542</v>
      </c>
      <c r="F1019" s="137" t="s">
        <v>114</v>
      </c>
      <c r="G1019" s="138" t="s">
        <v>531</v>
      </c>
      <c r="H1019" s="139"/>
      <c r="I1019" s="140">
        <v>1</v>
      </c>
      <c r="J1019" s="141">
        <v>33370</v>
      </c>
      <c r="K1019" s="141">
        <v>33370</v>
      </c>
      <c r="L1019" s="667"/>
      <c r="M1019" s="186" t="s">
        <v>37</v>
      </c>
      <c r="N1019" s="131"/>
      <c r="O1019" s="132"/>
      <c r="P1019" s="132"/>
      <c r="Q1019" s="132"/>
      <c r="R1019" s="132"/>
      <c r="S1019" s="132"/>
      <c r="T1019" s="132"/>
      <c r="U1019" s="132"/>
      <c r="V1019" s="132"/>
      <c r="W1019" s="132"/>
      <c r="X1019" s="132"/>
      <c r="Y1019" s="132"/>
      <c r="Z1019" s="132"/>
      <c r="AA1019" s="132"/>
      <c r="AB1019" s="132"/>
    </row>
    <row r="1020" spans="1:28" s="133" customFormat="1" ht="15" customHeight="1" outlineLevel="1" x14ac:dyDescent="0.2">
      <c r="A1020" s="134">
        <v>4</v>
      </c>
      <c r="B1020" s="134">
        <v>41426</v>
      </c>
      <c r="C1020" s="135">
        <v>41858</v>
      </c>
      <c r="D1020" s="136" t="s">
        <v>1566</v>
      </c>
      <c r="E1020" s="134" t="s">
        <v>1550</v>
      </c>
      <c r="F1020" s="137" t="s">
        <v>679</v>
      </c>
      <c r="G1020" s="138" t="s">
        <v>384</v>
      </c>
      <c r="H1020" s="139"/>
      <c r="I1020" s="140">
        <v>2</v>
      </c>
      <c r="J1020" s="141">
        <v>55058</v>
      </c>
      <c r="K1020" s="141" t="s">
        <v>1567</v>
      </c>
      <c r="L1020" s="667"/>
      <c r="M1020" s="186" t="s">
        <v>37</v>
      </c>
      <c r="N1020" s="131"/>
      <c r="O1020" s="132"/>
      <c r="P1020" s="132"/>
      <c r="Q1020" s="132"/>
      <c r="R1020" s="132"/>
      <c r="S1020" s="132"/>
      <c r="T1020" s="132"/>
      <c r="U1020" s="132"/>
      <c r="V1020" s="132"/>
      <c r="W1020" s="132"/>
      <c r="X1020" s="132"/>
      <c r="Y1020" s="132"/>
      <c r="Z1020" s="132"/>
      <c r="AA1020" s="132"/>
      <c r="AB1020" s="132"/>
    </row>
    <row r="1021" spans="1:28" s="133" customFormat="1" ht="15" customHeight="1" outlineLevel="1" x14ac:dyDescent="0.2">
      <c r="A1021" s="134">
        <v>5</v>
      </c>
      <c r="B1021" s="134">
        <v>40692</v>
      </c>
      <c r="C1021" s="135">
        <v>41858</v>
      </c>
      <c r="D1021" s="136" t="s">
        <v>1568</v>
      </c>
      <c r="E1021" s="134" t="s">
        <v>1550</v>
      </c>
      <c r="F1021" s="137" t="s">
        <v>679</v>
      </c>
      <c r="G1021" s="138" t="s">
        <v>366</v>
      </c>
      <c r="H1021" s="139"/>
      <c r="I1021" s="140">
        <v>1</v>
      </c>
      <c r="J1021" s="141">
        <v>55058</v>
      </c>
      <c r="K1021" s="141">
        <v>55058</v>
      </c>
      <c r="L1021" s="667"/>
      <c r="M1021" s="186" t="s">
        <v>37</v>
      </c>
      <c r="N1021" s="131"/>
      <c r="O1021" s="132"/>
      <c r="P1021" s="132"/>
      <c r="Q1021" s="132"/>
      <c r="R1021" s="132"/>
      <c r="S1021" s="132"/>
      <c r="T1021" s="132"/>
      <c r="U1021" s="132"/>
      <c r="V1021" s="132"/>
      <c r="W1021" s="132"/>
      <c r="X1021" s="132"/>
      <c r="Y1021" s="132"/>
      <c r="Z1021" s="132"/>
      <c r="AA1021" s="132"/>
      <c r="AB1021" s="132"/>
    </row>
    <row r="1022" spans="1:28" s="133" customFormat="1" ht="15" customHeight="1" outlineLevel="1" x14ac:dyDescent="0.2">
      <c r="A1022" s="134">
        <v>6</v>
      </c>
      <c r="B1022" s="134">
        <v>46268</v>
      </c>
      <c r="C1022" s="135">
        <v>41876</v>
      </c>
      <c r="D1022" s="136" t="s">
        <v>1569</v>
      </c>
      <c r="E1022" s="134" t="s">
        <v>542</v>
      </c>
      <c r="F1022" s="137" t="s">
        <v>1298</v>
      </c>
      <c r="G1022" s="138" t="s">
        <v>368</v>
      </c>
      <c r="H1022" s="139"/>
      <c r="I1022" s="140">
        <v>1</v>
      </c>
      <c r="J1022" s="141">
        <v>35501</v>
      </c>
      <c r="K1022" s="141">
        <v>35501</v>
      </c>
      <c r="L1022" s="667"/>
      <c r="M1022" s="186" t="s">
        <v>37</v>
      </c>
      <c r="N1022" s="131"/>
      <c r="O1022" s="132"/>
      <c r="P1022" s="132"/>
      <c r="Q1022" s="132"/>
      <c r="R1022" s="132"/>
      <c r="S1022" s="132"/>
      <c r="T1022" s="132"/>
      <c r="U1022" s="132"/>
      <c r="V1022" s="132"/>
      <c r="W1022" s="132"/>
      <c r="X1022" s="132"/>
      <c r="Y1022" s="132"/>
      <c r="Z1022" s="132"/>
      <c r="AA1022" s="132"/>
      <c r="AB1022" s="132"/>
    </row>
    <row r="1023" spans="1:28" s="133" customFormat="1" ht="15" customHeight="1" outlineLevel="1" x14ac:dyDescent="0.2">
      <c r="A1023" s="134">
        <v>7</v>
      </c>
      <c r="B1023" s="134">
        <v>42215</v>
      </c>
      <c r="C1023" s="135">
        <v>41862</v>
      </c>
      <c r="D1023" s="136" t="s">
        <v>1570</v>
      </c>
      <c r="E1023" s="134" t="s">
        <v>518</v>
      </c>
      <c r="F1023" s="137" t="s">
        <v>208</v>
      </c>
      <c r="G1023" s="138" t="s">
        <v>524</v>
      </c>
      <c r="H1023" s="139"/>
      <c r="I1023" s="140">
        <v>1</v>
      </c>
      <c r="J1023" s="141">
        <v>14099</v>
      </c>
      <c r="K1023" s="141">
        <v>14099</v>
      </c>
      <c r="L1023" s="667"/>
      <c r="M1023" s="186" t="s">
        <v>37</v>
      </c>
      <c r="N1023" s="131"/>
      <c r="O1023" s="132"/>
      <c r="P1023" s="132"/>
      <c r="Q1023" s="132"/>
      <c r="R1023" s="132"/>
      <c r="S1023" s="132"/>
      <c r="T1023" s="132"/>
      <c r="U1023" s="132"/>
      <c r="V1023" s="132"/>
      <c r="W1023" s="132"/>
      <c r="X1023" s="132"/>
      <c r="Y1023" s="132"/>
      <c r="Z1023" s="132"/>
      <c r="AA1023" s="132"/>
      <c r="AB1023" s="132"/>
    </row>
    <row r="1024" spans="1:28" s="133" customFormat="1" ht="15" customHeight="1" outlineLevel="1" x14ac:dyDescent="0.2">
      <c r="A1024" s="134">
        <v>8</v>
      </c>
      <c r="B1024" s="134">
        <v>46287</v>
      </c>
      <c r="C1024" s="135">
        <v>41785</v>
      </c>
      <c r="D1024" s="136" t="s">
        <v>1570</v>
      </c>
      <c r="E1024" s="134" t="s">
        <v>518</v>
      </c>
      <c r="F1024" s="137" t="s">
        <v>190</v>
      </c>
      <c r="G1024" s="138" t="s">
        <v>524</v>
      </c>
      <c r="H1024" s="139"/>
      <c r="I1024" s="140">
        <v>1</v>
      </c>
      <c r="J1024" s="141">
        <v>57960</v>
      </c>
      <c r="K1024" s="141">
        <v>57960</v>
      </c>
      <c r="L1024" s="667"/>
      <c r="M1024" s="186" t="s">
        <v>37</v>
      </c>
      <c r="N1024" s="131"/>
      <c r="O1024" s="132"/>
      <c r="P1024" s="132"/>
      <c r="Q1024" s="132"/>
      <c r="R1024" s="132"/>
      <c r="S1024" s="132"/>
      <c r="T1024" s="132"/>
      <c r="U1024" s="132"/>
      <c r="V1024" s="132"/>
      <c r="W1024" s="132"/>
      <c r="X1024" s="132"/>
      <c r="Y1024" s="132"/>
      <c r="Z1024" s="132"/>
      <c r="AA1024" s="132"/>
      <c r="AB1024" s="132"/>
    </row>
    <row r="1025" spans="1:28" s="133" customFormat="1" ht="15" customHeight="1" outlineLevel="1" x14ac:dyDescent="0.2">
      <c r="A1025" s="134">
        <v>9</v>
      </c>
      <c r="B1025" s="134">
        <v>46908</v>
      </c>
      <c r="C1025" s="135">
        <v>41878</v>
      </c>
      <c r="D1025" s="136" t="s">
        <v>1571</v>
      </c>
      <c r="E1025" s="134" t="s">
        <v>1550</v>
      </c>
      <c r="F1025" s="137" t="s">
        <v>534</v>
      </c>
      <c r="G1025" s="138" t="s">
        <v>524</v>
      </c>
      <c r="H1025" s="139"/>
      <c r="I1025" s="140">
        <v>1</v>
      </c>
      <c r="J1025" s="141">
        <v>30429</v>
      </c>
      <c r="K1025" s="141">
        <v>30429</v>
      </c>
      <c r="L1025" s="667"/>
      <c r="M1025" s="186" t="s">
        <v>37</v>
      </c>
      <c r="N1025" s="131"/>
      <c r="O1025" s="132"/>
      <c r="P1025" s="132"/>
      <c r="Q1025" s="132"/>
      <c r="R1025" s="132"/>
      <c r="S1025" s="132"/>
      <c r="T1025" s="132"/>
      <c r="U1025" s="132"/>
      <c r="V1025" s="132"/>
      <c r="W1025" s="132"/>
      <c r="X1025" s="132"/>
      <c r="Y1025" s="132"/>
      <c r="Z1025" s="132"/>
      <c r="AA1025" s="132"/>
      <c r="AB1025" s="132"/>
    </row>
    <row r="1026" spans="1:28" s="133" customFormat="1" ht="15" customHeight="1" outlineLevel="1" x14ac:dyDescent="0.2">
      <c r="A1026" s="134">
        <v>10</v>
      </c>
      <c r="B1026" s="134">
        <v>45517</v>
      </c>
      <c r="C1026" s="135">
        <v>41872</v>
      </c>
      <c r="D1026" s="136" t="s">
        <v>1572</v>
      </c>
      <c r="E1026" s="134" t="s">
        <v>1550</v>
      </c>
      <c r="F1026" s="137" t="s">
        <v>114</v>
      </c>
      <c r="G1026" s="138" t="s">
        <v>439</v>
      </c>
      <c r="H1026" s="139"/>
      <c r="I1026" s="140">
        <v>1</v>
      </c>
      <c r="J1026" s="141">
        <v>33370</v>
      </c>
      <c r="K1026" s="141">
        <v>33370</v>
      </c>
      <c r="L1026" s="667"/>
      <c r="M1026" s="186" t="s">
        <v>37</v>
      </c>
      <c r="N1026" s="131"/>
      <c r="O1026" s="132"/>
      <c r="P1026" s="132"/>
      <c r="Q1026" s="132"/>
      <c r="R1026" s="132"/>
      <c r="S1026" s="132"/>
      <c r="T1026" s="132"/>
      <c r="U1026" s="132"/>
      <c r="V1026" s="132"/>
      <c r="W1026" s="132"/>
      <c r="X1026" s="132"/>
      <c r="Y1026" s="132"/>
      <c r="Z1026" s="132"/>
      <c r="AA1026" s="132"/>
      <c r="AB1026" s="132"/>
    </row>
    <row r="1027" spans="1:28" s="133" customFormat="1" ht="15" customHeight="1" outlineLevel="1" x14ac:dyDescent="0.2">
      <c r="A1027" s="134">
        <v>11</v>
      </c>
      <c r="B1027" s="134">
        <v>45327</v>
      </c>
      <c r="C1027" s="135">
        <v>41872</v>
      </c>
      <c r="D1027" s="136" t="s">
        <v>1573</v>
      </c>
      <c r="E1027" s="134" t="s">
        <v>542</v>
      </c>
      <c r="F1027" s="137" t="s">
        <v>534</v>
      </c>
      <c r="G1027" s="138" t="s">
        <v>524</v>
      </c>
      <c r="H1027" s="139"/>
      <c r="I1027" s="140">
        <v>1</v>
      </c>
      <c r="J1027" s="141">
        <v>30429</v>
      </c>
      <c r="K1027" s="141">
        <v>30429</v>
      </c>
      <c r="L1027" s="667"/>
      <c r="M1027" s="186" t="s">
        <v>37</v>
      </c>
      <c r="N1027" s="131"/>
      <c r="O1027" s="132"/>
      <c r="P1027" s="132"/>
      <c r="Q1027" s="132"/>
      <c r="R1027" s="132"/>
      <c r="S1027" s="132"/>
      <c r="T1027" s="132"/>
      <c r="U1027" s="132"/>
      <c r="V1027" s="132"/>
      <c r="W1027" s="132"/>
      <c r="X1027" s="132"/>
      <c r="Y1027" s="132"/>
      <c r="Z1027" s="132"/>
      <c r="AA1027" s="132"/>
      <c r="AB1027" s="132"/>
    </row>
    <row r="1028" spans="1:28" s="133" customFormat="1" ht="15" customHeight="1" outlineLevel="1" x14ac:dyDescent="0.2">
      <c r="A1028" s="134">
        <v>12</v>
      </c>
      <c r="B1028" s="134">
        <v>43683</v>
      </c>
      <c r="C1028" s="135">
        <v>41868</v>
      </c>
      <c r="D1028" s="136" t="s">
        <v>1574</v>
      </c>
      <c r="E1028" s="134" t="s">
        <v>518</v>
      </c>
      <c r="F1028" s="137" t="s">
        <v>114</v>
      </c>
      <c r="G1028" s="138" t="s">
        <v>428</v>
      </c>
      <c r="H1028" s="139"/>
      <c r="I1028" s="140">
        <v>1</v>
      </c>
      <c r="J1028" s="141">
        <v>33370</v>
      </c>
      <c r="K1028" s="141">
        <v>33370</v>
      </c>
      <c r="L1028" s="667"/>
      <c r="M1028" s="186" t="s">
        <v>37</v>
      </c>
      <c r="N1028" s="131"/>
      <c r="O1028" s="132"/>
      <c r="P1028" s="132"/>
      <c r="Q1028" s="132"/>
      <c r="R1028" s="132"/>
      <c r="S1028" s="132"/>
      <c r="T1028" s="132"/>
      <c r="U1028" s="132"/>
      <c r="V1028" s="132"/>
      <c r="W1028" s="132"/>
      <c r="X1028" s="132"/>
      <c r="Y1028" s="132"/>
      <c r="Z1028" s="132"/>
      <c r="AA1028" s="132"/>
      <c r="AB1028" s="132"/>
    </row>
    <row r="1029" spans="1:28" s="133" customFormat="1" ht="15" customHeight="1" outlineLevel="1" x14ac:dyDescent="0.2">
      <c r="A1029" s="134">
        <v>13</v>
      </c>
      <c r="B1029" s="134">
        <v>47589</v>
      </c>
      <c r="C1029" s="135">
        <v>41878</v>
      </c>
      <c r="D1029" s="136" t="s">
        <v>1575</v>
      </c>
      <c r="E1029" s="134" t="s">
        <v>518</v>
      </c>
      <c r="F1029" s="137" t="s">
        <v>1576</v>
      </c>
      <c r="G1029" s="138" t="s">
        <v>428</v>
      </c>
      <c r="H1029" s="139"/>
      <c r="I1029" s="140">
        <v>1</v>
      </c>
      <c r="J1029" s="141">
        <v>63583</v>
      </c>
      <c r="K1029" s="141">
        <v>63583</v>
      </c>
      <c r="L1029" s="667"/>
      <c r="M1029" s="186" t="s">
        <v>37</v>
      </c>
      <c r="N1029" s="131"/>
      <c r="O1029" s="132"/>
      <c r="P1029" s="132"/>
      <c r="Q1029" s="132"/>
      <c r="R1029" s="132"/>
      <c r="S1029" s="132"/>
      <c r="T1029" s="132"/>
      <c r="U1029" s="132"/>
      <c r="V1029" s="132"/>
      <c r="W1029" s="132"/>
      <c r="X1029" s="132"/>
      <c r="Y1029" s="132"/>
      <c r="Z1029" s="132"/>
      <c r="AA1029" s="132"/>
      <c r="AB1029" s="132"/>
    </row>
    <row r="1030" spans="1:28" s="133" customFormat="1" ht="15" customHeight="1" outlineLevel="1" x14ac:dyDescent="0.2">
      <c r="A1030" s="134">
        <v>14</v>
      </c>
      <c r="B1030" s="134">
        <v>45058</v>
      </c>
      <c r="C1030" s="135">
        <v>41872</v>
      </c>
      <c r="D1030" s="136" t="s">
        <v>1577</v>
      </c>
      <c r="E1030" s="134" t="s">
        <v>542</v>
      </c>
      <c r="F1030" s="137" t="s">
        <v>233</v>
      </c>
      <c r="G1030" s="138" t="s">
        <v>366</v>
      </c>
      <c r="H1030" s="139"/>
      <c r="I1030" s="140">
        <v>1</v>
      </c>
      <c r="J1030" s="141">
        <v>12499</v>
      </c>
      <c r="K1030" s="141">
        <v>12499</v>
      </c>
      <c r="L1030" s="667"/>
      <c r="M1030" s="186" t="s">
        <v>37</v>
      </c>
      <c r="N1030" s="131"/>
      <c r="O1030" s="132"/>
      <c r="P1030" s="132"/>
      <c r="Q1030" s="132"/>
      <c r="R1030" s="132"/>
      <c r="S1030" s="132"/>
      <c r="T1030" s="132"/>
      <c r="U1030" s="132"/>
      <c r="V1030" s="132"/>
      <c r="W1030" s="132"/>
      <c r="X1030" s="132"/>
      <c r="Y1030" s="132"/>
      <c r="Z1030" s="132"/>
      <c r="AA1030" s="132"/>
      <c r="AB1030" s="132"/>
    </row>
    <row r="1031" spans="1:28" s="133" customFormat="1" ht="15" customHeight="1" outlineLevel="1" x14ac:dyDescent="0.2">
      <c r="A1031" s="134">
        <v>15</v>
      </c>
      <c r="B1031" s="134">
        <v>42939</v>
      </c>
      <c r="C1031" s="135">
        <v>41870</v>
      </c>
      <c r="D1031" s="136" t="s">
        <v>1578</v>
      </c>
      <c r="E1031" s="134" t="s">
        <v>1550</v>
      </c>
      <c r="F1031" s="137" t="s">
        <v>190</v>
      </c>
      <c r="G1031" s="138" t="s">
        <v>527</v>
      </c>
      <c r="H1031" s="139"/>
      <c r="I1031" s="140">
        <v>1</v>
      </c>
      <c r="J1031" s="141">
        <v>57960</v>
      </c>
      <c r="K1031" s="141">
        <v>57960</v>
      </c>
      <c r="L1031" s="667"/>
      <c r="M1031" s="186" t="s">
        <v>37</v>
      </c>
      <c r="N1031" s="131"/>
      <c r="O1031" s="132"/>
      <c r="P1031" s="132"/>
      <c r="Q1031" s="132"/>
      <c r="R1031" s="132"/>
      <c r="S1031" s="132"/>
      <c r="T1031" s="132"/>
      <c r="U1031" s="132"/>
      <c r="V1031" s="132"/>
      <c r="W1031" s="132"/>
      <c r="X1031" s="132"/>
      <c r="Y1031" s="132"/>
      <c r="Z1031" s="132"/>
      <c r="AA1031" s="132"/>
      <c r="AB1031" s="132"/>
    </row>
    <row r="1032" spans="1:28" s="133" customFormat="1" ht="15" customHeight="1" outlineLevel="1" x14ac:dyDescent="0.2">
      <c r="A1032" s="134">
        <v>16</v>
      </c>
      <c r="B1032" s="134">
        <v>42720</v>
      </c>
      <c r="C1032" s="135">
        <v>41864</v>
      </c>
      <c r="D1032" s="136" t="s">
        <v>1579</v>
      </c>
      <c r="E1032" s="134" t="s">
        <v>1550</v>
      </c>
      <c r="F1032" s="137" t="s">
        <v>534</v>
      </c>
      <c r="G1032" s="138" t="s">
        <v>591</v>
      </c>
      <c r="H1032" s="139"/>
      <c r="I1032" s="140">
        <v>1</v>
      </c>
      <c r="J1032" s="141">
        <v>30429</v>
      </c>
      <c r="K1032" s="141">
        <v>30429</v>
      </c>
      <c r="L1032" s="667"/>
      <c r="M1032" s="186" t="s">
        <v>37</v>
      </c>
      <c r="N1032" s="131"/>
      <c r="O1032" s="132"/>
      <c r="P1032" s="132"/>
      <c r="Q1032" s="132"/>
      <c r="R1032" s="132"/>
      <c r="S1032" s="132"/>
      <c r="T1032" s="132"/>
      <c r="U1032" s="132"/>
      <c r="V1032" s="132"/>
      <c r="W1032" s="132"/>
      <c r="X1032" s="132"/>
      <c r="Y1032" s="132"/>
      <c r="Z1032" s="132"/>
      <c r="AA1032" s="132"/>
      <c r="AB1032" s="132"/>
    </row>
    <row r="1033" spans="1:28" s="133" customFormat="1" ht="15" customHeight="1" outlineLevel="1" x14ac:dyDescent="0.2">
      <c r="A1033" s="134">
        <v>17</v>
      </c>
      <c r="B1033" s="134">
        <v>42047</v>
      </c>
      <c r="C1033" s="135">
        <v>41862</v>
      </c>
      <c r="D1033" s="136" t="s">
        <v>1580</v>
      </c>
      <c r="E1033" s="134" t="s">
        <v>542</v>
      </c>
      <c r="F1033" s="137" t="s">
        <v>215</v>
      </c>
      <c r="G1033" s="138" t="s">
        <v>366</v>
      </c>
      <c r="H1033" s="139"/>
      <c r="I1033" s="140">
        <v>1</v>
      </c>
      <c r="J1033" s="141">
        <v>44597</v>
      </c>
      <c r="K1033" s="141">
        <v>44597</v>
      </c>
      <c r="L1033" s="668"/>
      <c r="M1033" s="186" t="s">
        <v>37</v>
      </c>
      <c r="N1033" s="131"/>
      <c r="O1033" s="132"/>
      <c r="P1033" s="132"/>
      <c r="Q1033" s="132"/>
      <c r="R1033" s="132"/>
      <c r="S1033" s="132"/>
      <c r="T1033" s="132"/>
      <c r="U1033" s="132"/>
      <c r="V1033" s="132"/>
      <c r="W1033" s="132"/>
      <c r="X1033" s="132"/>
      <c r="Y1033" s="132"/>
      <c r="Z1033" s="132"/>
      <c r="AA1033" s="132"/>
      <c r="AB1033" s="132"/>
    </row>
    <row r="1034" spans="1:28" s="133" customFormat="1" ht="15" customHeight="1" outlineLevel="1" x14ac:dyDescent="0.2">
      <c r="A1034" s="134">
        <v>1</v>
      </c>
      <c r="B1034" s="134">
        <v>51400</v>
      </c>
      <c r="C1034" s="135">
        <v>41892</v>
      </c>
      <c r="D1034" s="136" t="s">
        <v>1581</v>
      </c>
      <c r="E1034" s="134" t="s">
        <v>542</v>
      </c>
      <c r="F1034" s="137" t="s">
        <v>534</v>
      </c>
      <c r="G1034" s="138" t="s">
        <v>469</v>
      </c>
      <c r="H1034" s="139"/>
      <c r="I1034" s="140">
        <v>1</v>
      </c>
      <c r="J1034" s="141">
        <v>30429</v>
      </c>
      <c r="K1034" s="141">
        <v>30429</v>
      </c>
      <c r="L1034" s="181" t="s">
        <v>614</v>
      </c>
      <c r="M1034" s="186" t="s">
        <v>37</v>
      </c>
      <c r="N1034" s="131"/>
      <c r="O1034" s="132"/>
      <c r="P1034" s="132"/>
      <c r="Q1034" s="132"/>
      <c r="R1034" s="132"/>
      <c r="S1034" s="132"/>
      <c r="T1034" s="132"/>
      <c r="U1034" s="132"/>
      <c r="V1034" s="132"/>
      <c r="W1034" s="132"/>
      <c r="X1034" s="132"/>
      <c r="Y1034" s="132"/>
      <c r="Z1034" s="132"/>
      <c r="AA1034" s="132"/>
      <c r="AB1034" s="132"/>
    </row>
    <row r="1035" spans="1:28" s="133" customFormat="1" ht="15" customHeight="1" outlineLevel="1" x14ac:dyDescent="0.2">
      <c r="A1035" s="134">
        <v>2</v>
      </c>
      <c r="B1035" s="134">
        <v>50578</v>
      </c>
      <c r="C1035" s="135">
        <v>41890</v>
      </c>
      <c r="D1035" s="136" t="s">
        <v>1582</v>
      </c>
      <c r="E1035" s="134" t="s">
        <v>542</v>
      </c>
      <c r="F1035" s="137" t="s">
        <v>215</v>
      </c>
      <c r="G1035" s="138" t="s">
        <v>368</v>
      </c>
      <c r="H1035" s="139"/>
      <c r="I1035" s="140">
        <v>1</v>
      </c>
      <c r="J1035" s="141">
        <v>44597</v>
      </c>
      <c r="K1035" s="141">
        <v>44597</v>
      </c>
      <c r="L1035" s="181" t="s">
        <v>614</v>
      </c>
      <c r="M1035" s="186" t="s">
        <v>37</v>
      </c>
      <c r="N1035" s="131"/>
      <c r="O1035" s="132"/>
      <c r="P1035" s="132"/>
      <c r="Q1035" s="132"/>
      <c r="R1035" s="132"/>
      <c r="S1035" s="132"/>
      <c r="T1035" s="132"/>
      <c r="U1035" s="132"/>
      <c r="V1035" s="132"/>
      <c r="W1035" s="132"/>
      <c r="X1035" s="132"/>
      <c r="Y1035" s="132"/>
      <c r="Z1035" s="132"/>
      <c r="AA1035" s="132"/>
      <c r="AB1035" s="132"/>
    </row>
    <row r="1036" spans="1:28" s="133" customFormat="1" ht="15" customHeight="1" outlineLevel="1" x14ac:dyDescent="0.2">
      <c r="A1036" s="134">
        <v>3</v>
      </c>
      <c r="B1036" s="134">
        <v>53454</v>
      </c>
      <c r="C1036" s="135">
        <v>41898</v>
      </c>
      <c r="D1036" s="136" t="s">
        <v>1582</v>
      </c>
      <c r="E1036" s="134" t="s">
        <v>542</v>
      </c>
      <c r="F1036" s="137" t="s">
        <v>619</v>
      </c>
      <c r="G1036" s="138" t="s">
        <v>368</v>
      </c>
      <c r="H1036" s="139"/>
      <c r="I1036" s="140">
        <v>1</v>
      </c>
      <c r="J1036" s="141">
        <v>15722</v>
      </c>
      <c r="K1036" s="141">
        <v>15722</v>
      </c>
      <c r="L1036" s="181" t="s">
        <v>614</v>
      </c>
      <c r="M1036" s="186" t="s">
        <v>37</v>
      </c>
      <c r="N1036" s="131"/>
      <c r="O1036" s="132"/>
      <c r="P1036" s="132"/>
      <c r="Q1036" s="132"/>
      <c r="R1036" s="132"/>
      <c r="S1036" s="132"/>
      <c r="T1036" s="132"/>
      <c r="U1036" s="132"/>
      <c r="V1036" s="132"/>
      <c r="W1036" s="132"/>
      <c r="X1036" s="132"/>
      <c r="Y1036" s="132"/>
      <c r="Z1036" s="132"/>
      <c r="AA1036" s="132"/>
      <c r="AB1036" s="132"/>
    </row>
    <row r="1037" spans="1:28" s="133" customFormat="1" ht="15" customHeight="1" outlineLevel="1" x14ac:dyDescent="0.2">
      <c r="A1037" s="134">
        <v>4</v>
      </c>
      <c r="B1037" s="134">
        <v>49233</v>
      </c>
      <c r="C1037" s="135">
        <v>41884</v>
      </c>
      <c r="D1037" s="136" t="s">
        <v>1583</v>
      </c>
      <c r="E1037" s="134" t="s">
        <v>518</v>
      </c>
      <c r="F1037" s="137" t="s">
        <v>1576</v>
      </c>
      <c r="G1037" s="138" t="s">
        <v>416</v>
      </c>
      <c r="H1037" s="139"/>
      <c r="I1037" s="140">
        <v>1</v>
      </c>
      <c r="J1037" s="141">
        <v>63583</v>
      </c>
      <c r="K1037" s="141">
        <v>63583</v>
      </c>
      <c r="L1037" s="181" t="s">
        <v>614</v>
      </c>
      <c r="M1037" s="186" t="s">
        <v>37</v>
      </c>
      <c r="N1037" s="131"/>
      <c r="O1037" s="132"/>
      <c r="P1037" s="132"/>
      <c r="Q1037" s="132"/>
      <c r="R1037" s="132"/>
      <c r="S1037" s="132"/>
      <c r="T1037" s="132"/>
      <c r="U1037" s="132"/>
      <c r="V1037" s="132"/>
      <c r="W1037" s="132"/>
      <c r="X1037" s="132"/>
      <c r="Y1037" s="132"/>
      <c r="Z1037" s="132"/>
      <c r="AA1037" s="132"/>
      <c r="AB1037" s="132"/>
    </row>
    <row r="1038" spans="1:28" s="133" customFormat="1" ht="15" customHeight="1" outlineLevel="1" x14ac:dyDescent="0.2">
      <c r="A1038" s="134">
        <v>5</v>
      </c>
      <c r="B1038" s="134">
        <v>52824</v>
      </c>
      <c r="C1038" s="135">
        <v>41897</v>
      </c>
      <c r="D1038" s="136" t="s">
        <v>1584</v>
      </c>
      <c r="E1038" s="134" t="s">
        <v>1550</v>
      </c>
      <c r="F1038" s="137" t="s">
        <v>190</v>
      </c>
      <c r="G1038" s="138" t="s">
        <v>404</v>
      </c>
      <c r="H1038" s="139"/>
      <c r="I1038" s="140">
        <v>1</v>
      </c>
      <c r="J1038" s="141">
        <v>57960</v>
      </c>
      <c r="K1038" s="141">
        <v>57960</v>
      </c>
      <c r="L1038" s="181" t="s">
        <v>614</v>
      </c>
      <c r="M1038" s="186" t="s">
        <v>37</v>
      </c>
      <c r="N1038" s="131"/>
      <c r="O1038" s="132"/>
      <c r="P1038" s="132"/>
      <c r="Q1038" s="132"/>
      <c r="R1038" s="132"/>
      <c r="S1038" s="132"/>
      <c r="T1038" s="132"/>
      <c r="U1038" s="132"/>
      <c r="V1038" s="132"/>
      <c r="W1038" s="132"/>
      <c r="X1038" s="132"/>
      <c r="Y1038" s="132"/>
      <c r="Z1038" s="132"/>
      <c r="AA1038" s="132"/>
      <c r="AB1038" s="132"/>
    </row>
    <row r="1039" spans="1:28" s="133" customFormat="1" ht="15" customHeight="1" outlineLevel="1" x14ac:dyDescent="0.2">
      <c r="A1039" s="134">
        <v>6</v>
      </c>
      <c r="B1039" s="134">
        <v>55225</v>
      </c>
      <c r="C1039" s="135">
        <v>41908</v>
      </c>
      <c r="D1039" s="136" t="s">
        <v>1585</v>
      </c>
      <c r="E1039" s="134" t="s">
        <v>542</v>
      </c>
      <c r="F1039" s="137" t="s">
        <v>215</v>
      </c>
      <c r="G1039" s="138" t="s">
        <v>368</v>
      </c>
      <c r="H1039" s="139"/>
      <c r="I1039" s="140">
        <v>1</v>
      </c>
      <c r="J1039" s="141">
        <v>44597</v>
      </c>
      <c r="K1039" s="141">
        <v>44597</v>
      </c>
      <c r="L1039" s="181" t="s">
        <v>614</v>
      </c>
      <c r="M1039" s="186" t="s">
        <v>37</v>
      </c>
      <c r="N1039" s="131"/>
      <c r="O1039" s="132"/>
      <c r="P1039" s="132"/>
      <c r="Q1039" s="132"/>
      <c r="R1039" s="132"/>
      <c r="S1039" s="132"/>
      <c r="T1039" s="132"/>
      <c r="U1039" s="132"/>
      <c r="V1039" s="132"/>
      <c r="W1039" s="132"/>
      <c r="X1039" s="132"/>
      <c r="Y1039" s="132"/>
      <c r="Z1039" s="132"/>
      <c r="AA1039" s="132"/>
      <c r="AB1039" s="132"/>
    </row>
    <row r="1040" spans="1:28" s="133" customFormat="1" ht="15" customHeight="1" outlineLevel="1" x14ac:dyDescent="0.2">
      <c r="A1040" s="134">
        <v>7</v>
      </c>
      <c r="B1040" s="134">
        <v>55172</v>
      </c>
      <c r="C1040" s="135">
        <v>41908</v>
      </c>
      <c r="D1040" s="136" t="s">
        <v>1586</v>
      </c>
      <c r="E1040" s="134" t="s">
        <v>542</v>
      </c>
      <c r="F1040" s="137" t="s">
        <v>115</v>
      </c>
      <c r="G1040" s="138" t="s">
        <v>591</v>
      </c>
      <c r="H1040" s="139"/>
      <c r="I1040" s="140">
        <v>1</v>
      </c>
      <c r="J1040" s="141">
        <v>5274</v>
      </c>
      <c r="K1040" s="141">
        <v>5274</v>
      </c>
      <c r="L1040" s="181" t="s">
        <v>614</v>
      </c>
      <c r="M1040" s="186" t="s">
        <v>37</v>
      </c>
      <c r="N1040" s="131"/>
      <c r="O1040" s="132"/>
      <c r="P1040" s="132"/>
      <c r="Q1040" s="132"/>
      <c r="R1040" s="132"/>
      <c r="S1040" s="132"/>
      <c r="T1040" s="132"/>
      <c r="U1040" s="132"/>
      <c r="V1040" s="132"/>
      <c r="W1040" s="132"/>
      <c r="X1040" s="132"/>
      <c r="Y1040" s="132"/>
      <c r="Z1040" s="132"/>
      <c r="AA1040" s="132"/>
      <c r="AB1040" s="132"/>
    </row>
    <row r="1041" spans="1:28" s="133" customFormat="1" ht="15" customHeight="1" outlineLevel="1" x14ac:dyDescent="0.2">
      <c r="A1041" s="134">
        <v>8</v>
      </c>
      <c r="B1041" s="134">
        <v>55172</v>
      </c>
      <c r="C1041" s="135">
        <v>41908</v>
      </c>
      <c r="D1041" s="136" t="s">
        <v>1586</v>
      </c>
      <c r="E1041" s="134" t="s">
        <v>542</v>
      </c>
      <c r="F1041" s="137" t="s">
        <v>208</v>
      </c>
      <c r="G1041" s="138" t="s">
        <v>591</v>
      </c>
      <c r="H1041" s="139"/>
      <c r="I1041" s="140">
        <v>1</v>
      </c>
      <c r="J1041" s="141">
        <v>14099</v>
      </c>
      <c r="K1041" s="141">
        <v>14099</v>
      </c>
      <c r="L1041" s="181" t="s">
        <v>614</v>
      </c>
      <c r="M1041" s="186" t="s">
        <v>37</v>
      </c>
      <c r="N1041" s="131"/>
      <c r="O1041" s="132"/>
      <c r="P1041" s="132"/>
      <c r="Q1041" s="132"/>
      <c r="R1041" s="132"/>
      <c r="S1041" s="132"/>
      <c r="T1041" s="132"/>
      <c r="U1041" s="132"/>
      <c r="V1041" s="132"/>
      <c r="W1041" s="132"/>
      <c r="X1041" s="132"/>
      <c r="Y1041" s="132"/>
      <c r="Z1041" s="132"/>
      <c r="AA1041" s="132"/>
      <c r="AB1041" s="132"/>
    </row>
    <row r="1042" spans="1:28" s="133" customFormat="1" ht="15" customHeight="1" outlineLevel="1" x14ac:dyDescent="0.2">
      <c r="A1042" s="134">
        <v>9</v>
      </c>
      <c r="B1042" s="134">
        <v>52160</v>
      </c>
      <c r="C1042" s="135">
        <v>41892</v>
      </c>
      <c r="D1042" s="136" t="s">
        <v>1587</v>
      </c>
      <c r="E1042" s="134" t="s">
        <v>518</v>
      </c>
      <c r="F1042" s="137" t="s">
        <v>1576</v>
      </c>
      <c r="G1042" s="138" t="s">
        <v>428</v>
      </c>
      <c r="H1042" s="139"/>
      <c r="I1042" s="140">
        <v>1</v>
      </c>
      <c r="J1042" s="141">
        <v>63583</v>
      </c>
      <c r="K1042" s="141">
        <v>63583</v>
      </c>
      <c r="L1042" s="181" t="s">
        <v>614</v>
      </c>
      <c r="M1042" s="186" t="s">
        <v>37</v>
      </c>
      <c r="N1042" s="131"/>
      <c r="O1042" s="132"/>
      <c r="P1042" s="132"/>
      <c r="Q1042" s="132"/>
      <c r="R1042" s="132"/>
      <c r="S1042" s="132"/>
      <c r="T1042" s="132"/>
      <c r="U1042" s="132"/>
      <c r="V1042" s="132"/>
      <c r="W1042" s="132"/>
      <c r="X1042" s="132"/>
      <c r="Y1042" s="132"/>
      <c r="Z1042" s="132"/>
      <c r="AA1042" s="132"/>
      <c r="AB1042" s="132"/>
    </row>
    <row r="1043" spans="1:28" s="133" customFormat="1" ht="15" customHeight="1" outlineLevel="1" x14ac:dyDescent="0.2">
      <c r="A1043" s="134">
        <v>10</v>
      </c>
      <c r="B1043" s="134">
        <v>55756</v>
      </c>
      <c r="C1043" s="135">
        <v>41911</v>
      </c>
      <c r="D1043" s="136" t="s">
        <v>1588</v>
      </c>
      <c r="E1043" s="134" t="s">
        <v>1555</v>
      </c>
      <c r="F1043" s="137" t="s">
        <v>177</v>
      </c>
      <c r="G1043" s="138" t="s">
        <v>368</v>
      </c>
      <c r="H1043" s="139"/>
      <c r="I1043" s="140">
        <v>1</v>
      </c>
      <c r="J1043" s="141">
        <v>18764</v>
      </c>
      <c r="K1043" s="141">
        <v>18764</v>
      </c>
      <c r="L1043" s="181" t="s">
        <v>614</v>
      </c>
      <c r="M1043" s="186" t="s">
        <v>37</v>
      </c>
      <c r="N1043" s="131"/>
      <c r="O1043" s="132"/>
      <c r="P1043" s="132"/>
      <c r="Q1043" s="132"/>
      <c r="R1043" s="132"/>
      <c r="S1043" s="132"/>
      <c r="T1043" s="132"/>
      <c r="U1043" s="132"/>
      <c r="V1043" s="132"/>
      <c r="W1043" s="132"/>
      <c r="X1043" s="132"/>
      <c r="Y1043" s="132"/>
      <c r="Z1043" s="132"/>
      <c r="AA1043" s="132"/>
      <c r="AB1043" s="132"/>
    </row>
    <row r="1044" spans="1:28" s="133" customFormat="1" ht="15" customHeight="1" outlineLevel="1" x14ac:dyDescent="0.2">
      <c r="A1044" s="134">
        <v>11</v>
      </c>
      <c r="B1044" s="134">
        <v>49234</v>
      </c>
      <c r="C1044" s="135">
        <v>41885</v>
      </c>
      <c r="D1044" s="136" t="s">
        <v>1589</v>
      </c>
      <c r="E1044" s="134" t="s">
        <v>1550</v>
      </c>
      <c r="F1044" s="137" t="s">
        <v>534</v>
      </c>
      <c r="G1044" s="138" t="s">
        <v>1353</v>
      </c>
      <c r="H1044" s="139"/>
      <c r="I1044" s="140">
        <v>2</v>
      </c>
      <c r="J1044" s="141">
        <v>30429</v>
      </c>
      <c r="K1044" s="141">
        <v>60858</v>
      </c>
      <c r="L1044" s="181" t="s">
        <v>614</v>
      </c>
      <c r="M1044" s="186" t="s">
        <v>37</v>
      </c>
      <c r="N1044" s="131"/>
      <c r="O1044" s="132"/>
      <c r="P1044" s="132"/>
      <c r="Q1044" s="132"/>
      <c r="R1044" s="132"/>
      <c r="S1044" s="132"/>
      <c r="T1044" s="132"/>
      <c r="U1044" s="132"/>
      <c r="V1044" s="132"/>
      <c r="W1044" s="132"/>
      <c r="X1044" s="132"/>
      <c r="Y1044" s="132"/>
      <c r="Z1044" s="132"/>
      <c r="AA1044" s="132"/>
      <c r="AB1044" s="132"/>
    </row>
    <row r="1045" spans="1:28" s="133" customFormat="1" ht="15" customHeight="1" outlineLevel="1" x14ac:dyDescent="0.2">
      <c r="A1045" s="134">
        <v>12</v>
      </c>
      <c r="B1045" s="134">
        <v>49825</v>
      </c>
      <c r="C1045" s="135">
        <v>41887</v>
      </c>
      <c r="D1045" s="136" t="s">
        <v>1590</v>
      </c>
      <c r="E1045" s="134" t="s">
        <v>542</v>
      </c>
      <c r="F1045" s="137" t="s">
        <v>679</v>
      </c>
      <c r="G1045" s="138" t="s">
        <v>368</v>
      </c>
      <c r="H1045" s="139"/>
      <c r="I1045" s="140">
        <v>1</v>
      </c>
      <c r="J1045" s="141">
        <v>55058</v>
      </c>
      <c r="K1045" s="141">
        <v>55058</v>
      </c>
      <c r="L1045" s="181" t="s">
        <v>614</v>
      </c>
      <c r="M1045" s="186" t="s">
        <v>37</v>
      </c>
      <c r="N1045" s="131"/>
      <c r="O1045" s="132"/>
      <c r="P1045" s="132"/>
      <c r="Q1045" s="132"/>
      <c r="R1045" s="132"/>
      <c r="S1045" s="132"/>
      <c r="T1045" s="132"/>
      <c r="U1045" s="132"/>
      <c r="V1045" s="132"/>
      <c r="W1045" s="132"/>
      <c r="X1045" s="132"/>
      <c r="Y1045" s="132"/>
      <c r="Z1045" s="132"/>
      <c r="AA1045" s="132"/>
      <c r="AB1045" s="132"/>
    </row>
    <row r="1046" spans="1:28" s="133" customFormat="1" ht="15" customHeight="1" outlineLevel="1" x14ac:dyDescent="0.2">
      <c r="A1046" s="134">
        <v>13</v>
      </c>
      <c r="B1046" s="134">
        <v>53696</v>
      </c>
      <c r="C1046" s="135">
        <v>41898</v>
      </c>
      <c r="D1046" s="136" t="s">
        <v>1591</v>
      </c>
      <c r="E1046" s="134" t="s">
        <v>1592</v>
      </c>
      <c r="F1046" s="137" t="s">
        <v>534</v>
      </c>
      <c r="G1046" s="138" t="s">
        <v>524</v>
      </c>
      <c r="H1046" s="139"/>
      <c r="I1046" s="140">
        <v>1</v>
      </c>
      <c r="J1046" s="141">
        <v>30429</v>
      </c>
      <c r="K1046" s="141">
        <v>30429</v>
      </c>
      <c r="L1046" s="181" t="s">
        <v>614</v>
      </c>
      <c r="M1046" s="186" t="s">
        <v>37</v>
      </c>
      <c r="N1046" s="131"/>
      <c r="O1046" s="132"/>
      <c r="P1046" s="132"/>
      <c r="Q1046" s="132"/>
      <c r="R1046" s="132"/>
      <c r="S1046" s="132"/>
      <c r="T1046" s="132"/>
      <c r="U1046" s="132"/>
      <c r="V1046" s="132"/>
      <c r="W1046" s="132"/>
      <c r="X1046" s="132"/>
      <c r="Y1046" s="132"/>
      <c r="Z1046" s="132"/>
      <c r="AA1046" s="132"/>
      <c r="AB1046" s="132"/>
    </row>
    <row r="1047" spans="1:28" s="133" customFormat="1" ht="15" customHeight="1" outlineLevel="1" x14ac:dyDescent="0.2">
      <c r="A1047" s="134">
        <v>14</v>
      </c>
      <c r="B1047" s="134">
        <v>55730</v>
      </c>
      <c r="C1047" s="135">
        <v>41911</v>
      </c>
      <c r="D1047" s="136" t="s">
        <v>1593</v>
      </c>
      <c r="E1047" s="134" t="s">
        <v>1555</v>
      </c>
      <c r="F1047" s="137" t="s">
        <v>171</v>
      </c>
      <c r="G1047" s="138" t="s">
        <v>366</v>
      </c>
      <c r="H1047" s="139"/>
      <c r="I1047" s="140">
        <v>1</v>
      </c>
      <c r="J1047" s="179">
        <v>21416</v>
      </c>
      <c r="K1047" s="141">
        <v>21416</v>
      </c>
      <c r="L1047" s="181" t="s">
        <v>614</v>
      </c>
      <c r="M1047" s="186" t="s">
        <v>37</v>
      </c>
      <c r="N1047" s="131"/>
      <c r="O1047" s="132"/>
      <c r="P1047" s="132"/>
      <c r="Q1047" s="132"/>
      <c r="R1047" s="132"/>
      <c r="S1047" s="132"/>
      <c r="T1047" s="132"/>
      <c r="U1047" s="132"/>
      <c r="V1047" s="132"/>
      <c r="W1047" s="132"/>
      <c r="X1047" s="132"/>
      <c r="Y1047" s="132"/>
      <c r="Z1047" s="132"/>
      <c r="AA1047" s="132"/>
      <c r="AB1047" s="132"/>
    </row>
    <row r="1048" spans="1:28" s="133" customFormat="1" ht="15" customHeight="1" outlineLevel="1" x14ac:dyDescent="0.2">
      <c r="A1048" s="134">
        <v>15</v>
      </c>
      <c r="B1048" s="134">
        <v>51235</v>
      </c>
      <c r="C1048" s="135">
        <v>41891</v>
      </c>
      <c r="D1048" s="136" t="s">
        <v>1594</v>
      </c>
      <c r="E1048" s="134" t="s">
        <v>518</v>
      </c>
      <c r="F1048" s="137" t="s">
        <v>1576</v>
      </c>
      <c r="G1048" s="138" t="s">
        <v>1377</v>
      </c>
      <c r="H1048" s="139"/>
      <c r="I1048" s="140">
        <v>2</v>
      </c>
      <c r="J1048" s="141">
        <v>63583</v>
      </c>
      <c r="K1048" s="141">
        <v>127166</v>
      </c>
      <c r="L1048" s="181" t="s">
        <v>614</v>
      </c>
      <c r="M1048" s="186" t="s">
        <v>37</v>
      </c>
      <c r="N1048" s="131"/>
      <c r="O1048" s="132"/>
      <c r="P1048" s="132"/>
      <c r="Q1048" s="132"/>
      <c r="R1048" s="132"/>
      <c r="S1048" s="132"/>
      <c r="T1048" s="132"/>
      <c r="U1048" s="132"/>
      <c r="V1048" s="132"/>
      <c r="W1048" s="132"/>
      <c r="X1048" s="132"/>
      <c r="Y1048" s="132"/>
      <c r="Z1048" s="132"/>
      <c r="AA1048" s="132"/>
      <c r="AB1048" s="132"/>
    </row>
    <row r="1049" spans="1:28" s="133" customFormat="1" ht="15" customHeight="1" outlineLevel="1" x14ac:dyDescent="0.2">
      <c r="A1049" s="134">
        <v>16</v>
      </c>
      <c r="B1049" s="134">
        <v>49445</v>
      </c>
      <c r="C1049" s="135">
        <v>41885</v>
      </c>
      <c r="D1049" s="136" t="s">
        <v>1595</v>
      </c>
      <c r="E1049" s="134" t="s">
        <v>518</v>
      </c>
      <c r="F1049" s="137" t="s">
        <v>1576</v>
      </c>
      <c r="G1049" s="138" t="s">
        <v>414</v>
      </c>
      <c r="H1049" s="139"/>
      <c r="I1049" s="140">
        <v>1</v>
      </c>
      <c r="J1049" s="141">
        <v>63583</v>
      </c>
      <c r="K1049" s="141">
        <v>63583</v>
      </c>
      <c r="L1049" s="181" t="s">
        <v>614</v>
      </c>
      <c r="M1049" s="186" t="s">
        <v>37</v>
      </c>
      <c r="N1049" s="131"/>
      <c r="O1049" s="132"/>
      <c r="P1049" s="132"/>
      <c r="Q1049" s="132"/>
      <c r="R1049" s="132"/>
      <c r="S1049" s="132"/>
      <c r="T1049" s="132"/>
      <c r="U1049" s="132"/>
      <c r="V1049" s="132"/>
      <c r="W1049" s="132"/>
      <c r="X1049" s="132"/>
      <c r="Y1049" s="132"/>
      <c r="Z1049" s="132"/>
      <c r="AA1049" s="132"/>
      <c r="AB1049" s="132"/>
    </row>
    <row r="1050" spans="1:28" s="133" customFormat="1" ht="15" customHeight="1" outlineLevel="1" x14ac:dyDescent="0.2">
      <c r="A1050" s="134">
        <v>17</v>
      </c>
      <c r="B1050" s="134">
        <v>52164</v>
      </c>
      <c r="C1050" s="135">
        <v>41893</v>
      </c>
      <c r="D1050" s="136" t="s">
        <v>1596</v>
      </c>
      <c r="E1050" s="134" t="s">
        <v>518</v>
      </c>
      <c r="F1050" s="137" t="s">
        <v>114</v>
      </c>
      <c r="G1050" s="138" t="s">
        <v>404</v>
      </c>
      <c r="H1050" s="139"/>
      <c r="I1050" s="140">
        <v>1</v>
      </c>
      <c r="J1050" s="141">
        <v>33370</v>
      </c>
      <c r="K1050" s="141">
        <v>33370</v>
      </c>
      <c r="L1050" s="181" t="s">
        <v>614</v>
      </c>
      <c r="M1050" s="186" t="s">
        <v>37</v>
      </c>
      <c r="N1050" s="131"/>
      <c r="O1050" s="132"/>
      <c r="P1050" s="132"/>
      <c r="Q1050" s="132"/>
      <c r="R1050" s="132"/>
      <c r="S1050" s="132"/>
      <c r="T1050" s="132"/>
      <c r="U1050" s="132"/>
      <c r="V1050" s="132"/>
      <c r="W1050" s="132"/>
      <c r="X1050" s="132"/>
      <c r="Y1050" s="132"/>
      <c r="Z1050" s="132"/>
      <c r="AA1050" s="132"/>
      <c r="AB1050" s="132"/>
    </row>
    <row r="1051" spans="1:28" s="133" customFormat="1" ht="15" customHeight="1" outlineLevel="1" x14ac:dyDescent="0.2">
      <c r="A1051" s="134">
        <v>18</v>
      </c>
      <c r="B1051" s="134">
        <v>54682</v>
      </c>
      <c r="C1051" s="135">
        <v>41905</v>
      </c>
      <c r="D1051" s="136" t="s">
        <v>1597</v>
      </c>
      <c r="E1051" s="134" t="s">
        <v>542</v>
      </c>
      <c r="F1051" s="137" t="s">
        <v>195</v>
      </c>
      <c r="G1051" s="138" t="s">
        <v>416</v>
      </c>
      <c r="H1051" s="139"/>
      <c r="I1051" s="140">
        <v>1</v>
      </c>
      <c r="J1051" s="141">
        <v>2739</v>
      </c>
      <c r="K1051" s="141">
        <v>2739</v>
      </c>
      <c r="L1051" s="181" t="s">
        <v>614</v>
      </c>
      <c r="M1051" s="186" t="s">
        <v>37</v>
      </c>
      <c r="N1051" s="131"/>
      <c r="O1051" s="132"/>
      <c r="P1051" s="132"/>
      <c r="Q1051" s="132"/>
      <c r="R1051" s="132"/>
      <c r="S1051" s="132"/>
      <c r="T1051" s="132"/>
      <c r="U1051" s="132"/>
      <c r="V1051" s="132"/>
      <c r="W1051" s="132"/>
      <c r="X1051" s="132"/>
      <c r="Y1051" s="132"/>
      <c r="Z1051" s="132"/>
      <c r="AA1051" s="132"/>
      <c r="AB1051" s="132"/>
    </row>
    <row r="1052" spans="1:28" s="133" customFormat="1" ht="15" customHeight="1" outlineLevel="1" x14ac:dyDescent="0.2">
      <c r="A1052" s="134">
        <v>19</v>
      </c>
      <c r="B1052" s="134">
        <v>48685</v>
      </c>
      <c r="C1052" s="135">
        <v>41884</v>
      </c>
      <c r="D1052" s="136" t="s">
        <v>1598</v>
      </c>
      <c r="E1052" s="134" t="s">
        <v>1550</v>
      </c>
      <c r="F1052" s="137" t="s">
        <v>215</v>
      </c>
      <c r="G1052" s="138" t="s">
        <v>384</v>
      </c>
      <c r="H1052" s="139"/>
      <c r="I1052" s="140">
        <v>2</v>
      </c>
      <c r="J1052" s="141">
        <v>44597</v>
      </c>
      <c r="K1052" s="141">
        <v>89194</v>
      </c>
      <c r="L1052" s="181" t="s">
        <v>614</v>
      </c>
      <c r="M1052" s="186" t="s">
        <v>37</v>
      </c>
      <c r="N1052" s="131"/>
      <c r="O1052" s="132"/>
      <c r="P1052" s="132"/>
      <c r="Q1052" s="132"/>
      <c r="R1052" s="132"/>
      <c r="S1052" s="132"/>
      <c r="T1052" s="132"/>
      <c r="U1052" s="132"/>
      <c r="V1052" s="132"/>
      <c r="W1052" s="132"/>
      <c r="X1052" s="132"/>
      <c r="Y1052" s="132"/>
      <c r="Z1052" s="132"/>
      <c r="AA1052" s="132"/>
      <c r="AB1052" s="132"/>
    </row>
    <row r="1053" spans="1:28" s="133" customFormat="1" ht="15" customHeight="1" outlineLevel="1" x14ac:dyDescent="0.2">
      <c r="A1053" s="134">
        <v>20</v>
      </c>
      <c r="B1053" s="134">
        <v>55183</v>
      </c>
      <c r="C1053" s="135">
        <v>41908</v>
      </c>
      <c r="D1053" s="136" t="s">
        <v>1579</v>
      </c>
      <c r="E1053" s="134" t="s">
        <v>542</v>
      </c>
      <c r="F1053" s="137" t="s">
        <v>115</v>
      </c>
      <c r="G1053" s="138" t="s">
        <v>591</v>
      </c>
      <c r="H1053" s="139"/>
      <c r="I1053" s="140">
        <v>1</v>
      </c>
      <c r="J1053" s="141">
        <v>5274</v>
      </c>
      <c r="K1053" s="141">
        <v>5274</v>
      </c>
      <c r="L1053" s="181" t="s">
        <v>614</v>
      </c>
      <c r="M1053" s="186" t="s">
        <v>37</v>
      </c>
      <c r="N1053" s="131"/>
      <c r="O1053" s="132"/>
      <c r="P1053" s="132"/>
      <c r="Q1053" s="132"/>
      <c r="R1053" s="132"/>
      <c r="S1053" s="132"/>
      <c r="T1053" s="132"/>
      <c r="U1053" s="132"/>
      <c r="V1053" s="132"/>
      <c r="W1053" s="132"/>
      <c r="X1053" s="132"/>
      <c r="Y1053" s="132"/>
      <c r="Z1053" s="132"/>
      <c r="AA1053" s="132"/>
      <c r="AB1053" s="132"/>
    </row>
    <row r="1054" spans="1:28" s="133" customFormat="1" ht="15" customHeight="1" outlineLevel="1" x14ac:dyDescent="0.2">
      <c r="A1054" s="134">
        <v>21</v>
      </c>
      <c r="B1054" s="134">
        <v>55183</v>
      </c>
      <c r="C1054" s="135">
        <v>41908</v>
      </c>
      <c r="D1054" s="136" t="s">
        <v>1579</v>
      </c>
      <c r="E1054" s="134" t="s">
        <v>542</v>
      </c>
      <c r="F1054" s="137" t="s">
        <v>208</v>
      </c>
      <c r="G1054" s="138" t="s">
        <v>591</v>
      </c>
      <c r="H1054" s="139"/>
      <c r="I1054" s="140">
        <v>1</v>
      </c>
      <c r="J1054" s="141">
        <v>14099</v>
      </c>
      <c r="K1054" s="141">
        <v>14099</v>
      </c>
      <c r="L1054" s="181" t="s">
        <v>614</v>
      </c>
      <c r="M1054" s="186" t="s">
        <v>37</v>
      </c>
      <c r="N1054" s="131"/>
      <c r="O1054" s="132"/>
      <c r="P1054" s="132"/>
      <c r="Q1054" s="132"/>
      <c r="R1054" s="132"/>
      <c r="S1054" s="132"/>
      <c r="T1054" s="132"/>
      <c r="U1054" s="132"/>
      <c r="V1054" s="132"/>
      <c r="W1054" s="132"/>
      <c r="X1054" s="132"/>
      <c r="Y1054" s="132"/>
      <c r="Z1054" s="132"/>
      <c r="AA1054" s="132"/>
      <c r="AB1054" s="132"/>
    </row>
    <row r="1055" spans="1:28" s="133" customFormat="1" ht="15" customHeight="1" outlineLevel="1" x14ac:dyDescent="0.2">
      <c r="A1055" s="134">
        <v>1</v>
      </c>
      <c r="B1055" s="134">
        <v>59770</v>
      </c>
      <c r="C1055" s="135">
        <v>41941</v>
      </c>
      <c r="D1055" s="136" t="s">
        <v>1599</v>
      </c>
      <c r="E1055" s="134" t="s">
        <v>1600</v>
      </c>
      <c r="F1055" s="137" t="s">
        <v>534</v>
      </c>
      <c r="G1055" s="138" t="s">
        <v>416</v>
      </c>
      <c r="H1055" s="139"/>
      <c r="I1055" s="140">
        <v>1</v>
      </c>
      <c r="J1055" s="141">
        <v>30429</v>
      </c>
      <c r="K1055" s="141">
        <v>30429</v>
      </c>
      <c r="L1055" s="669" t="s">
        <v>617</v>
      </c>
      <c r="M1055" s="186" t="s">
        <v>37</v>
      </c>
      <c r="N1055" s="131"/>
      <c r="O1055" s="132"/>
      <c r="P1055" s="132"/>
      <c r="Q1055" s="132"/>
      <c r="R1055" s="132"/>
      <c r="S1055" s="132"/>
      <c r="T1055" s="132"/>
      <c r="U1055" s="132"/>
      <c r="V1055" s="132"/>
      <c r="W1055" s="132"/>
      <c r="X1055" s="132"/>
      <c r="Y1055" s="132"/>
      <c r="Z1055" s="132"/>
      <c r="AA1055" s="132"/>
      <c r="AB1055" s="132"/>
    </row>
    <row r="1056" spans="1:28" s="133" customFormat="1" ht="15" customHeight="1" outlineLevel="1" x14ac:dyDescent="0.2">
      <c r="A1056" s="134">
        <v>2</v>
      </c>
      <c r="B1056" s="134">
        <v>57165</v>
      </c>
      <c r="C1056" s="135">
        <v>41935</v>
      </c>
      <c r="D1056" s="136" t="s">
        <v>1601</v>
      </c>
      <c r="E1056" s="134" t="s">
        <v>1600</v>
      </c>
      <c r="F1056" s="137" t="s">
        <v>534</v>
      </c>
      <c r="G1056" s="138" t="s">
        <v>428</v>
      </c>
      <c r="H1056" s="139"/>
      <c r="I1056" s="140">
        <v>1</v>
      </c>
      <c r="J1056" s="141">
        <v>30429</v>
      </c>
      <c r="K1056" s="141">
        <v>30429</v>
      </c>
      <c r="L1056" s="670"/>
      <c r="M1056" s="186" t="s">
        <v>37</v>
      </c>
      <c r="N1056" s="131"/>
      <c r="O1056" s="132"/>
      <c r="P1056" s="132"/>
      <c r="Q1056" s="132"/>
      <c r="R1056" s="132"/>
      <c r="S1056" s="132"/>
      <c r="T1056" s="132"/>
      <c r="U1056" s="132"/>
      <c r="V1056" s="132"/>
      <c r="W1056" s="132"/>
      <c r="X1056" s="132"/>
      <c r="Y1056" s="132"/>
      <c r="Z1056" s="132"/>
      <c r="AA1056" s="132"/>
      <c r="AB1056" s="132"/>
    </row>
    <row r="1057" spans="1:28" s="133" customFormat="1" ht="15" customHeight="1" outlineLevel="1" x14ac:dyDescent="0.2">
      <c r="A1057" s="134">
        <v>3</v>
      </c>
      <c r="B1057" s="134">
        <v>59218</v>
      </c>
      <c r="C1057" s="135">
        <v>41942</v>
      </c>
      <c r="D1057" s="136" t="s">
        <v>1602</v>
      </c>
      <c r="E1057" s="134" t="s">
        <v>1555</v>
      </c>
      <c r="F1057" s="137" t="s">
        <v>171</v>
      </c>
      <c r="G1057" s="138" t="s">
        <v>368</v>
      </c>
      <c r="H1057" s="139"/>
      <c r="I1057" s="140">
        <v>1</v>
      </c>
      <c r="J1057" s="141">
        <v>18764</v>
      </c>
      <c r="K1057" s="141">
        <v>18764</v>
      </c>
      <c r="L1057" s="670"/>
      <c r="M1057" s="186" t="s">
        <v>37</v>
      </c>
      <c r="N1057" s="131"/>
      <c r="O1057" s="132"/>
      <c r="P1057" s="132"/>
      <c r="Q1057" s="132"/>
      <c r="R1057" s="132"/>
      <c r="S1057" s="132"/>
      <c r="T1057" s="132"/>
      <c r="U1057" s="132"/>
      <c r="V1057" s="132"/>
      <c r="W1057" s="132"/>
      <c r="X1057" s="132"/>
      <c r="Y1057" s="132"/>
      <c r="Z1057" s="132"/>
      <c r="AA1057" s="132"/>
      <c r="AB1057" s="132"/>
    </row>
    <row r="1058" spans="1:28" s="133" customFormat="1" ht="15" customHeight="1" outlineLevel="1" x14ac:dyDescent="0.2">
      <c r="A1058" s="134">
        <v>4</v>
      </c>
      <c r="B1058" s="134">
        <v>55789</v>
      </c>
      <c r="C1058" s="135">
        <v>41932</v>
      </c>
      <c r="D1058" s="136" t="s">
        <v>1603</v>
      </c>
      <c r="E1058" s="134" t="s">
        <v>542</v>
      </c>
      <c r="F1058" s="137" t="s">
        <v>115</v>
      </c>
      <c r="G1058" s="138" t="s">
        <v>442</v>
      </c>
      <c r="H1058" s="139"/>
      <c r="I1058" s="140">
        <v>1</v>
      </c>
      <c r="J1058" s="141">
        <v>5274</v>
      </c>
      <c r="K1058" s="141">
        <v>5274</v>
      </c>
      <c r="L1058" s="670"/>
      <c r="M1058" s="186" t="s">
        <v>37</v>
      </c>
      <c r="N1058" s="131"/>
      <c r="O1058" s="132"/>
      <c r="P1058" s="132"/>
      <c r="Q1058" s="132"/>
      <c r="R1058" s="132"/>
      <c r="S1058" s="132"/>
      <c r="T1058" s="132"/>
      <c r="U1058" s="132"/>
      <c r="V1058" s="132"/>
      <c r="W1058" s="132"/>
      <c r="X1058" s="132"/>
      <c r="Y1058" s="132"/>
      <c r="Z1058" s="132"/>
      <c r="AA1058" s="132"/>
      <c r="AB1058" s="132"/>
    </row>
    <row r="1059" spans="1:28" s="133" customFormat="1" ht="15" customHeight="1" outlineLevel="1" x14ac:dyDescent="0.2">
      <c r="A1059" s="134">
        <v>5</v>
      </c>
      <c r="B1059" s="134">
        <v>58327</v>
      </c>
      <c r="C1059" s="135">
        <v>41939</v>
      </c>
      <c r="D1059" s="136" t="s">
        <v>1603</v>
      </c>
      <c r="E1059" s="134" t="s">
        <v>542</v>
      </c>
      <c r="F1059" s="137" t="s">
        <v>208</v>
      </c>
      <c r="G1059" s="138" t="s">
        <v>442</v>
      </c>
      <c r="H1059" s="139"/>
      <c r="I1059" s="140">
        <v>1</v>
      </c>
      <c r="J1059" s="141">
        <v>14099</v>
      </c>
      <c r="K1059" s="141">
        <v>14099</v>
      </c>
      <c r="L1059" s="670"/>
      <c r="M1059" s="186" t="s">
        <v>37</v>
      </c>
      <c r="N1059" s="131"/>
      <c r="O1059" s="132"/>
      <c r="P1059" s="132"/>
      <c r="Q1059" s="132"/>
      <c r="R1059" s="132"/>
      <c r="S1059" s="132"/>
      <c r="T1059" s="132"/>
      <c r="U1059" s="132"/>
      <c r="V1059" s="132"/>
      <c r="W1059" s="132"/>
      <c r="X1059" s="132"/>
      <c r="Y1059" s="132"/>
      <c r="Z1059" s="132"/>
      <c r="AA1059" s="132"/>
      <c r="AB1059" s="132"/>
    </row>
    <row r="1060" spans="1:28" s="133" customFormat="1" ht="15" customHeight="1" outlineLevel="1" x14ac:dyDescent="0.2">
      <c r="A1060" s="134">
        <v>6</v>
      </c>
      <c r="B1060" s="134">
        <v>55170</v>
      </c>
      <c r="C1060" s="135">
        <v>41928</v>
      </c>
      <c r="D1060" s="136" t="s">
        <v>1562</v>
      </c>
      <c r="E1060" s="134" t="s">
        <v>542</v>
      </c>
      <c r="F1060" s="137" t="s">
        <v>534</v>
      </c>
      <c r="G1060" s="138" t="s">
        <v>559</v>
      </c>
      <c r="H1060" s="139"/>
      <c r="I1060" s="140">
        <v>1</v>
      </c>
      <c r="J1060" s="141">
        <v>30429</v>
      </c>
      <c r="K1060" s="141">
        <v>30429</v>
      </c>
      <c r="L1060" s="671"/>
      <c r="M1060" s="186" t="s">
        <v>37</v>
      </c>
      <c r="N1060" s="131"/>
      <c r="O1060" s="132"/>
      <c r="P1060" s="132"/>
      <c r="Q1060" s="132"/>
      <c r="R1060" s="132"/>
      <c r="S1060" s="132"/>
      <c r="T1060" s="132"/>
      <c r="U1060" s="132"/>
      <c r="V1060" s="132"/>
      <c r="W1060" s="132"/>
      <c r="X1060" s="132"/>
      <c r="Y1060" s="132"/>
      <c r="Z1060" s="132"/>
      <c r="AA1060" s="132"/>
      <c r="AB1060" s="132"/>
    </row>
    <row r="1061" spans="1:28" s="133" customFormat="1" ht="15" customHeight="1" outlineLevel="1" x14ac:dyDescent="0.2">
      <c r="A1061" s="134">
        <v>7</v>
      </c>
      <c r="B1061" s="134">
        <v>59656</v>
      </c>
      <c r="C1061" s="135">
        <v>41941</v>
      </c>
      <c r="D1061" s="136" t="s">
        <v>1562</v>
      </c>
      <c r="E1061" s="134" t="s">
        <v>542</v>
      </c>
      <c r="F1061" s="137" t="s">
        <v>534</v>
      </c>
      <c r="G1061" s="138" t="s">
        <v>389</v>
      </c>
      <c r="H1061" s="139"/>
      <c r="I1061" s="140">
        <v>1</v>
      </c>
      <c r="J1061" s="141">
        <v>30429</v>
      </c>
      <c r="K1061" s="141">
        <v>30429</v>
      </c>
      <c r="L1061" s="671"/>
      <c r="M1061" s="186" t="s">
        <v>37</v>
      </c>
      <c r="N1061" s="131"/>
      <c r="O1061" s="132"/>
      <c r="P1061" s="132"/>
      <c r="Q1061" s="132"/>
      <c r="R1061" s="132"/>
      <c r="S1061" s="132"/>
      <c r="T1061" s="132"/>
      <c r="U1061" s="132"/>
      <c r="V1061" s="132"/>
      <c r="W1061" s="132"/>
      <c r="X1061" s="132"/>
      <c r="Y1061" s="132"/>
      <c r="Z1061" s="132"/>
      <c r="AA1061" s="132"/>
      <c r="AB1061" s="132"/>
    </row>
    <row r="1062" spans="1:28" s="133" customFormat="1" ht="15" customHeight="1" outlineLevel="1" x14ac:dyDescent="0.2">
      <c r="A1062" s="134">
        <v>8</v>
      </c>
      <c r="B1062" s="134">
        <v>58016</v>
      </c>
      <c r="C1062" s="135">
        <v>41916</v>
      </c>
      <c r="D1062" s="136" t="s">
        <v>1604</v>
      </c>
      <c r="E1062" s="134" t="s">
        <v>542</v>
      </c>
      <c r="F1062" s="137" t="s">
        <v>114</v>
      </c>
      <c r="G1062" s="138" t="s">
        <v>1605</v>
      </c>
      <c r="H1062" s="139"/>
      <c r="I1062" s="140">
        <v>3</v>
      </c>
      <c r="J1062" s="141">
        <v>33370</v>
      </c>
      <c r="K1062" s="141">
        <v>100110</v>
      </c>
      <c r="L1062" s="671"/>
      <c r="M1062" s="186" t="s">
        <v>37</v>
      </c>
      <c r="N1062" s="131"/>
      <c r="O1062" s="132"/>
      <c r="P1062" s="132"/>
      <c r="Q1062" s="132"/>
      <c r="R1062" s="132"/>
      <c r="S1062" s="132"/>
      <c r="T1062" s="132"/>
      <c r="U1062" s="132"/>
      <c r="V1062" s="132"/>
      <c r="W1062" s="132"/>
      <c r="X1062" s="132"/>
      <c r="Y1062" s="132"/>
      <c r="Z1062" s="132"/>
      <c r="AA1062" s="132"/>
      <c r="AB1062" s="132"/>
    </row>
    <row r="1063" spans="1:28" s="133" customFormat="1" ht="15" customHeight="1" outlineLevel="1" x14ac:dyDescent="0.2">
      <c r="A1063" s="134">
        <v>9</v>
      </c>
      <c r="B1063" s="134">
        <v>59778</v>
      </c>
      <c r="C1063" s="135">
        <v>41942</v>
      </c>
      <c r="D1063" s="136" t="s">
        <v>1606</v>
      </c>
      <c r="E1063" s="134" t="s">
        <v>1555</v>
      </c>
      <c r="F1063" s="137" t="s">
        <v>171</v>
      </c>
      <c r="G1063" s="138" t="s">
        <v>368</v>
      </c>
      <c r="H1063" s="139"/>
      <c r="I1063" s="140">
        <v>1</v>
      </c>
      <c r="J1063" s="141">
        <v>18764</v>
      </c>
      <c r="K1063" s="141">
        <v>18764</v>
      </c>
      <c r="L1063" s="671"/>
      <c r="M1063" s="186" t="s">
        <v>37</v>
      </c>
      <c r="N1063" s="131"/>
      <c r="O1063" s="132"/>
      <c r="P1063" s="132"/>
      <c r="Q1063" s="132"/>
      <c r="R1063" s="132"/>
      <c r="S1063" s="132"/>
      <c r="T1063" s="132"/>
      <c r="U1063" s="132"/>
      <c r="V1063" s="132"/>
      <c r="W1063" s="132"/>
      <c r="X1063" s="132"/>
      <c r="Y1063" s="132"/>
      <c r="Z1063" s="132"/>
      <c r="AA1063" s="132"/>
      <c r="AB1063" s="132"/>
    </row>
    <row r="1064" spans="1:28" s="133" customFormat="1" ht="15" customHeight="1" outlineLevel="1" x14ac:dyDescent="0.2">
      <c r="A1064" s="134">
        <v>10</v>
      </c>
      <c r="B1064" s="134">
        <v>59895</v>
      </c>
      <c r="C1064" s="135">
        <v>41942</v>
      </c>
      <c r="D1064" s="136" t="s">
        <v>1607</v>
      </c>
      <c r="E1064" s="134" t="s">
        <v>518</v>
      </c>
      <c r="F1064" s="137" t="s">
        <v>114</v>
      </c>
      <c r="G1064" s="138" t="s">
        <v>524</v>
      </c>
      <c r="H1064" s="139"/>
      <c r="I1064" s="140">
        <v>1</v>
      </c>
      <c r="J1064" s="141">
        <v>33370</v>
      </c>
      <c r="K1064" s="141">
        <v>33370</v>
      </c>
      <c r="L1064" s="671"/>
      <c r="M1064" s="186" t="s">
        <v>37</v>
      </c>
      <c r="N1064" s="131"/>
      <c r="O1064" s="132"/>
      <c r="P1064" s="132"/>
      <c r="Q1064" s="132"/>
      <c r="R1064" s="132"/>
      <c r="S1064" s="132"/>
      <c r="T1064" s="132"/>
      <c r="U1064" s="132"/>
      <c r="V1064" s="132"/>
      <c r="W1064" s="132"/>
      <c r="X1064" s="132"/>
      <c r="Y1064" s="132"/>
      <c r="Z1064" s="132"/>
      <c r="AA1064" s="132"/>
      <c r="AB1064" s="132"/>
    </row>
    <row r="1065" spans="1:28" s="133" customFormat="1" ht="15" customHeight="1" outlineLevel="1" x14ac:dyDescent="0.2">
      <c r="A1065" s="134">
        <v>11</v>
      </c>
      <c r="B1065" s="134">
        <v>55699</v>
      </c>
      <c r="C1065" s="135">
        <v>41929</v>
      </c>
      <c r="D1065" s="136" t="s">
        <v>1608</v>
      </c>
      <c r="E1065" s="134" t="s">
        <v>1555</v>
      </c>
      <c r="F1065" s="137" t="s">
        <v>171</v>
      </c>
      <c r="G1065" s="138" t="s">
        <v>368</v>
      </c>
      <c r="H1065" s="139"/>
      <c r="I1065" s="140">
        <v>1</v>
      </c>
      <c r="J1065" s="141">
        <v>18764</v>
      </c>
      <c r="K1065" s="141">
        <v>18764</v>
      </c>
      <c r="L1065" s="671"/>
      <c r="M1065" s="186" t="s">
        <v>37</v>
      </c>
      <c r="N1065" s="131"/>
      <c r="O1065" s="132"/>
      <c r="P1065" s="132"/>
      <c r="Q1065" s="132"/>
      <c r="R1065" s="132"/>
      <c r="S1065" s="132"/>
      <c r="T1065" s="132"/>
      <c r="U1065" s="132"/>
      <c r="V1065" s="132"/>
      <c r="W1065" s="132"/>
      <c r="X1065" s="132"/>
      <c r="Y1065" s="132"/>
      <c r="Z1065" s="132"/>
      <c r="AA1065" s="132"/>
      <c r="AB1065" s="132"/>
    </row>
    <row r="1066" spans="1:28" s="133" customFormat="1" ht="15" customHeight="1" outlineLevel="1" x14ac:dyDescent="0.2">
      <c r="A1066" s="134">
        <v>12</v>
      </c>
      <c r="B1066" s="134">
        <v>57904</v>
      </c>
      <c r="C1066" s="135">
        <v>41916</v>
      </c>
      <c r="D1066" s="136" t="s">
        <v>1609</v>
      </c>
      <c r="E1066" s="134" t="s">
        <v>542</v>
      </c>
      <c r="F1066" s="137" t="s">
        <v>208</v>
      </c>
      <c r="G1066" s="138" t="s">
        <v>442</v>
      </c>
      <c r="H1066" s="139"/>
      <c r="I1066" s="140">
        <v>1</v>
      </c>
      <c r="J1066" s="141">
        <v>14099</v>
      </c>
      <c r="K1066" s="141">
        <v>14099</v>
      </c>
      <c r="L1066" s="671"/>
      <c r="M1066" s="186" t="s">
        <v>37</v>
      </c>
      <c r="N1066" s="131"/>
      <c r="O1066" s="132"/>
      <c r="P1066" s="132"/>
      <c r="Q1066" s="132"/>
      <c r="R1066" s="132"/>
      <c r="S1066" s="132"/>
      <c r="T1066" s="132"/>
      <c r="U1066" s="132"/>
      <c r="V1066" s="132"/>
      <c r="W1066" s="132"/>
      <c r="X1066" s="132"/>
      <c r="Y1066" s="132"/>
      <c r="Z1066" s="132"/>
      <c r="AA1066" s="132"/>
      <c r="AB1066" s="132"/>
    </row>
    <row r="1067" spans="1:28" s="133" customFormat="1" ht="15" customHeight="1" outlineLevel="1" x14ac:dyDescent="0.2">
      <c r="A1067" s="134">
        <v>13</v>
      </c>
      <c r="B1067" s="134">
        <v>60353</v>
      </c>
      <c r="C1067" s="135">
        <v>41942</v>
      </c>
      <c r="D1067" s="136" t="s">
        <v>1610</v>
      </c>
      <c r="E1067" s="134" t="s">
        <v>518</v>
      </c>
      <c r="F1067" s="137" t="s">
        <v>208</v>
      </c>
      <c r="G1067" s="138" t="s">
        <v>524</v>
      </c>
      <c r="H1067" s="139"/>
      <c r="I1067" s="140">
        <v>1</v>
      </c>
      <c r="J1067" s="141">
        <v>14099</v>
      </c>
      <c r="K1067" s="141">
        <v>14099</v>
      </c>
      <c r="L1067" s="671"/>
      <c r="M1067" s="186" t="s">
        <v>37</v>
      </c>
      <c r="N1067" s="131"/>
      <c r="O1067" s="132"/>
      <c r="P1067" s="132"/>
      <c r="Q1067" s="132"/>
      <c r="R1067" s="132"/>
      <c r="S1067" s="132"/>
      <c r="T1067" s="132"/>
      <c r="U1067" s="132"/>
      <c r="V1067" s="132"/>
      <c r="W1067" s="132"/>
      <c r="X1067" s="132"/>
      <c r="Y1067" s="132"/>
      <c r="Z1067" s="132"/>
      <c r="AA1067" s="132"/>
      <c r="AB1067" s="132"/>
    </row>
    <row r="1068" spans="1:28" s="133" customFormat="1" ht="15" customHeight="1" outlineLevel="1" x14ac:dyDescent="0.2">
      <c r="A1068" s="134">
        <v>14</v>
      </c>
      <c r="B1068" s="134">
        <v>57741</v>
      </c>
      <c r="C1068" s="135">
        <v>41936</v>
      </c>
      <c r="D1068" s="136" t="s">
        <v>1611</v>
      </c>
      <c r="E1068" s="134" t="s">
        <v>542</v>
      </c>
      <c r="F1068" s="137" t="s">
        <v>215</v>
      </c>
      <c r="G1068" s="138" t="s">
        <v>384</v>
      </c>
      <c r="H1068" s="139"/>
      <c r="I1068" s="140">
        <v>2</v>
      </c>
      <c r="J1068" s="141">
        <v>44597</v>
      </c>
      <c r="K1068" s="141">
        <v>89194</v>
      </c>
      <c r="L1068" s="671"/>
      <c r="M1068" s="186" t="s">
        <v>37</v>
      </c>
      <c r="N1068" s="131"/>
      <c r="O1068" s="132"/>
      <c r="P1068" s="132"/>
      <c r="Q1068" s="132"/>
      <c r="R1068" s="132"/>
      <c r="S1068" s="132"/>
      <c r="T1068" s="132"/>
      <c r="U1068" s="132"/>
      <c r="V1068" s="132"/>
      <c r="W1068" s="132"/>
      <c r="X1068" s="132"/>
      <c r="Y1068" s="132"/>
      <c r="Z1068" s="132"/>
      <c r="AA1068" s="132"/>
      <c r="AB1068" s="132"/>
    </row>
    <row r="1069" spans="1:28" s="133" customFormat="1" ht="15" customHeight="1" outlineLevel="1" x14ac:dyDescent="0.2">
      <c r="A1069" s="134">
        <v>15</v>
      </c>
      <c r="B1069" s="134">
        <v>57920</v>
      </c>
      <c r="C1069" s="135">
        <v>41915</v>
      </c>
      <c r="D1069" s="136" t="s">
        <v>1611</v>
      </c>
      <c r="E1069" s="134" t="s">
        <v>542</v>
      </c>
      <c r="F1069" s="137" t="s">
        <v>114</v>
      </c>
      <c r="G1069" s="138" t="s">
        <v>407</v>
      </c>
      <c r="H1069" s="139"/>
      <c r="I1069" s="140">
        <v>1</v>
      </c>
      <c r="J1069" s="141">
        <v>33370</v>
      </c>
      <c r="K1069" s="141">
        <v>33370</v>
      </c>
      <c r="L1069" s="671"/>
      <c r="M1069" s="186" t="s">
        <v>37</v>
      </c>
      <c r="N1069" s="131"/>
      <c r="O1069" s="132"/>
      <c r="P1069" s="132"/>
      <c r="Q1069" s="132"/>
      <c r="R1069" s="132"/>
      <c r="S1069" s="132"/>
      <c r="T1069" s="132"/>
      <c r="U1069" s="132"/>
      <c r="V1069" s="132"/>
      <c r="W1069" s="132"/>
      <c r="X1069" s="132"/>
      <c r="Y1069" s="132"/>
      <c r="Z1069" s="132"/>
      <c r="AA1069" s="132"/>
      <c r="AB1069" s="132"/>
    </row>
    <row r="1070" spans="1:28" s="133" customFormat="1" ht="15" customHeight="1" outlineLevel="1" x14ac:dyDescent="0.2">
      <c r="A1070" s="134">
        <v>16</v>
      </c>
      <c r="B1070" s="134">
        <v>59367</v>
      </c>
      <c r="C1070" s="135">
        <v>41941</v>
      </c>
      <c r="D1070" s="136" t="s">
        <v>1612</v>
      </c>
      <c r="E1070" s="134" t="s">
        <v>518</v>
      </c>
      <c r="F1070" s="137" t="s">
        <v>534</v>
      </c>
      <c r="G1070" s="138" t="s">
        <v>414</v>
      </c>
      <c r="H1070" s="139"/>
      <c r="I1070" s="140">
        <v>1</v>
      </c>
      <c r="J1070" s="141">
        <v>30429</v>
      </c>
      <c r="K1070" s="141">
        <v>30429</v>
      </c>
      <c r="L1070" s="671"/>
      <c r="M1070" s="186" t="s">
        <v>37</v>
      </c>
      <c r="N1070" s="131"/>
      <c r="O1070" s="132"/>
      <c r="P1070" s="132"/>
      <c r="Q1070" s="132"/>
      <c r="R1070" s="132"/>
      <c r="S1070" s="132"/>
      <c r="T1070" s="132"/>
      <c r="U1070" s="132"/>
      <c r="V1070" s="132"/>
      <c r="W1070" s="132"/>
      <c r="X1070" s="132"/>
      <c r="Y1070" s="132"/>
      <c r="Z1070" s="132"/>
      <c r="AA1070" s="132"/>
      <c r="AB1070" s="132"/>
    </row>
    <row r="1071" spans="1:28" s="133" customFormat="1" ht="15" customHeight="1" outlineLevel="1" x14ac:dyDescent="0.2">
      <c r="A1071" s="134">
        <v>18</v>
      </c>
      <c r="B1071" s="134">
        <v>59030</v>
      </c>
      <c r="C1071" s="135">
        <v>41940</v>
      </c>
      <c r="D1071" s="136" t="s">
        <v>1613</v>
      </c>
      <c r="E1071" s="134" t="s">
        <v>542</v>
      </c>
      <c r="F1071" s="137" t="s">
        <v>114</v>
      </c>
      <c r="G1071" s="138" t="s">
        <v>414</v>
      </c>
      <c r="H1071" s="139"/>
      <c r="I1071" s="140">
        <v>1</v>
      </c>
      <c r="J1071" s="141">
        <v>33370</v>
      </c>
      <c r="K1071" s="141">
        <v>33370</v>
      </c>
      <c r="L1071" s="671"/>
      <c r="M1071" s="186" t="s">
        <v>37</v>
      </c>
      <c r="N1071" s="131"/>
      <c r="O1071" s="132"/>
      <c r="P1071" s="132"/>
      <c r="Q1071" s="132"/>
      <c r="R1071" s="132"/>
      <c r="S1071" s="132"/>
      <c r="T1071" s="132"/>
      <c r="U1071" s="132"/>
      <c r="V1071" s="132"/>
      <c r="W1071" s="132"/>
      <c r="X1071" s="132"/>
      <c r="Y1071" s="132"/>
      <c r="Z1071" s="132"/>
      <c r="AA1071" s="132"/>
      <c r="AB1071" s="132"/>
    </row>
    <row r="1072" spans="1:28" s="133" customFormat="1" ht="15" customHeight="1" outlineLevel="1" x14ac:dyDescent="0.2">
      <c r="A1072" s="134">
        <v>19</v>
      </c>
      <c r="B1072" s="134">
        <v>52761</v>
      </c>
      <c r="C1072" s="135">
        <v>41921</v>
      </c>
      <c r="D1072" s="136" t="s">
        <v>1614</v>
      </c>
      <c r="E1072" s="134" t="s">
        <v>1600</v>
      </c>
      <c r="F1072" s="137" t="s">
        <v>534</v>
      </c>
      <c r="G1072" s="138" t="s">
        <v>416</v>
      </c>
      <c r="H1072" s="139"/>
      <c r="I1072" s="140">
        <v>1</v>
      </c>
      <c r="J1072" s="141">
        <v>30429</v>
      </c>
      <c r="K1072" s="141">
        <v>30429</v>
      </c>
      <c r="L1072" s="671"/>
      <c r="M1072" s="186" t="s">
        <v>37</v>
      </c>
      <c r="N1072" s="131"/>
      <c r="O1072" s="132"/>
      <c r="P1072" s="132"/>
      <c r="Q1072" s="132"/>
      <c r="R1072" s="132"/>
      <c r="S1072" s="132"/>
      <c r="T1072" s="132"/>
      <c r="U1072" s="132"/>
      <c r="V1072" s="132"/>
      <c r="W1072" s="132"/>
      <c r="X1072" s="132"/>
      <c r="Y1072" s="132"/>
      <c r="Z1072" s="132"/>
      <c r="AA1072" s="132"/>
      <c r="AB1072" s="132"/>
    </row>
    <row r="1073" spans="1:28" s="133" customFormat="1" ht="15" customHeight="1" outlineLevel="1" x14ac:dyDescent="0.2">
      <c r="A1073" s="134">
        <v>20</v>
      </c>
      <c r="B1073" s="134">
        <v>54964</v>
      </c>
      <c r="C1073" s="135">
        <v>41929</v>
      </c>
      <c r="D1073" s="136" t="s">
        <v>1615</v>
      </c>
      <c r="E1073" s="134" t="s">
        <v>542</v>
      </c>
      <c r="F1073" s="137" t="s">
        <v>577</v>
      </c>
      <c r="G1073" s="138" t="s">
        <v>368</v>
      </c>
      <c r="H1073" s="139"/>
      <c r="I1073" s="140">
        <v>1</v>
      </c>
      <c r="J1073" s="141">
        <v>25800</v>
      </c>
      <c r="K1073" s="141">
        <v>25800</v>
      </c>
      <c r="L1073" s="671"/>
      <c r="M1073" s="186" t="s">
        <v>37</v>
      </c>
      <c r="N1073" s="131"/>
      <c r="O1073" s="132"/>
      <c r="P1073" s="132"/>
      <c r="Q1073" s="132"/>
      <c r="R1073" s="132"/>
      <c r="S1073" s="132"/>
      <c r="T1073" s="132"/>
      <c r="U1073" s="132"/>
      <c r="V1073" s="132"/>
      <c r="W1073" s="132"/>
      <c r="X1073" s="132"/>
      <c r="Y1073" s="132"/>
      <c r="Z1073" s="132"/>
      <c r="AA1073" s="132"/>
      <c r="AB1073" s="132"/>
    </row>
    <row r="1074" spans="1:28" s="133" customFormat="1" ht="15" customHeight="1" outlineLevel="1" x14ac:dyDescent="0.2">
      <c r="A1074" s="134">
        <v>21</v>
      </c>
      <c r="B1074" s="134">
        <v>57926</v>
      </c>
      <c r="C1074" s="135">
        <v>41916</v>
      </c>
      <c r="D1074" s="136" t="s">
        <v>1616</v>
      </c>
      <c r="E1074" s="134" t="s">
        <v>542</v>
      </c>
      <c r="F1074" s="137" t="s">
        <v>115</v>
      </c>
      <c r="G1074" s="138" t="s">
        <v>439</v>
      </c>
      <c r="H1074" s="139"/>
      <c r="I1074" s="140">
        <v>1</v>
      </c>
      <c r="J1074" s="141">
        <v>5274</v>
      </c>
      <c r="K1074" s="141">
        <v>5274</v>
      </c>
      <c r="L1074" s="671"/>
      <c r="M1074" s="186" t="s">
        <v>37</v>
      </c>
      <c r="N1074" s="131"/>
      <c r="O1074" s="132"/>
      <c r="P1074" s="132"/>
      <c r="Q1074" s="132"/>
      <c r="R1074" s="132"/>
      <c r="S1074" s="132"/>
      <c r="T1074" s="132"/>
      <c r="U1074" s="132"/>
      <c r="V1074" s="132"/>
      <c r="W1074" s="132"/>
      <c r="X1074" s="132"/>
      <c r="Y1074" s="132"/>
      <c r="Z1074" s="132"/>
      <c r="AA1074" s="132"/>
      <c r="AB1074" s="132"/>
    </row>
    <row r="1075" spans="1:28" s="133" customFormat="1" ht="15" customHeight="1" outlineLevel="1" x14ac:dyDescent="0.2">
      <c r="A1075" s="134">
        <v>22</v>
      </c>
      <c r="B1075" s="134">
        <v>57926</v>
      </c>
      <c r="C1075" s="135">
        <v>41916</v>
      </c>
      <c r="D1075" s="136" t="s">
        <v>1616</v>
      </c>
      <c r="E1075" s="134" t="s">
        <v>542</v>
      </c>
      <c r="F1075" s="137" t="s">
        <v>208</v>
      </c>
      <c r="G1075" s="138" t="s">
        <v>439</v>
      </c>
      <c r="H1075" s="139"/>
      <c r="I1075" s="140">
        <v>1</v>
      </c>
      <c r="J1075" s="141">
        <v>14099</v>
      </c>
      <c r="K1075" s="141">
        <v>14099</v>
      </c>
      <c r="L1075" s="671"/>
      <c r="M1075" s="186" t="s">
        <v>37</v>
      </c>
      <c r="N1075" s="131"/>
      <c r="O1075" s="132"/>
      <c r="P1075" s="132"/>
      <c r="Q1075" s="132"/>
      <c r="R1075" s="132"/>
      <c r="S1075" s="132"/>
      <c r="T1075" s="132"/>
      <c r="U1075" s="132"/>
      <c r="V1075" s="132"/>
      <c r="W1075" s="132"/>
      <c r="X1075" s="132"/>
      <c r="Y1075" s="132"/>
      <c r="Z1075" s="132"/>
      <c r="AA1075" s="132"/>
      <c r="AB1075" s="132"/>
    </row>
    <row r="1076" spans="1:28" s="133" customFormat="1" ht="15" customHeight="1" outlineLevel="1" x14ac:dyDescent="0.2">
      <c r="A1076" s="134">
        <v>23</v>
      </c>
      <c r="B1076" s="134">
        <v>58801</v>
      </c>
      <c r="C1076" s="135">
        <v>41939</v>
      </c>
      <c r="D1076" s="136" t="s">
        <v>1617</v>
      </c>
      <c r="E1076" s="134" t="s">
        <v>1600</v>
      </c>
      <c r="F1076" s="137" t="s">
        <v>534</v>
      </c>
      <c r="G1076" s="138" t="s">
        <v>559</v>
      </c>
      <c r="H1076" s="139"/>
      <c r="I1076" s="140">
        <v>1</v>
      </c>
      <c r="J1076" s="141">
        <v>30429</v>
      </c>
      <c r="K1076" s="141">
        <v>30429</v>
      </c>
      <c r="L1076" s="671"/>
      <c r="M1076" s="186" t="s">
        <v>37</v>
      </c>
      <c r="N1076" s="131"/>
      <c r="O1076" s="132"/>
      <c r="P1076" s="132"/>
      <c r="Q1076" s="132"/>
      <c r="R1076" s="132"/>
      <c r="S1076" s="132"/>
      <c r="T1076" s="132"/>
      <c r="U1076" s="132"/>
      <c r="V1076" s="132"/>
      <c r="W1076" s="132"/>
      <c r="X1076" s="132"/>
      <c r="Y1076" s="132"/>
      <c r="Z1076" s="132"/>
      <c r="AA1076" s="132"/>
      <c r="AB1076" s="132"/>
    </row>
    <row r="1077" spans="1:28" s="133" customFormat="1" ht="15" customHeight="1" outlineLevel="1" x14ac:dyDescent="0.2">
      <c r="A1077" s="134">
        <v>24</v>
      </c>
      <c r="B1077" s="134">
        <v>53443</v>
      </c>
      <c r="C1077" s="135">
        <v>41925</v>
      </c>
      <c r="D1077" s="136" t="s">
        <v>1618</v>
      </c>
      <c r="E1077" s="134" t="s">
        <v>542</v>
      </c>
      <c r="F1077" s="137" t="s">
        <v>679</v>
      </c>
      <c r="G1077" s="138" t="s">
        <v>368</v>
      </c>
      <c r="H1077" s="139"/>
      <c r="I1077" s="140">
        <v>1</v>
      </c>
      <c r="J1077" s="141">
        <v>55058</v>
      </c>
      <c r="K1077" s="141">
        <v>55058</v>
      </c>
      <c r="L1077" s="671"/>
      <c r="M1077" s="186" t="s">
        <v>37</v>
      </c>
      <c r="N1077" s="131"/>
      <c r="O1077" s="132"/>
      <c r="P1077" s="132"/>
      <c r="Q1077" s="132"/>
      <c r="R1077" s="132"/>
      <c r="S1077" s="132"/>
      <c r="T1077" s="132"/>
      <c r="U1077" s="132"/>
      <c r="V1077" s="132"/>
      <c r="W1077" s="132"/>
      <c r="X1077" s="132"/>
      <c r="Y1077" s="132"/>
      <c r="Z1077" s="132"/>
      <c r="AA1077" s="132"/>
      <c r="AB1077" s="132"/>
    </row>
    <row r="1078" spans="1:28" s="133" customFormat="1" ht="15" customHeight="1" outlineLevel="1" x14ac:dyDescent="0.2">
      <c r="A1078" s="134">
        <v>25</v>
      </c>
      <c r="B1078" s="134">
        <v>57166</v>
      </c>
      <c r="C1078" s="135">
        <v>41916</v>
      </c>
      <c r="D1078" s="136" t="s">
        <v>1619</v>
      </c>
      <c r="E1078" s="134" t="s">
        <v>542</v>
      </c>
      <c r="F1078" s="137" t="s">
        <v>1298</v>
      </c>
      <c r="G1078" s="138" t="s">
        <v>368</v>
      </c>
      <c r="H1078" s="139"/>
      <c r="I1078" s="140">
        <v>1</v>
      </c>
      <c r="J1078" s="141">
        <v>35501</v>
      </c>
      <c r="K1078" s="141">
        <v>35501</v>
      </c>
      <c r="L1078" s="671"/>
      <c r="M1078" s="186" t="s">
        <v>37</v>
      </c>
      <c r="N1078" s="131"/>
      <c r="O1078" s="132"/>
      <c r="P1078" s="132"/>
      <c r="Q1078" s="132"/>
      <c r="R1078" s="132"/>
      <c r="S1078" s="132"/>
      <c r="T1078" s="132"/>
      <c r="U1078" s="132"/>
      <c r="V1078" s="132"/>
      <c r="W1078" s="132"/>
      <c r="X1078" s="132"/>
      <c r="Y1078" s="132"/>
      <c r="Z1078" s="132"/>
      <c r="AA1078" s="132"/>
      <c r="AB1078" s="132"/>
    </row>
    <row r="1079" spans="1:28" s="133" customFormat="1" ht="15" customHeight="1" outlineLevel="1" x14ac:dyDescent="0.2">
      <c r="A1079" s="134">
        <v>26</v>
      </c>
      <c r="B1079" s="134">
        <v>59366</v>
      </c>
      <c r="C1079" s="135">
        <v>41921</v>
      </c>
      <c r="D1079" s="136" t="s">
        <v>1620</v>
      </c>
      <c r="E1079" s="134" t="s">
        <v>542</v>
      </c>
      <c r="F1079" s="137" t="s">
        <v>115</v>
      </c>
      <c r="G1079" s="138" t="s">
        <v>1621</v>
      </c>
      <c r="H1079" s="139"/>
      <c r="I1079" s="140">
        <v>4</v>
      </c>
      <c r="J1079" s="141">
        <v>5274</v>
      </c>
      <c r="K1079" s="141">
        <v>21096</v>
      </c>
      <c r="L1079" s="671"/>
      <c r="M1079" s="186" t="s">
        <v>37</v>
      </c>
      <c r="N1079" s="131"/>
      <c r="O1079" s="132"/>
      <c r="P1079" s="132"/>
      <c r="Q1079" s="132"/>
      <c r="R1079" s="132"/>
      <c r="S1079" s="132"/>
      <c r="T1079" s="132"/>
      <c r="U1079" s="132"/>
      <c r="V1079" s="132"/>
      <c r="W1079" s="132"/>
      <c r="X1079" s="132"/>
      <c r="Y1079" s="132"/>
      <c r="Z1079" s="132"/>
      <c r="AA1079" s="132"/>
      <c r="AB1079" s="132"/>
    </row>
    <row r="1080" spans="1:28" s="133" customFormat="1" ht="15" customHeight="1" outlineLevel="1" x14ac:dyDescent="0.2">
      <c r="A1080" s="134">
        <v>27</v>
      </c>
      <c r="B1080" s="134">
        <v>59335</v>
      </c>
      <c r="C1080" s="135">
        <v>41941</v>
      </c>
      <c r="D1080" s="136" t="s">
        <v>1622</v>
      </c>
      <c r="E1080" s="134" t="s">
        <v>1600</v>
      </c>
      <c r="F1080" s="137" t="s">
        <v>208</v>
      </c>
      <c r="G1080" s="138" t="s">
        <v>389</v>
      </c>
      <c r="H1080" s="139"/>
      <c r="I1080" s="140">
        <v>1</v>
      </c>
      <c r="J1080" s="141">
        <v>14099</v>
      </c>
      <c r="K1080" s="141">
        <v>14099</v>
      </c>
      <c r="L1080" s="671"/>
      <c r="M1080" s="186" t="s">
        <v>37</v>
      </c>
      <c r="N1080" s="131"/>
      <c r="O1080" s="132"/>
      <c r="P1080" s="132"/>
      <c r="Q1080" s="132"/>
      <c r="R1080" s="132"/>
      <c r="S1080" s="132"/>
      <c r="T1080" s="132"/>
      <c r="U1080" s="132"/>
      <c r="V1080" s="132"/>
      <c r="W1080" s="132"/>
      <c r="X1080" s="132"/>
      <c r="Y1080" s="132"/>
      <c r="Z1080" s="132"/>
      <c r="AA1080" s="132"/>
      <c r="AB1080" s="132"/>
    </row>
    <row r="1081" spans="1:28" s="133" customFormat="1" ht="15" customHeight="1" outlineLevel="1" x14ac:dyDescent="0.2">
      <c r="A1081" s="134">
        <v>28</v>
      </c>
      <c r="B1081" s="134">
        <v>57642</v>
      </c>
      <c r="C1081" s="135">
        <v>41940</v>
      </c>
      <c r="D1081" s="136" t="s">
        <v>1623</v>
      </c>
      <c r="E1081" s="134" t="s">
        <v>1555</v>
      </c>
      <c r="F1081" s="137" t="s">
        <v>171</v>
      </c>
      <c r="G1081" s="138" t="s">
        <v>368</v>
      </c>
      <c r="H1081" s="139"/>
      <c r="I1081" s="140">
        <v>1</v>
      </c>
      <c r="J1081" s="141">
        <v>18764</v>
      </c>
      <c r="K1081" s="141">
        <v>18764</v>
      </c>
      <c r="L1081" s="671"/>
      <c r="M1081" s="186" t="s">
        <v>37</v>
      </c>
      <c r="N1081" s="131"/>
      <c r="O1081" s="132"/>
      <c r="P1081" s="132"/>
      <c r="Q1081" s="132"/>
      <c r="R1081" s="132"/>
      <c r="S1081" s="132"/>
      <c r="T1081" s="132"/>
      <c r="U1081" s="132"/>
      <c r="V1081" s="132"/>
      <c r="W1081" s="132"/>
      <c r="X1081" s="132"/>
      <c r="Y1081" s="132"/>
      <c r="Z1081" s="132"/>
      <c r="AA1081" s="132"/>
      <c r="AB1081" s="132"/>
    </row>
    <row r="1082" spans="1:28" s="133" customFormat="1" ht="15" customHeight="1" outlineLevel="1" x14ac:dyDescent="0.2">
      <c r="A1082" s="134">
        <v>29</v>
      </c>
      <c r="B1082" s="134">
        <v>59988</v>
      </c>
      <c r="C1082" s="135">
        <v>41942</v>
      </c>
      <c r="D1082" s="136" t="s">
        <v>1624</v>
      </c>
      <c r="E1082" s="134" t="s">
        <v>518</v>
      </c>
      <c r="F1082" s="137" t="s">
        <v>186</v>
      </c>
      <c r="G1082" s="138" t="s">
        <v>535</v>
      </c>
      <c r="H1082" s="139"/>
      <c r="I1082" s="140">
        <v>1</v>
      </c>
      <c r="J1082" s="141">
        <v>42601</v>
      </c>
      <c r="K1082" s="141">
        <v>42601</v>
      </c>
      <c r="L1082" s="671"/>
      <c r="M1082" s="186" t="s">
        <v>37</v>
      </c>
      <c r="N1082" s="131"/>
      <c r="O1082" s="132"/>
      <c r="P1082" s="132"/>
      <c r="Q1082" s="132"/>
      <c r="R1082" s="132"/>
      <c r="S1082" s="132"/>
      <c r="T1082" s="132"/>
      <c r="U1082" s="132"/>
      <c r="V1082" s="132"/>
      <c r="W1082" s="132"/>
      <c r="X1082" s="132"/>
      <c r="Y1082" s="132"/>
      <c r="Z1082" s="132"/>
      <c r="AA1082" s="132"/>
      <c r="AB1082" s="132"/>
    </row>
    <row r="1083" spans="1:28" s="133" customFormat="1" ht="15" customHeight="1" outlineLevel="1" x14ac:dyDescent="0.2">
      <c r="A1083" s="134">
        <v>30</v>
      </c>
      <c r="B1083" s="134">
        <v>57131</v>
      </c>
      <c r="C1083" s="135">
        <v>41934</v>
      </c>
      <c r="D1083" s="136" t="s">
        <v>1625</v>
      </c>
      <c r="E1083" s="134" t="s">
        <v>518</v>
      </c>
      <c r="F1083" s="137" t="s">
        <v>114</v>
      </c>
      <c r="G1083" s="138" t="s">
        <v>469</v>
      </c>
      <c r="H1083" s="139"/>
      <c r="I1083" s="140">
        <v>1</v>
      </c>
      <c r="J1083" s="141">
        <v>33370</v>
      </c>
      <c r="K1083" s="141">
        <v>33370</v>
      </c>
      <c r="L1083" s="671"/>
      <c r="M1083" s="186" t="s">
        <v>37</v>
      </c>
      <c r="N1083" s="131"/>
      <c r="O1083" s="132"/>
      <c r="P1083" s="132"/>
      <c r="Q1083" s="132"/>
      <c r="R1083" s="132"/>
      <c r="S1083" s="132"/>
      <c r="T1083" s="132"/>
      <c r="U1083" s="132"/>
      <c r="V1083" s="132"/>
      <c r="W1083" s="132"/>
      <c r="X1083" s="132"/>
      <c r="Y1083" s="132"/>
      <c r="Z1083" s="132"/>
      <c r="AA1083" s="132"/>
      <c r="AB1083" s="132"/>
    </row>
    <row r="1084" spans="1:28" s="133" customFormat="1" ht="15" customHeight="1" outlineLevel="1" x14ac:dyDescent="0.2">
      <c r="A1084" s="134">
        <v>31</v>
      </c>
      <c r="B1084" s="134">
        <v>53454</v>
      </c>
      <c r="C1084" s="135">
        <v>41927</v>
      </c>
      <c r="D1084" s="136" t="s">
        <v>1626</v>
      </c>
      <c r="E1084" s="134" t="s">
        <v>1592</v>
      </c>
      <c r="F1084" s="137" t="s">
        <v>115</v>
      </c>
      <c r="G1084" s="138" t="s">
        <v>404</v>
      </c>
      <c r="H1084" s="139"/>
      <c r="I1084" s="140">
        <v>1</v>
      </c>
      <c r="J1084" s="141">
        <v>5274</v>
      </c>
      <c r="K1084" s="141">
        <v>5274</v>
      </c>
      <c r="L1084" s="671"/>
      <c r="M1084" s="186" t="s">
        <v>37</v>
      </c>
      <c r="N1084" s="131"/>
      <c r="O1084" s="132"/>
      <c r="P1084" s="132"/>
      <c r="Q1084" s="132"/>
      <c r="R1084" s="132"/>
      <c r="S1084" s="132"/>
      <c r="T1084" s="132"/>
      <c r="U1084" s="132"/>
      <c r="V1084" s="132"/>
      <c r="W1084" s="132"/>
      <c r="X1084" s="132"/>
      <c r="Y1084" s="132"/>
      <c r="Z1084" s="132"/>
      <c r="AA1084" s="132"/>
      <c r="AB1084" s="132"/>
    </row>
    <row r="1085" spans="1:28" s="133" customFormat="1" ht="15" customHeight="1" outlineLevel="1" x14ac:dyDescent="0.2">
      <c r="A1085" s="134">
        <v>32</v>
      </c>
      <c r="B1085" s="134">
        <v>55045</v>
      </c>
      <c r="C1085" s="135">
        <v>41929</v>
      </c>
      <c r="D1085" s="136" t="s">
        <v>1627</v>
      </c>
      <c r="E1085" s="134" t="s">
        <v>542</v>
      </c>
      <c r="F1085" s="137" t="s">
        <v>215</v>
      </c>
      <c r="G1085" s="138" t="s">
        <v>368</v>
      </c>
      <c r="H1085" s="139"/>
      <c r="I1085" s="140">
        <v>1</v>
      </c>
      <c r="J1085" s="141">
        <v>44597</v>
      </c>
      <c r="K1085" s="141">
        <v>44597</v>
      </c>
      <c r="L1085" s="671"/>
      <c r="M1085" s="186" t="s">
        <v>37</v>
      </c>
      <c r="N1085" s="131"/>
      <c r="O1085" s="132"/>
      <c r="P1085" s="132"/>
      <c r="Q1085" s="132"/>
      <c r="R1085" s="132"/>
      <c r="S1085" s="132"/>
      <c r="T1085" s="132"/>
      <c r="U1085" s="132"/>
      <c r="V1085" s="132"/>
      <c r="W1085" s="132"/>
      <c r="X1085" s="132"/>
      <c r="Y1085" s="132"/>
      <c r="Z1085" s="132"/>
      <c r="AA1085" s="132"/>
      <c r="AB1085" s="132"/>
    </row>
    <row r="1086" spans="1:28" s="133" customFormat="1" ht="15" customHeight="1" outlineLevel="1" x14ac:dyDescent="0.2">
      <c r="A1086" s="134">
        <v>33</v>
      </c>
      <c r="B1086" s="134">
        <v>54402</v>
      </c>
      <c r="C1086" s="135">
        <v>41928</v>
      </c>
      <c r="D1086" s="136" t="s">
        <v>1628</v>
      </c>
      <c r="E1086" s="134" t="s">
        <v>1555</v>
      </c>
      <c r="F1086" s="137" t="s">
        <v>171</v>
      </c>
      <c r="G1086" s="138" t="s">
        <v>368</v>
      </c>
      <c r="H1086" s="139"/>
      <c r="I1086" s="140">
        <v>1</v>
      </c>
      <c r="J1086" s="141">
        <v>18764</v>
      </c>
      <c r="K1086" s="141">
        <v>18764</v>
      </c>
      <c r="L1086" s="671"/>
      <c r="M1086" s="186" t="s">
        <v>37</v>
      </c>
      <c r="N1086" s="131"/>
      <c r="O1086" s="132"/>
      <c r="P1086" s="132"/>
      <c r="Q1086" s="132"/>
      <c r="R1086" s="132"/>
      <c r="S1086" s="132"/>
      <c r="T1086" s="132"/>
      <c r="U1086" s="132"/>
      <c r="V1086" s="132"/>
      <c r="W1086" s="132"/>
      <c r="X1086" s="132"/>
      <c r="Y1086" s="132"/>
      <c r="Z1086" s="132"/>
      <c r="AA1086" s="132"/>
      <c r="AB1086" s="132"/>
    </row>
    <row r="1087" spans="1:28" s="133" customFormat="1" ht="15" customHeight="1" outlineLevel="1" x14ac:dyDescent="0.2">
      <c r="A1087" s="134">
        <v>34</v>
      </c>
      <c r="B1087" s="134">
        <v>59860</v>
      </c>
      <c r="C1087" s="135">
        <v>41942</v>
      </c>
      <c r="D1087" s="136" t="s">
        <v>1629</v>
      </c>
      <c r="E1087" s="134" t="s">
        <v>1555</v>
      </c>
      <c r="F1087" s="137" t="s">
        <v>171</v>
      </c>
      <c r="G1087" s="138" t="s">
        <v>368</v>
      </c>
      <c r="H1087" s="139"/>
      <c r="I1087" s="140">
        <v>1</v>
      </c>
      <c r="J1087" s="141">
        <v>18764</v>
      </c>
      <c r="K1087" s="141">
        <v>18764</v>
      </c>
      <c r="L1087" s="671"/>
      <c r="M1087" s="186" t="s">
        <v>37</v>
      </c>
      <c r="N1087" s="131"/>
      <c r="O1087" s="132"/>
      <c r="P1087" s="132"/>
      <c r="Q1087" s="132"/>
      <c r="R1087" s="132"/>
      <c r="S1087" s="132"/>
      <c r="T1087" s="132"/>
      <c r="U1087" s="132"/>
      <c r="V1087" s="132"/>
      <c r="W1087" s="132"/>
      <c r="X1087" s="132"/>
      <c r="Y1087" s="132"/>
      <c r="Z1087" s="132"/>
      <c r="AA1087" s="132"/>
      <c r="AB1087" s="132"/>
    </row>
    <row r="1088" spans="1:28" s="133" customFormat="1" ht="15" customHeight="1" outlineLevel="1" x14ac:dyDescent="0.2">
      <c r="A1088" s="134">
        <v>35</v>
      </c>
      <c r="B1088" s="134">
        <v>54400</v>
      </c>
      <c r="C1088" s="135">
        <v>41928</v>
      </c>
      <c r="D1088" s="136" t="s">
        <v>1630</v>
      </c>
      <c r="E1088" s="134" t="s">
        <v>1555</v>
      </c>
      <c r="F1088" s="137" t="s">
        <v>171</v>
      </c>
      <c r="G1088" s="138" t="s">
        <v>368</v>
      </c>
      <c r="H1088" s="139"/>
      <c r="I1088" s="140">
        <v>1</v>
      </c>
      <c r="J1088" s="141">
        <v>18764</v>
      </c>
      <c r="K1088" s="141">
        <v>18764</v>
      </c>
      <c r="L1088" s="671"/>
      <c r="M1088" s="186" t="s">
        <v>37</v>
      </c>
      <c r="N1088" s="131"/>
      <c r="O1088" s="132"/>
      <c r="P1088" s="132"/>
      <c r="Q1088" s="132"/>
      <c r="R1088" s="132"/>
      <c r="S1088" s="132"/>
      <c r="T1088" s="132"/>
      <c r="U1088" s="132"/>
      <c r="V1088" s="132"/>
      <c r="W1088" s="132"/>
      <c r="X1088" s="132"/>
      <c r="Y1088" s="132"/>
      <c r="Z1088" s="132"/>
      <c r="AA1088" s="132"/>
      <c r="AB1088" s="132"/>
    </row>
    <row r="1089" spans="1:28" s="133" customFormat="1" ht="15" customHeight="1" outlineLevel="1" x14ac:dyDescent="0.2">
      <c r="A1089" s="134">
        <v>36</v>
      </c>
      <c r="B1089" s="134">
        <v>55992</v>
      </c>
      <c r="C1089" s="135">
        <v>41932</v>
      </c>
      <c r="D1089" s="136" t="s">
        <v>1631</v>
      </c>
      <c r="E1089" s="134" t="s">
        <v>1600</v>
      </c>
      <c r="F1089" s="137" t="s">
        <v>574</v>
      </c>
      <c r="G1089" s="138" t="s">
        <v>524</v>
      </c>
      <c r="H1089" s="139"/>
      <c r="I1089" s="140">
        <v>1</v>
      </c>
      <c r="J1089" s="141">
        <v>49701</v>
      </c>
      <c r="K1089" s="141">
        <v>49701</v>
      </c>
      <c r="L1089" s="671"/>
      <c r="M1089" s="186" t="s">
        <v>37</v>
      </c>
      <c r="N1089" s="131"/>
      <c r="O1089" s="132"/>
      <c r="P1089" s="132"/>
      <c r="Q1089" s="132"/>
      <c r="R1089" s="132"/>
      <c r="S1089" s="132"/>
      <c r="T1089" s="132"/>
      <c r="U1089" s="132"/>
      <c r="V1089" s="132"/>
      <c r="W1089" s="132"/>
      <c r="X1089" s="132"/>
      <c r="Y1089" s="132"/>
      <c r="Z1089" s="132"/>
      <c r="AA1089" s="132"/>
      <c r="AB1089" s="132"/>
    </row>
    <row r="1090" spans="1:28" s="133" customFormat="1" ht="15" customHeight="1" outlineLevel="1" x14ac:dyDescent="0.2">
      <c r="A1090" s="134">
        <v>37</v>
      </c>
      <c r="B1090" s="134">
        <v>53313</v>
      </c>
      <c r="C1090" s="135">
        <v>41925</v>
      </c>
      <c r="D1090" s="136" t="s">
        <v>1632</v>
      </c>
      <c r="E1090" s="134" t="s">
        <v>542</v>
      </c>
      <c r="F1090" s="137" t="s">
        <v>577</v>
      </c>
      <c r="G1090" s="138" t="s">
        <v>368</v>
      </c>
      <c r="H1090" s="139"/>
      <c r="I1090" s="140">
        <v>1</v>
      </c>
      <c r="J1090" s="141">
        <v>25800</v>
      </c>
      <c r="K1090" s="141">
        <v>25800</v>
      </c>
      <c r="L1090" s="671"/>
      <c r="M1090" s="186" t="s">
        <v>37</v>
      </c>
      <c r="N1090" s="131"/>
      <c r="O1090" s="132"/>
      <c r="P1090" s="132"/>
      <c r="Q1090" s="132"/>
      <c r="R1090" s="132"/>
      <c r="S1090" s="132"/>
      <c r="T1090" s="132"/>
      <c r="U1090" s="132"/>
      <c r="V1090" s="132"/>
      <c r="W1090" s="132"/>
      <c r="X1090" s="132"/>
      <c r="Y1090" s="132"/>
      <c r="Z1090" s="132"/>
      <c r="AA1090" s="132"/>
      <c r="AB1090" s="132"/>
    </row>
    <row r="1091" spans="1:28" s="133" customFormat="1" ht="15" customHeight="1" outlineLevel="1" x14ac:dyDescent="0.2">
      <c r="A1091" s="134">
        <v>38</v>
      </c>
      <c r="B1091" s="134">
        <v>59364</v>
      </c>
      <c r="C1091" s="135">
        <v>41921</v>
      </c>
      <c r="D1091" s="136" t="s">
        <v>1633</v>
      </c>
      <c r="E1091" s="134" t="s">
        <v>542</v>
      </c>
      <c r="F1091" s="137" t="s">
        <v>1482</v>
      </c>
      <c r="G1091" s="138" t="s">
        <v>559</v>
      </c>
      <c r="H1091" s="139"/>
      <c r="I1091" s="140">
        <v>1</v>
      </c>
      <c r="J1091" s="141">
        <v>48203</v>
      </c>
      <c r="K1091" s="141">
        <v>48203</v>
      </c>
      <c r="L1091" s="671"/>
      <c r="M1091" s="186" t="s">
        <v>37</v>
      </c>
      <c r="N1091" s="131"/>
      <c r="O1091" s="132"/>
      <c r="P1091" s="132"/>
      <c r="Q1091" s="132"/>
      <c r="R1091" s="132"/>
      <c r="S1091" s="132"/>
      <c r="T1091" s="132"/>
      <c r="U1091" s="132"/>
      <c r="V1091" s="132"/>
      <c r="W1091" s="132"/>
      <c r="X1091" s="132"/>
      <c r="Y1091" s="132"/>
      <c r="Z1091" s="132"/>
      <c r="AA1091" s="132"/>
      <c r="AB1091" s="132"/>
    </row>
    <row r="1092" spans="1:28" s="133" customFormat="1" ht="15" customHeight="1" outlineLevel="1" x14ac:dyDescent="0.2">
      <c r="A1092" s="134">
        <v>39</v>
      </c>
      <c r="B1092" s="134">
        <v>58802</v>
      </c>
      <c r="C1092" s="135">
        <v>41941</v>
      </c>
      <c r="D1092" s="136" t="s">
        <v>1634</v>
      </c>
      <c r="E1092" s="134" t="s">
        <v>1600</v>
      </c>
      <c r="F1092" s="137" t="s">
        <v>115</v>
      </c>
      <c r="G1092" s="138" t="s">
        <v>535</v>
      </c>
      <c r="H1092" s="139"/>
      <c r="I1092" s="140">
        <v>1</v>
      </c>
      <c r="J1092" s="141">
        <v>5274</v>
      </c>
      <c r="K1092" s="141">
        <v>5274</v>
      </c>
      <c r="L1092" s="671"/>
      <c r="M1092" s="186" t="s">
        <v>37</v>
      </c>
      <c r="N1092" s="131"/>
      <c r="O1092" s="132"/>
      <c r="P1092" s="132"/>
      <c r="Q1092" s="132"/>
      <c r="R1092" s="132"/>
      <c r="S1092" s="132"/>
      <c r="T1092" s="132"/>
      <c r="U1092" s="132"/>
      <c r="V1092" s="132"/>
      <c r="W1092" s="132"/>
      <c r="X1092" s="132"/>
      <c r="Y1092" s="132"/>
      <c r="Z1092" s="132"/>
      <c r="AA1092" s="132"/>
      <c r="AB1092" s="132"/>
    </row>
    <row r="1093" spans="1:28" s="133" customFormat="1" ht="15" customHeight="1" outlineLevel="1" x14ac:dyDescent="0.2">
      <c r="A1093" s="134">
        <v>40</v>
      </c>
      <c r="B1093" s="134">
        <v>57653</v>
      </c>
      <c r="C1093" s="135">
        <v>41916</v>
      </c>
      <c r="D1093" s="136" t="s">
        <v>1635</v>
      </c>
      <c r="E1093" s="134" t="s">
        <v>542</v>
      </c>
      <c r="F1093" s="137" t="s">
        <v>215</v>
      </c>
      <c r="G1093" s="138" t="s">
        <v>368</v>
      </c>
      <c r="H1093" s="139"/>
      <c r="I1093" s="140">
        <v>1</v>
      </c>
      <c r="J1093" s="141">
        <v>44597</v>
      </c>
      <c r="K1093" s="141">
        <v>44597</v>
      </c>
      <c r="L1093" s="671"/>
      <c r="M1093" s="186" t="s">
        <v>37</v>
      </c>
      <c r="N1093" s="131"/>
      <c r="O1093" s="132"/>
      <c r="P1093" s="132"/>
      <c r="Q1093" s="132"/>
      <c r="R1093" s="132"/>
      <c r="S1093" s="132"/>
      <c r="T1093" s="132"/>
      <c r="U1093" s="132"/>
      <c r="V1093" s="132"/>
      <c r="W1093" s="132"/>
      <c r="X1093" s="132"/>
      <c r="Y1093" s="132"/>
      <c r="Z1093" s="132"/>
      <c r="AA1093" s="132"/>
      <c r="AB1093" s="132"/>
    </row>
    <row r="1094" spans="1:28" s="133" customFormat="1" ht="15" customHeight="1" outlineLevel="1" x14ac:dyDescent="0.2">
      <c r="A1094" s="134">
        <v>41</v>
      </c>
      <c r="B1094" s="134">
        <v>59356</v>
      </c>
      <c r="C1094" s="135">
        <v>41925</v>
      </c>
      <c r="D1094" s="136" t="s">
        <v>1636</v>
      </c>
      <c r="E1094" s="134" t="s">
        <v>518</v>
      </c>
      <c r="F1094" s="137" t="s">
        <v>114</v>
      </c>
      <c r="G1094" s="138" t="s">
        <v>559</v>
      </c>
      <c r="H1094" s="139"/>
      <c r="I1094" s="140">
        <v>1</v>
      </c>
      <c r="J1094" s="141">
        <v>33370</v>
      </c>
      <c r="K1094" s="141">
        <v>33370</v>
      </c>
      <c r="L1094" s="671"/>
      <c r="M1094" s="186" t="s">
        <v>37</v>
      </c>
      <c r="N1094" s="131"/>
      <c r="O1094" s="132"/>
      <c r="P1094" s="132"/>
      <c r="Q1094" s="132"/>
      <c r="R1094" s="132"/>
      <c r="S1094" s="132"/>
      <c r="T1094" s="132"/>
      <c r="U1094" s="132"/>
      <c r="V1094" s="132"/>
      <c r="W1094" s="132"/>
      <c r="X1094" s="132"/>
      <c r="Y1094" s="132"/>
      <c r="Z1094" s="132"/>
      <c r="AA1094" s="132"/>
      <c r="AB1094" s="132"/>
    </row>
    <row r="1095" spans="1:28" s="133" customFormat="1" ht="15" customHeight="1" outlineLevel="1" x14ac:dyDescent="0.2">
      <c r="A1095" s="134">
        <v>42</v>
      </c>
      <c r="B1095" s="134">
        <v>58730</v>
      </c>
      <c r="C1095" s="135">
        <v>41939</v>
      </c>
      <c r="D1095" s="136" t="s">
        <v>1637</v>
      </c>
      <c r="E1095" s="134" t="s">
        <v>1600</v>
      </c>
      <c r="F1095" s="137" t="s">
        <v>534</v>
      </c>
      <c r="G1095" s="138" t="s">
        <v>524</v>
      </c>
      <c r="H1095" s="139"/>
      <c r="I1095" s="140">
        <v>1</v>
      </c>
      <c r="J1095" s="141">
        <v>30429</v>
      </c>
      <c r="K1095" s="141">
        <v>30429</v>
      </c>
      <c r="L1095" s="671"/>
      <c r="M1095" s="186" t="s">
        <v>37</v>
      </c>
      <c r="N1095" s="131"/>
      <c r="O1095" s="132"/>
      <c r="P1095" s="132"/>
      <c r="Q1095" s="132"/>
      <c r="R1095" s="132"/>
      <c r="S1095" s="132"/>
      <c r="T1095" s="132"/>
      <c r="U1095" s="132"/>
      <c r="V1095" s="132"/>
      <c r="W1095" s="132"/>
      <c r="X1095" s="132"/>
      <c r="Y1095" s="132"/>
      <c r="Z1095" s="132"/>
      <c r="AA1095" s="132"/>
      <c r="AB1095" s="132"/>
    </row>
    <row r="1096" spans="1:28" s="133" customFormat="1" ht="15" customHeight="1" outlineLevel="1" x14ac:dyDescent="0.2">
      <c r="A1096" s="134">
        <v>42</v>
      </c>
      <c r="B1096" s="134">
        <v>58545</v>
      </c>
      <c r="C1096" s="135">
        <v>41938</v>
      </c>
      <c r="D1096" s="136" t="s">
        <v>1638</v>
      </c>
      <c r="E1096" s="134" t="s">
        <v>542</v>
      </c>
      <c r="F1096" s="137" t="s">
        <v>114</v>
      </c>
      <c r="G1096" s="203" t="s">
        <v>1639</v>
      </c>
      <c r="H1096" s="139"/>
      <c r="I1096" s="140">
        <v>4</v>
      </c>
      <c r="J1096" s="141">
        <v>33370</v>
      </c>
      <c r="K1096" s="141">
        <v>133480</v>
      </c>
      <c r="L1096" s="672"/>
      <c r="M1096" s="186" t="s">
        <v>37</v>
      </c>
      <c r="N1096" s="131"/>
      <c r="O1096" s="132"/>
      <c r="P1096" s="132"/>
      <c r="Q1096" s="132"/>
      <c r="R1096" s="132"/>
      <c r="S1096" s="132"/>
      <c r="T1096" s="132"/>
      <c r="U1096" s="132"/>
      <c r="V1096" s="132"/>
      <c r="W1096" s="132"/>
      <c r="X1096" s="132"/>
      <c r="Y1096" s="132"/>
      <c r="Z1096" s="132"/>
      <c r="AA1096" s="132"/>
      <c r="AB1096" s="132"/>
    </row>
    <row r="1097" spans="1:28" s="133" customFormat="1" ht="15" customHeight="1" outlineLevel="1" x14ac:dyDescent="0.2">
      <c r="A1097" s="121">
        <v>1</v>
      </c>
      <c r="B1097" s="134">
        <v>70159</v>
      </c>
      <c r="C1097" s="135">
        <v>41970</v>
      </c>
      <c r="D1097" s="136" t="s">
        <v>1599</v>
      </c>
      <c r="E1097" s="134" t="s">
        <v>1600</v>
      </c>
      <c r="F1097" s="137" t="s">
        <v>534</v>
      </c>
      <c r="G1097" s="138" t="s">
        <v>428</v>
      </c>
      <c r="H1097" s="139"/>
      <c r="I1097" s="140">
        <v>1</v>
      </c>
      <c r="J1097" s="141">
        <v>30429</v>
      </c>
      <c r="K1097" s="141">
        <v>30429</v>
      </c>
      <c r="L1097" s="181" t="s">
        <v>957</v>
      </c>
      <c r="M1097" s="186" t="s">
        <v>37</v>
      </c>
      <c r="N1097" s="131"/>
      <c r="O1097" s="132"/>
      <c r="P1097" s="132"/>
      <c r="Q1097" s="132"/>
      <c r="R1097" s="132"/>
      <c r="S1097" s="132"/>
      <c r="T1097" s="132"/>
      <c r="U1097" s="132"/>
      <c r="V1097" s="132"/>
      <c r="W1097" s="132"/>
      <c r="X1097" s="132"/>
      <c r="Y1097" s="132"/>
      <c r="Z1097" s="132"/>
      <c r="AA1097" s="132"/>
      <c r="AB1097" s="132"/>
    </row>
    <row r="1098" spans="1:28" s="133" customFormat="1" ht="15" customHeight="1" outlineLevel="1" x14ac:dyDescent="0.2">
      <c r="A1098" s="121">
        <v>2</v>
      </c>
      <c r="B1098" s="134">
        <v>69757</v>
      </c>
      <c r="C1098" s="135">
        <v>41970</v>
      </c>
      <c r="D1098" s="136" t="s">
        <v>1640</v>
      </c>
      <c r="E1098" s="134" t="s">
        <v>1641</v>
      </c>
      <c r="F1098" s="137" t="s">
        <v>195</v>
      </c>
      <c r="G1098" s="138" t="s">
        <v>1642</v>
      </c>
      <c r="H1098" s="139"/>
      <c r="I1098" s="140">
        <v>2</v>
      </c>
      <c r="J1098" s="141">
        <v>2739</v>
      </c>
      <c r="K1098" s="141">
        <v>5478</v>
      </c>
      <c r="L1098" s="181" t="s">
        <v>957</v>
      </c>
      <c r="M1098" s="186" t="s">
        <v>37</v>
      </c>
      <c r="N1098" s="131"/>
      <c r="O1098" s="132"/>
      <c r="P1098" s="132"/>
      <c r="Q1098" s="132"/>
      <c r="R1098" s="132"/>
      <c r="S1098" s="132"/>
      <c r="T1098" s="132"/>
      <c r="U1098" s="132"/>
      <c r="V1098" s="132"/>
      <c r="W1098" s="132"/>
      <c r="X1098" s="132"/>
      <c r="Y1098" s="132"/>
      <c r="Z1098" s="132"/>
      <c r="AA1098" s="132"/>
      <c r="AB1098" s="132"/>
    </row>
    <row r="1099" spans="1:28" s="133" customFormat="1" ht="15" customHeight="1" outlineLevel="1" x14ac:dyDescent="0.2">
      <c r="A1099" s="121">
        <v>3</v>
      </c>
      <c r="B1099" s="134">
        <v>62950</v>
      </c>
      <c r="C1099" s="135">
        <v>41954</v>
      </c>
      <c r="D1099" s="136" t="s">
        <v>1643</v>
      </c>
      <c r="E1099" s="134" t="s">
        <v>518</v>
      </c>
      <c r="F1099" s="137" t="s">
        <v>114</v>
      </c>
      <c r="G1099" s="138" t="s">
        <v>439</v>
      </c>
      <c r="H1099" s="139"/>
      <c r="I1099" s="140">
        <v>1</v>
      </c>
      <c r="J1099" s="141">
        <v>33370</v>
      </c>
      <c r="K1099" s="141">
        <v>33370</v>
      </c>
      <c r="L1099" s="181" t="s">
        <v>957</v>
      </c>
      <c r="M1099" s="186" t="s">
        <v>37</v>
      </c>
      <c r="N1099" s="131"/>
      <c r="O1099" s="132"/>
      <c r="P1099" s="132"/>
      <c r="Q1099" s="132"/>
      <c r="R1099" s="132"/>
      <c r="S1099" s="132"/>
      <c r="T1099" s="132"/>
      <c r="U1099" s="132"/>
      <c r="V1099" s="132"/>
      <c r="W1099" s="132"/>
      <c r="X1099" s="132"/>
      <c r="Y1099" s="132"/>
      <c r="Z1099" s="132"/>
      <c r="AA1099" s="132"/>
      <c r="AB1099" s="132"/>
    </row>
    <row r="1100" spans="1:28" s="133" customFormat="1" ht="15" customHeight="1" outlineLevel="1" x14ac:dyDescent="0.2">
      <c r="A1100" s="121">
        <v>4</v>
      </c>
      <c r="B1100" s="134">
        <v>66840</v>
      </c>
      <c r="C1100" s="135">
        <v>41963</v>
      </c>
      <c r="D1100" s="136" t="s">
        <v>1644</v>
      </c>
      <c r="E1100" s="134" t="s">
        <v>542</v>
      </c>
      <c r="F1100" s="137" t="s">
        <v>577</v>
      </c>
      <c r="G1100" s="138" t="s">
        <v>368</v>
      </c>
      <c r="H1100" s="139"/>
      <c r="I1100" s="140">
        <v>1</v>
      </c>
      <c r="J1100" s="141">
        <v>25800</v>
      </c>
      <c r="K1100" s="141">
        <v>25800</v>
      </c>
      <c r="L1100" s="181" t="s">
        <v>957</v>
      </c>
      <c r="M1100" s="186" t="s">
        <v>37</v>
      </c>
      <c r="N1100" s="131"/>
      <c r="O1100" s="132"/>
      <c r="P1100" s="132"/>
      <c r="Q1100" s="132"/>
      <c r="R1100" s="132"/>
      <c r="S1100" s="132"/>
      <c r="T1100" s="132"/>
      <c r="U1100" s="132"/>
      <c r="V1100" s="132"/>
      <c r="W1100" s="132"/>
      <c r="X1100" s="132"/>
      <c r="Y1100" s="132"/>
      <c r="Z1100" s="132"/>
      <c r="AA1100" s="132"/>
      <c r="AB1100" s="132"/>
    </row>
    <row r="1101" spans="1:28" s="133" customFormat="1" ht="15" customHeight="1" outlineLevel="1" x14ac:dyDescent="0.2">
      <c r="A1101" s="121">
        <v>5</v>
      </c>
      <c r="B1101" s="134">
        <v>67889</v>
      </c>
      <c r="C1101" s="135">
        <v>41964</v>
      </c>
      <c r="D1101" s="136" t="s">
        <v>1645</v>
      </c>
      <c r="E1101" s="134" t="s">
        <v>518</v>
      </c>
      <c r="F1101" s="137" t="s">
        <v>114</v>
      </c>
      <c r="G1101" s="138" t="s">
        <v>469</v>
      </c>
      <c r="H1101" s="139"/>
      <c r="I1101" s="140">
        <v>1</v>
      </c>
      <c r="J1101" s="141">
        <v>33370</v>
      </c>
      <c r="K1101" s="141">
        <v>33370</v>
      </c>
      <c r="L1101" s="181" t="s">
        <v>957</v>
      </c>
      <c r="M1101" s="186" t="s">
        <v>37</v>
      </c>
      <c r="N1101" s="131"/>
      <c r="O1101" s="132"/>
      <c r="P1101" s="132"/>
      <c r="Q1101" s="132"/>
      <c r="R1101" s="132"/>
      <c r="S1101" s="132"/>
      <c r="T1101" s="132"/>
      <c r="U1101" s="132"/>
      <c r="V1101" s="132"/>
      <c r="W1101" s="132"/>
      <c r="X1101" s="132"/>
      <c r="Y1101" s="132"/>
      <c r="Z1101" s="132"/>
      <c r="AA1101" s="132"/>
      <c r="AB1101" s="132"/>
    </row>
    <row r="1102" spans="1:28" s="133" customFormat="1" ht="15" customHeight="1" outlineLevel="1" x14ac:dyDescent="0.2">
      <c r="A1102" s="121">
        <v>6</v>
      </c>
      <c r="B1102" s="134">
        <v>66109</v>
      </c>
      <c r="C1102" s="135">
        <v>41961</v>
      </c>
      <c r="D1102" s="136" t="s">
        <v>1603</v>
      </c>
      <c r="E1102" s="134" t="s">
        <v>542</v>
      </c>
      <c r="F1102" s="137" t="s">
        <v>114</v>
      </c>
      <c r="G1102" s="138" t="s">
        <v>442</v>
      </c>
      <c r="H1102" s="139"/>
      <c r="I1102" s="140">
        <v>1</v>
      </c>
      <c r="J1102" s="141">
        <v>33370</v>
      </c>
      <c r="K1102" s="141">
        <v>33370</v>
      </c>
      <c r="L1102" s="181" t="s">
        <v>957</v>
      </c>
      <c r="M1102" s="186" t="s">
        <v>37</v>
      </c>
      <c r="N1102" s="131"/>
      <c r="O1102" s="132"/>
      <c r="P1102" s="132"/>
      <c r="Q1102" s="132"/>
      <c r="R1102" s="132"/>
      <c r="S1102" s="132"/>
      <c r="T1102" s="132"/>
      <c r="U1102" s="132"/>
      <c r="V1102" s="132"/>
      <c r="W1102" s="132"/>
      <c r="X1102" s="132"/>
      <c r="Y1102" s="132"/>
      <c r="Z1102" s="132"/>
      <c r="AA1102" s="132"/>
      <c r="AB1102" s="132"/>
    </row>
    <row r="1103" spans="1:28" s="133" customFormat="1" ht="15" customHeight="1" outlineLevel="1" x14ac:dyDescent="0.2">
      <c r="A1103" s="121">
        <v>7</v>
      </c>
      <c r="B1103" s="134">
        <v>67773</v>
      </c>
      <c r="C1103" s="135">
        <v>41964</v>
      </c>
      <c r="D1103" s="136" t="s">
        <v>1646</v>
      </c>
      <c r="E1103" s="134" t="s">
        <v>518</v>
      </c>
      <c r="F1103" s="137" t="s">
        <v>114</v>
      </c>
      <c r="G1103" s="138" t="s">
        <v>439</v>
      </c>
      <c r="H1103" s="139"/>
      <c r="I1103" s="140">
        <v>1</v>
      </c>
      <c r="J1103" s="141">
        <v>33370</v>
      </c>
      <c r="K1103" s="141">
        <v>33370</v>
      </c>
      <c r="L1103" s="181" t="s">
        <v>957</v>
      </c>
      <c r="M1103" s="186" t="s">
        <v>37</v>
      </c>
      <c r="N1103" s="131"/>
      <c r="O1103" s="132"/>
      <c r="P1103" s="132"/>
      <c r="Q1103" s="132"/>
      <c r="R1103" s="132"/>
      <c r="S1103" s="132"/>
      <c r="T1103" s="132"/>
      <c r="U1103" s="132"/>
      <c r="V1103" s="132"/>
      <c r="W1103" s="132"/>
      <c r="X1103" s="132"/>
      <c r="Y1103" s="132"/>
      <c r="Z1103" s="132"/>
      <c r="AA1103" s="132"/>
      <c r="AB1103" s="132"/>
    </row>
    <row r="1104" spans="1:28" s="133" customFormat="1" ht="15" customHeight="1" outlineLevel="1" x14ac:dyDescent="0.2">
      <c r="A1104" s="121">
        <v>8</v>
      </c>
      <c r="B1104" s="134">
        <v>63093</v>
      </c>
      <c r="C1104" s="135">
        <v>41954</v>
      </c>
      <c r="D1104" s="136" t="s">
        <v>1647</v>
      </c>
      <c r="E1104" s="134" t="s">
        <v>542</v>
      </c>
      <c r="F1104" s="198" t="s">
        <v>217</v>
      </c>
      <c r="G1104" s="138" t="s">
        <v>368</v>
      </c>
      <c r="H1104" s="139"/>
      <c r="I1104" s="140">
        <v>1</v>
      </c>
      <c r="J1104" s="141">
        <v>22299</v>
      </c>
      <c r="K1104" s="141">
        <v>22299</v>
      </c>
      <c r="L1104" s="181" t="s">
        <v>957</v>
      </c>
      <c r="M1104" s="186" t="s">
        <v>37</v>
      </c>
      <c r="N1104" s="131"/>
      <c r="O1104" s="132"/>
      <c r="P1104" s="132"/>
      <c r="Q1104" s="132"/>
      <c r="R1104" s="132"/>
      <c r="S1104" s="132"/>
      <c r="T1104" s="132"/>
      <c r="U1104" s="132"/>
      <c r="V1104" s="132"/>
      <c r="W1104" s="132"/>
      <c r="X1104" s="132"/>
      <c r="Y1104" s="132"/>
      <c r="Z1104" s="132"/>
      <c r="AA1104" s="132"/>
      <c r="AB1104" s="132"/>
    </row>
    <row r="1105" spans="1:28" s="133" customFormat="1" ht="15" customHeight="1" outlineLevel="1" x14ac:dyDescent="0.2">
      <c r="A1105" s="121">
        <v>9</v>
      </c>
      <c r="B1105" s="134">
        <v>67757</v>
      </c>
      <c r="C1105" s="135">
        <v>41964</v>
      </c>
      <c r="D1105" s="136" t="s">
        <v>1648</v>
      </c>
      <c r="E1105" s="134" t="s">
        <v>518</v>
      </c>
      <c r="F1105" s="137" t="s">
        <v>190</v>
      </c>
      <c r="G1105" s="138" t="s">
        <v>407</v>
      </c>
      <c r="H1105" s="139"/>
      <c r="I1105" s="140">
        <v>1</v>
      </c>
      <c r="J1105" s="141">
        <v>57960</v>
      </c>
      <c r="K1105" s="141">
        <v>57960</v>
      </c>
      <c r="L1105" s="181" t="s">
        <v>957</v>
      </c>
      <c r="M1105" s="186" t="s">
        <v>37</v>
      </c>
      <c r="N1105" s="131"/>
      <c r="O1105" s="132"/>
      <c r="P1105" s="132"/>
      <c r="Q1105" s="132"/>
      <c r="R1105" s="132"/>
      <c r="S1105" s="132"/>
      <c r="T1105" s="132"/>
      <c r="U1105" s="132"/>
      <c r="V1105" s="132"/>
      <c r="W1105" s="132"/>
      <c r="X1105" s="132"/>
      <c r="Y1105" s="132"/>
      <c r="Z1105" s="132"/>
      <c r="AA1105" s="132"/>
      <c r="AB1105" s="132"/>
    </row>
    <row r="1106" spans="1:28" s="133" customFormat="1" ht="15" customHeight="1" outlineLevel="1" x14ac:dyDescent="0.2">
      <c r="A1106" s="121">
        <v>10</v>
      </c>
      <c r="B1106" s="134">
        <v>70259</v>
      </c>
      <c r="C1106" s="135">
        <v>41971</v>
      </c>
      <c r="D1106" s="136" t="s">
        <v>1649</v>
      </c>
      <c r="E1106" s="134" t="s">
        <v>518</v>
      </c>
      <c r="F1106" s="137" t="s">
        <v>114</v>
      </c>
      <c r="G1106" s="138" t="s">
        <v>414</v>
      </c>
      <c r="H1106" s="139"/>
      <c r="I1106" s="140">
        <v>1</v>
      </c>
      <c r="J1106" s="141">
        <v>33370</v>
      </c>
      <c r="K1106" s="141">
        <v>33370</v>
      </c>
      <c r="L1106" s="181" t="s">
        <v>957</v>
      </c>
      <c r="M1106" s="186" t="s">
        <v>37</v>
      </c>
      <c r="N1106" s="131"/>
      <c r="O1106" s="132"/>
      <c r="P1106" s="132"/>
      <c r="Q1106" s="132"/>
      <c r="R1106" s="132"/>
      <c r="S1106" s="132"/>
      <c r="T1106" s="132"/>
      <c r="U1106" s="132"/>
      <c r="V1106" s="132"/>
      <c r="W1106" s="132"/>
      <c r="X1106" s="132"/>
      <c r="Y1106" s="132"/>
      <c r="Z1106" s="132"/>
      <c r="AA1106" s="132"/>
      <c r="AB1106" s="132"/>
    </row>
    <row r="1107" spans="1:28" s="133" customFormat="1" ht="15" customHeight="1" outlineLevel="1" x14ac:dyDescent="0.2">
      <c r="A1107" s="121">
        <v>12</v>
      </c>
      <c r="B1107" s="134">
        <v>70315</v>
      </c>
      <c r="C1107" s="135">
        <v>41971</v>
      </c>
      <c r="D1107" s="136" t="s">
        <v>541</v>
      </c>
      <c r="E1107" s="134" t="s">
        <v>542</v>
      </c>
      <c r="F1107" s="137" t="s">
        <v>208</v>
      </c>
      <c r="G1107" s="138" t="s">
        <v>559</v>
      </c>
      <c r="H1107" s="139"/>
      <c r="I1107" s="140">
        <v>1</v>
      </c>
      <c r="J1107" s="141">
        <v>14099</v>
      </c>
      <c r="K1107" s="141">
        <v>14099</v>
      </c>
      <c r="L1107" s="181" t="s">
        <v>957</v>
      </c>
      <c r="M1107" s="186" t="s">
        <v>37</v>
      </c>
      <c r="N1107" s="131"/>
      <c r="O1107" s="132"/>
      <c r="P1107" s="132"/>
      <c r="Q1107" s="132"/>
      <c r="R1107" s="132"/>
      <c r="S1107" s="132"/>
      <c r="T1107" s="132"/>
      <c r="U1107" s="132"/>
      <c r="V1107" s="132"/>
      <c r="W1107" s="132"/>
      <c r="X1107" s="132"/>
      <c r="Y1107" s="132"/>
      <c r="Z1107" s="132"/>
      <c r="AA1107" s="132"/>
      <c r="AB1107" s="132"/>
    </row>
    <row r="1108" spans="1:28" s="133" customFormat="1" ht="15" customHeight="1" outlineLevel="1" x14ac:dyDescent="0.2">
      <c r="A1108" s="121">
        <v>11</v>
      </c>
      <c r="B1108" s="134">
        <v>70315</v>
      </c>
      <c r="C1108" s="135">
        <v>41971</v>
      </c>
      <c r="D1108" s="136" t="s">
        <v>541</v>
      </c>
      <c r="E1108" s="134" t="s">
        <v>542</v>
      </c>
      <c r="F1108" s="137" t="s">
        <v>115</v>
      </c>
      <c r="G1108" s="138" t="s">
        <v>559</v>
      </c>
      <c r="H1108" s="139"/>
      <c r="I1108" s="140">
        <v>1</v>
      </c>
      <c r="J1108" s="141">
        <v>5274</v>
      </c>
      <c r="K1108" s="141">
        <v>5274</v>
      </c>
      <c r="L1108" s="181" t="s">
        <v>957</v>
      </c>
      <c r="M1108" s="186" t="s">
        <v>37</v>
      </c>
      <c r="N1108" s="131"/>
      <c r="O1108" s="132"/>
      <c r="P1108" s="132"/>
      <c r="Q1108" s="132"/>
      <c r="R1108" s="132"/>
      <c r="S1108" s="132"/>
      <c r="T1108" s="132"/>
      <c r="U1108" s="132"/>
      <c r="V1108" s="132"/>
      <c r="W1108" s="132"/>
      <c r="X1108" s="132"/>
      <c r="Y1108" s="132"/>
      <c r="Z1108" s="132"/>
      <c r="AA1108" s="132"/>
      <c r="AB1108" s="132"/>
    </row>
    <row r="1109" spans="1:28" s="133" customFormat="1" ht="15" customHeight="1" outlineLevel="1" x14ac:dyDescent="0.2">
      <c r="A1109" s="121">
        <v>13</v>
      </c>
      <c r="B1109" s="134">
        <v>60564</v>
      </c>
      <c r="C1109" s="135">
        <v>41947</v>
      </c>
      <c r="D1109" s="136" t="s">
        <v>1650</v>
      </c>
      <c r="E1109" s="134" t="s">
        <v>542</v>
      </c>
      <c r="F1109" s="137" t="s">
        <v>577</v>
      </c>
      <c r="G1109" s="138" t="s">
        <v>368</v>
      </c>
      <c r="H1109" s="139"/>
      <c r="I1109" s="140">
        <v>1</v>
      </c>
      <c r="J1109" s="141">
        <v>25800</v>
      </c>
      <c r="K1109" s="141">
        <v>25800</v>
      </c>
      <c r="L1109" s="181" t="s">
        <v>957</v>
      </c>
      <c r="M1109" s="186" t="s">
        <v>37</v>
      </c>
      <c r="N1109" s="131"/>
      <c r="O1109" s="132"/>
      <c r="P1109" s="132"/>
      <c r="Q1109" s="132"/>
      <c r="R1109" s="132"/>
      <c r="S1109" s="132"/>
      <c r="T1109" s="132"/>
      <c r="U1109" s="132"/>
      <c r="V1109" s="132"/>
      <c r="W1109" s="132"/>
      <c r="X1109" s="132"/>
      <c r="Y1109" s="132"/>
      <c r="Z1109" s="132"/>
      <c r="AA1109" s="132"/>
      <c r="AB1109" s="132"/>
    </row>
    <row r="1110" spans="1:28" s="133" customFormat="1" ht="15" customHeight="1" outlineLevel="1" x14ac:dyDescent="0.2">
      <c r="A1110" s="121">
        <v>14</v>
      </c>
      <c r="B1110" s="134">
        <v>66440</v>
      </c>
      <c r="C1110" s="135">
        <v>41961</v>
      </c>
      <c r="D1110" s="136" t="s">
        <v>1651</v>
      </c>
      <c r="E1110" s="134" t="s">
        <v>542</v>
      </c>
      <c r="F1110" s="137" t="s">
        <v>215</v>
      </c>
      <c r="G1110" s="138" t="s">
        <v>368</v>
      </c>
      <c r="H1110" s="139"/>
      <c r="I1110" s="140">
        <v>1</v>
      </c>
      <c r="J1110" s="141">
        <v>44597</v>
      </c>
      <c r="K1110" s="141">
        <v>44597</v>
      </c>
      <c r="L1110" s="181" t="s">
        <v>957</v>
      </c>
      <c r="M1110" s="186" t="s">
        <v>37</v>
      </c>
      <c r="N1110" s="131"/>
      <c r="O1110" s="132"/>
      <c r="P1110" s="132"/>
      <c r="Q1110" s="132"/>
      <c r="R1110" s="132"/>
      <c r="S1110" s="132"/>
      <c r="T1110" s="132"/>
      <c r="U1110" s="132"/>
      <c r="V1110" s="132"/>
      <c r="W1110" s="132"/>
      <c r="X1110" s="132"/>
      <c r="Y1110" s="132"/>
      <c r="Z1110" s="132"/>
      <c r="AA1110" s="132"/>
      <c r="AB1110" s="132"/>
    </row>
    <row r="1111" spans="1:28" s="133" customFormat="1" ht="15" customHeight="1" outlineLevel="1" x14ac:dyDescent="0.2">
      <c r="A1111" s="121">
        <v>16</v>
      </c>
      <c r="B1111" s="134">
        <v>68709</v>
      </c>
      <c r="C1111" s="135">
        <v>41968</v>
      </c>
      <c r="D1111" s="136" t="s">
        <v>1609</v>
      </c>
      <c r="E1111" s="134" t="s">
        <v>542</v>
      </c>
      <c r="F1111" s="137" t="s">
        <v>114</v>
      </c>
      <c r="G1111" s="138" t="s">
        <v>1652</v>
      </c>
      <c r="H1111" s="139"/>
      <c r="I1111" s="140">
        <v>3</v>
      </c>
      <c r="J1111" s="141">
        <v>33370</v>
      </c>
      <c r="K1111" s="141">
        <v>100110</v>
      </c>
      <c r="L1111" s="181" t="s">
        <v>957</v>
      </c>
      <c r="M1111" s="186" t="s">
        <v>37</v>
      </c>
      <c r="N1111" s="131"/>
      <c r="O1111" s="132"/>
      <c r="P1111" s="132"/>
      <c r="Q1111" s="132"/>
      <c r="R1111" s="132"/>
      <c r="S1111" s="132"/>
      <c r="T1111" s="132"/>
      <c r="U1111" s="132"/>
      <c r="V1111" s="132"/>
      <c r="W1111" s="132"/>
      <c r="X1111" s="132"/>
      <c r="Y1111" s="132"/>
      <c r="Z1111" s="132"/>
      <c r="AA1111" s="132"/>
      <c r="AB1111" s="132"/>
    </row>
    <row r="1112" spans="1:28" s="133" customFormat="1" ht="15" customHeight="1" outlineLevel="1" x14ac:dyDescent="0.2">
      <c r="A1112" s="121">
        <v>15</v>
      </c>
      <c r="B1112" s="134">
        <v>60542</v>
      </c>
      <c r="C1112" s="135">
        <v>41946</v>
      </c>
      <c r="D1112" s="136" t="s">
        <v>1609</v>
      </c>
      <c r="E1112" s="134" t="s">
        <v>542</v>
      </c>
      <c r="F1112" s="137" t="s">
        <v>115</v>
      </c>
      <c r="G1112" s="138" t="s">
        <v>1652</v>
      </c>
      <c r="H1112" s="139"/>
      <c r="I1112" s="140">
        <v>3</v>
      </c>
      <c r="J1112" s="141">
        <v>5274</v>
      </c>
      <c r="K1112" s="141">
        <v>15822</v>
      </c>
      <c r="L1112" s="181" t="s">
        <v>957</v>
      </c>
      <c r="M1112" s="186" t="s">
        <v>37</v>
      </c>
      <c r="N1112" s="131"/>
      <c r="O1112" s="132"/>
      <c r="P1112" s="132"/>
      <c r="Q1112" s="132"/>
      <c r="R1112" s="132"/>
      <c r="S1112" s="132"/>
      <c r="T1112" s="132"/>
      <c r="U1112" s="132"/>
      <c r="V1112" s="132"/>
      <c r="W1112" s="132"/>
      <c r="X1112" s="132"/>
      <c r="Y1112" s="132"/>
      <c r="Z1112" s="132"/>
      <c r="AA1112" s="132"/>
      <c r="AB1112" s="132"/>
    </row>
    <row r="1113" spans="1:28" s="133" customFormat="1" ht="15" customHeight="1" outlineLevel="1" x14ac:dyDescent="0.2">
      <c r="A1113" s="121">
        <v>17</v>
      </c>
      <c r="B1113" s="134">
        <v>69712</v>
      </c>
      <c r="C1113" s="135">
        <v>41970</v>
      </c>
      <c r="D1113" s="136" t="s">
        <v>1653</v>
      </c>
      <c r="E1113" s="134" t="s">
        <v>1555</v>
      </c>
      <c r="F1113" s="137" t="s">
        <v>171</v>
      </c>
      <c r="G1113" s="138" t="s">
        <v>368</v>
      </c>
      <c r="H1113" s="139"/>
      <c r="I1113" s="140">
        <v>1</v>
      </c>
      <c r="J1113" s="141">
        <v>18764</v>
      </c>
      <c r="K1113" s="141">
        <v>18764</v>
      </c>
      <c r="L1113" s="181" t="s">
        <v>957</v>
      </c>
      <c r="M1113" s="186" t="s">
        <v>37</v>
      </c>
      <c r="N1113" s="131"/>
      <c r="O1113" s="132"/>
      <c r="P1113" s="132"/>
      <c r="Q1113" s="132"/>
      <c r="R1113" s="132"/>
      <c r="S1113" s="132"/>
      <c r="T1113" s="132"/>
      <c r="U1113" s="132"/>
      <c r="V1113" s="132"/>
      <c r="W1113" s="132"/>
      <c r="X1113" s="132"/>
      <c r="Y1113" s="132"/>
      <c r="Z1113" s="132"/>
      <c r="AA1113" s="132"/>
      <c r="AB1113" s="132"/>
    </row>
    <row r="1114" spans="1:28" s="133" customFormat="1" ht="15" customHeight="1" outlineLevel="1" x14ac:dyDescent="0.2">
      <c r="A1114" s="121">
        <v>18</v>
      </c>
      <c r="B1114" s="134">
        <v>66487</v>
      </c>
      <c r="C1114" s="135">
        <v>41961</v>
      </c>
      <c r="D1114" s="136" t="s">
        <v>1654</v>
      </c>
      <c r="E1114" s="134" t="s">
        <v>542</v>
      </c>
      <c r="F1114" s="137" t="s">
        <v>534</v>
      </c>
      <c r="G1114" s="138" t="s">
        <v>469</v>
      </c>
      <c r="H1114" s="139"/>
      <c r="I1114" s="140">
        <v>1</v>
      </c>
      <c r="J1114" s="141">
        <v>30429</v>
      </c>
      <c r="K1114" s="141">
        <v>30429</v>
      </c>
      <c r="L1114" s="181" t="s">
        <v>957</v>
      </c>
      <c r="M1114" s="186" t="s">
        <v>37</v>
      </c>
      <c r="N1114" s="131"/>
      <c r="O1114" s="132"/>
      <c r="P1114" s="132"/>
      <c r="Q1114" s="132"/>
      <c r="R1114" s="132"/>
      <c r="S1114" s="132"/>
      <c r="T1114" s="132"/>
      <c r="U1114" s="132"/>
      <c r="V1114" s="132"/>
      <c r="W1114" s="132"/>
      <c r="X1114" s="132"/>
      <c r="Y1114" s="132"/>
      <c r="Z1114" s="132"/>
      <c r="AA1114" s="132"/>
      <c r="AB1114" s="132"/>
    </row>
    <row r="1115" spans="1:28" s="133" customFormat="1" ht="15" customHeight="1" outlineLevel="1" x14ac:dyDescent="0.2">
      <c r="A1115" s="121">
        <v>19</v>
      </c>
      <c r="B1115" s="134">
        <v>66646</v>
      </c>
      <c r="C1115" s="135">
        <v>41962</v>
      </c>
      <c r="D1115" s="136" t="s">
        <v>1610</v>
      </c>
      <c r="E1115" s="134" t="s">
        <v>518</v>
      </c>
      <c r="F1115" s="137" t="s">
        <v>114</v>
      </c>
      <c r="G1115" s="138" t="s">
        <v>524</v>
      </c>
      <c r="H1115" s="139"/>
      <c r="I1115" s="140">
        <v>1</v>
      </c>
      <c r="J1115" s="141">
        <v>33370</v>
      </c>
      <c r="K1115" s="141">
        <v>33370</v>
      </c>
      <c r="L1115" s="181" t="s">
        <v>957</v>
      </c>
      <c r="M1115" s="186" t="s">
        <v>37</v>
      </c>
      <c r="N1115" s="131"/>
      <c r="O1115" s="132"/>
      <c r="P1115" s="132"/>
      <c r="Q1115" s="132"/>
      <c r="R1115" s="132"/>
      <c r="S1115" s="132"/>
      <c r="T1115" s="132"/>
      <c r="U1115" s="132"/>
      <c r="V1115" s="132"/>
      <c r="W1115" s="132"/>
      <c r="X1115" s="132"/>
      <c r="Y1115" s="132"/>
      <c r="Z1115" s="132"/>
      <c r="AA1115" s="132"/>
      <c r="AB1115" s="132"/>
    </row>
    <row r="1116" spans="1:28" s="133" customFormat="1" ht="15" customHeight="1" outlineLevel="1" x14ac:dyDescent="0.2">
      <c r="A1116" s="121">
        <v>20</v>
      </c>
      <c r="B1116" s="134">
        <v>63872</v>
      </c>
      <c r="C1116" s="135">
        <v>41954</v>
      </c>
      <c r="D1116" s="136" t="s">
        <v>1655</v>
      </c>
      <c r="E1116" s="134" t="s">
        <v>542</v>
      </c>
      <c r="F1116" s="137" t="s">
        <v>577</v>
      </c>
      <c r="G1116" s="138" t="s">
        <v>368</v>
      </c>
      <c r="H1116" s="139"/>
      <c r="I1116" s="140">
        <v>1</v>
      </c>
      <c r="J1116" s="141">
        <v>25800</v>
      </c>
      <c r="K1116" s="141">
        <v>25800</v>
      </c>
      <c r="L1116" s="181" t="s">
        <v>957</v>
      </c>
      <c r="M1116" s="186" t="s">
        <v>37</v>
      </c>
      <c r="N1116" s="131"/>
      <c r="O1116" s="132"/>
      <c r="P1116" s="132"/>
      <c r="Q1116" s="132"/>
      <c r="R1116" s="132"/>
      <c r="S1116" s="132"/>
      <c r="T1116" s="132"/>
      <c r="U1116" s="132"/>
      <c r="V1116" s="132"/>
      <c r="W1116" s="132"/>
      <c r="X1116" s="132"/>
      <c r="Y1116" s="132"/>
      <c r="Z1116" s="132"/>
      <c r="AA1116" s="132"/>
      <c r="AB1116" s="132"/>
    </row>
    <row r="1117" spans="1:28" s="133" customFormat="1" ht="15" customHeight="1" outlineLevel="1" x14ac:dyDescent="0.2">
      <c r="A1117" s="121">
        <v>56</v>
      </c>
      <c r="B1117" s="134">
        <v>68705</v>
      </c>
      <c r="C1117" s="135">
        <v>41968</v>
      </c>
      <c r="D1117" s="136" t="s">
        <v>1656</v>
      </c>
      <c r="E1117" s="134" t="s">
        <v>542</v>
      </c>
      <c r="F1117" s="137" t="s">
        <v>114</v>
      </c>
      <c r="G1117" s="138" t="s">
        <v>404</v>
      </c>
      <c r="H1117" s="139"/>
      <c r="I1117" s="140">
        <v>1</v>
      </c>
      <c r="J1117" s="141">
        <v>33370</v>
      </c>
      <c r="K1117" s="141">
        <v>33370</v>
      </c>
      <c r="L1117" s="181" t="s">
        <v>957</v>
      </c>
      <c r="M1117" s="186" t="s">
        <v>37</v>
      </c>
      <c r="N1117" s="131"/>
      <c r="O1117" s="132"/>
      <c r="P1117" s="132"/>
      <c r="Q1117" s="132"/>
      <c r="R1117" s="132"/>
      <c r="S1117" s="132"/>
      <c r="T1117" s="132"/>
      <c r="U1117" s="132"/>
      <c r="V1117" s="132"/>
      <c r="W1117" s="132"/>
      <c r="X1117" s="132"/>
      <c r="Y1117" s="132"/>
      <c r="Z1117" s="132"/>
      <c r="AA1117" s="132"/>
      <c r="AB1117" s="132"/>
    </row>
    <row r="1118" spans="1:28" s="133" customFormat="1" ht="15" customHeight="1" outlineLevel="1" x14ac:dyDescent="0.2">
      <c r="A1118" s="121">
        <v>21</v>
      </c>
      <c r="B1118" s="134">
        <v>67573</v>
      </c>
      <c r="C1118" s="135">
        <v>41964</v>
      </c>
      <c r="D1118" s="136" t="s">
        <v>1657</v>
      </c>
      <c r="E1118" s="134" t="s">
        <v>1555</v>
      </c>
      <c r="F1118" s="137" t="s">
        <v>171</v>
      </c>
      <c r="G1118" s="138" t="s">
        <v>368</v>
      </c>
      <c r="H1118" s="139"/>
      <c r="I1118" s="140">
        <v>1</v>
      </c>
      <c r="J1118" s="141">
        <v>18764</v>
      </c>
      <c r="K1118" s="141">
        <v>18764</v>
      </c>
      <c r="L1118" s="181" t="s">
        <v>957</v>
      </c>
      <c r="M1118" s="186" t="s">
        <v>37</v>
      </c>
      <c r="N1118" s="131"/>
      <c r="O1118" s="132"/>
      <c r="P1118" s="132"/>
      <c r="Q1118" s="132"/>
      <c r="R1118" s="132"/>
      <c r="S1118" s="132"/>
      <c r="T1118" s="132"/>
      <c r="U1118" s="132"/>
      <c r="V1118" s="132"/>
      <c r="W1118" s="132"/>
      <c r="X1118" s="132"/>
      <c r="Y1118" s="132"/>
      <c r="Z1118" s="132"/>
      <c r="AA1118" s="132"/>
      <c r="AB1118" s="132"/>
    </row>
    <row r="1119" spans="1:28" s="133" customFormat="1" ht="15" customHeight="1" outlineLevel="1" x14ac:dyDescent="0.2">
      <c r="A1119" s="121">
        <v>22</v>
      </c>
      <c r="B1119" s="134">
        <v>62246</v>
      </c>
      <c r="C1119" s="135">
        <v>41953</v>
      </c>
      <c r="D1119" s="136" t="s">
        <v>1658</v>
      </c>
      <c r="E1119" s="134" t="s">
        <v>1555</v>
      </c>
      <c r="F1119" s="137" t="s">
        <v>171</v>
      </c>
      <c r="G1119" s="138" t="s">
        <v>368</v>
      </c>
      <c r="H1119" s="139"/>
      <c r="I1119" s="140">
        <v>1</v>
      </c>
      <c r="J1119" s="141">
        <v>18764</v>
      </c>
      <c r="K1119" s="141">
        <v>18764</v>
      </c>
      <c r="L1119" s="181" t="s">
        <v>957</v>
      </c>
      <c r="M1119" s="186" t="s">
        <v>37</v>
      </c>
      <c r="N1119" s="131"/>
      <c r="O1119" s="132"/>
      <c r="P1119" s="132"/>
      <c r="Q1119" s="132"/>
      <c r="R1119" s="132"/>
      <c r="S1119" s="132"/>
      <c r="T1119" s="132"/>
      <c r="U1119" s="132"/>
      <c r="V1119" s="132"/>
      <c r="W1119" s="132"/>
      <c r="X1119" s="132"/>
      <c r="Y1119" s="132"/>
      <c r="Z1119" s="132"/>
      <c r="AA1119" s="132"/>
      <c r="AB1119" s="132"/>
    </row>
    <row r="1120" spans="1:28" s="133" customFormat="1" ht="15" customHeight="1" outlineLevel="1" x14ac:dyDescent="0.2">
      <c r="A1120" s="121">
        <v>23</v>
      </c>
      <c r="B1120" s="134">
        <v>63462</v>
      </c>
      <c r="C1120" s="135">
        <v>41954</v>
      </c>
      <c r="D1120" s="136" t="s">
        <v>1612</v>
      </c>
      <c r="E1120" s="134" t="s">
        <v>518</v>
      </c>
      <c r="F1120" s="137" t="s">
        <v>1576</v>
      </c>
      <c r="G1120" s="138" t="s">
        <v>414</v>
      </c>
      <c r="H1120" s="139"/>
      <c r="I1120" s="140">
        <v>1</v>
      </c>
      <c r="J1120" s="141">
        <v>63583</v>
      </c>
      <c r="K1120" s="141">
        <v>63583</v>
      </c>
      <c r="L1120" s="181" t="s">
        <v>957</v>
      </c>
      <c r="M1120" s="186" t="s">
        <v>37</v>
      </c>
      <c r="N1120" s="131"/>
      <c r="O1120" s="132"/>
      <c r="P1120" s="132"/>
      <c r="Q1120" s="132"/>
      <c r="R1120" s="132"/>
      <c r="S1120" s="132"/>
      <c r="T1120" s="132"/>
      <c r="U1120" s="132"/>
      <c r="V1120" s="132"/>
      <c r="W1120" s="132"/>
      <c r="X1120" s="132"/>
      <c r="Y1120" s="132"/>
      <c r="Z1120" s="132"/>
      <c r="AA1120" s="132"/>
      <c r="AB1120" s="132"/>
    </row>
    <row r="1121" spans="1:28" s="133" customFormat="1" ht="15" customHeight="1" outlineLevel="1" x14ac:dyDescent="0.2">
      <c r="A1121" s="121">
        <v>24</v>
      </c>
      <c r="B1121" s="134">
        <v>53896</v>
      </c>
      <c r="C1121" s="135">
        <v>41927</v>
      </c>
      <c r="D1121" s="136" t="s">
        <v>1659</v>
      </c>
      <c r="E1121" s="134" t="s">
        <v>1550</v>
      </c>
      <c r="F1121" s="137" t="s">
        <v>679</v>
      </c>
      <c r="G1121" s="138" t="s">
        <v>384</v>
      </c>
      <c r="H1121" s="139"/>
      <c r="I1121" s="140">
        <v>2</v>
      </c>
      <c r="J1121" s="141">
        <v>55058</v>
      </c>
      <c r="K1121" s="141">
        <v>110116</v>
      </c>
      <c r="L1121" s="181" t="s">
        <v>957</v>
      </c>
      <c r="M1121" s="186" t="s">
        <v>37</v>
      </c>
      <c r="N1121" s="131"/>
      <c r="O1121" s="132"/>
      <c r="P1121" s="132"/>
      <c r="Q1121" s="132"/>
      <c r="R1121" s="132"/>
      <c r="S1121" s="132"/>
      <c r="T1121" s="132"/>
      <c r="U1121" s="132"/>
      <c r="V1121" s="132"/>
      <c r="W1121" s="132"/>
      <c r="X1121" s="132"/>
      <c r="Y1121" s="132"/>
      <c r="Z1121" s="132"/>
      <c r="AA1121" s="132"/>
      <c r="AB1121" s="132"/>
    </row>
    <row r="1122" spans="1:28" s="133" customFormat="1" ht="15" customHeight="1" outlineLevel="1" x14ac:dyDescent="0.2">
      <c r="A1122" s="121">
        <v>26</v>
      </c>
      <c r="B1122" s="134">
        <v>66991</v>
      </c>
      <c r="C1122" s="135">
        <v>41963</v>
      </c>
      <c r="D1122" s="136" t="s">
        <v>1613</v>
      </c>
      <c r="E1122" s="134" t="s">
        <v>542</v>
      </c>
      <c r="F1122" s="137" t="s">
        <v>208</v>
      </c>
      <c r="G1122" s="138" t="s">
        <v>389</v>
      </c>
      <c r="H1122" s="139"/>
      <c r="I1122" s="140">
        <v>1</v>
      </c>
      <c r="J1122" s="141">
        <v>14099</v>
      </c>
      <c r="K1122" s="141">
        <v>14099</v>
      </c>
      <c r="L1122" s="181" t="s">
        <v>957</v>
      </c>
      <c r="M1122" s="186" t="s">
        <v>37</v>
      </c>
      <c r="N1122" s="131"/>
      <c r="O1122" s="132"/>
      <c r="P1122" s="132"/>
      <c r="Q1122" s="132"/>
      <c r="R1122" s="132"/>
      <c r="S1122" s="132"/>
      <c r="T1122" s="132"/>
      <c r="U1122" s="132"/>
      <c r="V1122" s="132"/>
      <c r="W1122" s="132"/>
      <c r="X1122" s="132"/>
      <c r="Y1122" s="132"/>
      <c r="Z1122" s="132"/>
      <c r="AA1122" s="132"/>
      <c r="AB1122" s="132"/>
    </row>
    <row r="1123" spans="1:28" s="133" customFormat="1" ht="15" customHeight="1" outlineLevel="1" x14ac:dyDescent="0.2">
      <c r="A1123" s="121">
        <v>25</v>
      </c>
      <c r="B1123" s="134">
        <v>66991</v>
      </c>
      <c r="C1123" s="135">
        <v>41963</v>
      </c>
      <c r="D1123" s="136" t="s">
        <v>1613</v>
      </c>
      <c r="E1123" s="134" t="s">
        <v>542</v>
      </c>
      <c r="F1123" s="137" t="s">
        <v>115</v>
      </c>
      <c r="G1123" s="138" t="s">
        <v>389</v>
      </c>
      <c r="H1123" s="139"/>
      <c r="I1123" s="140">
        <v>1</v>
      </c>
      <c r="J1123" s="141">
        <v>5274</v>
      </c>
      <c r="K1123" s="141">
        <v>5274</v>
      </c>
      <c r="L1123" s="181" t="s">
        <v>957</v>
      </c>
      <c r="M1123" s="186" t="s">
        <v>37</v>
      </c>
      <c r="N1123" s="131"/>
      <c r="O1123" s="132"/>
      <c r="P1123" s="132"/>
      <c r="Q1123" s="132"/>
      <c r="R1123" s="132"/>
      <c r="S1123" s="132"/>
      <c r="T1123" s="132"/>
      <c r="U1123" s="132"/>
      <c r="V1123" s="132"/>
      <c r="W1123" s="132"/>
      <c r="X1123" s="132"/>
      <c r="Y1123" s="132"/>
      <c r="Z1123" s="132"/>
      <c r="AA1123" s="132"/>
      <c r="AB1123" s="132"/>
    </row>
    <row r="1124" spans="1:28" s="133" customFormat="1" ht="15" customHeight="1" outlineLevel="1" x14ac:dyDescent="0.2">
      <c r="A1124" s="121">
        <v>28</v>
      </c>
      <c r="B1124" s="134">
        <v>67759</v>
      </c>
      <c r="C1124" s="135">
        <v>41964</v>
      </c>
      <c r="D1124" s="136" t="s">
        <v>1660</v>
      </c>
      <c r="E1124" s="134" t="s">
        <v>542</v>
      </c>
      <c r="F1124" s="137" t="s">
        <v>208</v>
      </c>
      <c r="G1124" s="138" t="s">
        <v>439</v>
      </c>
      <c r="H1124" s="139"/>
      <c r="I1124" s="140">
        <v>1</v>
      </c>
      <c r="J1124" s="141">
        <v>14099</v>
      </c>
      <c r="K1124" s="141">
        <v>14099</v>
      </c>
      <c r="L1124" s="181" t="s">
        <v>957</v>
      </c>
      <c r="M1124" s="186" t="s">
        <v>37</v>
      </c>
      <c r="N1124" s="131"/>
      <c r="O1124" s="132"/>
      <c r="P1124" s="132"/>
      <c r="Q1124" s="132"/>
      <c r="R1124" s="132"/>
      <c r="S1124" s="132"/>
      <c r="T1124" s="132"/>
      <c r="U1124" s="132"/>
      <c r="V1124" s="132"/>
      <c r="W1124" s="132"/>
      <c r="X1124" s="132"/>
      <c r="Y1124" s="132"/>
      <c r="Z1124" s="132"/>
      <c r="AA1124" s="132"/>
      <c r="AB1124" s="132"/>
    </row>
    <row r="1125" spans="1:28" s="133" customFormat="1" ht="15" customHeight="1" outlineLevel="1" x14ac:dyDescent="0.2">
      <c r="A1125" s="121">
        <v>27</v>
      </c>
      <c r="B1125" s="134">
        <v>67759</v>
      </c>
      <c r="C1125" s="135">
        <v>41964</v>
      </c>
      <c r="D1125" s="136" t="s">
        <v>1660</v>
      </c>
      <c r="E1125" s="134" t="s">
        <v>542</v>
      </c>
      <c r="F1125" s="137" t="s">
        <v>115</v>
      </c>
      <c r="G1125" s="138" t="s">
        <v>439</v>
      </c>
      <c r="H1125" s="139"/>
      <c r="I1125" s="140">
        <v>1</v>
      </c>
      <c r="J1125" s="141">
        <v>5274</v>
      </c>
      <c r="K1125" s="141">
        <v>5274</v>
      </c>
      <c r="L1125" s="181" t="s">
        <v>957</v>
      </c>
      <c r="M1125" s="186" t="s">
        <v>37</v>
      </c>
      <c r="N1125" s="131"/>
      <c r="O1125" s="132"/>
      <c r="P1125" s="132"/>
      <c r="Q1125" s="132"/>
      <c r="R1125" s="132"/>
      <c r="S1125" s="132"/>
      <c r="T1125" s="132"/>
      <c r="U1125" s="132"/>
      <c r="V1125" s="132"/>
      <c r="W1125" s="132"/>
      <c r="X1125" s="132"/>
      <c r="Y1125" s="132"/>
      <c r="Z1125" s="132"/>
      <c r="AA1125" s="132"/>
      <c r="AB1125" s="132"/>
    </row>
    <row r="1126" spans="1:28" s="133" customFormat="1" ht="15" customHeight="1" outlineLevel="1" x14ac:dyDescent="0.2">
      <c r="A1126" s="121">
        <v>29</v>
      </c>
      <c r="B1126" s="134">
        <v>67594</v>
      </c>
      <c r="C1126" s="135">
        <v>41964</v>
      </c>
      <c r="D1126" s="136" t="s">
        <v>1661</v>
      </c>
      <c r="E1126" s="134" t="s">
        <v>542</v>
      </c>
      <c r="F1126" s="137" t="s">
        <v>534</v>
      </c>
      <c r="G1126" s="138" t="s">
        <v>428</v>
      </c>
      <c r="H1126" s="139"/>
      <c r="I1126" s="140">
        <v>1</v>
      </c>
      <c r="J1126" s="141">
        <v>30429</v>
      </c>
      <c r="K1126" s="141">
        <v>30429</v>
      </c>
      <c r="L1126" s="181" t="s">
        <v>957</v>
      </c>
      <c r="M1126" s="186" t="s">
        <v>37</v>
      </c>
      <c r="N1126" s="131"/>
      <c r="O1126" s="132"/>
      <c r="P1126" s="132"/>
      <c r="Q1126" s="132"/>
      <c r="R1126" s="132"/>
      <c r="S1126" s="132"/>
      <c r="T1126" s="132"/>
      <c r="U1126" s="132"/>
      <c r="V1126" s="132"/>
      <c r="W1126" s="132"/>
      <c r="X1126" s="132"/>
      <c r="Y1126" s="132"/>
      <c r="Z1126" s="132"/>
      <c r="AA1126" s="132"/>
      <c r="AB1126" s="132"/>
    </row>
    <row r="1127" spans="1:28" s="133" customFormat="1" ht="15" customHeight="1" outlineLevel="1" x14ac:dyDescent="0.2">
      <c r="A1127" s="121">
        <v>30</v>
      </c>
      <c r="B1127" s="134">
        <v>64586</v>
      </c>
      <c r="C1127" s="135">
        <v>41956</v>
      </c>
      <c r="D1127" s="136" t="s">
        <v>1662</v>
      </c>
      <c r="E1127" s="134" t="s">
        <v>1600</v>
      </c>
      <c r="F1127" s="137" t="s">
        <v>208</v>
      </c>
      <c r="G1127" s="138" t="s">
        <v>414</v>
      </c>
      <c r="H1127" s="139"/>
      <c r="I1127" s="140">
        <v>1</v>
      </c>
      <c r="J1127" s="141">
        <v>14099</v>
      </c>
      <c r="K1127" s="141">
        <v>14099</v>
      </c>
      <c r="L1127" s="181" t="s">
        <v>957</v>
      </c>
      <c r="M1127" s="186" t="s">
        <v>37</v>
      </c>
      <c r="N1127" s="131"/>
      <c r="O1127" s="132"/>
      <c r="P1127" s="132"/>
      <c r="Q1127" s="132"/>
      <c r="R1127" s="132"/>
      <c r="S1127" s="132"/>
      <c r="T1127" s="132"/>
      <c r="U1127" s="132"/>
      <c r="V1127" s="132"/>
      <c r="W1127" s="132"/>
      <c r="X1127" s="132"/>
      <c r="Y1127" s="132"/>
      <c r="Z1127" s="132"/>
      <c r="AA1127" s="132"/>
      <c r="AB1127" s="132"/>
    </row>
    <row r="1128" spans="1:28" s="133" customFormat="1" ht="15" customHeight="1" outlineLevel="1" x14ac:dyDescent="0.2">
      <c r="A1128" s="121">
        <v>31</v>
      </c>
      <c r="B1128" s="134">
        <v>61785</v>
      </c>
      <c r="C1128" s="135">
        <v>41949</v>
      </c>
      <c r="D1128" s="136" t="s">
        <v>1616</v>
      </c>
      <c r="E1128" s="134" t="s">
        <v>542</v>
      </c>
      <c r="F1128" s="137" t="s">
        <v>114</v>
      </c>
      <c r="G1128" s="138" t="s">
        <v>439</v>
      </c>
      <c r="H1128" s="139"/>
      <c r="I1128" s="140">
        <v>1</v>
      </c>
      <c r="J1128" s="141">
        <v>33370</v>
      </c>
      <c r="K1128" s="141">
        <v>33370</v>
      </c>
      <c r="L1128" s="181" t="s">
        <v>957</v>
      </c>
      <c r="M1128" s="186" t="s">
        <v>37</v>
      </c>
      <c r="N1128" s="131"/>
      <c r="O1128" s="132"/>
      <c r="P1128" s="132"/>
      <c r="Q1128" s="132"/>
      <c r="R1128" s="132"/>
      <c r="S1128" s="132"/>
      <c r="T1128" s="132"/>
      <c r="U1128" s="132"/>
      <c r="V1128" s="132"/>
      <c r="W1128" s="132"/>
      <c r="X1128" s="132"/>
      <c r="Y1128" s="132"/>
      <c r="Z1128" s="132"/>
      <c r="AA1128" s="132"/>
      <c r="AB1128" s="132"/>
    </row>
    <row r="1129" spans="1:28" s="133" customFormat="1" ht="15" customHeight="1" outlineLevel="1" x14ac:dyDescent="0.2">
      <c r="A1129" s="121">
        <v>33</v>
      </c>
      <c r="B1129" s="134">
        <v>64153</v>
      </c>
      <c r="C1129" s="135">
        <v>41955</v>
      </c>
      <c r="D1129" s="136" t="s">
        <v>1663</v>
      </c>
      <c r="E1129" s="134" t="s">
        <v>542</v>
      </c>
      <c r="F1129" s="137" t="s">
        <v>208</v>
      </c>
      <c r="G1129" s="138" t="s">
        <v>531</v>
      </c>
      <c r="H1129" s="139"/>
      <c r="I1129" s="140">
        <v>1</v>
      </c>
      <c r="J1129" s="141">
        <v>14099</v>
      </c>
      <c r="K1129" s="141">
        <v>14099</v>
      </c>
      <c r="L1129" s="181" t="s">
        <v>957</v>
      </c>
      <c r="M1129" s="186" t="s">
        <v>37</v>
      </c>
      <c r="N1129" s="131"/>
      <c r="O1129" s="132"/>
      <c r="P1129" s="132"/>
      <c r="Q1129" s="132"/>
      <c r="R1129" s="132"/>
      <c r="S1129" s="132"/>
      <c r="T1129" s="132"/>
      <c r="U1129" s="132"/>
      <c r="V1129" s="132"/>
      <c r="W1129" s="132"/>
      <c r="X1129" s="132"/>
      <c r="Y1129" s="132"/>
      <c r="Z1129" s="132"/>
      <c r="AA1129" s="132"/>
      <c r="AB1129" s="132"/>
    </row>
    <row r="1130" spans="1:28" s="133" customFormat="1" ht="15" customHeight="1" outlineLevel="1" x14ac:dyDescent="0.2">
      <c r="A1130" s="121">
        <v>32</v>
      </c>
      <c r="B1130" s="134">
        <v>64153</v>
      </c>
      <c r="C1130" s="135">
        <v>41955</v>
      </c>
      <c r="D1130" s="136" t="s">
        <v>1663</v>
      </c>
      <c r="E1130" s="134" t="s">
        <v>542</v>
      </c>
      <c r="F1130" s="137" t="s">
        <v>115</v>
      </c>
      <c r="G1130" s="138" t="s">
        <v>531</v>
      </c>
      <c r="H1130" s="139"/>
      <c r="I1130" s="140">
        <v>1</v>
      </c>
      <c r="J1130" s="141">
        <v>5274</v>
      </c>
      <c r="K1130" s="141">
        <v>5274</v>
      </c>
      <c r="L1130" s="181" t="s">
        <v>957</v>
      </c>
      <c r="M1130" s="186" t="s">
        <v>37</v>
      </c>
      <c r="N1130" s="131"/>
      <c r="O1130" s="132"/>
      <c r="P1130" s="132"/>
      <c r="Q1130" s="132"/>
      <c r="R1130" s="132"/>
      <c r="S1130" s="132"/>
      <c r="T1130" s="132"/>
      <c r="U1130" s="132"/>
      <c r="V1130" s="132"/>
      <c r="W1130" s="132"/>
      <c r="X1130" s="132"/>
      <c r="Y1130" s="132"/>
      <c r="Z1130" s="132"/>
      <c r="AA1130" s="132"/>
      <c r="AB1130" s="132"/>
    </row>
    <row r="1131" spans="1:28" s="133" customFormat="1" ht="15" customHeight="1" outlineLevel="1" x14ac:dyDescent="0.2">
      <c r="A1131" s="121">
        <v>34</v>
      </c>
      <c r="B1131" s="134">
        <v>68705</v>
      </c>
      <c r="C1131" s="135">
        <v>41968</v>
      </c>
      <c r="D1131" s="136" t="s">
        <v>1664</v>
      </c>
      <c r="E1131" s="134" t="s">
        <v>518</v>
      </c>
      <c r="F1131" s="137" t="s">
        <v>1046</v>
      </c>
      <c r="G1131" s="138" t="s">
        <v>389</v>
      </c>
      <c r="H1131" s="139"/>
      <c r="I1131" s="140">
        <v>1</v>
      </c>
      <c r="J1131" s="141">
        <v>63583</v>
      </c>
      <c r="K1131" s="141">
        <v>63583</v>
      </c>
      <c r="L1131" s="181" t="s">
        <v>957</v>
      </c>
      <c r="M1131" s="186" t="s">
        <v>37</v>
      </c>
      <c r="N1131" s="131"/>
      <c r="O1131" s="132"/>
      <c r="P1131" s="132"/>
      <c r="Q1131" s="132"/>
      <c r="R1131" s="132"/>
      <c r="S1131" s="132"/>
      <c r="T1131" s="132"/>
      <c r="U1131" s="132"/>
      <c r="V1131" s="132"/>
      <c r="W1131" s="132"/>
      <c r="X1131" s="132"/>
      <c r="Y1131" s="132"/>
      <c r="Z1131" s="132"/>
      <c r="AA1131" s="132"/>
      <c r="AB1131" s="132"/>
    </row>
    <row r="1132" spans="1:28" s="133" customFormat="1" ht="15" customHeight="1" outlineLevel="1" x14ac:dyDescent="0.2">
      <c r="A1132" s="121">
        <v>36</v>
      </c>
      <c r="B1132" s="134">
        <v>63459</v>
      </c>
      <c r="C1132" s="135">
        <v>41954</v>
      </c>
      <c r="D1132" s="136" t="s">
        <v>1665</v>
      </c>
      <c r="E1132" s="134" t="s">
        <v>518</v>
      </c>
      <c r="F1132" s="137" t="s">
        <v>114</v>
      </c>
      <c r="G1132" s="138" t="s">
        <v>1095</v>
      </c>
      <c r="H1132" s="139"/>
      <c r="I1132" s="140">
        <v>2</v>
      </c>
      <c r="J1132" s="141">
        <v>33370</v>
      </c>
      <c r="K1132" s="141">
        <v>66740</v>
      </c>
      <c r="L1132" s="181" t="s">
        <v>957</v>
      </c>
      <c r="M1132" s="186" t="s">
        <v>37</v>
      </c>
      <c r="N1132" s="131"/>
      <c r="O1132" s="132"/>
      <c r="P1132" s="132"/>
      <c r="Q1132" s="132"/>
      <c r="R1132" s="132"/>
      <c r="S1132" s="132"/>
      <c r="T1132" s="132"/>
      <c r="U1132" s="132"/>
      <c r="V1132" s="132"/>
      <c r="W1132" s="132"/>
      <c r="X1132" s="132"/>
      <c r="Y1132" s="132"/>
      <c r="Z1132" s="132"/>
      <c r="AA1132" s="132"/>
      <c r="AB1132" s="132"/>
    </row>
    <row r="1133" spans="1:28" s="133" customFormat="1" ht="15" customHeight="1" outlineLevel="1" x14ac:dyDescent="0.2">
      <c r="A1133" s="121">
        <v>35</v>
      </c>
      <c r="B1133" s="134">
        <v>63459</v>
      </c>
      <c r="C1133" s="135">
        <v>41954</v>
      </c>
      <c r="D1133" s="136" t="s">
        <v>1665</v>
      </c>
      <c r="E1133" s="134" t="s">
        <v>518</v>
      </c>
      <c r="F1133" s="137" t="s">
        <v>202</v>
      </c>
      <c r="G1133" s="138" t="s">
        <v>559</v>
      </c>
      <c r="H1133" s="139"/>
      <c r="I1133" s="140">
        <v>1</v>
      </c>
      <c r="J1133" s="141">
        <v>17244</v>
      </c>
      <c r="K1133" s="141">
        <v>17244</v>
      </c>
      <c r="L1133" s="181" t="s">
        <v>957</v>
      </c>
      <c r="M1133" s="186" t="s">
        <v>37</v>
      </c>
      <c r="N1133" s="131"/>
      <c r="O1133" s="132"/>
      <c r="P1133" s="132"/>
      <c r="Q1133" s="132"/>
      <c r="R1133" s="132"/>
      <c r="S1133" s="132"/>
      <c r="T1133" s="132"/>
      <c r="U1133" s="132"/>
      <c r="V1133" s="132"/>
      <c r="W1133" s="132"/>
      <c r="X1133" s="132"/>
      <c r="Y1133" s="132"/>
      <c r="Z1133" s="132"/>
      <c r="AA1133" s="132"/>
      <c r="AB1133" s="132"/>
    </row>
    <row r="1134" spans="1:28" s="133" customFormat="1" ht="15" customHeight="1" outlineLevel="1" x14ac:dyDescent="0.2">
      <c r="A1134" s="121">
        <v>37</v>
      </c>
      <c r="B1134" s="134">
        <v>64905</v>
      </c>
      <c r="C1134" s="135">
        <v>41957</v>
      </c>
      <c r="D1134" s="136" t="s">
        <v>1666</v>
      </c>
      <c r="E1134" s="134" t="s">
        <v>542</v>
      </c>
      <c r="F1134" s="137" t="s">
        <v>534</v>
      </c>
      <c r="G1134" s="138" t="s">
        <v>439</v>
      </c>
      <c r="H1134" s="139"/>
      <c r="I1134" s="140">
        <v>1</v>
      </c>
      <c r="J1134" s="141">
        <v>30429</v>
      </c>
      <c r="K1134" s="141">
        <v>30429</v>
      </c>
      <c r="L1134" s="181" t="s">
        <v>957</v>
      </c>
      <c r="M1134" s="186" t="s">
        <v>37</v>
      </c>
      <c r="N1134" s="131"/>
      <c r="O1134" s="132"/>
      <c r="P1134" s="132"/>
      <c r="Q1134" s="132"/>
      <c r="R1134" s="132"/>
      <c r="S1134" s="132"/>
      <c r="T1134" s="132"/>
      <c r="U1134" s="132"/>
      <c r="V1134" s="132"/>
      <c r="W1134" s="132"/>
      <c r="X1134" s="132"/>
      <c r="Y1134" s="132"/>
      <c r="Z1134" s="132"/>
      <c r="AA1134" s="132"/>
      <c r="AB1134" s="132"/>
    </row>
    <row r="1135" spans="1:28" s="133" customFormat="1" ht="15" customHeight="1" outlineLevel="1" x14ac:dyDescent="0.2">
      <c r="A1135" s="121">
        <v>39</v>
      </c>
      <c r="B1135" s="134">
        <v>64905</v>
      </c>
      <c r="C1135" s="135">
        <v>41957</v>
      </c>
      <c r="D1135" s="136" t="s">
        <v>1666</v>
      </c>
      <c r="E1135" s="134" t="s">
        <v>542</v>
      </c>
      <c r="F1135" s="137" t="s">
        <v>208</v>
      </c>
      <c r="G1135" s="138" t="s">
        <v>416</v>
      </c>
      <c r="H1135" s="139"/>
      <c r="I1135" s="140">
        <v>1</v>
      </c>
      <c r="J1135" s="141">
        <v>14099</v>
      </c>
      <c r="K1135" s="141">
        <v>14099</v>
      </c>
      <c r="L1135" s="181" t="s">
        <v>957</v>
      </c>
      <c r="M1135" s="186" t="s">
        <v>37</v>
      </c>
      <c r="N1135" s="131"/>
      <c r="O1135" s="132"/>
      <c r="P1135" s="132"/>
      <c r="Q1135" s="132"/>
      <c r="R1135" s="132"/>
      <c r="S1135" s="132"/>
      <c r="T1135" s="132"/>
      <c r="U1135" s="132"/>
      <c r="V1135" s="132"/>
      <c r="W1135" s="132"/>
      <c r="X1135" s="132"/>
      <c r="Y1135" s="132"/>
      <c r="Z1135" s="132"/>
      <c r="AA1135" s="132"/>
      <c r="AB1135" s="132"/>
    </row>
    <row r="1136" spans="1:28" s="133" customFormat="1" ht="15" customHeight="1" outlineLevel="1" x14ac:dyDescent="0.2">
      <c r="A1136" s="121">
        <v>38</v>
      </c>
      <c r="B1136" s="134">
        <v>64905</v>
      </c>
      <c r="C1136" s="135">
        <v>41957</v>
      </c>
      <c r="D1136" s="136" t="s">
        <v>1666</v>
      </c>
      <c r="E1136" s="134" t="s">
        <v>542</v>
      </c>
      <c r="F1136" s="137" t="s">
        <v>115</v>
      </c>
      <c r="G1136" s="138" t="s">
        <v>416</v>
      </c>
      <c r="H1136" s="139"/>
      <c r="I1136" s="140">
        <v>1</v>
      </c>
      <c r="J1136" s="141">
        <v>5274</v>
      </c>
      <c r="K1136" s="141">
        <v>5274</v>
      </c>
      <c r="L1136" s="181" t="s">
        <v>957</v>
      </c>
      <c r="M1136" s="186" t="s">
        <v>37</v>
      </c>
      <c r="N1136" s="131"/>
      <c r="O1136" s="132"/>
      <c r="P1136" s="132"/>
      <c r="Q1136" s="132"/>
      <c r="R1136" s="132"/>
      <c r="S1136" s="132"/>
      <c r="T1136" s="132"/>
      <c r="U1136" s="132"/>
      <c r="V1136" s="132"/>
      <c r="W1136" s="132"/>
      <c r="X1136" s="132"/>
      <c r="Y1136" s="132"/>
      <c r="Z1136" s="132"/>
      <c r="AA1136" s="132"/>
      <c r="AB1136" s="132"/>
    </row>
    <row r="1137" spans="1:28" s="133" customFormat="1" ht="15" customHeight="1" outlineLevel="1" x14ac:dyDescent="0.2">
      <c r="A1137" s="121">
        <v>40</v>
      </c>
      <c r="B1137" s="134">
        <v>65453</v>
      </c>
      <c r="C1137" s="135">
        <v>41961</v>
      </c>
      <c r="D1137" s="136" t="s">
        <v>1667</v>
      </c>
      <c r="E1137" s="134" t="s">
        <v>1668</v>
      </c>
      <c r="F1137" s="137" t="s">
        <v>193</v>
      </c>
      <c r="G1137" s="138" t="s">
        <v>368</v>
      </c>
      <c r="H1137" s="139"/>
      <c r="I1137" s="140">
        <v>1</v>
      </c>
      <c r="J1137" s="141">
        <v>36514.799999999996</v>
      </c>
      <c r="K1137" s="141">
        <v>36514.799999999996</v>
      </c>
      <c r="L1137" s="181" t="s">
        <v>957</v>
      </c>
      <c r="M1137" s="186" t="s">
        <v>37</v>
      </c>
      <c r="N1137" s="131"/>
      <c r="O1137" s="132"/>
      <c r="P1137" s="132"/>
      <c r="Q1137" s="132"/>
      <c r="R1137" s="132"/>
      <c r="S1137" s="132"/>
      <c r="T1137" s="132"/>
      <c r="U1137" s="132"/>
      <c r="V1137" s="132"/>
      <c r="W1137" s="132"/>
      <c r="X1137" s="132"/>
      <c r="Y1137" s="132"/>
      <c r="Z1137" s="132"/>
      <c r="AA1137" s="132"/>
      <c r="AB1137" s="132"/>
    </row>
    <row r="1138" spans="1:28" s="133" customFormat="1" ht="15" customHeight="1" outlineLevel="1" x14ac:dyDescent="0.2">
      <c r="A1138" s="121">
        <v>41</v>
      </c>
      <c r="B1138" s="134">
        <v>65617</v>
      </c>
      <c r="C1138" s="135">
        <v>41959</v>
      </c>
      <c r="D1138" s="136" t="s">
        <v>1669</v>
      </c>
      <c r="E1138" s="134" t="s">
        <v>1027</v>
      </c>
      <c r="F1138" s="137" t="s">
        <v>195</v>
      </c>
      <c r="G1138" s="138" t="s">
        <v>1670</v>
      </c>
      <c r="H1138" s="139"/>
      <c r="I1138" s="140">
        <v>5</v>
      </c>
      <c r="J1138" s="141">
        <v>2739</v>
      </c>
      <c r="K1138" s="141">
        <v>13695</v>
      </c>
      <c r="L1138" s="181" t="s">
        <v>957</v>
      </c>
      <c r="M1138" s="186" t="s">
        <v>37</v>
      </c>
      <c r="N1138" s="131"/>
      <c r="O1138" s="132"/>
      <c r="P1138" s="132"/>
      <c r="Q1138" s="132"/>
      <c r="R1138" s="132"/>
      <c r="S1138" s="132"/>
      <c r="T1138" s="132"/>
      <c r="U1138" s="132"/>
      <c r="V1138" s="132"/>
      <c r="W1138" s="132"/>
      <c r="X1138" s="132"/>
      <c r="Y1138" s="132"/>
      <c r="Z1138" s="132"/>
      <c r="AA1138" s="132"/>
      <c r="AB1138" s="132"/>
    </row>
    <row r="1139" spans="1:28" s="133" customFormat="1" ht="15" customHeight="1" outlineLevel="1" x14ac:dyDescent="0.2">
      <c r="A1139" s="121">
        <v>42</v>
      </c>
      <c r="B1139" s="134">
        <v>65223</v>
      </c>
      <c r="C1139" s="135">
        <v>41957</v>
      </c>
      <c r="D1139" s="136" t="s">
        <v>1671</v>
      </c>
      <c r="E1139" s="134" t="s">
        <v>1600</v>
      </c>
      <c r="F1139" s="137" t="s">
        <v>1129</v>
      </c>
      <c r="G1139" s="138" t="s">
        <v>404</v>
      </c>
      <c r="H1139" s="139"/>
      <c r="I1139" s="140">
        <v>1</v>
      </c>
      <c r="J1139" s="141">
        <v>49701</v>
      </c>
      <c r="K1139" s="141">
        <v>49701</v>
      </c>
      <c r="L1139" s="181" t="s">
        <v>957</v>
      </c>
      <c r="M1139" s="186" t="s">
        <v>37</v>
      </c>
      <c r="N1139" s="131"/>
      <c r="O1139" s="132"/>
      <c r="P1139" s="132"/>
      <c r="Q1139" s="132"/>
      <c r="R1139" s="132"/>
      <c r="S1139" s="132"/>
      <c r="T1139" s="132"/>
      <c r="U1139" s="132"/>
      <c r="V1139" s="132"/>
      <c r="W1139" s="132"/>
      <c r="X1139" s="132"/>
      <c r="Y1139" s="132"/>
      <c r="Z1139" s="132"/>
      <c r="AA1139" s="132"/>
      <c r="AB1139" s="132"/>
    </row>
    <row r="1140" spans="1:28" s="133" customFormat="1" ht="15" customHeight="1" outlineLevel="1" x14ac:dyDescent="0.2">
      <c r="A1140" s="121">
        <v>43</v>
      </c>
      <c r="B1140" s="201">
        <v>64551</v>
      </c>
      <c r="C1140" s="202">
        <v>41957</v>
      </c>
      <c r="D1140" s="198" t="s">
        <v>1672</v>
      </c>
      <c r="E1140" s="201" t="s">
        <v>1600</v>
      </c>
      <c r="F1140" s="198" t="s">
        <v>534</v>
      </c>
      <c r="G1140" s="203" t="s">
        <v>524</v>
      </c>
      <c r="H1140" s="203"/>
      <c r="I1140" s="204">
        <v>1</v>
      </c>
      <c r="J1140" s="179">
        <v>30429</v>
      </c>
      <c r="K1140" s="179">
        <v>30429</v>
      </c>
      <c r="L1140" s="181" t="s">
        <v>957</v>
      </c>
      <c r="M1140" s="186" t="s">
        <v>37</v>
      </c>
      <c r="N1140" s="131"/>
      <c r="O1140" s="132"/>
      <c r="P1140" s="132"/>
      <c r="Q1140" s="132"/>
      <c r="R1140" s="132"/>
      <c r="S1140" s="132"/>
      <c r="T1140" s="132"/>
      <c r="U1140" s="132"/>
      <c r="V1140" s="132"/>
      <c r="W1140" s="132"/>
      <c r="X1140" s="132"/>
      <c r="Y1140" s="132"/>
      <c r="Z1140" s="132"/>
      <c r="AA1140" s="132"/>
      <c r="AB1140" s="132"/>
    </row>
    <row r="1141" spans="1:28" s="133" customFormat="1" ht="15" customHeight="1" outlineLevel="1" x14ac:dyDescent="0.2">
      <c r="A1141" s="121">
        <v>44</v>
      </c>
      <c r="B1141" s="134">
        <v>68638</v>
      </c>
      <c r="C1141" s="135">
        <v>41968</v>
      </c>
      <c r="D1141" s="136" t="s">
        <v>1673</v>
      </c>
      <c r="E1141" s="134" t="s">
        <v>542</v>
      </c>
      <c r="F1141" s="212" t="s">
        <v>217</v>
      </c>
      <c r="G1141" s="138" t="s">
        <v>368</v>
      </c>
      <c r="H1141" s="139"/>
      <c r="I1141" s="140">
        <v>1</v>
      </c>
      <c r="J1141" s="141">
        <v>22299</v>
      </c>
      <c r="K1141" s="141">
        <v>22299</v>
      </c>
      <c r="L1141" s="181" t="s">
        <v>957</v>
      </c>
      <c r="M1141" s="186" t="s">
        <v>37</v>
      </c>
      <c r="N1141" s="131"/>
      <c r="O1141" s="132"/>
      <c r="P1141" s="132"/>
      <c r="Q1141" s="132"/>
      <c r="R1141" s="132"/>
      <c r="S1141" s="132"/>
      <c r="T1141" s="132"/>
      <c r="U1141" s="132"/>
      <c r="V1141" s="132"/>
      <c r="W1141" s="132"/>
      <c r="X1141" s="132"/>
      <c r="Y1141" s="132"/>
      <c r="Z1141" s="132"/>
      <c r="AA1141" s="132"/>
      <c r="AB1141" s="132"/>
    </row>
    <row r="1142" spans="1:28" s="133" customFormat="1" ht="15" customHeight="1" outlineLevel="1" x14ac:dyDescent="0.2">
      <c r="A1142" s="121">
        <v>45</v>
      </c>
      <c r="B1142" s="134">
        <v>63457</v>
      </c>
      <c r="C1142" s="135">
        <v>41954</v>
      </c>
      <c r="D1142" s="136" t="s">
        <v>1674</v>
      </c>
      <c r="E1142" s="134" t="s">
        <v>518</v>
      </c>
      <c r="F1142" s="137" t="s">
        <v>641</v>
      </c>
      <c r="G1142" s="138" t="s">
        <v>591</v>
      </c>
      <c r="H1142" s="139"/>
      <c r="I1142" s="140">
        <v>1</v>
      </c>
      <c r="J1142" s="141">
        <v>29440</v>
      </c>
      <c r="K1142" s="141">
        <v>29440</v>
      </c>
      <c r="L1142" s="181" t="s">
        <v>957</v>
      </c>
      <c r="M1142" s="186" t="s">
        <v>37</v>
      </c>
      <c r="N1142" s="131"/>
      <c r="O1142" s="132"/>
      <c r="P1142" s="132"/>
      <c r="Q1142" s="132"/>
      <c r="R1142" s="132"/>
      <c r="S1142" s="132"/>
      <c r="T1142" s="132"/>
      <c r="U1142" s="132"/>
      <c r="V1142" s="132"/>
      <c r="W1142" s="132"/>
      <c r="X1142" s="132"/>
      <c r="Y1142" s="132"/>
      <c r="Z1142" s="132"/>
      <c r="AA1142" s="132"/>
      <c r="AB1142" s="132"/>
    </row>
    <row r="1143" spans="1:28" s="133" customFormat="1" ht="15" customHeight="1" outlineLevel="1" x14ac:dyDescent="0.2">
      <c r="A1143" s="121">
        <v>46</v>
      </c>
      <c r="B1143" s="134">
        <v>66995</v>
      </c>
      <c r="C1143" s="135">
        <v>41962</v>
      </c>
      <c r="D1143" s="136" t="s">
        <v>1675</v>
      </c>
      <c r="E1143" s="134" t="s">
        <v>542</v>
      </c>
      <c r="F1143" s="137" t="s">
        <v>115</v>
      </c>
      <c r="G1143" s="138" t="s">
        <v>1676</v>
      </c>
      <c r="H1143" s="139"/>
      <c r="I1143" s="140">
        <v>9</v>
      </c>
      <c r="J1143" s="141">
        <v>5274</v>
      </c>
      <c r="K1143" s="141">
        <v>47466</v>
      </c>
      <c r="L1143" s="181" t="s">
        <v>957</v>
      </c>
      <c r="M1143" s="186" t="s">
        <v>37</v>
      </c>
      <c r="N1143" s="131"/>
      <c r="O1143" s="132"/>
      <c r="P1143" s="132"/>
      <c r="Q1143" s="132"/>
      <c r="R1143" s="132"/>
      <c r="S1143" s="132"/>
      <c r="T1143" s="132"/>
      <c r="U1143" s="132"/>
      <c r="V1143" s="132"/>
      <c r="W1143" s="132"/>
      <c r="X1143" s="132"/>
      <c r="Y1143" s="132"/>
      <c r="Z1143" s="132"/>
      <c r="AA1143" s="132"/>
      <c r="AB1143" s="132"/>
    </row>
    <row r="1144" spans="1:28" s="133" customFormat="1" ht="15" customHeight="1" outlineLevel="1" x14ac:dyDescent="0.2">
      <c r="A1144" s="121">
        <v>47</v>
      </c>
      <c r="B1144" s="134">
        <v>70343</v>
      </c>
      <c r="C1144" s="135">
        <v>41971</v>
      </c>
      <c r="D1144" s="136" t="s">
        <v>1557</v>
      </c>
      <c r="E1144" s="134" t="s">
        <v>518</v>
      </c>
      <c r="F1144" s="137" t="s">
        <v>1576</v>
      </c>
      <c r="G1144" s="138" t="s">
        <v>642</v>
      </c>
      <c r="H1144" s="139"/>
      <c r="I1144" s="140">
        <v>1</v>
      </c>
      <c r="J1144" s="141">
        <v>63583</v>
      </c>
      <c r="K1144" s="141">
        <v>63583</v>
      </c>
      <c r="L1144" s="181" t="s">
        <v>957</v>
      </c>
      <c r="M1144" s="186" t="s">
        <v>37</v>
      </c>
      <c r="N1144" s="131"/>
      <c r="O1144" s="132"/>
      <c r="P1144" s="132"/>
      <c r="Q1144" s="132"/>
      <c r="R1144" s="132"/>
      <c r="S1144" s="132"/>
      <c r="T1144" s="132"/>
      <c r="U1144" s="132"/>
      <c r="V1144" s="132"/>
      <c r="W1144" s="132"/>
      <c r="X1144" s="132"/>
      <c r="Y1144" s="132"/>
      <c r="Z1144" s="132"/>
      <c r="AA1144" s="132"/>
      <c r="AB1144" s="132"/>
    </row>
    <row r="1145" spans="1:28" s="133" customFormat="1" ht="15" customHeight="1" outlineLevel="1" x14ac:dyDescent="0.2">
      <c r="A1145" s="121">
        <v>48</v>
      </c>
      <c r="B1145" s="134">
        <v>67569</v>
      </c>
      <c r="C1145" s="135">
        <v>41964</v>
      </c>
      <c r="D1145" s="136" t="s">
        <v>1677</v>
      </c>
      <c r="E1145" s="134" t="s">
        <v>1555</v>
      </c>
      <c r="F1145" s="137" t="s">
        <v>171</v>
      </c>
      <c r="G1145" s="138" t="s">
        <v>368</v>
      </c>
      <c r="H1145" s="139"/>
      <c r="I1145" s="140">
        <v>1</v>
      </c>
      <c r="J1145" s="141">
        <v>18764</v>
      </c>
      <c r="K1145" s="141">
        <v>18764</v>
      </c>
      <c r="L1145" s="181" t="s">
        <v>957</v>
      </c>
      <c r="M1145" s="186" t="s">
        <v>37</v>
      </c>
      <c r="N1145" s="131"/>
      <c r="O1145" s="132"/>
      <c r="P1145" s="132"/>
      <c r="Q1145" s="132"/>
      <c r="R1145" s="132"/>
      <c r="S1145" s="132"/>
      <c r="T1145" s="132"/>
      <c r="U1145" s="132"/>
      <c r="V1145" s="132"/>
      <c r="W1145" s="132"/>
      <c r="X1145" s="132"/>
      <c r="Y1145" s="132"/>
      <c r="Z1145" s="132"/>
      <c r="AA1145" s="132"/>
      <c r="AB1145" s="132"/>
    </row>
    <row r="1146" spans="1:28" s="133" customFormat="1" ht="15" customHeight="1" outlineLevel="1" x14ac:dyDescent="0.2">
      <c r="A1146" s="121">
        <v>49</v>
      </c>
      <c r="B1146" s="134">
        <v>60971</v>
      </c>
      <c r="C1146" s="135">
        <v>41942</v>
      </c>
      <c r="D1146" s="136" t="s">
        <v>1678</v>
      </c>
      <c r="E1146" s="134" t="s">
        <v>518</v>
      </c>
      <c r="F1146" s="137" t="s">
        <v>114</v>
      </c>
      <c r="G1146" s="138" t="s">
        <v>407</v>
      </c>
      <c r="H1146" s="139"/>
      <c r="I1146" s="140">
        <v>1</v>
      </c>
      <c r="J1146" s="141">
        <v>33370</v>
      </c>
      <c r="K1146" s="141">
        <v>33370</v>
      </c>
      <c r="L1146" s="181" t="s">
        <v>957</v>
      </c>
      <c r="M1146" s="186" t="s">
        <v>37</v>
      </c>
      <c r="N1146" s="131"/>
      <c r="O1146" s="132"/>
      <c r="P1146" s="132"/>
      <c r="Q1146" s="132"/>
      <c r="R1146" s="132"/>
      <c r="S1146" s="132"/>
      <c r="T1146" s="132"/>
      <c r="U1146" s="132"/>
      <c r="V1146" s="132"/>
      <c r="W1146" s="132"/>
      <c r="X1146" s="132"/>
      <c r="Y1146" s="132"/>
      <c r="Z1146" s="132"/>
      <c r="AA1146" s="132"/>
      <c r="AB1146" s="132"/>
    </row>
    <row r="1147" spans="1:28" s="133" customFormat="1" ht="15" customHeight="1" outlineLevel="1" x14ac:dyDescent="0.2">
      <c r="A1147" s="121">
        <v>50</v>
      </c>
      <c r="B1147" s="134">
        <v>60591</v>
      </c>
      <c r="C1147" s="135">
        <v>41947</v>
      </c>
      <c r="D1147" s="136" t="s">
        <v>1679</v>
      </c>
      <c r="E1147" s="134" t="s">
        <v>542</v>
      </c>
      <c r="F1147" s="137" t="s">
        <v>679</v>
      </c>
      <c r="G1147" s="138" t="s">
        <v>366</v>
      </c>
      <c r="H1147" s="139"/>
      <c r="I1147" s="140">
        <v>1</v>
      </c>
      <c r="J1147" s="141">
        <v>55058</v>
      </c>
      <c r="K1147" s="141">
        <v>55058</v>
      </c>
      <c r="L1147" s="181" t="s">
        <v>957</v>
      </c>
      <c r="M1147" s="186" t="s">
        <v>37</v>
      </c>
      <c r="N1147" s="131"/>
      <c r="O1147" s="132"/>
      <c r="P1147" s="132"/>
      <c r="Q1147" s="132"/>
      <c r="R1147" s="132"/>
      <c r="S1147" s="132"/>
      <c r="T1147" s="132"/>
      <c r="U1147" s="132"/>
      <c r="V1147" s="132"/>
      <c r="W1147" s="132"/>
      <c r="X1147" s="132"/>
      <c r="Y1147" s="132"/>
      <c r="Z1147" s="132"/>
      <c r="AA1147" s="132"/>
      <c r="AB1147" s="132"/>
    </row>
    <row r="1148" spans="1:28" s="133" customFormat="1" ht="15" customHeight="1" outlineLevel="1" x14ac:dyDescent="0.2">
      <c r="A1148" s="121">
        <v>51</v>
      </c>
      <c r="B1148" s="134">
        <v>69050</v>
      </c>
      <c r="C1148" s="135">
        <v>41968</v>
      </c>
      <c r="D1148" s="136" t="s">
        <v>1680</v>
      </c>
      <c r="E1148" s="134" t="s">
        <v>542</v>
      </c>
      <c r="F1148" s="137" t="s">
        <v>679</v>
      </c>
      <c r="G1148" s="138" t="s">
        <v>384</v>
      </c>
      <c r="H1148" s="139"/>
      <c r="I1148" s="140">
        <v>2</v>
      </c>
      <c r="J1148" s="141">
        <v>55058</v>
      </c>
      <c r="K1148" s="141">
        <v>110116</v>
      </c>
      <c r="L1148" s="181" t="s">
        <v>957</v>
      </c>
      <c r="M1148" s="186" t="s">
        <v>37</v>
      </c>
      <c r="N1148" s="131"/>
      <c r="O1148" s="132"/>
      <c r="P1148" s="132"/>
      <c r="Q1148" s="132"/>
      <c r="R1148" s="132"/>
      <c r="S1148" s="132"/>
      <c r="T1148" s="132"/>
      <c r="U1148" s="132"/>
      <c r="V1148" s="132"/>
      <c r="W1148" s="132"/>
      <c r="X1148" s="132"/>
      <c r="Y1148" s="132"/>
      <c r="Z1148" s="132"/>
      <c r="AA1148" s="132"/>
      <c r="AB1148" s="132"/>
    </row>
    <row r="1149" spans="1:28" s="133" customFormat="1" ht="15" customHeight="1" outlineLevel="1" x14ac:dyDescent="0.2">
      <c r="A1149" s="121">
        <v>52</v>
      </c>
      <c r="B1149" s="134">
        <v>66030</v>
      </c>
      <c r="C1149" s="135">
        <v>41961</v>
      </c>
      <c r="D1149" s="136" t="s">
        <v>1579</v>
      </c>
      <c r="E1149" s="134" t="s">
        <v>542</v>
      </c>
      <c r="F1149" s="137" t="s">
        <v>114</v>
      </c>
      <c r="G1149" s="138" t="s">
        <v>524</v>
      </c>
      <c r="H1149" s="139"/>
      <c r="I1149" s="140">
        <v>1</v>
      </c>
      <c r="J1149" s="141">
        <v>33370</v>
      </c>
      <c r="K1149" s="141">
        <v>33370</v>
      </c>
      <c r="L1149" s="181" t="s">
        <v>957</v>
      </c>
      <c r="M1149" s="186" t="s">
        <v>37</v>
      </c>
      <c r="N1149" s="131"/>
      <c r="O1149" s="132"/>
      <c r="P1149" s="132"/>
      <c r="Q1149" s="132"/>
      <c r="R1149" s="132"/>
      <c r="S1149" s="132"/>
      <c r="T1149" s="132"/>
      <c r="U1149" s="132"/>
      <c r="V1149" s="132"/>
      <c r="W1149" s="132"/>
      <c r="X1149" s="132"/>
      <c r="Y1149" s="132"/>
      <c r="Z1149" s="132"/>
      <c r="AA1149" s="132"/>
      <c r="AB1149" s="132"/>
    </row>
    <row r="1150" spans="1:28" s="133" customFormat="1" ht="15" customHeight="1" outlineLevel="1" x14ac:dyDescent="0.2">
      <c r="A1150" s="121">
        <v>54</v>
      </c>
      <c r="B1150" s="134">
        <v>68019</v>
      </c>
      <c r="C1150" s="135">
        <v>41964</v>
      </c>
      <c r="D1150" s="136" t="s">
        <v>1681</v>
      </c>
      <c r="E1150" s="134" t="s">
        <v>542</v>
      </c>
      <c r="F1150" s="137" t="s">
        <v>574</v>
      </c>
      <c r="G1150" s="138" t="s">
        <v>389</v>
      </c>
      <c r="H1150" s="139"/>
      <c r="I1150" s="140">
        <v>1</v>
      </c>
      <c r="J1150" s="141">
        <v>49701</v>
      </c>
      <c r="K1150" s="141">
        <v>49701</v>
      </c>
      <c r="L1150" s="181" t="s">
        <v>957</v>
      </c>
      <c r="M1150" s="186" t="s">
        <v>37</v>
      </c>
      <c r="N1150" s="131"/>
      <c r="O1150" s="132"/>
      <c r="P1150" s="132"/>
      <c r="Q1150" s="132"/>
      <c r="R1150" s="132"/>
      <c r="S1150" s="132"/>
      <c r="T1150" s="132"/>
      <c r="U1150" s="132"/>
      <c r="V1150" s="132"/>
      <c r="W1150" s="132"/>
      <c r="X1150" s="132"/>
      <c r="Y1150" s="132"/>
      <c r="Z1150" s="132"/>
      <c r="AA1150" s="132"/>
      <c r="AB1150" s="132"/>
    </row>
    <row r="1151" spans="1:28" s="133" customFormat="1" ht="15" customHeight="1" outlineLevel="1" x14ac:dyDescent="0.2">
      <c r="A1151" s="121">
        <v>53</v>
      </c>
      <c r="B1151" s="134">
        <v>61380</v>
      </c>
      <c r="C1151" s="135">
        <v>41948</v>
      </c>
      <c r="D1151" s="136" t="s">
        <v>1681</v>
      </c>
      <c r="E1151" s="134" t="s">
        <v>542</v>
      </c>
      <c r="F1151" s="137" t="s">
        <v>534</v>
      </c>
      <c r="G1151" s="138" t="s">
        <v>1682</v>
      </c>
      <c r="H1151" s="139"/>
      <c r="I1151" s="140">
        <v>2</v>
      </c>
      <c r="J1151" s="141">
        <v>30429</v>
      </c>
      <c r="K1151" s="141">
        <v>60858</v>
      </c>
      <c r="L1151" s="181" t="s">
        <v>957</v>
      </c>
      <c r="M1151" s="186" t="s">
        <v>37</v>
      </c>
      <c r="N1151" s="131"/>
      <c r="O1151" s="132"/>
      <c r="P1151" s="132"/>
      <c r="Q1151" s="132"/>
      <c r="R1151" s="132"/>
      <c r="S1151" s="132"/>
      <c r="T1151" s="132"/>
      <c r="U1151" s="132"/>
      <c r="V1151" s="132"/>
      <c r="W1151" s="132"/>
      <c r="X1151" s="132"/>
      <c r="Y1151" s="132"/>
      <c r="Z1151" s="132"/>
      <c r="AA1151" s="132"/>
      <c r="AB1151" s="132"/>
    </row>
    <row r="1152" spans="1:28" s="133" customFormat="1" ht="15" customHeight="1" outlineLevel="1" x14ac:dyDescent="0.2">
      <c r="A1152" s="121">
        <v>55</v>
      </c>
      <c r="B1152" s="134">
        <v>61934</v>
      </c>
      <c r="C1152" s="135">
        <v>41948</v>
      </c>
      <c r="D1152" s="136" t="s">
        <v>1683</v>
      </c>
      <c r="E1152" s="134" t="s">
        <v>542</v>
      </c>
      <c r="F1152" s="137" t="s">
        <v>215</v>
      </c>
      <c r="G1152" s="138" t="s">
        <v>368</v>
      </c>
      <c r="H1152" s="139"/>
      <c r="I1152" s="140">
        <v>1</v>
      </c>
      <c r="J1152" s="141">
        <v>44597</v>
      </c>
      <c r="K1152" s="141">
        <v>44597</v>
      </c>
      <c r="L1152" s="181" t="s">
        <v>957</v>
      </c>
      <c r="M1152" s="186" t="s">
        <v>37</v>
      </c>
      <c r="N1152" s="131"/>
      <c r="O1152" s="132"/>
      <c r="P1152" s="132"/>
      <c r="Q1152" s="132"/>
      <c r="R1152" s="132"/>
      <c r="S1152" s="132"/>
      <c r="T1152" s="132"/>
      <c r="U1152" s="132"/>
      <c r="V1152" s="132"/>
      <c r="W1152" s="132"/>
      <c r="X1152" s="132"/>
      <c r="Y1152" s="132"/>
      <c r="Z1152" s="132"/>
      <c r="AA1152" s="132"/>
      <c r="AB1152" s="132"/>
    </row>
    <row r="1153" spans="1:28" s="133" customFormat="1" ht="15" customHeight="1" outlineLevel="1" x14ac:dyDescent="0.2">
      <c r="A1153" s="121">
        <v>47</v>
      </c>
      <c r="B1153" s="121">
        <v>84827</v>
      </c>
      <c r="C1153" s="122">
        <v>42004</v>
      </c>
      <c r="D1153" s="123" t="s">
        <v>1684</v>
      </c>
      <c r="E1153" s="121" t="s">
        <v>542</v>
      </c>
      <c r="F1153" s="199" t="s">
        <v>215</v>
      </c>
      <c r="G1153" s="125" t="s">
        <v>368</v>
      </c>
      <c r="H1153" s="126"/>
      <c r="I1153" s="127">
        <v>1</v>
      </c>
      <c r="J1153" s="128">
        <v>44597</v>
      </c>
      <c r="K1153" s="128">
        <v>44597</v>
      </c>
      <c r="L1153" s="188" t="s">
        <v>620</v>
      </c>
      <c r="M1153" s="186" t="s">
        <v>37</v>
      </c>
      <c r="N1153" s="131"/>
      <c r="O1153" s="132"/>
      <c r="P1153" s="132"/>
      <c r="Q1153" s="132"/>
      <c r="R1153" s="132"/>
      <c r="S1153" s="132"/>
      <c r="T1153" s="132"/>
      <c r="U1153" s="132"/>
      <c r="V1153" s="132"/>
      <c r="W1153" s="132"/>
      <c r="X1153" s="132"/>
      <c r="Y1153" s="132"/>
      <c r="Z1153" s="132"/>
      <c r="AA1153" s="132"/>
      <c r="AB1153" s="132"/>
    </row>
    <row r="1154" spans="1:28" s="133" customFormat="1" ht="15" customHeight="1" outlineLevel="1" x14ac:dyDescent="0.2">
      <c r="A1154" s="121">
        <v>41</v>
      </c>
      <c r="B1154" s="121">
        <v>84223</v>
      </c>
      <c r="C1154" s="122">
        <v>42003</v>
      </c>
      <c r="D1154" s="123" t="s">
        <v>1685</v>
      </c>
      <c r="E1154" s="121" t="s">
        <v>542</v>
      </c>
      <c r="F1154" s="124" t="s">
        <v>114</v>
      </c>
      <c r="G1154" s="125" t="s">
        <v>883</v>
      </c>
      <c r="H1154" s="126"/>
      <c r="I1154" s="127">
        <v>1</v>
      </c>
      <c r="J1154" s="128">
        <v>33370</v>
      </c>
      <c r="K1154" s="128">
        <v>33370</v>
      </c>
      <c r="L1154" s="188" t="s">
        <v>620</v>
      </c>
      <c r="M1154" s="186" t="s">
        <v>37</v>
      </c>
      <c r="N1154" s="131"/>
      <c r="O1154" s="132"/>
      <c r="P1154" s="132"/>
      <c r="Q1154" s="132"/>
      <c r="R1154" s="132"/>
      <c r="S1154" s="132"/>
      <c r="T1154" s="132"/>
      <c r="U1154" s="132"/>
      <c r="V1154" s="132"/>
      <c r="W1154" s="132"/>
      <c r="X1154" s="132"/>
      <c r="Y1154" s="132"/>
      <c r="Z1154" s="132"/>
      <c r="AA1154" s="132"/>
      <c r="AB1154" s="132"/>
    </row>
    <row r="1155" spans="1:28" s="133" customFormat="1" ht="15" customHeight="1" outlineLevel="1" x14ac:dyDescent="0.2">
      <c r="A1155" s="121">
        <v>32</v>
      </c>
      <c r="B1155" s="121">
        <v>52973</v>
      </c>
      <c r="C1155" s="122">
        <v>41985</v>
      </c>
      <c r="D1155" s="123" t="s">
        <v>1686</v>
      </c>
      <c r="E1155" s="121" t="s">
        <v>518</v>
      </c>
      <c r="F1155" s="124" t="s">
        <v>195</v>
      </c>
      <c r="G1155" s="125" t="s">
        <v>1687</v>
      </c>
      <c r="H1155" s="126"/>
      <c r="I1155" s="127">
        <v>2</v>
      </c>
      <c r="J1155" s="128">
        <v>2739</v>
      </c>
      <c r="K1155" s="128">
        <v>5478</v>
      </c>
      <c r="L1155" s="188" t="s">
        <v>620</v>
      </c>
      <c r="M1155" s="186" t="s">
        <v>37</v>
      </c>
      <c r="N1155" s="131"/>
      <c r="O1155" s="132"/>
      <c r="P1155" s="132"/>
      <c r="Q1155" s="132"/>
      <c r="R1155" s="132"/>
      <c r="S1155" s="132"/>
      <c r="T1155" s="132"/>
      <c r="U1155" s="132"/>
      <c r="V1155" s="132"/>
      <c r="W1155" s="132"/>
      <c r="X1155" s="132"/>
      <c r="Y1155" s="132"/>
      <c r="Z1155" s="132"/>
      <c r="AA1155" s="132"/>
      <c r="AB1155" s="132"/>
    </row>
    <row r="1156" spans="1:28" s="133" customFormat="1" ht="15" customHeight="1" outlineLevel="1" x14ac:dyDescent="0.2">
      <c r="A1156" s="121">
        <v>13</v>
      </c>
      <c r="B1156" s="121">
        <v>74264</v>
      </c>
      <c r="C1156" s="122">
        <v>41983</v>
      </c>
      <c r="D1156" s="123" t="s">
        <v>1688</v>
      </c>
      <c r="E1156" s="121" t="s">
        <v>542</v>
      </c>
      <c r="F1156" s="124" t="s">
        <v>115</v>
      </c>
      <c r="G1156" s="125" t="s">
        <v>1689</v>
      </c>
      <c r="H1156" s="126"/>
      <c r="I1156" s="127">
        <v>12</v>
      </c>
      <c r="J1156" s="128">
        <v>5274</v>
      </c>
      <c r="K1156" s="128">
        <v>63288</v>
      </c>
      <c r="L1156" s="188" t="s">
        <v>620</v>
      </c>
      <c r="M1156" s="186" t="s">
        <v>37</v>
      </c>
      <c r="N1156" s="131"/>
      <c r="O1156" s="132"/>
      <c r="P1156" s="132"/>
      <c r="Q1156" s="132"/>
      <c r="R1156" s="132"/>
      <c r="S1156" s="132"/>
      <c r="T1156" s="132"/>
      <c r="U1156" s="132"/>
      <c r="V1156" s="132"/>
      <c r="W1156" s="132"/>
      <c r="X1156" s="132"/>
      <c r="Y1156" s="132"/>
      <c r="Z1156" s="132"/>
      <c r="AA1156" s="132"/>
      <c r="AB1156" s="132"/>
    </row>
    <row r="1157" spans="1:28" s="133" customFormat="1" ht="15" customHeight="1" outlineLevel="1" x14ac:dyDescent="0.2">
      <c r="A1157" s="121">
        <v>8</v>
      </c>
      <c r="B1157" s="121">
        <v>72388</v>
      </c>
      <c r="C1157" s="122">
        <v>41983</v>
      </c>
      <c r="D1157" s="123" t="s">
        <v>1690</v>
      </c>
      <c r="E1157" s="121" t="s">
        <v>542</v>
      </c>
      <c r="F1157" s="124" t="s">
        <v>215</v>
      </c>
      <c r="G1157" s="125" t="s">
        <v>368</v>
      </c>
      <c r="H1157" s="126"/>
      <c r="I1157" s="127">
        <v>1</v>
      </c>
      <c r="J1157" s="128">
        <v>44597</v>
      </c>
      <c r="K1157" s="128">
        <v>44597</v>
      </c>
      <c r="L1157" s="188" t="s">
        <v>620</v>
      </c>
      <c r="M1157" s="186" t="s">
        <v>37</v>
      </c>
      <c r="N1157" s="131"/>
      <c r="O1157" s="132"/>
      <c r="P1157" s="132"/>
      <c r="Q1157" s="132"/>
      <c r="R1157" s="132"/>
      <c r="S1157" s="132"/>
      <c r="T1157" s="132"/>
      <c r="U1157" s="132"/>
      <c r="V1157" s="132"/>
      <c r="W1157" s="132"/>
      <c r="X1157" s="132"/>
      <c r="Y1157" s="132"/>
      <c r="Z1157" s="132"/>
      <c r="AA1157" s="132"/>
      <c r="AB1157" s="132"/>
    </row>
    <row r="1158" spans="1:28" s="133" customFormat="1" ht="15" customHeight="1" outlineLevel="1" x14ac:dyDescent="0.2">
      <c r="A1158" s="121">
        <v>1</v>
      </c>
      <c r="B1158" s="121">
        <v>72962</v>
      </c>
      <c r="C1158" s="122">
        <v>41983</v>
      </c>
      <c r="D1158" s="123" t="s">
        <v>1691</v>
      </c>
      <c r="E1158" s="121" t="s">
        <v>542</v>
      </c>
      <c r="F1158" s="124" t="s">
        <v>215</v>
      </c>
      <c r="G1158" s="125" t="s">
        <v>384</v>
      </c>
      <c r="H1158" s="126"/>
      <c r="I1158" s="127">
        <v>2</v>
      </c>
      <c r="J1158" s="128">
        <v>44597</v>
      </c>
      <c r="K1158" s="128">
        <v>89194</v>
      </c>
      <c r="L1158" s="188" t="s">
        <v>620</v>
      </c>
      <c r="M1158" s="186" t="s">
        <v>37</v>
      </c>
      <c r="N1158" s="131"/>
      <c r="O1158" s="132"/>
      <c r="P1158" s="132"/>
      <c r="Q1158" s="132"/>
      <c r="R1158" s="132"/>
      <c r="S1158" s="132"/>
      <c r="T1158" s="132"/>
      <c r="U1158" s="132"/>
      <c r="V1158" s="132"/>
      <c r="W1158" s="132"/>
      <c r="X1158" s="132"/>
      <c r="Y1158" s="132"/>
      <c r="Z1158" s="132"/>
      <c r="AA1158" s="132"/>
      <c r="AB1158" s="132"/>
    </row>
    <row r="1159" spans="1:28" s="133" customFormat="1" ht="15" customHeight="1" outlineLevel="1" x14ac:dyDescent="0.2">
      <c r="A1159" s="121">
        <v>5</v>
      </c>
      <c r="B1159" s="121">
        <v>72150</v>
      </c>
      <c r="C1159" s="122">
        <v>41976</v>
      </c>
      <c r="D1159" s="123" t="s">
        <v>1692</v>
      </c>
      <c r="E1159" s="121" t="s">
        <v>542</v>
      </c>
      <c r="F1159" s="124" t="s">
        <v>114</v>
      </c>
      <c r="G1159" s="125" t="s">
        <v>559</v>
      </c>
      <c r="H1159" s="126"/>
      <c r="I1159" s="127">
        <v>1</v>
      </c>
      <c r="J1159" s="128">
        <v>33370</v>
      </c>
      <c r="K1159" s="128">
        <v>33370</v>
      </c>
      <c r="L1159" s="188" t="s">
        <v>620</v>
      </c>
      <c r="M1159" s="186" t="s">
        <v>37</v>
      </c>
      <c r="N1159" s="131"/>
      <c r="O1159" s="132"/>
      <c r="P1159" s="132"/>
      <c r="Q1159" s="132"/>
      <c r="R1159" s="132"/>
      <c r="S1159" s="132"/>
      <c r="T1159" s="132"/>
      <c r="U1159" s="132"/>
      <c r="V1159" s="132"/>
      <c r="W1159" s="132"/>
      <c r="X1159" s="132"/>
      <c r="Y1159" s="132"/>
      <c r="Z1159" s="132"/>
      <c r="AA1159" s="132"/>
      <c r="AB1159" s="132"/>
    </row>
    <row r="1160" spans="1:28" s="133" customFormat="1" ht="15" customHeight="1" outlineLevel="1" x14ac:dyDescent="0.2">
      <c r="A1160" s="121">
        <v>18</v>
      </c>
      <c r="B1160" s="121">
        <v>73756</v>
      </c>
      <c r="C1160" s="122">
        <v>41982</v>
      </c>
      <c r="D1160" s="123" t="s">
        <v>1693</v>
      </c>
      <c r="E1160" s="121" t="s">
        <v>542</v>
      </c>
      <c r="F1160" s="124" t="s">
        <v>215</v>
      </c>
      <c r="G1160" s="125" t="s">
        <v>368</v>
      </c>
      <c r="H1160" s="126"/>
      <c r="I1160" s="127">
        <v>1</v>
      </c>
      <c r="J1160" s="128">
        <v>44597</v>
      </c>
      <c r="K1160" s="128">
        <v>44597</v>
      </c>
      <c r="L1160" s="188" t="s">
        <v>620</v>
      </c>
      <c r="M1160" s="186" t="s">
        <v>37</v>
      </c>
      <c r="N1160" s="131"/>
      <c r="O1160" s="132"/>
      <c r="P1160" s="132"/>
      <c r="Q1160" s="132"/>
      <c r="R1160" s="132"/>
      <c r="S1160" s="132"/>
      <c r="T1160" s="132"/>
      <c r="U1160" s="132"/>
      <c r="V1160" s="132"/>
      <c r="W1160" s="132"/>
      <c r="X1160" s="132"/>
      <c r="Y1160" s="132"/>
      <c r="Z1160" s="132"/>
      <c r="AA1160" s="132"/>
      <c r="AB1160" s="132"/>
    </row>
    <row r="1161" spans="1:28" s="133" customFormat="1" ht="15" customHeight="1" outlineLevel="1" x14ac:dyDescent="0.2">
      <c r="A1161" s="121">
        <v>7</v>
      </c>
      <c r="B1161" s="121">
        <v>72487</v>
      </c>
      <c r="C1161" s="122">
        <v>41978</v>
      </c>
      <c r="D1161" s="123" t="s">
        <v>1586</v>
      </c>
      <c r="E1161" s="121" t="s">
        <v>542</v>
      </c>
      <c r="F1161" s="124" t="s">
        <v>114</v>
      </c>
      <c r="G1161" s="125" t="s">
        <v>591</v>
      </c>
      <c r="H1161" s="126"/>
      <c r="I1161" s="127">
        <v>1</v>
      </c>
      <c r="J1161" s="128">
        <v>33370</v>
      </c>
      <c r="K1161" s="128">
        <v>33370</v>
      </c>
      <c r="L1161" s="188" t="s">
        <v>620</v>
      </c>
      <c r="M1161" s="186" t="s">
        <v>37</v>
      </c>
      <c r="N1161" s="131"/>
      <c r="O1161" s="132"/>
      <c r="P1161" s="132"/>
      <c r="Q1161" s="132"/>
      <c r="R1161" s="132"/>
      <c r="S1161" s="132"/>
      <c r="T1161" s="132"/>
      <c r="U1161" s="132"/>
      <c r="V1161" s="132"/>
      <c r="W1161" s="132"/>
      <c r="X1161" s="132"/>
      <c r="Y1161" s="132"/>
      <c r="Z1161" s="132"/>
      <c r="AA1161" s="132"/>
      <c r="AB1161" s="132"/>
    </row>
    <row r="1162" spans="1:28" s="133" customFormat="1" ht="15" customHeight="1" outlineLevel="1" x14ac:dyDescent="0.2">
      <c r="A1162" s="121">
        <v>20</v>
      </c>
      <c r="B1162" s="121">
        <v>80662</v>
      </c>
      <c r="C1162" s="122">
        <v>41990</v>
      </c>
      <c r="D1162" s="123" t="s">
        <v>1694</v>
      </c>
      <c r="E1162" s="121" t="s">
        <v>518</v>
      </c>
      <c r="F1162" s="124" t="s">
        <v>534</v>
      </c>
      <c r="G1162" s="125" t="s">
        <v>389</v>
      </c>
      <c r="H1162" s="126"/>
      <c r="I1162" s="127">
        <v>1</v>
      </c>
      <c r="J1162" s="128">
        <v>30429</v>
      </c>
      <c r="K1162" s="128">
        <v>30429</v>
      </c>
      <c r="L1162" s="188" t="s">
        <v>620</v>
      </c>
      <c r="M1162" s="186" t="s">
        <v>37</v>
      </c>
      <c r="N1162" s="131"/>
      <c r="O1162" s="132"/>
      <c r="P1162" s="132"/>
      <c r="Q1162" s="132"/>
      <c r="R1162" s="132"/>
      <c r="S1162" s="132"/>
      <c r="T1162" s="132"/>
      <c r="U1162" s="132"/>
      <c r="V1162" s="132"/>
      <c r="W1162" s="132"/>
      <c r="X1162" s="132"/>
      <c r="Y1162" s="132"/>
      <c r="Z1162" s="132"/>
      <c r="AA1162" s="132"/>
      <c r="AB1162" s="132"/>
    </row>
    <row r="1163" spans="1:28" s="133" customFormat="1" ht="15" customHeight="1" outlineLevel="1" x14ac:dyDescent="0.2">
      <c r="A1163" s="121">
        <v>26</v>
      </c>
      <c r="B1163" s="121">
        <v>53141</v>
      </c>
      <c r="C1163" s="122">
        <v>41988</v>
      </c>
      <c r="D1163" s="123" t="s">
        <v>1695</v>
      </c>
      <c r="E1163" s="121" t="s">
        <v>542</v>
      </c>
      <c r="F1163" s="199" t="s">
        <v>215</v>
      </c>
      <c r="G1163" s="125" t="s">
        <v>368</v>
      </c>
      <c r="H1163" s="126"/>
      <c r="I1163" s="127">
        <v>1</v>
      </c>
      <c r="J1163" s="128">
        <v>44597</v>
      </c>
      <c r="K1163" s="128">
        <v>44597</v>
      </c>
      <c r="L1163" s="188" t="s">
        <v>620</v>
      </c>
      <c r="M1163" s="186" t="s">
        <v>37</v>
      </c>
      <c r="N1163" s="131"/>
      <c r="O1163" s="132"/>
      <c r="P1163" s="132"/>
      <c r="Q1163" s="132"/>
      <c r="R1163" s="132"/>
      <c r="S1163" s="132"/>
      <c r="T1163" s="132"/>
      <c r="U1163" s="132"/>
      <c r="V1163" s="132"/>
      <c r="W1163" s="132"/>
      <c r="X1163" s="132"/>
      <c r="Y1163" s="132"/>
      <c r="Z1163" s="132"/>
      <c r="AA1163" s="132"/>
      <c r="AB1163" s="132"/>
    </row>
    <row r="1164" spans="1:28" s="133" customFormat="1" ht="15" customHeight="1" outlineLevel="1" x14ac:dyDescent="0.2">
      <c r="A1164" s="121">
        <v>15</v>
      </c>
      <c r="B1164" s="121">
        <v>73787</v>
      </c>
      <c r="C1164" s="122">
        <v>41982</v>
      </c>
      <c r="D1164" s="123" t="s">
        <v>1696</v>
      </c>
      <c r="E1164" s="121" t="s">
        <v>1641</v>
      </c>
      <c r="F1164" s="124" t="s">
        <v>195</v>
      </c>
      <c r="G1164" s="125" t="s">
        <v>809</v>
      </c>
      <c r="H1164" s="126"/>
      <c r="I1164" s="127">
        <v>3</v>
      </c>
      <c r="J1164" s="128">
        <v>2739</v>
      </c>
      <c r="K1164" s="128">
        <v>8217</v>
      </c>
      <c r="L1164" s="188" t="s">
        <v>620</v>
      </c>
      <c r="M1164" s="186" t="s">
        <v>37</v>
      </c>
      <c r="N1164" s="131"/>
      <c r="O1164" s="132"/>
      <c r="P1164" s="132"/>
      <c r="Q1164" s="132"/>
      <c r="R1164" s="132"/>
      <c r="S1164" s="132"/>
      <c r="T1164" s="132"/>
      <c r="U1164" s="132"/>
      <c r="V1164" s="132"/>
      <c r="W1164" s="132"/>
      <c r="X1164" s="132"/>
      <c r="Y1164" s="132"/>
      <c r="Z1164" s="132"/>
      <c r="AA1164" s="132"/>
      <c r="AB1164" s="132"/>
    </row>
    <row r="1165" spans="1:28" s="133" customFormat="1" ht="15" customHeight="1" outlineLevel="1" x14ac:dyDescent="0.2">
      <c r="A1165" s="121">
        <v>42</v>
      </c>
      <c r="B1165" s="121">
        <v>84213</v>
      </c>
      <c r="C1165" s="122">
        <v>42002</v>
      </c>
      <c r="D1165" s="123" t="s">
        <v>1696</v>
      </c>
      <c r="E1165" s="121" t="s">
        <v>1641</v>
      </c>
      <c r="F1165" s="124" t="s">
        <v>619</v>
      </c>
      <c r="G1165" s="125" t="s">
        <v>368</v>
      </c>
      <c r="H1165" s="126"/>
      <c r="I1165" s="127">
        <v>1</v>
      </c>
      <c r="J1165" s="128">
        <v>15722</v>
      </c>
      <c r="K1165" s="128">
        <v>15722</v>
      </c>
      <c r="L1165" s="188" t="s">
        <v>620</v>
      </c>
      <c r="M1165" s="186" t="s">
        <v>37</v>
      </c>
      <c r="N1165" s="131"/>
      <c r="O1165" s="132"/>
      <c r="P1165" s="132"/>
      <c r="Q1165" s="132"/>
      <c r="R1165" s="132"/>
      <c r="S1165" s="132"/>
      <c r="T1165" s="132"/>
      <c r="U1165" s="132"/>
      <c r="V1165" s="132"/>
      <c r="W1165" s="132"/>
      <c r="X1165" s="132"/>
      <c r="Y1165" s="132"/>
      <c r="Z1165" s="132"/>
      <c r="AA1165" s="132"/>
      <c r="AB1165" s="132"/>
    </row>
    <row r="1166" spans="1:28" s="133" customFormat="1" ht="15" customHeight="1" outlineLevel="1" x14ac:dyDescent="0.2">
      <c r="A1166" s="121">
        <v>27</v>
      </c>
      <c r="B1166" s="121">
        <v>53097</v>
      </c>
      <c r="C1166" s="122">
        <v>41989</v>
      </c>
      <c r="D1166" s="123" t="s">
        <v>1697</v>
      </c>
      <c r="E1166" s="121" t="s">
        <v>518</v>
      </c>
      <c r="F1166" s="124" t="s">
        <v>115</v>
      </c>
      <c r="G1166" s="125" t="s">
        <v>809</v>
      </c>
      <c r="H1166" s="126"/>
      <c r="I1166" s="127">
        <v>3</v>
      </c>
      <c r="J1166" s="128">
        <v>5274</v>
      </c>
      <c r="K1166" s="128">
        <v>15822</v>
      </c>
      <c r="L1166" s="188" t="s">
        <v>620</v>
      </c>
      <c r="M1166" s="186" t="s">
        <v>37</v>
      </c>
      <c r="N1166" s="131"/>
      <c r="O1166" s="132"/>
      <c r="P1166" s="132"/>
      <c r="Q1166" s="132"/>
      <c r="R1166" s="132"/>
      <c r="S1166" s="132"/>
      <c r="T1166" s="132"/>
      <c r="U1166" s="132"/>
      <c r="V1166" s="132"/>
      <c r="W1166" s="132"/>
      <c r="X1166" s="132"/>
      <c r="Y1166" s="132"/>
      <c r="Z1166" s="132"/>
      <c r="AA1166" s="132"/>
      <c r="AB1166" s="132"/>
    </row>
    <row r="1167" spans="1:28" s="133" customFormat="1" ht="15" customHeight="1" outlineLevel="1" x14ac:dyDescent="0.2">
      <c r="A1167" s="121">
        <v>28</v>
      </c>
      <c r="B1167" s="121">
        <v>53097</v>
      </c>
      <c r="C1167" s="122">
        <v>41989</v>
      </c>
      <c r="D1167" s="123" t="s">
        <v>1697</v>
      </c>
      <c r="E1167" s="121" t="s">
        <v>518</v>
      </c>
      <c r="F1167" s="124" t="s">
        <v>208</v>
      </c>
      <c r="G1167" s="125" t="s">
        <v>531</v>
      </c>
      <c r="H1167" s="126"/>
      <c r="I1167" s="127">
        <v>1</v>
      </c>
      <c r="J1167" s="128">
        <v>14099</v>
      </c>
      <c r="K1167" s="128">
        <v>14099</v>
      </c>
      <c r="L1167" s="188" t="s">
        <v>620</v>
      </c>
      <c r="M1167" s="186" t="s">
        <v>37</v>
      </c>
      <c r="N1167" s="131"/>
      <c r="O1167" s="132"/>
      <c r="P1167" s="132"/>
      <c r="Q1167" s="132"/>
      <c r="R1167" s="132"/>
      <c r="S1167" s="132"/>
      <c r="T1167" s="132"/>
      <c r="U1167" s="132"/>
      <c r="V1167" s="132"/>
      <c r="W1167" s="132"/>
      <c r="X1167" s="132"/>
      <c r="Y1167" s="132"/>
      <c r="Z1167" s="132"/>
      <c r="AA1167" s="132"/>
      <c r="AB1167" s="132"/>
    </row>
    <row r="1168" spans="1:28" s="133" customFormat="1" ht="15" customHeight="1" outlineLevel="1" x14ac:dyDescent="0.2">
      <c r="A1168" s="121">
        <v>21</v>
      </c>
      <c r="B1168" s="121">
        <v>81000</v>
      </c>
      <c r="C1168" s="122">
        <v>41991</v>
      </c>
      <c r="D1168" s="123" t="s">
        <v>1698</v>
      </c>
      <c r="E1168" s="121" t="s">
        <v>1592</v>
      </c>
      <c r="F1168" s="124" t="s">
        <v>215</v>
      </c>
      <c r="G1168" s="125" t="s">
        <v>366</v>
      </c>
      <c r="H1168" s="126"/>
      <c r="I1168" s="127">
        <v>1</v>
      </c>
      <c r="J1168" s="128">
        <v>44597</v>
      </c>
      <c r="K1168" s="128">
        <v>44597</v>
      </c>
      <c r="L1168" s="188" t="s">
        <v>620</v>
      </c>
      <c r="M1168" s="186" t="s">
        <v>37</v>
      </c>
      <c r="N1168" s="131"/>
      <c r="O1168" s="132"/>
      <c r="P1168" s="132"/>
      <c r="Q1168" s="132"/>
      <c r="R1168" s="132"/>
      <c r="S1168" s="132"/>
      <c r="T1168" s="132"/>
      <c r="U1168" s="132"/>
      <c r="V1168" s="132"/>
      <c r="W1168" s="132"/>
      <c r="X1168" s="132"/>
      <c r="Y1168" s="132"/>
      <c r="Z1168" s="132"/>
      <c r="AA1168" s="132"/>
      <c r="AB1168" s="132"/>
    </row>
    <row r="1169" spans="1:28" s="133" customFormat="1" ht="15" customHeight="1" outlineLevel="1" x14ac:dyDescent="0.2">
      <c r="A1169" s="121">
        <v>14</v>
      </c>
      <c r="B1169" s="121">
        <v>73760</v>
      </c>
      <c r="C1169" s="122">
        <v>41983</v>
      </c>
      <c r="D1169" s="123" t="s">
        <v>1699</v>
      </c>
      <c r="E1169" s="121" t="s">
        <v>542</v>
      </c>
      <c r="F1169" s="124" t="s">
        <v>114</v>
      </c>
      <c r="G1169" s="125" t="s">
        <v>407</v>
      </c>
      <c r="H1169" s="126"/>
      <c r="I1169" s="127">
        <v>1</v>
      </c>
      <c r="J1169" s="128">
        <v>33370</v>
      </c>
      <c r="K1169" s="128">
        <v>33370</v>
      </c>
      <c r="L1169" s="188" t="s">
        <v>620</v>
      </c>
      <c r="M1169" s="186" t="s">
        <v>37</v>
      </c>
      <c r="N1169" s="131"/>
      <c r="O1169" s="132"/>
      <c r="P1169" s="132"/>
      <c r="Q1169" s="132"/>
      <c r="R1169" s="132"/>
      <c r="S1169" s="132"/>
      <c r="T1169" s="132"/>
      <c r="U1169" s="132"/>
      <c r="V1169" s="132"/>
      <c r="W1169" s="132"/>
      <c r="X1169" s="132"/>
      <c r="Y1169" s="132"/>
      <c r="Z1169" s="132"/>
      <c r="AA1169" s="132"/>
      <c r="AB1169" s="132"/>
    </row>
    <row r="1170" spans="1:28" s="133" customFormat="1" ht="15" customHeight="1" outlineLevel="1" x14ac:dyDescent="0.2">
      <c r="A1170" s="121">
        <v>25</v>
      </c>
      <c r="B1170" s="121">
        <v>80128</v>
      </c>
      <c r="C1170" s="122">
        <v>41985</v>
      </c>
      <c r="D1170" s="123" t="s">
        <v>1700</v>
      </c>
      <c r="E1170" s="121" t="s">
        <v>518</v>
      </c>
      <c r="F1170" s="124" t="s">
        <v>186</v>
      </c>
      <c r="G1170" s="125" t="s">
        <v>404</v>
      </c>
      <c r="H1170" s="126"/>
      <c r="I1170" s="127">
        <v>1</v>
      </c>
      <c r="J1170" s="128">
        <v>42601</v>
      </c>
      <c r="K1170" s="128">
        <v>42601</v>
      </c>
      <c r="L1170" s="188" t="s">
        <v>620</v>
      </c>
      <c r="M1170" s="186" t="s">
        <v>37</v>
      </c>
      <c r="N1170" s="131"/>
      <c r="O1170" s="132"/>
      <c r="P1170" s="132"/>
      <c r="Q1170" s="132"/>
      <c r="R1170" s="132"/>
      <c r="S1170" s="132"/>
      <c r="T1170" s="132"/>
      <c r="U1170" s="132"/>
      <c r="V1170" s="132"/>
      <c r="W1170" s="132"/>
      <c r="X1170" s="132"/>
      <c r="Y1170" s="132"/>
      <c r="Z1170" s="132"/>
      <c r="AA1170" s="132"/>
      <c r="AB1170" s="132"/>
    </row>
    <row r="1171" spans="1:28" s="133" customFormat="1" ht="15" customHeight="1" outlineLevel="1" x14ac:dyDescent="0.2">
      <c r="A1171" s="121">
        <v>6</v>
      </c>
      <c r="B1171" s="121">
        <v>72141</v>
      </c>
      <c r="C1171" s="122">
        <v>41976</v>
      </c>
      <c r="D1171" s="123" t="s">
        <v>1701</v>
      </c>
      <c r="E1171" s="121" t="s">
        <v>542</v>
      </c>
      <c r="F1171" s="124" t="s">
        <v>215</v>
      </c>
      <c r="G1171" s="125" t="s">
        <v>368</v>
      </c>
      <c r="H1171" s="126"/>
      <c r="I1171" s="127">
        <v>1</v>
      </c>
      <c r="J1171" s="128">
        <v>44597</v>
      </c>
      <c r="K1171" s="128">
        <v>44597</v>
      </c>
      <c r="L1171" s="188" t="s">
        <v>620</v>
      </c>
      <c r="M1171" s="186" t="s">
        <v>37</v>
      </c>
      <c r="N1171" s="131"/>
      <c r="O1171" s="132"/>
      <c r="P1171" s="132"/>
      <c r="Q1171" s="132"/>
      <c r="R1171" s="132"/>
      <c r="S1171" s="132"/>
      <c r="T1171" s="132"/>
      <c r="U1171" s="132"/>
      <c r="V1171" s="132"/>
      <c r="W1171" s="132"/>
      <c r="X1171" s="132"/>
      <c r="Y1171" s="132"/>
      <c r="Z1171" s="132"/>
      <c r="AA1171" s="132"/>
      <c r="AB1171" s="132"/>
    </row>
    <row r="1172" spans="1:28" s="133" customFormat="1" ht="15" customHeight="1" outlineLevel="1" x14ac:dyDescent="0.2">
      <c r="A1172" s="121">
        <v>2</v>
      </c>
      <c r="B1172" s="121">
        <v>71367</v>
      </c>
      <c r="C1172" s="122">
        <v>41973</v>
      </c>
      <c r="D1172" s="123" t="s">
        <v>1702</v>
      </c>
      <c r="E1172" s="121" t="s">
        <v>542</v>
      </c>
      <c r="F1172" s="124" t="s">
        <v>679</v>
      </c>
      <c r="G1172" s="125" t="s">
        <v>384</v>
      </c>
      <c r="H1172" s="126"/>
      <c r="I1172" s="127">
        <v>2</v>
      </c>
      <c r="J1172" s="128">
        <v>55058</v>
      </c>
      <c r="K1172" s="128">
        <v>110116</v>
      </c>
      <c r="L1172" s="188" t="s">
        <v>620</v>
      </c>
      <c r="M1172" s="186" t="s">
        <v>37</v>
      </c>
      <c r="N1172" s="131"/>
      <c r="O1172" s="132"/>
      <c r="P1172" s="132"/>
      <c r="Q1172" s="132"/>
      <c r="R1172" s="132"/>
      <c r="S1172" s="132"/>
      <c r="T1172" s="132"/>
      <c r="U1172" s="132"/>
      <c r="V1172" s="132"/>
      <c r="W1172" s="132"/>
      <c r="X1172" s="132"/>
      <c r="Y1172" s="132"/>
      <c r="Z1172" s="132"/>
      <c r="AA1172" s="132"/>
      <c r="AB1172" s="132"/>
    </row>
    <row r="1173" spans="1:28" s="133" customFormat="1" ht="15" customHeight="1" outlineLevel="1" x14ac:dyDescent="0.2">
      <c r="A1173" s="121">
        <v>23</v>
      </c>
      <c r="B1173" s="121">
        <v>80881</v>
      </c>
      <c r="C1173" s="122">
        <v>41990</v>
      </c>
      <c r="D1173" s="123" t="s">
        <v>1662</v>
      </c>
      <c r="E1173" s="121" t="s">
        <v>1600</v>
      </c>
      <c r="F1173" s="124" t="s">
        <v>114</v>
      </c>
      <c r="G1173" s="125" t="s">
        <v>414</v>
      </c>
      <c r="H1173" s="126"/>
      <c r="I1173" s="127">
        <v>1</v>
      </c>
      <c r="J1173" s="128">
        <v>33370</v>
      </c>
      <c r="K1173" s="128">
        <v>33370</v>
      </c>
      <c r="L1173" s="188" t="s">
        <v>620</v>
      </c>
      <c r="M1173" s="186" t="s">
        <v>37</v>
      </c>
      <c r="N1173" s="131"/>
      <c r="O1173" s="132"/>
      <c r="P1173" s="132"/>
      <c r="Q1173" s="132"/>
      <c r="R1173" s="132"/>
      <c r="S1173" s="132"/>
      <c r="T1173" s="132"/>
      <c r="U1173" s="132"/>
      <c r="V1173" s="132"/>
      <c r="W1173" s="132"/>
      <c r="X1173" s="132"/>
      <c r="Y1173" s="132"/>
      <c r="Z1173" s="132"/>
      <c r="AA1173" s="132"/>
      <c r="AB1173" s="132"/>
    </row>
    <row r="1174" spans="1:28" s="133" customFormat="1" ht="15" customHeight="1" outlineLevel="1" x14ac:dyDescent="0.2">
      <c r="A1174" s="121">
        <v>34</v>
      </c>
      <c r="B1174" s="121">
        <v>82443</v>
      </c>
      <c r="C1174" s="122">
        <v>41993</v>
      </c>
      <c r="D1174" s="123" t="s">
        <v>1703</v>
      </c>
      <c r="E1174" s="121" t="s">
        <v>542</v>
      </c>
      <c r="F1174" s="124" t="s">
        <v>114</v>
      </c>
      <c r="G1174" s="125" t="s">
        <v>1704</v>
      </c>
      <c r="H1174" s="126"/>
      <c r="I1174" s="127">
        <v>2</v>
      </c>
      <c r="J1174" s="128">
        <v>33370</v>
      </c>
      <c r="K1174" s="128">
        <v>66740</v>
      </c>
      <c r="L1174" s="188" t="s">
        <v>620</v>
      </c>
      <c r="M1174" s="186" t="s">
        <v>37</v>
      </c>
      <c r="N1174" s="131"/>
      <c r="O1174" s="132"/>
      <c r="P1174" s="132"/>
      <c r="Q1174" s="132"/>
      <c r="R1174" s="132"/>
      <c r="S1174" s="132"/>
      <c r="T1174" s="132"/>
      <c r="U1174" s="132"/>
      <c r="V1174" s="132"/>
      <c r="W1174" s="132"/>
      <c r="X1174" s="132"/>
      <c r="Y1174" s="132"/>
      <c r="Z1174" s="132"/>
      <c r="AA1174" s="132"/>
      <c r="AB1174" s="132"/>
    </row>
    <row r="1175" spans="1:28" s="133" customFormat="1" ht="15" customHeight="1" outlineLevel="1" x14ac:dyDescent="0.2">
      <c r="A1175" s="121">
        <v>19</v>
      </c>
      <c r="B1175" s="121">
        <v>73794</v>
      </c>
      <c r="C1175" s="122">
        <v>41982</v>
      </c>
      <c r="D1175" s="123" t="s">
        <v>1705</v>
      </c>
      <c r="E1175" s="121" t="s">
        <v>518</v>
      </c>
      <c r="F1175" s="124" t="s">
        <v>1576</v>
      </c>
      <c r="G1175" s="125" t="s">
        <v>469</v>
      </c>
      <c r="H1175" s="126"/>
      <c r="I1175" s="127">
        <v>1</v>
      </c>
      <c r="J1175" s="128">
        <v>63583</v>
      </c>
      <c r="K1175" s="128">
        <v>63583</v>
      </c>
      <c r="L1175" s="188" t="s">
        <v>620</v>
      </c>
      <c r="M1175" s="186" t="s">
        <v>37</v>
      </c>
      <c r="N1175" s="131"/>
      <c r="O1175" s="132"/>
      <c r="P1175" s="132"/>
      <c r="Q1175" s="132"/>
      <c r="R1175" s="132"/>
      <c r="S1175" s="132"/>
      <c r="T1175" s="132"/>
      <c r="U1175" s="132"/>
      <c r="V1175" s="132"/>
      <c r="W1175" s="132"/>
      <c r="X1175" s="132"/>
      <c r="Y1175" s="132"/>
      <c r="Z1175" s="132"/>
      <c r="AA1175" s="132"/>
      <c r="AB1175" s="132"/>
    </row>
    <row r="1176" spans="1:28" s="133" customFormat="1" ht="15" customHeight="1" outlineLevel="1" x14ac:dyDescent="0.2">
      <c r="A1176" s="121">
        <v>4</v>
      </c>
      <c r="B1176" s="121">
        <v>72145</v>
      </c>
      <c r="C1176" s="122">
        <v>41976</v>
      </c>
      <c r="D1176" s="123" t="s">
        <v>1663</v>
      </c>
      <c r="E1176" s="121" t="s">
        <v>542</v>
      </c>
      <c r="F1176" s="124" t="s">
        <v>190</v>
      </c>
      <c r="G1176" s="125" t="s">
        <v>531</v>
      </c>
      <c r="H1176" s="126"/>
      <c r="I1176" s="127">
        <v>1</v>
      </c>
      <c r="J1176" s="128">
        <v>57960</v>
      </c>
      <c r="K1176" s="128">
        <v>57960</v>
      </c>
      <c r="L1176" s="188" t="s">
        <v>620</v>
      </c>
      <c r="M1176" s="186" t="s">
        <v>37</v>
      </c>
      <c r="N1176" s="131"/>
      <c r="O1176" s="132"/>
      <c r="P1176" s="132"/>
      <c r="Q1176" s="132"/>
      <c r="R1176" s="132"/>
      <c r="S1176" s="132"/>
      <c r="T1176" s="132"/>
      <c r="U1176" s="132"/>
      <c r="V1176" s="132"/>
      <c r="W1176" s="132"/>
      <c r="X1176" s="132"/>
      <c r="Y1176" s="132"/>
      <c r="Z1176" s="132"/>
      <c r="AA1176" s="132"/>
      <c r="AB1176" s="132"/>
    </row>
    <row r="1177" spans="1:28" s="133" customFormat="1" ht="15" customHeight="1" outlineLevel="1" x14ac:dyDescent="0.2">
      <c r="A1177" s="121">
        <v>38</v>
      </c>
      <c r="B1177" s="121">
        <v>83402</v>
      </c>
      <c r="C1177" s="122">
        <v>41999</v>
      </c>
      <c r="D1177" s="123" t="s">
        <v>1706</v>
      </c>
      <c r="E1177" s="121" t="s">
        <v>518</v>
      </c>
      <c r="F1177" s="124" t="s">
        <v>208</v>
      </c>
      <c r="G1177" s="125" t="s">
        <v>428</v>
      </c>
      <c r="H1177" s="126"/>
      <c r="I1177" s="127">
        <v>1</v>
      </c>
      <c r="J1177" s="128">
        <v>14099</v>
      </c>
      <c r="K1177" s="128">
        <v>14099</v>
      </c>
      <c r="L1177" s="188" t="s">
        <v>620</v>
      </c>
      <c r="M1177" s="186" t="s">
        <v>37</v>
      </c>
      <c r="N1177" s="131"/>
      <c r="O1177" s="132"/>
      <c r="P1177" s="132"/>
      <c r="Q1177" s="132"/>
      <c r="R1177" s="132"/>
      <c r="S1177" s="132"/>
      <c r="T1177" s="132"/>
      <c r="U1177" s="132"/>
      <c r="V1177" s="132"/>
      <c r="W1177" s="132"/>
      <c r="X1177" s="132"/>
      <c r="Y1177" s="132"/>
      <c r="Z1177" s="132"/>
      <c r="AA1177" s="132"/>
      <c r="AB1177" s="132"/>
    </row>
    <row r="1178" spans="1:28" s="133" customFormat="1" ht="15" customHeight="1" outlineLevel="1" x14ac:dyDescent="0.2">
      <c r="A1178" s="121">
        <v>33</v>
      </c>
      <c r="B1178" s="121">
        <v>52854</v>
      </c>
      <c r="C1178" s="122">
        <v>41985</v>
      </c>
      <c r="D1178" s="123" t="s">
        <v>1620</v>
      </c>
      <c r="E1178" s="121" t="s">
        <v>542</v>
      </c>
      <c r="F1178" s="124" t="s">
        <v>114</v>
      </c>
      <c r="G1178" s="125" t="s">
        <v>1707</v>
      </c>
      <c r="H1178" s="126"/>
      <c r="I1178" s="127">
        <v>4</v>
      </c>
      <c r="J1178" s="128">
        <v>33370</v>
      </c>
      <c r="K1178" s="128">
        <v>133480</v>
      </c>
      <c r="L1178" s="188" t="s">
        <v>620</v>
      </c>
      <c r="M1178" s="186" t="s">
        <v>37</v>
      </c>
      <c r="N1178" s="131"/>
      <c r="O1178" s="132"/>
      <c r="P1178" s="132"/>
      <c r="Q1178" s="132"/>
      <c r="R1178" s="132"/>
      <c r="S1178" s="132"/>
      <c r="T1178" s="132"/>
      <c r="U1178" s="132"/>
      <c r="V1178" s="132"/>
      <c r="W1178" s="132"/>
      <c r="X1178" s="132"/>
      <c r="Y1178" s="132"/>
      <c r="Z1178" s="132"/>
      <c r="AA1178" s="132"/>
      <c r="AB1178" s="132"/>
    </row>
    <row r="1179" spans="1:28" s="133" customFormat="1" ht="15" customHeight="1" outlineLevel="1" x14ac:dyDescent="0.2">
      <c r="A1179" s="121">
        <v>45</v>
      </c>
      <c r="B1179" s="121">
        <v>84573</v>
      </c>
      <c r="C1179" s="122">
        <v>42004</v>
      </c>
      <c r="D1179" s="123" t="s">
        <v>1620</v>
      </c>
      <c r="E1179" s="121" t="s">
        <v>542</v>
      </c>
      <c r="F1179" s="124" t="s">
        <v>577</v>
      </c>
      <c r="G1179" s="125" t="s">
        <v>368</v>
      </c>
      <c r="H1179" s="126"/>
      <c r="I1179" s="127">
        <v>1</v>
      </c>
      <c r="J1179" s="128">
        <v>25800</v>
      </c>
      <c r="K1179" s="128">
        <v>25800</v>
      </c>
      <c r="L1179" s="188" t="s">
        <v>620</v>
      </c>
      <c r="M1179" s="186" t="s">
        <v>37</v>
      </c>
      <c r="N1179" s="131"/>
      <c r="O1179" s="132"/>
      <c r="P1179" s="132"/>
      <c r="Q1179" s="132"/>
      <c r="R1179" s="132"/>
      <c r="S1179" s="132"/>
      <c r="T1179" s="132"/>
      <c r="U1179" s="132"/>
      <c r="V1179" s="132"/>
      <c r="W1179" s="132"/>
      <c r="X1179" s="132"/>
      <c r="Y1179" s="132"/>
      <c r="Z1179" s="132"/>
      <c r="AA1179" s="132"/>
      <c r="AB1179" s="132"/>
    </row>
    <row r="1180" spans="1:28" s="133" customFormat="1" ht="15" customHeight="1" outlineLevel="1" x14ac:dyDescent="0.2">
      <c r="A1180" s="121">
        <v>43</v>
      </c>
      <c r="B1180" s="121">
        <v>84267</v>
      </c>
      <c r="C1180" s="122">
        <v>42003</v>
      </c>
      <c r="D1180" s="123" t="s">
        <v>1708</v>
      </c>
      <c r="E1180" s="121" t="s">
        <v>542</v>
      </c>
      <c r="F1180" s="124" t="s">
        <v>577</v>
      </c>
      <c r="G1180" s="125" t="s">
        <v>368</v>
      </c>
      <c r="H1180" s="126"/>
      <c r="I1180" s="127">
        <v>1</v>
      </c>
      <c r="J1180" s="128">
        <v>25800</v>
      </c>
      <c r="K1180" s="128">
        <v>25800</v>
      </c>
      <c r="L1180" s="188" t="s">
        <v>620</v>
      </c>
      <c r="M1180" s="186" t="s">
        <v>37</v>
      </c>
      <c r="N1180" s="131"/>
      <c r="O1180" s="132"/>
      <c r="P1180" s="132"/>
      <c r="Q1180" s="132"/>
      <c r="R1180" s="132"/>
      <c r="S1180" s="132"/>
      <c r="T1180" s="132"/>
      <c r="U1180" s="132"/>
      <c r="V1180" s="132"/>
      <c r="W1180" s="132"/>
      <c r="X1180" s="132"/>
      <c r="Y1180" s="132"/>
      <c r="Z1180" s="132"/>
      <c r="AA1180" s="132"/>
      <c r="AB1180" s="132"/>
    </row>
    <row r="1181" spans="1:28" s="133" customFormat="1" ht="15" customHeight="1" outlineLevel="1" x14ac:dyDescent="0.2">
      <c r="A1181" s="121">
        <v>24</v>
      </c>
      <c r="B1181" s="121">
        <v>80134</v>
      </c>
      <c r="C1181" s="122">
        <v>41988</v>
      </c>
      <c r="D1181" s="123" t="s">
        <v>1622</v>
      </c>
      <c r="E1181" s="121" t="s">
        <v>1600</v>
      </c>
      <c r="F1181" s="124" t="s">
        <v>114</v>
      </c>
      <c r="G1181" s="125" t="s">
        <v>389</v>
      </c>
      <c r="H1181" s="126"/>
      <c r="I1181" s="127">
        <v>1</v>
      </c>
      <c r="J1181" s="128">
        <v>33370</v>
      </c>
      <c r="K1181" s="128">
        <v>33370</v>
      </c>
      <c r="L1181" s="188" t="s">
        <v>620</v>
      </c>
      <c r="M1181" s="186" t="s">
        <v>37</v>
      </c>
      <c r="N1181" s="131"/>
      <c r="O1181" s="132"/>
      <c r="P1181" s="132"/>
      <c r="Q1181" s="132"/>
      <c r="R1181" s="132"/>
      <c r="S1181" s="132"/>
      <c r="T1181" s="132"/>
      <c r="U1181" s="132"/>
      <c r="V1181" s="132"/>
      <c r="W1181" s="132"/>
      <c r="X1181" s="132"/>
      <c r="Y1181" s="132"/>
      <c r="Z1181" s="132"/>
      <c r="AA1181" s="132"/>
      <c r="AB1181" s="132"/>
    </row>
    <row r="1182" spans="1:28" s="133" customFormat="1" ht="15" customHeight="1" outlineLevel="1" x14ac:dyDescent="0.2">
      <c r="A1182" s="121">
        <v>12</v>
      </c>
      <c r="B1182" s="121">
        <v>74429</v>
      </c>
      <c r="C1182" s="122">
        <v>41984</v>
      </c>
      <c r="D1182" s="123" t="s">
        <v>1709</v>
      </c>
      <c r="E1182" s="121" t="s">
        <v>542</v>
      </c>
      <c r="F1182" s="124" t="s">
        <v>114</v>
      </c>
      <c r="G1182" s="125" t="s">
        <v>508</v>
      </c>
      <c r="H1182" s="126"/>
      <c r="I1182" s="127">
        <v>1</v>
      </c>
      <c r="J1182" s="128">
        <v>33370</v>
      </c>
      <c r="K1182" s="128">
        <v>33370</v>
      </c>
      <c r="L1182" s="188" t="s">
        <v>620</v>
      </c>
      <c r="M1182" s="186" t="s">
        <v>37</v>
      </c>
      <c r="N1182" s="131"/>
      <c r="O1182" s="132"/>
      <c r="P1182" s="132"/>
      <c r="Q1182" s="132"/>
      <c r="R1182" s="132"/>
      <c r="S1182" s="132"/>
      <c r="T1182" s="132"/>
      <c r="U1182" s="132"/>
      <c r="V1182" s="132"/>
      <c r="W1182" s="132"/>
      <c r="X1182" s="132"/>
      <c r="Y1182" s="132"/>
      <c r="Z1182" s="132"/>
      <c r="AA1182" s="132"/>
      <c r="AB1182" s="132"/>
    </row>
    <row r="1183" spans="1:28" s="133" customFormat="1" ht="15" customHeight="1" outlineLevel="1" x14ac:dyDescent="0.2">
      <c r="A1183" s="121">
        <v>3</v>
      </c>
      <c r="B1183" s="121">
        <v>71362</v>
      </c>
      <c r="C1183" s="122">
        <v>41975</v>
      </c>
      <c r="D1183" s="123" t="s">
        <v>1710</v>
      </c>
      <c r="E1183" s="121" t="s">
        <v>518</v>
      </c>
      <c r="F1183" s="124" t="s">
        <v>679</v>
      </c>
      <c r="G1183" s="125" t="s">
        <v>519</v>
      </c>
      <c r="H1183" s="126"/>
      <c r="I1183" s="127">
        <v>1</v>
      </c>
      <c r="J1183" s="128">
        <v>55058</v>
      </c>
      <c r="K1183" s="128">
        <v>55058</v>
      </c>
      <c r="L1183" s="188" t="s">
        <v>620</v>
      </c>
      <c r="M1183" s="186" t="s">
        <v>37</v>
      </c>
      <c r="N1183" s="131"/>
      <c r="O1183" s="132"/>
      <c r="P1183" s="132"/>
      <c r="Q1183" s="132"/>
      <c r="R1183" s="132"/>
      <c r="S1183" s="132"/>
      <c r="T1183" s="132"/>
      <c r="U1183" s="132"/>
      <c r="V1183" s="132"/>
      <c r="W1183" s="132"/>
      <c r="X1183" s="132"/>
      <c r="Y1183" s="132"/>
      <c r="Z1183" s="132"/>
      <c r="AA1183" s="132"/>
      <c r="AB1183" s="132"/>
    </row>
    <row r="1184" spans="1:28" s="133" customFormat="1" ht="15" customHeight="1" outlineLevel="1" x14ac:dyDescent="0.2">
      <c r="A1184" s="121">
        <v>44</v>
      </c>
      <c r="B1184" s="121">
        <v>84055</v>
      </c>
      <c r="C1184" s="122">
        <v>42004</v>
      </c>
      <c r="D1184" s="123" t="s">
        <v>1711</v>
      </c>
      <c r="E1184" s="121" t="s">
        <v>518</v>
      </c>
      <c r="F1184" s="124" t="s">
        <v>208</v>
      </c>
      <c r="G1184" s="125" t="s">
        <v>442</v>
      </c>
      <c r="H1184" s="126"/>
      <c r="I1184" s="127">
        <v>1</v>
      </c>
      <c r="J1184" s="128">
        <v>14099</v>
      </c>
      <c r="K1184" s="128">
        <v>14099</v>
      </c>
      <c r="L1184" s="188" t="s">
        <v>620</v>
      </c>
      <c r="M1184" s="186" t="s">
        <v>37</v>
      </c>
      <c r="N1184" s="131"/>
      <c r="O1184" s="132"/>
      <c r="P1184" s="132"/>
      <c r="Q1184" s="132"/>
      <c r="R1184" s="132"/>
      <c r="S1184" s="132"/>
      <c r="T1184" s="132"/>
      <c r="U1184" s="132"/>
      <c r="V1184" s="132"/>
      <c r="W1184" s="132"/>
      <c r="X1184" s="132"/>
      <c r="Y1184" s="132"/>
      <c r="Z1184" s="132"/>
      <c r="AA1184" s="132"/>
      <c r="AB1184" s="132"/>
    </row>
    <row r="1185" spans="1:28" s="133" customFormat="1" ht="15" customHeight="1" outlineLevel="1" x14ac:dyDescent="0.2">
      <c r="A1185" s="121">
        <v>30</v>
      </c>
      <c r="B1185" s="121">
        <v>52816</v>
      </c>
      <c r="C1185" s="122">
        <v>41984</v>
      </c>
      <c r="D1185" s="123" t="s">
        <v>1712</v>
      </c>
      <c r="E1185" s="121" t="s">
        <v>542</v>
      </c>
      <c r="F1185" s="124" t="s">
        <v>115</v>
      </c>
      <c r="G1185" s="125" t="s">
        <v>642</v>
      </c>
      <c r="H1185" s="126"/>
      <c r="I1185" s="127">
        <v>1</v>
      </c>
      <c r="J1185" s="128">
        <v>5274</v>
      </c>
      <c r="K1185" s="128">
        <v>5274</v>
      </c>
      <c r="L1185" s="188" t="s">
        <v>620</v>
      </c>
      <c r="M1185" s="186" t="s">
        <v>37</v>
      </c>
      <c r="N1185" s="131"/>
      <c r="O1185" s="132"/>
      <c r="P1185" s="132"/>
      <c r="Q1185" s="132"/>
      <c r="R1185" s="132"/>
      <c r="S1185" s="132"/>
      <c r="T1185" s="132"/>
      <c r="U1185" s="132"/>
      <c r="V1185" s="132"/>
      <c r="W1185" s="132"/>
      <c r="X1185" s="132"/>
      <c r="Y1185" s="132"/>
      <c r="Z1185" s="132"/>
      <c r="AA1185" s="132"/>
      <c r="AB1185" s="132"/>
    </row>
    <row r="1186" spans="1:28" s="133" customFormat="1" ht="15" customHeight="1" outlineLevel="1" x14ac:dyDescent="0.2">
      <c r="A1186" s="121">
        <v>31</v>
      </c>
      <c r="B1186" s="121">
        <v>52816</v>
      </c>
      <c r="C1186" s="122">
        <v>41984</v>
      </c>
      <c r="D1186" s="123" t="s">
        <v>1712</v>
      </c>
      <c r="E1186" s="121" t="s">
        <v>542</v>
      </c>
      <c r="F1186" s="124" t="s">
        <v>208</v>
      </c>
      <c r="G1186" s="125" t="s">
        <v>642</v>
      </c>
      <c r="H1186" s="126"/>
      <c r="I1186" s="127">
        <v>1</v>
      </c>
      <c r="J1186" s="128">
        <v>14099</v>
      </c>
      <c r="K1186" s="128">
        <v>14099</v>
      </c>
      <c r="L1186" s="188" t="s">
        <v>620</v>
      </c>
      <c r="M1186" s="186" t="s">
        <v>37</v>
      </c>
      <c r="N1186" s="131"/>
      <c r="O1186" s="132"/>
      <c r="P1186" s="132"/>
      <c r="Q1186" s="132"/>
      <c r="R1186" s="132"/>
      <c r="S1186" s="132"/>
      <c r="T1186" s="132"/>
      <c r="U1186" s="132"/>
      <c r="V1186" s="132"/>
      <c r="W1186" s="132"/>
      <c r="X1186" s="132"/>
      <c r="Y1186" s="132"/>
      <c r="Z1186" s="132"/>
      <c r="AA1186" s="132"/>
      <c r="AB1186" s="132"/>
    </row>
    <row r="1187" spans="1:28" s="133" customFormat="1" ht="15" customHeight="1" outlineLevel="1" x14ac:dyDescent="0.2">
      <c r="A1187" s="121">
        <v>39</v>
      </c>
      <c r="B1187" s="121">
        <v>83796</v>
      </c>
      <c r="C1187" s="122">
        <v>42002</v>
      </c>
      <c r="D1187" s="123" t="s">
        <v>1713</v>
      </c>
      <c r="E1187" s="121" t="s">
        <v>542</v>
      </c>
      <c r="F1187" s="124" t="s">
        <v>534</v>
      </c>
      <c r="G1187" s="125" t="s">
        <v>469</v>
      </c>
      <c r="H1187" s="126"/>
      <c r="I1187" s="127">
        <v>1</v>
      </c>
      <c r="J1187" s="128">
        <v>30429</v>
      </c>
      <c r="K1187" s="128">
        <v>30429</v>
      </c>
      <c r="L1187" s="188" t="s">
        <v>620</v>
      </c>
      <c r="M1187" s="186" t="s">
        <v>37</v>
      </c>
      <c r="N1187" s="131"/>
      <c r="O1187" s="132"/>
      <c r="P1187" s="132"/>
      <c r="Q1187" s="132"/>
      <c r="R1187" s="132"/>
      <c r="S1187" s="132"/>
      <c r="T1187" s="132"/>
      <c r="U1187" s="132"/>
      <c r="V1187" s="132"/>
      <c r="W1187" s="132"/>
      <c r="X1187" s="132"/>
      <c r="Y1187" s="132"/>
      <c r="Z1187" s="132"/>
      <c r="AA1187" s="132"/>
      <c r="AB1187" s="132"/>
    </row>
    <row r="1188" spans="1:28" s="133" customFormat="1" ht="15" customHeight="1" outlineLevel="1" x14ac:dyDescent="0.2">
      <c r="A1188" s="121">
        <v>16</v>
      </c>
      <c r="B1188" s="121">
        <v>73768</v>
      </c>
      <c r="C1188" s="122">
        <v>41983</v>
      </c>
      <c r="D1188" s="123" t="s">
        <v>1714</v>
      </c>
      <c r="E1188" s="121" t="s">
        <v>542</v>
      </c>
      <c r="F1188" s="124" t="s">
        <v>115</v>
      </c>
      <c r="G1188" s="125" t="s">
        <v>404</v>
      </c>
      <c r="H1188" s="126"/>
      <c r="I1188" s="127">
        <v>1</v>
      </c>
      <c r="J1188" s="128">
        <v>5274</v>
      </c>
      <c r="K1188" s="128">
        <v>5274</v>
      </c>
      <c r="L1188" s="188" t="s">
        <v>620</v>
      </c>
      <c r="M1188" s="186" t="s">
        <v>37</v>
      </c>
      <c r="N1188" s="131"/>
      <c r="O1188" s="132"/>
      <c r="P1188" s="132"/>
      <c r="Q1188" s="132"/>
      <c r="R1188" s="132"/>
      <c r="S1188" s="132"/>
      <c r="T1188" s="132"/>
      <c r="U1188" s="132"/>
      <c r="V1188" s="132"/>
      <c r="W1188" s="132"/>
      <c r="X1188" s="132"/>
      <c r="Y1188" s="132"/>
      <c r="Z1188" s="132"/>
      <c r="AA1188" s="132"/>
      <c r="AB1188" s="132"/>
    </row>
    <row r="1189" spans="1:28" s="133" customFormat="1" ht="15" customHeight="1" outlineLevel="1" x14ac:dyDescent="0.2">
      <c r="A1189" s="121">
        <v>17</v>
      </c>
      <c r="B1189" s="121">
        <v>73768</v>
      </c>
      <c r="C1189" s="122">
        <v>41983</v>
      </c>
      <c r="D1189" s="123" t="s">
        <v>1714</v>
      </c>
      <c r="E1189" s="121" t="s">
        <v>542</v>
      </c>
      <c r="F1189" s="124" t="s">
        <v>208</v>
      </c>
      <c r="G1189" s="125" t="s">
        <v>404</v>
      </c>
      <c r="H1189" s="126"/>
      <c r="I1189" s="127">
        <v>1</v>
      </c>
      <c r="J1189" s="128">
        <v>14099</v>
      </c>
      <c r="K1189" s="128">
        <v>14099</v>
      </c>
      <c r="L1189" s="188" t="s">
        <v>620</v>
      </c>
      <c r="M1189" s="186" t="s">
        <v>37</v>
      </c>
      <c r="N1189" s="131"/>
      <c r="O1189" s="132"/>
      <c r="P1189" s="132"/>
      <c r="Q1189" s="132"/>
      <c r="R1189" s="132"/>
      <c r="S1189" s="132"/>
      <c r="T1189" s="132"/>
      <c r="U1189" s="132"/>
      <c r="V1189" s="132"/>
      <c r="W1189" s="132"/>
      <c r="X1189" s="132"/>
      <c r="Y1189" s="132"/>
      <c r="Z1189" s="132"/>
      <c r="AA1189" s="132"/>
      <c r="AB1189" s="132"/>
    </row>
    <row r="1190" spans="1:28" s="133" customFormat="1" ht="15" customHeight="1" outlineLevel="1" x14ac:dyDescent="0.2">
      <c r="A1190" s="121">
        <v>37</v>
      </c>
      <c r="B1190" s="121">
        <v>82772</v>
      </c>
      <c r="C1190" s="122">
        <v>41996</v>
      </c>
      <c r="D1190" s="123" t="s">
        <v>1714</v>
      </c>
      <c r="E1190" s="121" t="s">
        <v>542</v>
      </c>
      <c r="F1190" s="124" t="s">
        <v>114</v>
      </c>
      <c r="G1190" s="125" t="s">
        <v>404</v>
      </c>
      <c r="H1190" s="126"/>
      <c r="I1190" s="127">
        <v>1</v>
      </c>
      <c r="J1190" s="128">
        <v>33370</v>
      </c>
      <c r="K1190" s="128">
        <v>33370</v>
      </c>
      <c r="L1190" s="188" t="s">
        <v>620</v>
      </c>
      <c r="M1190" s="186" t="s">
        <v>37</v>
      </c>
      <c r="N1190" s="131"/>
      <c r="O1190" s="132"/>
      <c r="P1190" s="132"/>
      <c r="Q1190" s="132"/>
      <c r="R1190" s="132"/>
      <c r="S1190" s="132"/>
      <c r="T1190" s="132"/>
      <c r="U1190" s="132"/>
      <c r="V1190" s="132"/>
      <c r="W1190" s="132"/>
      <c r="X1190" s="132"/>
      <c r="Y1190" s="132"/>
      <c r="Z1190" s="132"/>
      <c r="AA1190" s="132"/>
      <c r="AB1190" s="132"/>
    </row>
    <row r="1191" spans="1:28" s="133" customFormat="1" ht="15" customHeight="1" outlineLevel="1" x14ac:dyDescent="0.2">
      <c r="A1191" s="121">
        <v>46</v>
      </c>
      <c r="B1191" s="121">
        <v>84638</v>
      </c>
      <c r="C1191" s="122">
        <v>42003</v>
      </c>
      <c r="D1191" s="123" t="s">
        <v>1715</v>
      </c>
      <c r="E1191" s="121" t="s">
        <v>542</v>
      </c>
      <c r="F1191" s="124" t="s">
        <v>679</v>
      </c>
      <c r="G1191" s="125" t="s">
        <v>366</v>
      </c>
      <c r="H1191" s="126"/>
      <c r="I1191" s="127">
        <v>1</v>
      </c>
      <c r="J1191" s="128">
        <v>55058</v>
      </c>
      <c r="K1191" s="128">
        <v>55058</v>
      </c>
      <c r="L1191" s="188" t="s">
        <v>620</v>
      </c>
      <c r="M1191" s="186" t="s">
        <v>37</v>
      </c>
      <c r="N1191" s="131"/>
      <c r="O1191" s="132"/>
      <c r="P1191" s="132"/>
      <c r="Q1191" s="132"/>
      <c r="R1191" s="132"/>
      <c r="S1191" s="132"/>
      <c r="T1191" s="132"/>
      <c r="U1191" s="132"/>
      <c r="V1191" s="132"/>
      <c r="W1191" s="132"/>
      <c r="X1191" s="132"/>
      <c r="Y1191" s="132"/>
      <c r="Z1191" s="132"/>
      <c r="AA1191" s="132"/>
      <c r="AB1191" s="132"/>
    </row>
    <row r="1192" spans="1:28" s="133" customFormat="1" ht="15" customHeight="1" outlineLevel="1" x14ac:dyDescent="0.2">
      <c r="A1192" s="121">
        <v>36</v>
      </c>
      <c r="B1192" s="121">
        <v>82588</v>
      </c>
      <c r="C1192" s="122">
        <v>41996</v>
      </c>
      <c r="D1192" s="123" t="s">
        <v>1716</v>
      </c>
      <c r="E1192" s="121" t="s">
        <v>542</v>
      </c>
      <c r="F1192" s="124" t="s">
        <v>114</v>
      </c>
      <c r="G1192" s="125" t="s">
        <v>416</v>
      </c>
      <c r="H1192" s="126"/>
      <c r="I1192" s="127">
        <v>1</v>
      </c>
      <c r="J1192" s="128">
        <v>33370</v>
      </c>
      <c r="K1192" s="128">
        <v>33370</v>
      </c>
      <c r="L1192" s="188" t="s">
        <v>620</v>
      </c>
      <c r="M1192" s="186" t="s">
        <v>37</v>
      </c>
      <c r="N1192" s="131"/>
      <c r="O1192" s="132"/>
      <c r="P1192" s="132"/>
      <c r="Q1192" s="132"/>
      <c r="R1192" s="132"/>
      <c r="S1192" s="132"/>
      <c r="T1192" s="132"/>
      <c r="U1192" s="132"/>
      <c r="V1192" s="132"/>
      <c r="W1192" s="132"/>
      <c r="X1192" s="132"/>
      <c r="Y1192" s="132"/>
      <c r="Z1192" s="132"/>
      <c r="AA1192" s="132"/>
      <c r="AB1192" s="132"/>
    </row>
    <row r="1193" spans="1:28" s="133" customFormat="1" ht="15" customHeight="1" outlineLevel="1" x14ac:dyDescent="0.2">
      <c r="A1193" s="121">
        <v>10</v>
      </c>
      <c r="B1193" s="121">
        <v>74980</v>
      </c>
      <c r="C1193" s="122">
        <v>41985</v>
      </c>
      <c r="D1193" s="123" t="s">
        <v>1717</v>
      </c>
      <c r="E1193" s="121" t="s">
        <v>542</v>
      </c>
      <c r="F1193" s="124" t="s">
        <v>115</v>
      </c>
      <c r="G1193" s="125" t="s">
        <v>439</v>
      </c>
      <c r="H1193" s="126"/>
      <c r="I1193" s="127">
        <v>1</v>
      </c>
      <c r="J1193" s="128">
        <v>5274</v>
      </c>
      <c r="K1193" s="128">
        <v>5274</v>
      </c>
      <c r="L1193" s="188" t="s">
        <v>620</v>
      </c>
      <c r="M1193" s="186" t="s">
        <v>37</v>
      </c>
      <c r="N1193" s="131"/>
      <c r="O1193" s="132"/>
      <c r="P1193" s="132"/>
      <c r="Q1193" s="132"/>
      <c r="R1193" s="132"/>
      <c r="S1193" s="132"/>
      <c r="T1193" s="132"/>
      <c r="U1193" s="132"/>
      <c r="V1193" s="132"/>
      <c r="W1193" s="132"/>
      <c r="X1193" s="132"/>
      <c r="Y1193" s="132"/>
      <c r="Z1193" s="132"/>
      <c r="AA1193" s="132"/>
      <c r="AB1193" s="132"/>
    </row>
    <row r="1194" spans="1:28" s="133" customFormat="1" ht="15" customHeight="1" outlineLevel="1" x14ac:dyDescent="0.2">
      <c r="A1194" s="121">
        <v>11</v>
      </c>
      <c r="B1194" s="121">
        <v>74980</v>
      </c>
      <c r="C1194" s="122">
        <v>41985</v>
      </c>
      <c r="D1194" s="123" t="s">
        <v>1717</v>
      </c>
      <c r="E1194" s="121" t="s">
        <v>542</v>
      </c>
      <c r="F1194" s="124" t="s">
        <v>208</v>
      </c>
      <c r="G1194" s="125" t="s">
        <v>439</v>
      </c>
      <c r="H1194" s="126"/>
      <c r="I1194" s="127">
        <v>1</v>
      </c>
      <c r="J1194" s="128">
        <v>14099</v>
      </c>
      <c r="K1194" s="128">
        <v>14099</v>
      </c>
      <c r="L1194" s="188" t="s">
        <v>620</v>
      </c>
      <c r="M1194" s="186" t="s">
        <v>37</v>
      </c>
      <c r="N1194" s="131"/>
      <c r="O1194" s="132"/>
      <c r="P1194" s="132"/>
      <c r="Q1194" s="132"/>
      <c r="R1194" s="132"/>
      <c r="S1194" s="132"/>
      <c r="T1194" s="132"/>
      <c r="U1194" s="132"/>
      <c r="V1194" s="132"/>
      <c r="W1194" s="132"/>
      <c r="X1194" s="132"/>
      <c r="Y1194" s="132"/>
      <c r="Z1194" s="132"/>
      <c r="AA1194" s="132"/>
      <c r="AB1194" s="132"/>
    </row>
    <row r="1195" spans="1:28" s="133" customFormat="1" ht="15" customHeight="1" outlineLevel="1" x14ac:dyDescent="0.2">
      <c r="A1195" s="121">
        <v>35</v>
      </c>
      <c r="B1195" s="121">
        <v>82617</v>
      </c>
      <c r="C1195" s="122">
        <v>42002</v>
      </c>
      <c r="D1195" s="123" t="s">
        <v>1718</v>
      </c>
      <c r="E1195" s="121" t="s">
        <v>542</v>
      </c>
      <c r="F1195" s="124" t="s">
        <v>115</v>
      </c>
      <c r="G1195" s="125" t="s">
        <v>1001</v>
      </c>
      <c r="H1195" s="126"/>
      <c r="I1195" s="127">
        <v>4</v>
      </c>
      <c r="J1195" s="128">
        <v>5274</v>
      </c>
      <c r="K1195" s="128">
        <v>21096</v>
      </c>
      <c r="L1195" s="188" t="s">
        <v>620</v>
      </c>
      <c r="M1195" s="186" t="s">
        <v>37</v>
      </c>
      <c r="N1195" s="131"/>
      <c r="O1195" s="132"/>
      <c r="P1195" s="132"/>
      <c r="Q1195" s="132"/>
      <c r="R1195" s="132"/>
      <c r="S1195" s="132"/>
      <c r="T1195" s="132"/>
      <c r="U1195" s="132"/>
      <c r="V1195" s="132"/>
      <c r="W1195" s="132"/>
      <c r="X1195" s="132"/>
      <c r="Y1195" s="132"/>
      <c r="Z1195" s="132"/>
      <c r="AA1195" s="132"/>
      <c r="AB1195" s="132"/>
    </row>
    <row r="1196" spans="1:28" s="133" customFormat="1" ht="15" customHeight="1" outlineLevel="1" x14ac:dyDescent="0.2">
      <c r="A1196" s="121">
        <v>29</v>
      </c>
      <c r="B1196" s="121">
        <v>52815</v>
      </c>
      <c r="C1196" s="122">
        <v>41984</v>
      </c>
      <c r="D1196" s="123" t="s">
        <v>1719</v>
      </c>
      <c r="E1196" s="121" t="s">
        <v>1600</v>
      </c>
      <c r="F1196" s="199" t="s">
        <v>215</v>
      </c>
      <c r="G1196" s="125" t="s">
        <v>384</v>
      </c>
      <c r="H1196" s="126"/>
      <c r="I1196" s="127">
        <v>2</v>
      </c>
      <c r="J1196" s="128">
        <v>44597</v>
      </c>
      <c r="K1196" s="128">
        <v>89194</v>
      </c>
      <c r="L1196" s="188" t="s">
        <v>620</v>
      </c>
      <c r="M1196" s="186" t="s">
        <v>37</v>
      </c>
      <c r="N1196" s="131"/>
      <c r="O1196" s="132"/>
      <c r="P1196" s="132"/>
      <c r="Q1196" s="132"/>
      <c r="R1196" s="132"/>
      <c r="S1196" s="132"/>
      <c r="T1196" s="132"/>
      <c r="U1196" s="132"/>
      <c r="V1196" s="132"/>
      <c r="W1196" s="132"/>
      <c r="X1196" s="132"/>
      <c r="Y1196" s="132"/>
      <c r="Z1196" s="132"/>
      <c r="AA1196" s="132"/>
      <c r="AB1196" s="132"/>
    </row>
    <row r="1197" spans="1:28" s="133" customFormat="1" ht="15" customHeight="1" outlineLevel="1" x14ac:dyDescent="0.2">
      <c r="A1197" s="121">
        <v>22</v>
      </c>
      <c r="B1197" s="121">
        <v>80874</v>
      </c>
      <c r="C1197" s="122">
        <v>41990</v>
      </c>
      <c r="D1197" s="123" t="s">
        <v>1720</v>
      </c>
      <c r="E1197" s="121" t="s">
        <v>518</v>
      </c>
      <c r="F1197" s="199" t="s">
        <v>1576</v>
      </c>
      <c r="G1197" s="125" t="s">
        <v>401</v>
      </c>
      <c r="H1197" s="126"/>
      <c r="I1197" s="127">
        <v>1</v>
      </c>
      <c r="J1197" s="128">
        <v>63583</v>
      </c>
      <c r="K1197" s="209">
        <v>63583</v>
      </c>
      <c r="L1197" s="188" t="s">
        <v>620</v>
      </c>
      <c r="M1197" s="186" t="s">
        <v>37</v>
      </c>
      <c r="N1197" s="131"/>
      <c r="O1197" s="132"/>
      <c r="P1197" s="132"/>
      <c r="Q1197" s="132"/>
      <c r="R1197" s="132"/>
      <c r="S1197" s="132"/>
      <c r="T1197" s="132"/>
      <c r="U1197" s="132"/>
      <c r="V1197" s="132"/>
      <c r="W1197" s="132"/>
      <c r="X1197" s="132"/>
      <c r="Y1197" s="132"/>
      <c r="Z1197" s="132"/>
      <c r="AA1197" s="132"/>
      <c r="AB1197" s="132"/>
    </row>
    <row r="1198" spans="1:28" s="133" customFormat="1" ht="15" customHeight="1" outlineLevel="1" x14ac:dyDescent="0.2">
      <c r="A1198" s="121">
        <v>40</v>
      </c>
      <c r="B1198" s="121">
        <v>84590</v>
      </c>
      <c r="C1198" s="122">
        <v>42004</v>
      </c>
      <c r="D1198" s="123" t="s">
        <v>1721</v>
      </c>
      <c r="E1198" s="121" t="s">
        <v>542</v>
      </c>
      <c r="F1198" s="199" t="s">
        <v>1722</v>
      </c>
      <c r="G1198" s="125" t="s">
        <v>368</v>
      </c>
      <c r="H1198" s="126"/>
      <c r="I1198" s="127">
        <v>1</v>
      </c>
      <c r="J1198" s="128">
        <v>17250</v>
      </c>
      <c r="K1198" s="209">
        <v>17250</v>
      </c>
      <c r="L1198" s="188" t="s">
        <v>620</v>
      </c>
      <c r="M1198" s="186" t="s">
        <v>37</v>
      </c>
      <c r="N1198" s="131"/>
      <c r="O1198" s="132"/>
      <c r="P1198" s="132"/>
      <c r="Q1198" s="132"/>
      <c r="R1198" s="132"/>
      <c r="S1198" s="132"/>
      <c r="T1198" s="132"/>
      <c r="U1198" s="132"/>
      <c r="V1198" s="132"/>
      <c r="W1198" s="132"/>
      <c r="X1198" s="132"/>
      <c r="Y1198" s="132"/>
      <c r="Z1198" s="132"/>
      <c r="AA1198" s="132"/>
      <c r="AB1198" s="132"/>
    </row>
    <row r="1199" spans="1:28" s="133" customFormat="1" ht="15" customHeight="1" outlineLevel="1" x14ac:dyDescent="0.2">
      <c r="A1199" s="121">
        <v>9</v>
      </c>
      <c r="B1199" s="121">
        <v>74971</v>
      </c>
      <c r="C1199" s="122">
        <v>41984</v>
      </c>
      <c r="D1199" s="123" t="s">
        <v>1723</v>
      </c>
      <c r="E1199" s="121" t="s">
        <v>542</v>
      </c>
      <c r="F1199" s="124" t="s">
        <v>1722</v>
      </c>
      <c r="G1199" s="125" t="s">
        <v>368</v>
      </c>
      <c r="H1199" s="126"/>
      <c r="I1199" s="127">
        <v>1</v>
      </c>
      <c r="J1199" s="128">
        <v>17250</v>
      </c>
      <c r="K1199" s="209">
        <v>17250</v>
      </c>
      <c r="L1199" s="188" t="s">
        <v>620</v>
      </c>
      <c r="M1199" s="186" t="s">
        <v>37</v>
      </c>
      <c r="N1199" s="131"/>
      <c r="O1199" s="132"/>
      <c r="P1199" s="132"/>
      <c r="Q1199" s="132"/>
      <c r="R1199" s="132"/>
      <c r="S1199" s="132"/>
      <c r="T1199" s="132"/>
      <c r="U1199" s="132"/>
      <c r="V1199" s="132"/>
      <c r="W1199" s="132"/>
      <c r="X1199" s="132"/>
      <c r="Y1199" s="132"/>
      <c r="Z1199" s="132"/>
      <c r="AA1199" s="132"/>
      <c r="AB1199" s="132"/>
    </row>
    <row r="1200" spans="1:28" s="133" customFormat="1" ht="15" customHeight="1" outlineLevel="1" x14ac:dyDescent="0.2">
      <c r="A1200" s="134">
        <v>1</v>
      </c>
      <c r="B1200" s="134">
        <v>54268</v>
      </c>
      <c r="C1200" s="135">
        <v>41929</v>
      </c>
      <c r="D1200" s="136" t="s">
        <v>1724</v>
      </c>
      <c r="E1200" s="134" t="s">
        <v>540</v>
      </c>
      <c r="F1200" s="137" t="s">
        <v>115</v>
      </c>
      <c r="G1200" s="138" t="s">
        <v>416</v>
      </c>
      <c r="H1200" s="139"/>
      <c r="I1200" s="140">
        <v>1</v>
      </c>
      <c r="J1200" s="141">
        <v>5274</v>
      </c>
      <c r="K1200" s="141">
        <v>5274</v>
      </c>
      <c r="L1200" s="643" t="s">
        <v>617</v>
      </c>
      <c r="M1200" s="167" t="s">
        <v>38</v>
      </c>
      <c r="N1200" s="131"/>
      <c r="O1200" s="132"/>
      <c r="P1200" s="132"/>
      <c r="Q1200" s="132"/>
      <c r="R1200" s="132"/>
      <c r="S1200" s="132"/>
      <c r="T1200" s="132"/>
      <c r="U1200" s="132"/>
      <c r="V1200" s="132"/>
      <c r="W1200" s="132"/>
      <c r="X1200" s="132"/>
      <c r="Y1200" s="132"/>
      <c r="Z1200" s="132"/>
      <c r="AA1200" s="132"/>
      <c r="AB1200" s="132"/>
    </row>
    <row r="1201" spans="1:28" s="133" customFormat="1" ht="15" customHeight="1" outlineLevel="1" x14ac:dyDescent="0.2">
      <c r="A1201" s="134">
        <v>2</v>
      </c>
      <c r="B1201" s="134">
        <v>58334</v>
      </c>
      <c r="C1201" s="135">
        <v>41936</v>
      </c>
      <c r="D1201" s="136" t="s">
        <v>1725</v>
      </c>
      <c r="E1201" s="134" t="s">
        <v>540</v>
      </c>
      <c r="F1201" s="137" t="s">
        <v>577</v>
      </c>
      <c r="G1201" s="138" t="s">
        <v>368</v>
      </c>
      <c r="H1201" s="139"/>
      <c r="I1201" s="140">
        <v>1</v>
      </c>
      <c r="J1201" s="141">
        <v>25800</v>
      </c>
      <c r="K1201" s="141">
        <v>25800</v>
      </c>
      <c r="L1201" s="644"/>
      <c r="M1201" s="167" t="s">
        <v>38</v>
      </c>
      <c r="N1201" s="131"/>
      <c r="O1201" s="132"/>
      <c r="P1201" s="132"/>
      <c r="Q1201" s="132"/>
      <c r="R1201" s="132"/>
      <c r="S1201" s="132"/>
      <c r="T1201" s="132"/>
      <c r="U1201" s="132"/>
      <c r="V1201" s="132"/>
      <c r="W1201" s="132"/>
      <c r="X1201" s="132"/>
      <c r="Y1201" s="132"/>
      <c r="Z1201" s="132"/>
      <c r="AA1201" s="132"/>
      <c r="AB1201" s="132"/>
    </row>
    <row r="1202" spans="1:28" s="133" customFormat="1" ht="15" customHeight="1" outlineLevel="1" x14ac:dyDescent="0.2">
      <c r="A1202" s="134">
        <v>3</v>
      </c>
      <c r="B1202" s="134">
        <v>57210</v>
      </c>
      <c r="C1202" s="135">
        <v>41934</v>
      </c>
      <c r="D1202" s="136" t="s">
        <v>1726</v>
      </c>
      <c r="E1202" s="134" t="s">
        <v>1065</v>
      </c>
      <c r="F1202" s="137" t="s">
        <v>171</v>
      </c>
      <c r="G1202" s="138" t="s">
        <v>384</v>
      </c>
      <c r="H1202" s="139"/>
      <c r="I1202" s="140">
        <v>2</v>
      </c>
      <c r="J1202" s="141">
        <v>18764</v>
      </c>
      <c r="K1202" s="141">
        <v>37528</v>
      </c>
      <c r="L1202" s="644"/>
      <c r="M1202" s="167" t="s">
        <v>38</v>
      </c>
      <c r="N1202" s="131"/>
      <c r="O1202" s="132"/>
      <c r="P1202" s="132"/>
      <c r="Q1202" s="132"/>
      <c r="R1202" s="132"/>
      <c r="S1202" s="132"/>
      <c r="T1202" s="132"/>
      <c r="U1202" s="132"/>
      <c r="V1202" s="132"/>
      <c r="W1202" s="132"/>
      <c r="X1202" s="132"/>
      <c r="Y1202" s="132"/>
      <c r="Z1202" s="132"/>
      <c r="AA1202" s="132"/>
      <c r="AB1202" s="132"/>
    </row>
    <row r="1203" spans="1:28" s="133" customFormat="1" ht="15" customHeight="1" outlineLevel="1" x14ac:dyDescent="0.2">
      <c r="A1203" s="134">
        <v>4</v>
      </c>
      <c r="B1203" s="134">
        <v>58220</v>
      </c>
      <c r="C1203" s="135">
        <v>41936</v>
      </c>
      <c r="D1203" s="136" t="s">
        <v>1727</v>
      </c>
      <c r="E1203" s="134" t="s">
        <v>540</v>
      </c>
      <c r="F1203" s="137" t="s">
        <v>115</v>
      </c>
      <c r="G1203" s="138" t="s">
        <v>397</v>
      </c>
      <c r="H1203" s="139"/>
      <c r="I1203" s="140">
        <v>2</v>
      </c>
      <c r="J1203" s="141">
        <v>5274</v>
      </c>
      <c r="K1203" s="141">
        <v>10548</v>
      </c>
      <c r="L1203" s="644"/>
      <c r="M1203" s="167" t="s">
        <v>38</v>
      </c>
      <c r="N1203" s="131"/>
      <c r="O1203" s="132"/>
      <c r="P1203" s="132"/>
      <c r="Q1203" s="132"/>
      <c r="R1203" s="132"/>
      <c r="S1203" s="132"/>
      <c r="T1203" s="132"/>
      <c r="U1203" s="132"/>
      <c r="V1203" s="132"/>
      <c r="W1203" s="132"/>
      <c r="X1203" s="132"/>
      <c r="Y1203" s="132"/>
      <c r="Z1203" s="132"/>
      <c r="AA1203" s="132"/>
      <c r="AB1203" s="132"/>
    </row>
    <row r="1204" spans="1:28" s="133" customFormat="1" ht="15" customHeight="1" outlineLevel="1" x14ac:dyDescent="0.2">
      <c r="A1204" s="134">
        <v>5</v>
      </c>
      <c r="B1204" s="134">
        <v>55604</v>
      </c>
      <c r="C1204" s="135">
        <v>41929</v>
      </c>
      <c r="D1204" s="136" t="s">
        <v>1728</v>
      </c>
      <c r="E1204" s="134" t="s">
        <v>1065</v>
      </c>
      <c r="F1204" s="137" t="s">
        <v>171</v>
      </c>
      <c r="G1204" s="138" t="s">
        <v>368</v>
      </c>
      <c r="H1204" s="139"/>
      <c r="I1204" s="140">
        <v>1</v>
      </c>
      <c r="J1204" s="141">
        <v>18764</v>
      </c>
      <c r="K1204" s="141">
        <v>18764</v>
      </c>
      <c r="L1204" s="644"/>
      <c r="M1204" s="167" t="s">
        <v>38</v>
      </c>
      <c r="N1204" s="131"/>
      <c r="O1204" s="132"/>
      <c r="P1204" s="132"/>
      <c r="Q1204" s="132"/>
      <c r="R1204" s="132"/>
      <c r="S1204" s="132"/>
      <c r="T1204" s="132"/>
      <c r="U1204" s="132"/>
      <c r="V1204" s="132"/>
      <c r="W1204" s="132"/>
      <c r="X1204" s="132"/>
      <c r="Y1204" s="132"/>
      <c r="Z1204" s="132"/>
      <c r="AA1204" s="132"/>
      <c r="AB1204" s="132"/>
    </row>
    <row r="1205" spans="1:28" s="133" customFormat="1" ht="15" customHeight="1" outlineLevel="1" x14ac:dyDescent="0.2">
      <c r="A1205" s="134">
        <v>6</v>
      </c>
      <c r="B1205" s="134">
        <v>56835</v>
      </c>
      <c r="C1205" s="135">
        <v>41934</v>
      </c>
      <c r="D1205" s="136" t="s">
        <v>1728</v>
      </c>
      <c r="E1205" s="134" t="s">
        <v>1065</v>
      </c>
      <c r="F1205" s="137" t="s">
        <v>171</v>
      </c>
      <c r="G1205" s="138" t="s">
        <v>368</v>
      </c>
      <c r="H1205" s="139"/>
      <c r="I1205" s="140">
        <v>1</v>
      </c>
      <c r="J1205" s="141">
        <v>18764</v>
      </c>
      <c r="K1205" s="141" t="s">
        <v>1012</v>
      </c>
      <c r="L1205" s="644"/>
      <c r="M1205" s="167" t="s">
        <v>38</v>
      </c>
      <c r="N1205" s="131"/>
      <c r="O1205" s="132"/>
      <c r="P1205" s="132"/>
      <c r="Q1205" s="132"/>
      <c r="R1205" s="132"/>
      <c r="S1205" s="132"/>
      <c r="T1205" s="132"/>
      <c r="U1205" s="132"/>
      <c r="V1205" s="132"/>
      <c r="W1205" s="132"/>
      <c r="X1205" s="132"/>
      <c r="Y1205" s="132"/>
      <c r="Z1205" s="132"/>
      <c r="AA1205" s="132"/>
      <c r="AB1205" s="132"/>
    </row>
    <row r="1206" spans="1:28" s="133" customFormat="1" ht="15" customHeight="1" outlineLevel="1" x14ac:dyDescent="0.2">
      <c r="A1206" s="134">
        <v>7</v>
      </c>
      <c r="B1206" s="134">
        <v>57255</v>
      </c>
      <c r="C1206" s="135">
        <v>41663</v>
      </c>
      <c r="D1206" s="136" t="s">
        <v>1729</v>
      </c>
      <c r="E1206" s="134" t="s">
        <v>540</v>
      </c>
      <c r="F1206" s="137" t="s">
        <v>115</v>
      </c>
      <c r="G1206" s="138" t="s">
        <v>524</v>
      </c>
      <c r="H1206" s="139"/>
      <c r="I1206" s="140">
        <v>1</v>
      </c>
      <c r="J1206" s="141">
        <v>5274</v>
      </c>
      <c r="K1206" s="141">
        <v>5274</v>
      </c>
      <c r="L1206" s="645"/>
      <c r="M1206" s="167" t="s">
        <v>38</v>
      </c>
      <c r="N1206" s="131"/>
      <c r="O1206" s="132"/>
      <c r="P1206" s="132"/>
      <c r="Q1206" s="132"/>
      <c r="R1206" s="132"/>
      <c r="S1206" s="132"/>
      <c r="T1206" s="132"/>
      <c r="U1206" s="132"/>
      <c r="V1206" s="132"/>
      <c r="W1206" s="132"/>
      <c r="X1206" s="132"/>
      <c r="Y1206" s="132"/>
      <c r="Z1206" s="132"/>
      <c r="AA1206" s="132"/>
      <c r="AB1206" s="132"/>
    </row>
    <row r="1207" spans="1:28" s="133" customFormat="1" ht="15" customHeight="1" outlineLevel="1" x14ac:dyDescent="0.2">
      <c r="A1207" s="121">
        <v>1</v>
      </c>
      <c r="B1207" s="121">
        <v>65784</v>
      </c>
      <c r="C1207" s="122">
        <v>41960</v>
      </c>
      <c r="D1207" s="123" t="s">
        <v>1730</v>
      </c>
      <c r="E1207" s="121" t="s">
        <v>540</v>
      </c>
      <c r="F1207" s="124" t="s">
        <v>115</v>
      </c>
      <c r="G1207" s="125" t="s">
        <v>1731</v>
      </c>
      <c r="H1207" s="126"/>
      <c r="I1207" s="127">
        <v>4</v>
      </c>
      <c r="J1207" s="128">
        <v>5274</v>
      </c>
      <c r="K1207" s="141">
        <v>21096</v>
      </c>
      <c r="L1207" s="210" t="s">
        <v>957</v>
      </c>
      <c r="M1207" s="167" t="s">
        <v>38</v>
      </c>
      <c r="N1207" s="131"/>
      <c r="O1207" s="132"/>
      <c r="P1207" s="132"/>
      <c r="Q1207" s="132"/>
      <c r="R1207" s="132"/>
      <c r="S1207" s="132"/>
      <c r="T1207" s="132"/>
      <c r="U1207" s="132"/>
      <c r="V1207" s="132"/>
      <c r="W1207" s="132"/>
      <c r="X1207" s="132"/>
      <c r="Y1207" s="132"/>
      <c r="Z1207" s="132"/>
      <c r="AA1207" s="132"/>
      <c r="AB1207" s="132"/>
    </row>
    <row r="1208" spans="1:28" s="133" customFormat="1" ht="15" customHeight="1" outlineLevel="1" x14ac:dyDescent="0.2">
      <c r="A1208" s="121">
        <v>2</v>
      </c>
      <c r="B1208" s="121">
        <v>61020</v>
      </c>
      <c r="C1208" s="122">
        <v>41946</v>
      </c>
      <c r="D1208" s="123" t="s">
        <v>1732</v>
      </c>
      <c r="E1208" s="121" t="s">
        <v>540</v>
      </c>
      <c r="F1208" s="124" t="s">
        <v>534</v>
      </c>
      <c r="G1208" s="125" t="s">
        <v>439</v>
      </c>
      <c r="H1208" s="126"/>
      <c r="I1208" s="127">
        <v>1</v>
      </c>
      <c r="J1208" s="128">
        <v>30429</v>
      </c>
      <c r="K1208" s="141">
        <v>30429</v>
      </c>
      <c r="L1208" s="210" t="s">
        <v>957</v>
      </c>
      <c r="M1208" s="167" t="s">
        <v>38</v>
      </c>
      <c r="N1208" s="131"/>
      <c r="O1208" s="132"/>
      <c r="P1208" s="132"/>
      <c r="Q1208" s="132"/>
      <c r="R1208" s="132"/>
      <c r="S1208" s="132"/>
      <c r="T1208" s="132"/>
      <c r="U1208" s="132"/>
      <c r="V1208" s="132"/>
      <c r="W1208" s="132"/>
      <c r="X1208" s="132"/>
      <c r="Y1208" s="132"/>
      <c r="Z1208" s="132"/>
      <c r="AA1208" s="132"/>
      <c r="AB1208" s="132"/>
    </row>
    <row r="1209" spans="1:28" s="133" customFormat="1" ht="15" customHeight="1" outlineLevel="1" x14ac:dyDescent="0.2">
      <c r="A1209" s="121">
        <v>3</v>
      </c>
      <c r="B1209" s="121">
        <v>64841</v>
      </c>
      <c r="C1209" s="122">
        <v>41956</v>
      </c>
      <c r="D1209" s="123" t="s">
        <v>1732</v>
      </c>
      <c r="E1209" s="121" t="s">
        <v>540</v>
      </c>
      <c r="F1209" s="124" t="s">
        <v>114</v>
      </c>
      <c r="G1209" s="125" t="s">
        <v>416</v>
      </c>
      <c r="H1209" s="126"/>
      <c r="I1209" s="127">
        <v>1</v>
      </c>
      <c r="J1209" s="128">
        <v>33370</v>
      </c>
      <c r="K1209" s="141">
        <v>33370</v>
      </c>
      <c r="L1209" s="210" t="s">
        <v>957</v>
      </c>
      <c r="M1209" s="167" t="s">
        <v>38</v>
      </c>
      <c r="N1209" s="131"/>
      <c r="O1209" s="132"/>
      <c r="P1209" s="132"/>
      <c r="Q1209" s="132"/>
      <c r="R1209" s="132"/>
      <c r="S1209" s="132"/>
      <c r="T1209" s="132"/>
      <c r="U1209" s="132"/>
      <c r="V1209" s="132"/>
      <c r="W1209" s="132"/>
      <c r="X1209" s="132"/>
      <c r="Y1209" s="132"/>
      <c r="Z1209" s="132"/>
      <c r="AA1209" s="132"/>
      <c r="AB1209" s="132"/>
    </row>
    <row r="1210" spans="1:28" s="133" customFormat="1" ht="15" customHeight="1" outlineLevel="1" x14ac:dyDescent="0.2">
      <c r="A1210" s="121">
        <v>4</v>
      </c>
      <c r="B1210" s="121">
        <v>60641</v>
      </c>
      <c r="C1210" s="122">
        <v>41946</v>
      </c>
      <c r="D1210" s="123" t="s">
        <v>1733</v>
      </c>
      <c r="E1210" s="121" t="s">
        <v>1734</v>
      </c>
      <c r="F1210" s="124" t="s">
        <v>115</v>
      </c>
      <c r="G1210" s="125" t="s">
        <v>531</v>
      </c>
      <c r="H1210" s="126"/>
      <c r="I1210" s="127">
        <v>1</v>
      </c>
      <c r="J1210" s="128">
        <v>5274</v>
      </c>
      <c r="K1210" s="141">
        <v>5274</v>
      </c>
      <c r="L1210" s="210" t="s">
        <v>957</v>
      </c>
      <c r="M1210" s="167" t="s">
        <v>38</v>
      </c>
      <c r="N1210" s="131"/>
      <c r="O1210" s="132"/>
      <c r="P1210" s="132"/>
      <c r="Q1210" s="132"/>
      <c r="R1210" s="132"/>
      <c r="S1210" s="132"/>
      <c r="T1210" s="132"/>
      <c r="U1210" s="132"/>
      <c r="V1210" s="132"/>
      <c r="W1210" s="132"/>
      <c r="X1210" s="132"/>
      <c r="Y1210" s="132"/>
      <c r="Z1210" s="132"/>
      <c r="AA1210" s="132"/>
      <c r="AB1210" s="132"/>
    </row>
    <row r="1211" spans="1:28" s="133" customFormat="1" ht="15" customHeight="1" outlineLevel="1" x14ac:dyDescent="0.2">
      <c r="A1211" s="121">
        <v>5</v>
      </c>
      <c r="B1211" s="121">
        <v>68282</v>
      </c>
      <c r="C1211" s="122">
        <v>41967</v>
      </c>
      <c r="D1211" s="123" t="s">
        <v>1735</v>
      </c>
      <c r="E1211" s="121" t="s">
        <v>1065</v>
      </c>
      <c r="F1211" s="124" t="s">
        <v>171</v>
      </c>
      <c r="G1211" s="125" t="s">
        <v>368</v>
      </c>
      <c r="H1211" s="126"/>
      <c r="I1211" s="127">
        <v>1</v>
      </c>
      <c r="J1211" s="128">
        <v>18764</v>
      </c>
      <c r="K1211" s="141">
        <v>18764</v>
      </c>
      <c r="L1211" s="210" t="s">
        <v>957</v>
      </c>
      <c r="M1211" s="167" t="s">
        <v>38</v>
      </c>
      <c r="N1211" s="131"/>
      <c r="O1211" s="132"/>
      <c r="P1211" s="132"/>
      <c r="Q1211" s="132"/>
      <c r="R1211" s="132"/>
      <c r="S1211" s="132"/>
      <c r="T1211" s="132"/>
      <c r="U1211" s="132"/>
      <c r="V1211" s="132"/>
      <c r="W1211" s="132"/>
      <c r="X1211" s="132"/>
      <c r="Y1211" s="132"/>
      <c r="Z1211" s="132"/>
      <c r="AA1211" s="132"/>
      <c r="AB1211" s="132"/>
    </row>
    <row r="1212" spans="1:28" s="133" customFormat="1" ht="15" customHeight="1" outlineLevel="1" x14ac:dyDescent="0.2">
      <c r="A1212" s="121">
        <v>6</v>
      </c>
      <c r="B1212" s="121">
        <v>66518</v>
      </c>
      <c r="C1212" s="122">
        <v>41962</v>
      </c>
      <c r="D1212" s="123" t="s">
        <v>1736</v>
      </c>
      <c r="E1212" s="121" t="s">
        <v>1065</v>
      </c>
      <c r="F1212" s="124" t="s">
        <v>984</v>
      </c>
      <c r="G1212" s="125" t="s">
        <v>368</v>
      </c>
      <c r="H1212" s="126"/>
      <c r="I1212" s="127">
        <v>1</v>
      </c>
      <c r="J1212" s="128">
        <v>22315</v>
      </c>
      <c r="K1212" s="141">
        <v>22315</v>
      </c>
      <c r="L1212" s="210" t="s">
        <v>957</v>
      </c>
      <c r="M1212" s="167" t="s">
        <v>38</v>
      </c>
      <c r="N1212" s="131"/>
      <c r="O1212" s="132"/>
      <c r="P1212" s="132"/>
      <c r="Q1212" s="132"/>
      <c r="R1212" s="132"/>
      <c r="S1212" s="132"/>
      <c r="T1212" s="132"/>
      <c r="U1212" s="132"/>
      <c r="V1212" s="132"/>
      <c r="W1212" s="132"/>
      <c r="X1212" s="132"/>
      <c r="Y1212" s="132"/>
      <c r="Z1212" s="132"/>
      <c r="AA1212" s="132"/>
      <c r="AB1212" s="132"/>
    </row>
    <row r="1213" spans="1:28" s="133" customFormat="1" ht="15" customHeight="1" outlineLevel="1" x14ac:dyDescent="0.2">
      <c r="A1213" s="121">
        <v>7</v>
      </c>
      <c r="B1213" s="121">
        <v>62702</v>
      </c>
      <c r="C1213" s="122">
        <v>41953</v>
      </c>
      <c r="D1213" s="123" t="s">
        <v>1737</v>
      </c>
      <c r="E1213" s="121" t="s">
        <v>940</v>
      </c>
      <c r="F1213" s="124" t="s">
        <v>577</v>
      </c>
      <c r="G1213" s="125" t="s">
        <v>368</v>
      </c>
      <c r="H1213" s="126"/>
      <c r="I1213" s="127">
        <v>1</v>
      </c>
      <c r="J1213" s="128">
        <v>25800</v>
      </c>
      <c r="K1213" s="141">
        <v>25800</v>
      </c>
      <c r="L1213" s="210" t="s">
        <v>957</v>
      </c>
      <c r="M1213" s="167" t="s">
        <v>38</v>
      </c>
      <c r="N1213" s="131"/>
      <c r="O1213" s="132"/>
      <c r="P1213" s="132"/>
      <c r="Q1213" s="132"/>
      <c r="R1213" s="132"/>
      <c r="S1213" s="132"/>
      <c r="T1213" s="132"/>
      <c r="U1213" s="132"/>
      <c r="V1213" s="132"/>
      <c r="W1213" s="132"/>
      <c r="X1213" s="132"/>
      <c r="Y1213" s="132"/>
      <c r="Z1213" s="132"/>
      <c r="AA1213" s="132"/>
      <c r="AB1213" s="132"/>
    </row>
    <row r="1214" spans="1:28" s="133" customFormat="1" ht="15" customHeight="1" outlineLevel="1" x14ac:dyDescent="0.2">
      <c r="A1214" s="121">
        <v>8</v>
      </c>
      <c r="B1214" s="121">
        <v>60638</v>
      </c>
      <c r="C1214" s="122">
        <v>41946</v>
      </c>
      <c r="D1214" s="123" t="s">
        <v>1738</v>
      </c>
      <c r="E1214" s="121" t="s">
        <v>1734</v>
      </c>
      <c r="F1214" s="124" t="s">
        <v>115</v>
      </c>
      <c r="G1214" s="125" t="s">
        <v>559</v>
      </c>
      <c r="H1214" s="126"/>
      <c r="I1214" s="127">
        <v>1</v>
      </c>
      <c r="J1214" s="128">
        <v>5274</v>
      </c>
      <c r="K1214" s="141">
        <v>5274</v>
      </c>
      <c r="L1214" s="210" t="s">
        <v>957</v>
      </c>
      <c r="M1214" s="167" t="s">
        <v>38</v>
      </c>
      <c r="N1214" s="131"/>
      <c r="O1214" s="132"/>
      <c r="P1214" s="132"/>
      <c r="Q1214" s="132"/>
      <c r="R1214" s="132"/>
      <c r="S1214" s="132"/>
      <c r="T1214" s="132"/>
      <c r="U1214" s="132"/>
      <c r="V1214" s="132"/>
      <c r="W1214" s="132"/>
      <c r="X1214" s="132"/>
      <c r="Y1214" s="132"/>
      <c r="Z1214" s="132"/>
      <c r="AA1214" s="132"/>
      <c r="AB1214" s="132"/>
    </row>
    <row r="1215" spans="1:28" s="133" customFormat="1" ht="15" customHeight="1" outlineLevel="1" x14ac:dyDescent="0.2">
      <c r="A1215" s="121">
        <v>9</v>
      </c>
      <c r="B1215" s="121">
        <v>70813</v>
      </c>
      <c r="C1215" s="122">
        <v>41975</v>
      </c>
      <c r="D1215" s="123" t="s">
        <v>1739</v>
      </c>
      <c r="E1215" s="121" t="s">
        <v>1734</v>
      </c>
      <c r="F1215" s="124" t="s">
        <v>217</v>
      </c>
      <c r="G1215" s="125" t="s">
        <v>368</v>
      </c>
      <c r="H1215" s="126"/>
      <c r="I1215" s="127">
        <v>1</v>
      </c>
      <c r="J1215" s="128">
        <v>22299</v>
      </c>
      <c r="K1215" s="141">
        <v>22299</v>
      </c>
      <c r="L1215" s="210" t="s">
        <v>957</v>
      </c>
      <c r="M1215" s="167" t="s">
        <v>38</v>
      </c>
      <c r="N1215" s="131"/>
      <c r="O1215" s="132"/>
      <c r="P1215" s="132"/>
      <c r="Q1215" s="132"/>
      <c r="R1215" s="132"/>
      <c r="S1215" s="132"/>
      <c r="T1215" s="132"/>
      <c r="U1215" s="132"/>
      <c r="V1215" s="132"/>
      <c r="W1215" s="132"/>
      <c r="X1215" s="132"/>
      <c r="Y1215" s="132"/>
      <c r="Z1215" s="132"/>
      <c r="AA1215" s="132"/>
      <c r="AB1215" s="132"/>
    </row>
    <row r="1216" spans="1:28" s="133" customFormat="1" ht="15" customHeight="1" outlineLevel="1" x14ac:dyDescent="0.2">
      <c r="A1216" s="121">
        <v>10</v>
      </c>
      <c r="B1216" s="121">
        <v>68892</v>
      </c>
      <c r="C1216" s="122">
        <v>41968</v>
      </c>
      <c r="D1216" s="123" t="s">
        <v>1740</v>
      </c>
      <c r="E1216" s="121" t="s">
        <v>1741</v>
      </c>
      <c r="F1216" s="124" t="s">
        <v>577</v>
      </c>
      <c r="G1216" s="125" t="s">
        <v>368</v>
      </c>
      <c r="H1216" s="126"/>
      <c r="I1216" s="127">
        <v>1</v>
      </c>
      <c r="J1216" s="128">
        <v>25800</v>
      </c>
      <c r="K1216" s="141">
        <v>25800</v>
      </c>
      <c r="L1216" s="210" t="s">
        <v>957</v>
      </c>
      <c r="M1216" s="167" t="s">
        <v>38</v>
      </c>
      <c r="N1216" s="131"/>
      <c r="O1216" s="132"/>
      <c r="P1216" s="132"/>
      <c r="Q1216" s="132"/>
      <c r="R1216" s="132"/>
      <c r="S1216" s="132"/>
      <c r="T1216" s="132"/>
      <c r="U1216" s="132"/>
      <c r="V1216" s="132"/>
      <c r="W1216" s="132"/>
      <c r="X1216" s="132"/>
      <c r="Y1216" s="132"/>
      <c r="Z1216" s="132"/>
      <c r="AA1216" s="132"/>
      <c r="AB1216" s="132"/>
    </row>
    <row r="1217" spans="1:28" s="133" customFormat="1" ht="15" customHeight="1" outlineLevel="1" x14ac:dyDescent="0.2">
      <c r="A1217" s="121">
        <v>11</v>
      </c>
      <c r="B1217" s="121">
        <v>61238</v>
      </c>
      <c r="C1217" s="122">
        <v>41947</v>
      </c>
      <c r="D1217" s="123" t="s">
        <v>1742</v>
      </c>
      <c r="E1217" s="121" t="s">
        <v>518</v>
      </c>
      <c r="F1217" s="124" t="s">
        <v>577</v>
      </c>
      <c r="G1217" s="125" t="s">
        <v>368</v>
      </c>
      <c r="H1217" s="126"/>
      <c r="I1217" s="127">
        <v>1</v>
      </c>
      <c r="J1217" s="128">
        <v>25800</v>
      </c>
      <c r="K1217" s="141">
        <v>25800</v>
      </c>
      <c r="L1217" s="210" t="s">
        <v>957</v>
      </c>
      <c r="M1217" s="167" t="s">
        <v>38</v>
      </c>
      <c r="N1217" s="131"/>
      <c r="O1217" s="132"/>
      <c r="P1217" s="132"/>
      <c r="Q1217" s="132"/>
      <c r="R1217" s="132"/>
      <c r="S1217" s="132"/>
      <c r="T1217" s="132"/>
      <c r="U1217" s="132"/>
      <c r="V1217" s="132"/>
      <c r="W1217" s="132"/>
      <c r="X1217" s="132"/>
      <c r="Y1217" s="132"/>
      <c r="Z1217" s="132"/>
      <c r="AA1217" s="132"/>
      <c r="AB1217" s="132"/>
    </row>
    <row r="1218" spans="1:28" s="133" customFormat="1" ht="15" customHeight="1" outlineLevel="1" x14ac:dyDescent="0.2">
      <c r="A1218" s="121">
        <v>12</v>
      </c>
      <c r="B1218" s="121">
        <v>63675</v>
      </c>
      <c r="C1218" s="122">
        <v>41954</v>
      </c>
      <c r="D1218" s="123" t="s">
        <v>1743</v>
      </c>
      <c r="E1218" s="121" t="s">
        <v>540</v>
      </c>
      <c r="F1218" s="124" t="s">
        <v>115</v>
      </c>
      <c r="G1218" s="125" t="s">
        <v>439</v>
      </c>
      <c r="H1218" s="126"/>
      <c r="I1218" s="127">
        <v>1</v>
      </c>
      <c r="J1218" s="128">
        <v>5274</v>
      </c>
      <c r="K1218" s="141">
        <v>5274</v>
      </c>
      <c r="L1218" s="210" t="s">
        <v>957</v>
      </c>
      <c r="M1218" s="167" t="s">
        <v>38</v>
      </c>
      <c r="N1218" s="131"/>
      <c r="O1218" s="132"/>
      <c r="P1218" s="132"/>
      <c r="Q1218" s="132"/>
      <c r="R1218" s="132"/>
      <c r="S1218" s="132"/>
      <c r="T1218" s="132"/>
      <c r="U1218" s="132"/>
      <c r="V1218" s="132"/>
      <c r="W1218" s="132"/>
      <c r="X1218" s="132"/>
      <c r="Y1218" s="132"/>
      <c r="Z1218" s="132"/>
      <c r="AA1218" s="132"/>
      <c r="AB1218" s="132"/>
    </row>
    <row r="1219" spans="1:28" s="133" customFormat="1" ht="15" customHeight="1" outlineLevel="1" x14ac:dyDescent="0.2">
      <c r="A1219" s="121">
        <v>13</v>
      </c>
      <c r="B1219" s="121">
        <v>62602</v>
      </c>
      <c r="C1219" s="122">
        <v>41950</v>
      </c>
      <c r="D1219" s="123" t="s">
        <v>1744</v>
      </c>
      <c r="E1219" s="121" t="s">
        <v>540</v>
      </c>
      <c r="F1219" s="124" t="s">
        <v>215</v>
      </c>
      <c r="G1219" s="125" t="s">
        <v>384</v>
      </c>
      <c r="H1219" s="126"/>
      <c r="I1219" s="127">
        <v>2</v>
      </c>
      <c r="J1219" s="128">
        <v>44597</v>
      </c>
      <c r="K1219" s="141">
        <v>89194</v>
      </c>
      <c r="L1219" s="210" t="s">
        <v>957</v>
      </c>
      <c r="M1219" s="167" t="s">
        <v>38</v>
      </c>
      <c r="N1219" s="131"/>
      <c r="O1219" s="132"/>
      <c r="P1219" s="132"/>
      <c r="Q1219" s="132"/>
      <c r="R1219" s="132"/>
      <c r="S1219" s="132"/>
      <c r="T1219" s="132"/>
      <c r="U1219" s="132"/>
      <c r="V1219" s="132"/>
      <c r="W1219" s="132"/>
      <c r="X1219" s="132"/>
      <c r="Y1219" s="132"/>
      <c r="Z1219" s="132"/>
      <c r="AA1219" s="132"/>
      <c r="AB1219" s="132"/>
    </row>
    <row r="1220" spans="1:28" s="133" customFormat="1" ht="15" customHeight="1" outlineLevel="1" x14ac:dyDescent="0.2">
      <c r="A1220" s="121">
        <v>14</v>
      </c>
      <c r="B1220" s="121">
        <v>61863</v>
      </c>
      <c r="C1220" s="122">
        <v>41949</v>
      </c>
      <c r="D1220" s="123" t="s">
        <v>1745</v>
      </c>
      <c r="E1220" s="121" t="s">
        <v>1746</v>
      </c>
      <c r="F1220" s="124" t="s">
        <v>1008</v>
      </c>
      <c r="G1220" s="125" t="s">
        <v>384</v>
      </c>
      <c r="H1220" s="126"/>
      <c r="I1220" s="127">
        <v>2</v>
      </c>
      <c r="J1220" s="128">
        <v>9129</v>
      </c>
      <c r="K1220" s="141">
        <v>18258</v>
      </c>
      <c r="L1220" s="210" t="s">
        <v>957</v>
      </c>
      <c r="M1220" s="167" t="s">
        <v>38</v>
      </c>
      <c r="N1220" s="131"/>
      <c r="O1220" s="132"/>
      <c r="P1220" s="132"/>
      <c r="Q1220" s="132"/>
      <c r="R1220" s="132"/>
      <c r="S1220" s="132"/>
      <c r="T1220" s="132"/>
      <c r="U1220" s="132"/>
      <c r="V1220" s="132"/>
      <c r="W1220" s="132"/>
      <c r="X1220" s="132"/>
      <c r="Y1220" s="132"/>
      <c r="Z1220" s="132"/>
      <c r="AA1220" s="132"/>
      <c r="AB1220" s="132"/>
    </row>
    <row r="1221" spans="1:28" s="133" customFormat="1" ht="15" customHeight="1" outlineLevel="1" x14ac:dyDescent="0.2">
      <c r="A1221" s="121">
        <v>15</v>
      </c>
      <c r="B1221" s="121">
        <v>68830</v>
      </c>
      <c r="C1221" s="122">
        <v>41967</v>
      </c>
      <c r="D1221" s="123" t="s">
        <v>1747</v>
      </c>
      <c r="E1221" s="121" t="s">
        <v>1734</v>
      </c>
      <c r="F1221" s="124" t="s">
        <v>534</v>
      </c>
      <c r="G1221" s="125" t="s">
        <v>428</v>
      </c>
      <c r="H1221" s="126"/>
      <c r="I1221" s="127">
        <v>1</v>
      </c>
      <c r="J1221" s="128">
        <v>30429</v>
      </c>
      <c r="K1221" s="141">
        <v>30429</v>
      </c>
      <c r="L1221" s="210" t="s">
        <v>957</v>
      </c>
      <c r="M1221" s="167" t="s">
        <v>38</v>
      </c>
      <c r="N1221" s="131"/>
      <c r="O1221" s="132"/>
      <c r="P1221" s="132"/>
      <c r="Q1221" s="132"/>
      <c r="R1221" s="132"/>
      <c r="S1221" s="132"/>
      <c r="T1221" s="132"/>
      <c r="U1221" s="132"/>
      <c r="V1221" s="132"/>
      <c r="W1221" s="132"/>
      <c r="X1221" s="132"/>
      <c r="Y1221" s="132"/>
      <c r="Z1221" s="132"/>
      <c r="AA1221" s="132"/>
      <c r="AB1221" s="132"/>
    </row>
    <row r="1222" spans="1:28" s="133" customFormat="1" ht="15" customHeight="1" outlineLevel="1" x14ac:dyDescent="0.2">
      <c r="A1222" s="121">
        <v>16</v>
      </c>
      <c r="B1222" s="121">
        <v>60947</v>
      </c>
      <c r="C1222" s="122">
        <v>41946</v>
      </c>
      <c r="D1222" s="123" t="s">
        <v>1748</v>
      </c>
      <c r="E1222" s="121" t="s">
        <v>540</v>
      </c>
      <c r="F1222" s="124" t="s">
        <v>534</v>
      </c>
      <c r="G1222" s="125" t="s">
        <v>428</v>
      </c>
      <c r="H1222" s="126"/>
      <c r="I1222" s="127">
        <v>1</v>
      </c>
      <c r="J1222" s="128">
        <v>30429</v>
      </c>
      <c r="K1222" s="141">
        <v>30429</v>
      </c>
      <c r="L1222" s="210" t="s">
        <v>957</v>
      </c>
      <c r="M1222" s="167" t="s">
        <v>38</v>
      </c>
      <c r="N1222" s="131"/>
      <c r="O1222" s="132"/>
      <c r="P1222" s="132"/>
      <c r="Q1222" s="132"/>
      <c r="R1222" s="132"/>
      <c r="S1222" s="132"/>
      <c r="T1222" s="132"/>
      <c r="U1222" s="132"/>
      <c r="V1222" s="132"/>
      <c r="W1222" s="132"/>
      <c r="X1222" s="132"/>
      <c r="Y1222" s="132"/>
      <c r="Z1222" s="132"/>
      <c r="AA1222" s="132"/>
      <c r="AB1222" s="132"/>
    </row>
    <row r="1223" spans="1:28" s="133" customFormat="1" ht="15" customHeight="1" outlineLevel="1" x14ac:dyDescent="0.2">
      <c r="A1223" s="121">
        <v>17</v>
      </c>
      <c r="B1223" s="121">
        <v>65290</v>
      </c>
      <c r="C1223" s="122">
        <v>41957</v>
      </c>
      <c r="D1223" s="123" t="s">
        <v>1749</v>
      </c>
      <c r="E1223" s="121" t="s">
        <v>540</v>
      </c>
      <c r="F1223" s="124" t="s">
        <v>114</v>
      </c>
      <c r="G1223" s="125" t="s">
        <v>524</v>
      </c>
      <c r="H1223" s="126"/>
      <c r="I1223" s="127">
        <v>1</v>
      </c>
      <c r="J1223" s="128">
        <v>33370</v>
      </c>
      <c r="K1223" s="141">
        <v>33370</v>
      </c>
      <c r="L1223" s="210" t="s">
        <v>957</v>
      </c>
      <c r="M1223" s="167" t="s">
        <v>38</v>
      </c>
      <c r="N1223" s="131"/>
      <c r="O1223" s="132"/>
      <c r="P1223" s="132"/>
      <c r="Q1223" s="132"/>
      <c r="R1223" s="132"/>
      <c r="S1223" s="132"/>
      <c r="T1223" s="132"/>
      <c r="U1223" s="132"/>
      <c r="V1223" s="132"/>
      <c r="W1223" s="132"/>
      <c r="X1223" s="132"/>
      <c r="Y1223" s="132"/>
      <c r="Z1223" s="132"/>
      <c r="AA1223" s="132"/>
      <c r="AB1223" s="132"/>
    </row>
    <row r="1224" spans="1:28" s="133" customFormat="1" ht="15" customHeight="1" outlineLevel="1" x14ac:dyDescent="0.2">
      <c r="A1224" s="121">
        <v>18</v>
      </c>
      <c r="B1224" s="121">
        <v>70078</v>
      </c>
      <c r="C1224" s="122">
        <v>41971</v>
      </c>
      <c r="D1224" s="123" t="s">
        <v>1749</v>
      </c>
      <c r="E1224" s="121" t="s">
        <v>367</v>
      </c>
      <c r="F1224" s="124" t="s">
        <v>171</v>
      </c>
      <c r="G1224" s="125" t="s">
        <v>368</v>
      </c>
      <c r="H1224" s="126"/>
      <c r="I1224" s="127">
        <v>1</v>
      </c>
      <c r="J1224" s="128">
        <v>18764</v>
      </c>
      <c r="K1224" s="141">
        <v>18764</v>
      </c>
      <c r="L1224" s="210" t="s">
        <v>957</v>
      </c>
      <c r="M1224" s="167" t="s">
        <v>38</v>
      </c>
      <c r="N1224" s="131"/>
      <c r="O1224" s="132"/>
      <c r="P1224" s="132"/>
      <c r="Q1224" s="132"/>
      <c r="R1224" s="132"/>
      <c r="S1224" s="132"/>
      <c r="T1224" s="132"/>
      <c r="U1224" s="132"/>
      <c r="V1224" s="132"/>
      <c r="W1224" s="132"/>
      <c r="X1224" s="132"/>
      <c r="Y1224" s="132"/>
      <c r="Z1224" s="132"/>
      <c r="AA1224" s="132"/>
      <c r="AB1224" s="132"/>
    </row>
    <row r="1225" spans="1:28" s="133" customFormat="1" ht="15" customHeight="1" outlineLevel="1" x14ac:dyDescent="0.2">
      <c r="A1225" s="121">
        <v>1</v>
      </c>
      <c r="B1225" s="121">
        <v>71759</v>
      </c>
      <c r="C1225" s="122">
        <v>41978</v>
      </c>
      <c r="D1225" s="123" t="s">
        <v>1750</v>
      </c>
      <c r="E1225" s="121" t="s">
        <v>1065</v>
      </c>
      <c r="F1225" s="199" t="s">
        <v>171</v>
      </c>
      <c r="G1225" s="125" t="s">
        <v>368</v>
      </c>
      <c r="H1225" s="126"/>
      <c r="I1225" s="127">
        <v>1</v>
      </c>
      <c r="J1225" s="128">
        <v>18764</v>
      </c>
      <c r="K1225" s="128">
        <v>18764</v>
      </c>
      <c r="L1225" s="188" t="s">
        <v>620</v>
      </c>
      <c r="M1225" s="167" t="s">
        <v>38</v>
      </c>
      <c r="N1225" s="131"/>
      <c r="O1225" s="132"/>
      <c r="P1225" s="132"/>
      <c r="Q1225" s="132"/>
      <c r="R1225" s="132"/>
      <c r="S1225" s="132"/>
      <c r="T1225" s="132"/>
      <c r="U1225" s="132"/>
      <c r="V1225" s="132"/>
      <c r="W1225" s="132"/>
      <c r="X1225" s="132"/>
      <c r="Y1225" s="132"/>
      <c r="Z1225" s="132"/>
      <c r="AA1225" s="132"/>
      <c r="AB1225" s="132"/>
    </row>
    <row r="1226" spans="1:28" s="133" customFormat="1" ht="15" customHeight="1" outlineLevel="1" x14ac:dyDescent="0.2">
      <c r="A1226" s="121">
        <v>2</v>
      </c>
      <c r="B1226" s="121">
        <v>72051</v>
      </c>
      <c r="C1226" s="122">
        <v>41945</v>
      </c>
      <c r="D1226" s="123" t="s">
        <v>1743</v>
      </c>
      <c r="E1226" s="121" t="s">
        <v>540</v>
      </c>
      <c r="F1226" s="124" t="s">
        <v>534</v>
      </c>
      <c r="G1226" s="125" t="s">
        <v>414</v>
      </c>
      <c r="H1226" s="126"/>
      <c r="I1226" s="127">
        <v>1</v>
      </c>
      <c r="J1226" s="128">
        <v>30429</v>
      </c>
      <c r="K1226" s="128">
        <v>30429</v>
      </c>
      <c r="L1226" s="188" t="s">
        <v>620</v>
      </c>
      <c r="M1226" s="167" t="s">
        <v>38</v>
      </c>
      <c r="N1226" s="131"/>
      <c r="O1226" s="132"/>
      <c r="P1226" s="132"/>
      <c r="Q1226" s="132"/>
      <c r="R1226" s="132"/>
      <c r="S1226" s="132"/>
      <c r="T1226" s="132"/>
      <c r="U1226" s="132"/>
      <c r="V1226" s="132"/>
      <c r="W1226" s="132"/>
      <c r="X1226" s="132"/>
      <c r="Y1226" s="132"/>
      <c r="Z1226" s="132"/>
      <c r="AA1226" s="132"/>
      <c r="AB1226" s="132"/>
    </row>
    <row r="1227" spans="1:28" s="133" customFormat="1" ht="15" customHeight="1" outlineLevel="1" x14ac:dyDescent="0.2">
      <c r="A1227" s="121">
        <v>3</v>
      </c>
      <c r="B1227" s="121">
        <v>52953</v>
      </c>
      <c r="C1227" s="122">
        <v>41984</v>
      </c>
      <c r="D1227" s="123" t="s">
        <v>1751</v>
      </c>
      <c r="E1227" s="121" t="s">
        <v>1734</v>
      </c>
      <c r="F1227" s="124" t="s">
        <v>534</v>
      </c>
      <c r="G1227" s="125" t="s">
        <v>389</v>
      </c>
      <c r="H1227" s="126"/>
      <c r="I1227" s="127">
        <v>1</v>
      </c>
      <c r="J1227" s="128">
        <v>30429</v>
      </c>
      <c r="K1227" s="128">
        <v>30429</v>
      </c>
      <c r="L1227" s="188" t="s">
        <v>620</v>
      </c>
      <c r="M1227" s="167" t="s">
        <v>38</v>
      </c>
      <c r="N1227" s="131"/>
      <c r="O1227" s="132"/>
      <c r="P1227" s="132"/>
      <c r="Q1227" s="132"/>
      <c r="R1227" s="132"/>
      <c r="S1227" s="132"/>
      <c r="T1227" s="132"/>
      <c r="U1227" s="132"/>
      <c r="V1227" s="132"/>
      <c r="W1227" s="132"/>
      <c r="X1227" s="132"/>
      <c r="Y1227" s="132"/>
      <c r="Z1227" s="132"/>
      <c r="AA1227" s="132"/>
      <c r="AB1227" s="132"/>
    </row>
    <row r="1228" spans="1:28" s="133" customFormat="1" ht="15" customHeight="1" outlineLevel="1" x14ac:dyDescent="0.2">
      <c r="A1228" s="121">
        <v>4</v>
      </c>
      <c r="B1228" s="121">
        <v>74700</v>
      </c>
      <c r="C1228" s="122">
        <v>41983</v>
      </c>
      <c r="D1228" s="123" t="s">
        <v>1752</v>
      </c>
      <c r="E1228" s="121" t="s">
        <v>540</v>
      </c>
      <c r="F1228" s="124" t="s">
        <v>534</v>
      </c>
      <c r="G1228" s="125" t="s">
        <v>412</v>
      </c>
      <c r="H1228" s="126"/>
      <c r="I1228" s="127">
        <v>1</v>
      </c>
      <c r="J1228" s="128">
        <v>30429</v>
      </c>
      <c r="K1228" s="128">
        <v>30429</v>
      </c>
      <c r="L1228" s="188" t="s">
        <v>620</v>
      </c>
      <c r="M1228" s="167" t="s">
        <v>38</v>
      </c>
      <c r="N1228" s="131"/>
      <c r="O1228" s="132"/>
      <c r="P1228" s="132"/>
      <c r="Q1228" s="132"/>
      <c r="R1228" s="132"/>
      <c r="S1228" s="132"/>
      <c r="T1228" s="132"/>
      <c r="U1228" s="132"/>
      <c r="V1228" s="132"/>
      <c r="W1228" s="132"/>
      <c r="X1228" s="132"/>
      <c r="Y1228" s="132"/>
      <c r="Z1228" s="132"/>
      <c r="AA1228" s="132"/>
      <c r="AB1228" s="132"/>
    </row>
    <row r="1229" spans="1:28" s="133" customFormat="1" ht="15" customHeight="1" outlineLevel="1" x14ac:dyDescent="0.2">
      <c r="A1229" s="121">
        <v>5</v>
      </c>
      <c r="B1229" s="121">
        <v>75080</v>
      </c>
      <c r="C1229" s="122">
        <v>41991</v>
      </c>
      <c r="D1229" s="123" t="s">
        <v>1753</v>
      </c>
      <c r="E1229" s="121" t="s">
        <v>940</v>
      </c>
      <c r="F1229" s="124" t="s">
        <v>577</v>
      </c>
      <c r="G1229" s="125" t="s">
        <v>368</v>
      </c>
      <c r="H1229" s="126"/>
      <c r="I1229" s="127">
        <v>1</v>
      </c>
      <c r="J1229" s="128">
        <v>25800</v>
      </c>
      <c r="K1229" s="128">
        <v>25800</v>
      </c>
      <c r="L1229" s="188" t="s">
        <v>620</v>
      </c>
      <c r="M1229" s="167" t="s">
        <v>38</v>
      </c>
      <c r="N1229" s="131"/>
      <c r="O1229" s="132"/>
      <c r="P1229" s="132"/>
      <c r="Q1229" s="132"/>
      <c r="R1229" s="132"/>
      <c r="S1229" s="132"/>
      <c r="T1229" s="132"/>
      <c r="U1229" s="132"/>
      <c r="V1229" s="132"/>
      <c r="W1229" s="132"/>
      <c r="X1229" s="132"/>
      <c r="Y1229" s="132"/>
      <c r="Z1229" s="132"/>
      <c r="AA1229" s="132"/>
      <c r="AB1229" s="132"/>
    </row>
    <row r="1230" spans="1:28" s="133" customFormat="1" ht="15" customHeight="1" outlineLevel="1" x14ac:dyDescent="0.2">
      <c r="A1230" s="121">
        <v>6</v>
      </c>
      <c r="B1230" s="121">
        <v>74113</v>
      </c>
      <c r="C1230" s="122">
        <v>41982</v>
      </c>
      <c r="D1230" s="123" t="s">
        <v>1738</v>
      </c>
      <c r="E1230" s="121" t="s">
        <v>1734</v>
      </c>
      <c r="F1230" s="124" t="s">
        <v>114</v>
      </c>
      <c r="G1230" s="125" t="s">
        <v>559</v>
      </c>
      <c r="H1230" s="126"/>
      <c r="I1230" s="127">
        <v>1</v>
      </c>
      <c r="J1230" s="128">
        <v>33370</v>
      </c>
      <c r="K1230" s="128">
        <v>33370</v>
      </c>
      <c r="L1230" s="188" t="s">
        <v>620</v>
      </c>
      <c r="M1230" s="167" t="s">
        <v>38</v>
      </c>
      <c r="N1230" s="131"/>
      <c r="O1230" s="132"/>
      <c r="P1230" s="132"/>
      <c r="Q1230" s="132"/>
      <c r="R1230" s="132"/>
      <c r="S1230" s="132"/>
      <c r="T1230" s="132"/>
      <c r="U1230" s="132"/>
      <c r="V1230" s="132"/>
      <c r="W1230" s="132"/>
      <c r="X1230" s="132"/>
      <c r="Y1230" s="132"/>
      <c r="Z1230" s="132"/>
      <c r="AA1230" s="132"/>
      <c r="AB1230" s="132"/>
    </row>
    <row r="1231" spans="1:28" s="133" customFormat="1" ht="15" customHeight="1" outlineLevel="1" x14ac:dyDescent="0.2">
      <c r="A1231" s="121">
        <v>7</v>
      </c>
      <c r="B1231" s="121">
        <v>74043</v>
      </c>
      <c r="C1231" s="122">
        <v>41983</v>
      </c>
      <c r="D1231" s="123" t="s">
        <v>1754</v>
      </c>
      <c r="E1231" s="121" t="s">
        <v>540</v>
      </c>
      <c r="F1231" s="124" t="s">
        <v>217</v>
      </c>
      <c r="G1231" s="125" t="s">
        <v>368</v>
      </c>
      <c r="H1231" s="126"/>
      <c r="I1231" s="127">
        <v>1</v>
      </c>
      <c r="J1231" s="128">
        <v>22299</v>
      </c>
      <c r="K1231" s="128">
        <v>22299</v>
      </c>
      <c r="L1231" s="188" t="s">
        <v>620</v>
      </c>
      <c r="M1231" s="167" t="s">
        <v>38</v>
      </c>
      <c r="N1231" s="131"/>
      <c r="O1231" s="132"/>
      <c r="P1231" s="132"/>
      <c r="Q1231" s="132"/>
      <c r="R1231" s="132"/>
      <c r="S1231" s="132"/>
      <c r="T1231" s="132"/>
      <c r="U1231" s="132"/>
      <c r="V1231" s="132"/>
      <c r="W1231" s="132"/>
      <c r="X1231" s="132"/>
      <c r="Y1231" s="132"/>
      <c r="Z1231" s="132"/>
      <c r="AA1231" s="132"/>
      <c r="AB1231" s="132"/>
    </row>
    <row r="1232" spans="1:28" s="133" customFormat="1" ht="15" customHeight="1" outlineLevel="1" x14ac:dyDescent="0.2">
      <c r="A1232" s="121">
        <v>8</v>
      </c>
      <c r="B1232" s="121">
        <v>73556</v>
      </c>
      <c r="C1232" s="122">
        <v>41983</v>
      </c>
      <c r="D1232" s="123" t="s">
        <v>1755</v>
      </c>
      <c r="E1232" s="121" t="s">
        <v>940</v>
      </c>
      <c r="F1232" s="124" t="s">
        <v>577</v>
      </c>
      <c r="G1232" s="125" t="s">
        <v>368</v>
      </c>
      <c r="H1232" s="126"/>
      <c r="I1232" s="127">
        <v>1</v>
      </c>
      <c r="J1232" s="128">
        <v>25800</v>
      </c>
      <c r="K1232" s="128">
        <v>25800</v>
      </c>
      <c r="L1232" s="188" t="s">
        <v>620</v>
      </c>
      <c r="M1232" s="167" t="s">
        <v>38</v>
      </c>
      <c r="N1232" s="131"/>
      <c r="O1232" s="132"/>
      <c r="P1232" s="132"/>
      <c r="Q1232" s="132"/>
      <c r="R1232" s="132"/>
      <c r="S1232" s="132"/>
      <c r="T1232" s="132"/>
      <c r="U1232" s="132"/>
      <c r="V1232" s="132"/>
      <c r="W1232" s="132"/>
      <c r="X1232" s="132"/>
      <c r="Y1232" s="132"/>
      <c r="Z1232" s="132"/>
      <c r="AA1232" s="132"/>
      <c r="AB1232" s="132"/>
    </row>
    <row r="1233" spans="1:28" s="133" customFormat="1" ht="15" customHeight="1" outlineLevel="1" x14ac:dyDescent="0.2">
      <c r="A1233" s="121">
        <v>9</v>
      </c>
      <c r="B1233" s="121">
        <v>53032</v>
      </c>
      <c r="C1233" s="122">
        <v>41985</v>
      </c>
      <c r="D1233" s="123" t="s">
        <v>1756</v>
      </c>
      <c r="E1233" s="121" t="s">
        <v>540</v>
      </c>
      <c r="F1233" s="124" t="s">
        <v>115</v>
      </c>
      <c r="G1233" s="125" t="s">
        <v>1757</v>
      </c>
      <c r="H1233" s="126"/>
      <c r="I1233" s="127">
        <v>3</v>
      </c>
      <c r="J1233" s="128">
        <v>5274</v>
      </c>
      <c r="K1233" s="128">
        <v>15822</v>
      </c>
      <c r="L1233" s="188" t="s">
        <v>620</v>
      </c>
      <c r="M1233" s="167" t="s">
        <v>38</v>
      </c>
      <c r="N1233" s="131"/>
      <c r="O1233" s="132"/>
      <c r="P1233" s="132"/>
      <c r="Q1233" s="132"/>
      <c r="R1233" s="132"/>
      <c r="S1233" s="132"/>
      <c r="T1233" s="132"/>
      <c r="U1233" s="132"/>
      <c r="V1233" s="132"/>
      <c r="W1233" s="132"/>
      <c r="X1233" s="132"/>
      <c r="Y1233" s="132"/>
      <c r="Z1233" s="132"/>
      <c r="AA1233" s="132"/>
      <c r="AB1233" s="132"/>
    </row>
    <row r="1234" spans="1:28" s="133" customFormat="1" ht="15" customHeight="1" outlineLevel="1" x14ac:dyDescent="0.2">
      <c r="A1234" s="121">
        <v>10</v>
      </c>
      <c r="B1234" s="121">
        <v>80249</v>
      </c>
      <c r="C1234" s="122">
        <v>41988</v>
      </c>
      <c r="D1234" s="123" t="s">
        <v>1758</v>
      </c>
      <c r="E1234" s="121" t="s">
        <v>1734</v>
      </c>
      <c r="F1234" s="124" t="s">
        <v>534</v>
      </c>
      <c r="G1234" s="125" t="s">
        <v>428</v>
      </c>
      <c r="H1234" s="126"/>
      <c r="I1234" s="127">
        <v>1</v>
      </c>
      <c r="J1234" s="128">
        <v>30429</v>
      </c>
      <c r="K1234" s="128">
        <v>30429</v>
      </c>
      <c r="L1234" s="188" t="s">
        <v>620</v>
      </c>
      <c r="M1234" s="167" t="s">
        <v>38</v>
      </c>
      <c r="N1234" s="131"/>
      <c r="O1234" s="132"/>
      <c r="P1234" s="132"/>
      <c r="Q1234" s="132"/>
      <c r="R1234" s="132"/>
      <c r="S1234" s="132"/>
      <c r="T1234" s="132"/>
      <c r="U1234" s="132"/>
      <c r="V1234" s="132"/>
      <c r="W1234" s="132"/>
      <c r="X1234" s="132"/>
      <c r="Y1234" s="132"/>
      <c r="Z1234" s="132"/>
      <c r="AA1234" s="132"/>
      <c r="AB1234" s="132"/>
    </row>
    <row r="1235" spans="1:28" s="133" customFormat="1" ht="15" customHeight="1" outlineLevel="1" x14ac:dyDescent="0.2">
      <c r="A1235" s="121">
        <v>11</v>
      </c>
      <c r="B1235" s="121">
        <v>83588</v>
      </c>
      <c r="C1235" s="122">
        <v>41999</v>
      </c>
      <c r="D1235" s="123" t="s">
        <v>1759</v>
      </c>
      <c r="E1235" s="121" t="s">
        <v>1734</v>
      </c>
      <c r="F1235" s="124" t="s">
        <v>534</v>
      </c>
      <c r="G1235" s="125" t="s">
        <v>416</v>
      </c>
      <c r="H1235" s="126"/>
      <c r="I1235" s="127">
        <v>1</v>
      </c>
      <c r="J1235" s="128">
        <v>30429</v>
      </c>
      <c r="K1235" s="128">
        <v>30429</v>
      </c>
      <c r="L1235" s="188" t="s">
        <v>620</v>
      </c>
      <c r="M1235" s="167" t="s">
        <v>38</v>
      </c>
      <c r="N1235" s="131"/>
      <c r="O1235" s="132"/>
      <c r="P1235" s="132"/>
      <c r="Q1235" s="132"/>
      <c r="R1235" s="132"/>
      <c r="S1235" s="132"/>
      <c r="T1235" s="132"/>
      <c r="U1235" s="132"/>
      <c r="V1235" s="132"/>
      <c r="W1235" s="132"/>
      <c r="X1235" s="132"/>
      <c r="Y1235" s="132"/>
      <c r="Z1235" s="132"/>
      <c r="AA1235" s="132"/>
      <c r="AB1235" s="132"/>
    </row>
    <row r="1236" spans="1:28" s="133" customFormat="1" ht="15" customHeight="1" outlineLevel="1" x14ac:dyDescent="0.2">
      <c r="A1236" s="121">
        <v>12</v>
      </c>
      <c r="B1236" s="121">
        <v>82837</v>
      </c>
      <c r="C1236" s="122">
        <v>41996</v>
      </c>
      <c r="D1236" s="123" t="s">
        <v>1760</v>
      </c>
      <c r="E1236" s="121" t="s">
        <v>540</v>
      </c>
      <c r="F1236" s="124" t="s">
        <v>115</v>
      </c>
      <c r="G1236" s="125" t="s">
        <v>439</v>
      </c>
      <c r="H1236" s="126"/>
      <c r="I1236" s="127">
        <v>1</v>
      </c>
      <c r="J1236" s="128">
        <v>5274</v>
      </c>
      <c r="K1236" s="128">
        <v>5274</v>
      </c>
      <c r="L1236" s="188" t="s">
        <v>620</v>
      </c>
      <c r="M1236" s="167" t="s">
        <v>38</v>
      </c>
      <c r="N1236" s="131"/>
      <c r="O1236" s="132"/>
      <c r="P1236" s="132"/>
      <c r="Q1236" s="132"/>
      <c r="R1236" s="132"/>
      <c r="S1236" s="132"/>
      <c r="T1236" s="132"/>
      <c r="U1236" s="132"/>
      <c r="V1236" s="132"/>
      <c r="W1236" s="132"/>
      <c r="X1236" s="132"/>
      <c r="Y1236" s="132"/>
      <c r="Z1236" s="132"/>
      <c r="AA1236" s="132"/>
      <c r="AB1236" s="132"/>
    </row>
    <row r="1237" spans="1:28" s="133" customFormat="1" ht="15" customHeight="1" outlineLevel="1" x14ac:dyDescent="0.2">
      <c r="A1237" s="121">
        <v>13</v>
      </c>
      <c r="B1237" s="121">
        <v>82196</v>
      </c>
      <c r="C1237" s="122">
        <v>41995</v>
      </c>
      <c r="D1237" s="123" t="s">
        <v>1761</v>
      </c>
      <c r="E1237" s="121" t="s">
        <v>1734</v>
      </c>
      <c r="F1237" s="124" t="s">
        <v>115</v>
      </c>
      <c r="G1237" s="125" t="s">
        <v>397</v>
      </c>
      <c r="H1237" s="126"/>
      <c r="I1237" s="127">
        <v>2</v>
      </c>
      <c r="J1237" s="128">
        <v>5274</v>
      </c>
      <c r="K1237" s="128">
        <v>10548</v>
      </c>
      <c r="L1237" s="188" t="s">
        <v>620</v>
      </c>
      <c r="M1237" s="167" t="s">
        <v>38</v>
      </c>
      <c r="N1237" s="131"/>
      <c r="O1237" s="132"/>
      <c r="P1237" s="132"/>
      <c r="Q1237" s="132"/>
      <c r="R1237" s="132"/>
      <c r="S1237" s="132"/>
      <c r="T1237" s="132"/>
      <c r="U1237" s="132"/>
      <c r="V1237" s="132"/>
      <c r="W1237" s="132"/>
      <c r="X1237" s="132"/>
      <c r="Y1237" s="132"/>
      <c r="Z1237" s="132"/>
      <c r="AA1237" s="132"/>
      <c r="AB1237" s="132"/>
    </row>
    <row r="1238" spans="1:28" s="133" customFormat="1" ht="15" customHeight="1" outlineLevel="1" x14ac:dyDescent="0.2">
      <c r="A1238" s="121">
        <v>14</v>
      </c>
      <c r="B1238" s="121">
        <v>81369</v>
      </c>
      <c r="C1238" s="122">
        <v>41990</v>
      </c>
      <c r="D1238" s="123" t="s">
        <v>1762</v>
      </c>
      <c r="E1238" s="121" t="s">
        <v>1065</v>
      </c>
      <c r="F1238" s="124" t="s">
        <v>171</v>
      </c>
      <c r="G1238" s="125" t="s">
        <v>368</v>
      </c>
      <c r="H1238" s="126"/>
      <c r="I1238" s="127">
        <v>1</v>
      </c>
      <c r="J1238" s="128">
        <v>18764</v>
      </c>
      <c r="K1238" s="128">
        <v>18764</v>
      </c>
      <c r="L1238" s="188" t="s">
        <v>620</v>
      </c>
      <c r="M1238" s="167" t="s">
        <v>38</v>
      </c>
      <c r="N1238" s="131"/>
      <c r="O1238" s="132"/>
      <c r="P1238" s="132"/>
      <c r="Q1238" s="132"/>
      <c r="R1238" s="132"/>
      <c r="S1238" s="132"/>
      <c r="T1238" s="132"/>
      <c r="U1238" s="132"/>
      <c r="V1238" s="132"/>
      <c r="W1238" s="132"/>
      <c r="X1238" s="132"/>
      <c r="Y1238" s="132"/>
      <c r="Z1238" s="132"/>
      <c r="AA1238" s="132"/>
      <c r="AB1238" s="132"/>
    </row>
    <row r="1239" spans="1:28" s="133" customFormat="1" ht="15" customHeight="1" outlineLevel="1" x14ac:dyDescent="0.2">
      <c r="A1239" s="121">
        <v>15</v>
      </c>
      <c r="B1239" s="121">
        <v>83660</v>
      </c>
      <c r="C1239" s="122">
        <v>41999</v>
      </c>
      <c r="D1239" s="123" t="s">
        <v>1763</v>
      </c>
      <c r="E1239" s="121" t="s">
        <v>540</v>
      </c>
      <c r="F1239" s="124" t="s">
        <v>534</v>
      </c>
      <c r="G1239" s="125" t="s">
        <v>469</v>
      </c>
      <c r="H1239" s="126"/>
      <c r="I1239" s="127">
        <v>1</v>
      </c>
      <c r="J1239" s="128">
        <v>30429</v>
      </c>
      <c r="K1239" s="128">
        <v>30429</v>
      </c>
      <c r="L1239" s="188" t="s">
        <v>620</v>
      </c>
      <c r="M1239" s="167" t="s">
        <v>38</v>
      </c>
      <c r="N1239" s="131"/>
      <c r="O1239" s="132"/>
      <c r="P1239" s="132"/>
      <c r="Q1239" s="132"/>
      <c r="R1239" s="132"/>
      <c r="S1239" s="132"/>
      <c r="T1239" s="132"/>
      <c r="U1239" s="132"/>
      <c r="V1239" s="132"/>
      <c r="W1239" s="132"/>
      <c r="X1239" s="132"/>
      <c r="Y1239" s="132"/>
      <c r="Z1239" s="132"/>
      <c r="AA1239" s="132"/>
      <c r="AB1239" s="132"/>
    </row>
    <row r="1240" spans="1:28" s="133" customFormat="1" ht="15" customHeight="1" outlineLevel="1" x14ac:dyDescent="0.2">
      <c r="A1240" s="121">
        <v>16</v>
      </c>
      <c r="B1240" s="121">
        <v>83678</v>
      </c>
      <c r="C1240" s="122">
        <v>41999</v>
      </c>
      <c r="D1240" s="123" t="s">
        <v>1764</v>
      </c>
      <c r="E1240" s="121" t="s">
        <v>540</v>
      </c>
      <c r="F1240" s="124" t="s">
        <v>534</v>
      </c>
      <c r="G1240" s="125" t="s">
        <v>439</v>
      </c>
      <c r="H1240" s="126"/>
      <c r="I1240" s="127">
        <v>1</v>
      </c>
      <c r="J1240" s="128">
        <v>30429</v>
      </c>
      <c r="K1240" s="128">
        <v>30429</v>
      </c>
      <c r="L1240" s="188" t="s">
        <v>620</v>
      </c>
      <c r="M1240" s="167" t="s">
        <v>38</v>
      </c>
      <c r="N1240" s="131"/>
      <c r="O1240" s="132"/>
      <c r="P1240" s="132"/>
      <c r="Q1240" s="132"/>
      <c r="R1240" s="132"/>
      <c r="S1240" s="132"/>
      <c r="T1240" s="132"/>
      <c r="U1240" s="132"/>
      <c r="V1240" s="132"/>
      <c r="W1240" s="132"/>
      <c r="X1240" s="132"/>
      <c r="Y1240" s="132"/>
      <c r="Z1240" s="132"/>
      <c r="AA1240" s="132"/>
      <c r="AB1240" s="132"/>
    </row>
    <row r="1241" spans="1:28" s="133" customFormat="1" ht="15" customHeight="1" outlineLevel="1" x14ac:dyDescent="0.2">
      <c r="A1241" s="121">
        <v>17</v>
      </c>
      <c r="B1241" s="121">
        <v>83334</v>
      </c>
      <c r="C1241" s="122">
        <v>41999</v>
      </c>
      <c r="D1241" s="123" t="s">
        <v>1765</v>
      </c>
      <c r="E1241" s="121" t="s">
        <v>540</v>
      </c>
      <c r="F1241" s="124" t="s">
        <v>115</v>
      </c>
      <c r="G1241" s="125" t="s">
        <v>469</v>
      </c>
      <c r="H1241" s="126"/>
      <c r="I1241" s="127">
        <v>1</v>
      </c>
      <c r="J1241" s="128">
        <v>5274</v>
      </c>
      <c r="K1241" s="128">
        <v>5274</v>
      </c>
      <c r="L1241" s="188" t="s">
        <v>620</v>
      </c>
      <c r="M1241" s="167" t="s">
        <v>38</v>
      </c>
      <c r="N1241" s="131"/>
      <c r="O1241" s="132"/>
      <c r="P1241" s="132"/>
      <c r="Q1241" s="132"/>
      <c r="R1241" s="132"/>
      <c r="S1241" s="132"/>
      <c r="T1241" s="132"/>
      <c r="U1241" s="132"/>
      <c r="V1241" s="132"/>
      <c r="W1241" s="132"/>
      <c r="X1241" s="132"/>
      <c r="Y1241" s="132"/>
      <c r="Z1241" s="132"/>
      <c r="AA1241" s="132"/>
      <c r="AB1241" s="132"/>
    </row>
    <row r="1242" spans="1:28" s="133" customFormat="1" ht="15" customHeight="1" outlineLevel="1" x14ac:dyDescent="0.2">
      <c r="A1242" s="121">
        <v>18</v>
      </c>
      <c r="B1242" s="121">
        <v>84087</v>
      </c>
      <c r="C1242" s="122">
        <v>42002</v>
      </c>
      <c r="D1242" s="123" t="s">
        <v>1766</v>
      </c>
      <c r="E1242" s="121" t="s">
        <v>540</v>
      </c>
      <c r="F1242" s="124" t="s">
        <v>115</v>
      </c>
      <c r="G1242" s="125" t="s">
        <v>431</v>
      </c>
      <c r="H1242" s="126"/>
      <c r="I1242" s="127">
        <v>1</v>
      </c>
      <c r="J1242" s="128">
        <v>5274</v>
      </c>
      <c r="K1242" s="128">
        <v>5274</v>
      </c>
      <c r="L1242" s="188" t="s">
        <v>620</v>
      </c>
      <c r="M1242" s="167" t="s">
        <v>38</v>
      </c>
      <c r="N1242" s="131"/>
      <c r="O1242" s="132"/>
      <c r="P1242" s="132"/>
      <c r="Q1242" s="132"/>
      <c r="R1242" s="132"/>
      <c r="S1242" s="132"/>
      <c r="T1242" s="132"/>
      <c r="U1242" s="132"/>
      <c r="V1242" s="132"/>
      <c r="W1242" s="132"/>
      <c r="X1242" s="132"/>
      <c r="Y1242" s="132"/>
      <c r="Z1242" s="132"/>
      <c r="AA1242" s="132"/>
      <c r="AB1242" s="132"/>
    </row>
    <row r="1243" spans="1:28" s="133" customFormat="1" ht="15" customHeight="1" outlineLevel="1" x14ac:dyDescent="0.2">
      <c r="A1243" s="134">
        <v>1</v>
      </c>
      <c r="B1243" s="134">
        <v>23475</v>
      </c>
      <c r="C1243" s="135">
        <v>41792</v>
      </c>
      <c r="D1243" s="136" t="s">
        <v>1767</v>
      </c>
      <c r="E1243" s="134" t="s">
        <v>411</v>
      </c>
      <c r="F1243" s="137" t="s">
        <v>215</v>
      </c>
      <c r="G1243" s="138" t="s">
        <v>368</v>
      </c>
      <c r="H1243" s="139"/>
      <c r="I1243" s="140">
        <v>1</v>
      </c>
      <c r="J1243" s="141">
        <v>44597</v>
      </c>
      <c r="K1243" s="141">
        <v>44597</v>
      </c>
      <c r="L1243" s="652" t="s">
        <v>605</v>
      </c>
      <c r="M1243" s="167" t="s">
        <v>39</v>
      </c>
      <c r="N1243" s="131"/>
      <c r="O1243" s="132"/>
      <c r="P1243" s="132"/>
      <c r="Q1243" s="132"/>
      <c r="R1243" s="132"/>
      <c r="S1243" s="132"/>
      <c r="T1243" s="132"/>
      <c r="U1243" s="132"/>
      <c r="V1243" s="132"/>
      <c r="W1243" s="132"/>
      <c r="X1243" s="132"/>
      <c r="Y1243" s="132"/>
      <c r="Z1243" s="132"/>
      <c r="AA1243" s="132"/>
      <c r="AB1243" s="132"/>
    </row>
    <row r="1244" spans="1:28" s="133" customFormat="1" ht="15" customHeight="1" outlineLevel="1" x14ac:dyDescent="0.2">
      <c r="A1244" s="134">
        <v>2</v>
      </c>
      <c r="B1244" s="134">
        <v>24939</v>
      </c>
      <c r="C1244" s="135">
        <v>41799</v>
      </c>
      <c r="D1244" s="136" t="s">
        <v>1768</v>
      </c>
      <c r="E1244" s="134" t="s">
        <v>411</v>
      </c>
      <c r="F1244" s="137" t="s">
        <v>115</v>
      </c>
      <c r="G1244" s="138" t="s">
        <v>416</v>
      </c>
      <c r="H1244" s="139"/>
      <c r="I1244" s="140">
        <v>1</v>
      </c>
      <c r="J1244" s="141">
        <v>5274</v>
      </c>
      <c r="K1244" s="141">
        <v>5274</v>
      </c>
      <c r="L1244" s="653"/>
      <c r="M1244" s="167" t="s">
        <v>39</v>
      </c>
      <c r="N1244" s="131"/>
      <c r="O1244" s="132"/>
      <c r="P1244" s="132"/>
      <c r="Q1244" s="132"/>
      <c r="R1244" s="132"/>
      <c r="S1244" s="132"/>
      <c r="T1244" s="132"/>
      <c r="U1244" s="132"/>
      <c r="V1244" s="132"/>
      <c r="W1244" s="132"/>
      <c r="X1244" s="132"/>
      <c r="Y1244" s="132"/>
      <c r="Z1244" s="132"/>
      <c r="AA1244" s="132"/>
      <c r="AB1244" s="132"/>
    </row>
    <row r="1245" spans="1:28" s="133" customFormat="1" ht="15" customHeight="1" outlineLevel="1" x14ac:dyDescent="0.2">
      <c r="A1245" s="134">
        <v>3</v>
      </c>
      <c r="B1245" s="134">
        <v>25126</v>
      </c>
      <c r="C1245" s="135">
        <v>41799</v>
      </c>
      <c r="D1245" s="136" t="s">
        <v>1769</v>
      </c>
      <c r="E1245" s="134" t="s">
        <v>411</v>
      </c>
      <c r="F1245" s="137" t="s">
        <v>115</v>
      </c>
      <c r="G1245" s="138" t="s">
        <v>1770</v>
      </c>
      <c r="H1245" s="139"/>
      <c r="I1245" s="140">
        <v>3</v>
      </c>
      <c r="J1245" s="141">
        <v>5274</v>
      </c>
      <c r="K1245" s="141">
        <v>15822</v>
      </c>
      <c r="L1245" s="653"/>
      <c r="M1245" s="167" t="s">
        <v>39</v>
      </c>
      <c r="N1245" s="131"/>
      <c r="O1245" s="132"/>
      <c r="P1245" s="132"/>
      <c r="Q1245" s="132"/>
      <c r="R1245" s="132"/>
      <c r="S1245" s="132"/>
      <c r="T1245" s="132"/>
      <c r="U1245" s="132"/>
      <c r="V1245" s="132"/>
      <c r="W1245" s="132"/>
      <c r="X1245" s="132"/>
      <c r="Y1245" s="132"/>
      <c r="Z1245" s="132"/>
      <c r="AA1245" s="132"/>
      <c r="AB1245" s="132"/>
    </row>
    <row r="1246" spans="1:28" s="133" customFormat="1" ht="15" customHeight="1" outlineLevel="1" x14ac:dyDescent="0.2">
      <c r="A1246" s="134">
        <v>4</v>
      </c>
      <c r="B1246" s="134">
        <v>25350</v>
      </c>
      <c r="C1246" s="135">
        <v>41799</v>
      </c>
      <c r="D1246" s="136" t="s">
        <v>1771</v>
      </c>
      <c r="E1246" s="134" t="s">
        <v>1772</v>
      </c>
      <c r="F1246" s="137" t="s">
        <v>577</v>
      </c>
      <c r="G1246" s="138" t="s">
        <v>366</v>
      </c>
      <c r="H1246" s="139"/>
      <c r="I1246" s="140">
        <v>1</v>
      </c>
      <c r="J1246" s="141">
        <v>25800</v>
      </c>
      <c r="K1246" s="141">
        <v>25800</v>
      </c>
      <c r="L1246" s="653"/>
      <c r="M1246" s="167" t="s">
        <v>39</v>
      </c>
      <c r="N1246" s="131"/>
      <c r="O1246" s="132"/>
      <c r="P1246" s="132"/>
      <c r="Q1246" s="132"/>
      <c r="R1246" s="132"/>
      <c r="S1246" s="132"/>
      <c r="T1246" s="132"/>
      <c r="U1246" s="132"/>
      <c r="V1246" s="132"/>
      <c r="W1246" s="132"/>
      <c r="X1246" s="132"/>
      <c r="Y1246" s="132"/>
      <c r="Z1246" s="132"/>
      <c r="AA1246" s="132"/>
      <c r="AB1246" s="132"/>
    </row>
    <row r="1247" spans="1:28" s="133" customFormat="1" ht="15" customHeight="1" outlineLevel="1" x14ac:dyDescent="0.2">
      <c r="A1247" s="134">
        <v>5</v>
      </c>
      <c r="B1247" s="134">
        <v>25411</v>
      </c>
      <c r="C1247" s="135">
        <v>41799</v>
      </c>
      <c r="D1247" s="136" t="s">
        <v>1773</v>
      </c>
      <c r="E1247" s="134" t="s">
        <v>411</v>
      </c>
      <c r="F1247" s="137" t="s">
        <v>534</v>
      </c>
      <c r="G1247" s="138" t="s">
        <v>559</v>
      </c>
      <c r="H1247" s="139"/>
      <c r="I1247" s="140">
        <v>1</v>
      </c>
      <c r="J1247" s="141">
        <v>30429</v>
      </c>
      <c r="K1247" s="141">
        <v>30429</v>
      </c>
      <c r="L1247" s="653"/>
      <c r="M1247" s="167" t="s">
        <v>39</v>
      </c>
      <c r="N1247" s="131"/>
      <c r="O1247" s="132"/>
      <c r="P1247" s="132"/>
      <c r="Q1247" s="132"/>
      <c r="R1247" s="132"/>
      <c r="S1247" s="132"/>
      <c r="T1247" s="132"/>
      <c r="U1247" s="132"/>
      <c r="V1247" s="132"/>
      <c r="W1247" s="132"/>
      <c r="X1247" s="132"/>
      <c r="Y1247" s="132"/>
      <c r="Z1247" s="132"/>
      <c r="AA1247" s="132"/>
      <c r="AB1247" s="132"/>
    </row>
    <row r="1248" spans="1:28" s="133" customFormat="1" ht="15" customHeight="1" outlineLevel="1" x14ac:dyDescent="0.2">
      <c r="A1248" s="134">
        <v>6</v>
      </c>
      <c r="B1248" s="134">
        <v>26038</v>
      </c>
      <c r="C1248" s="135">
        <v>41800</v>
      </c>
      <c r="D1248" s="136" t="s">
        <v>1774</v>
      </c>
      <c r="E1248" s="134" t="s">
        <v>411</v>
      </c>
      <c r="F1248" s="137" t="s">
        <v>215</v>
      </c>
      <c r="G1248" s="138" t="s">
        <v>384</v>
      </c>
      <c r="H1248" s="139"/>
      <c r="I1248" s="140">
        <v>2</v>
      </c>
      <c r="J1248" s="141">
        <v>44597</v>
      </c>
      <c r="K1248" s="141">
        <v>89194</v>
      </c>
      <c r="L1248" s="653"/>
      <c r="M1248" s="167" t="s">
        <v>39</v>
      </c>
      <c r="N1248" s="131"/>
      <c r="O1248" s="132"/>
      <c r="P1248" s="132"/>
      <c r="Q1248" s="132"/>
      <c r="R1248" s="132"/>
      <c r="S1248" s="132"/>
      <c r="T1248" s="132"/>
      <c r="U1248" s="132"/>
      <c r="V1248" s="132"/>
      <c r="W1248" s="132"/>
      <c r="X1248" s="132"/>
      <c r="Y1248" s="132"/>
      <c r="Z1248" s="132"/>
      <c r="AA1248" s="132"/>
      <c r="AB1248" s="132"/>
    </row>
    <row r="1249" spans="1:28" s="133" customFormat="1" ht="15" customHeight="1" outlineLevel="1" x14ac:dyDescent="0.2">
      <c r="A1249" s="134">
        <v>7</v>
      </c>
      <c r="B1249" s="134">
        <v>26632</v>
      </c>
      <c r="C1249" s="135">
        <v>41802</v>
      </c>
      <c r="D1249" s="136" t="s">
        <v>1775</v>
      </c>
      <c r="E1249" s="134" t="s">
        <v>411</v>
      </c>
      <c r="F1249" s="137" t="s">
        <v>534</v>
      </c>
      <c r="G1249" s="138" t="s">
        <v>524</v>
      </c>
      <c r="H1249" s="139"/>
      <c r="I1249" s="140">
        <v>1</v>
      </c>
      <c r="J1249" s="141">
        <v>30429</v>
      </c>
      <c r="K1249" s="141">
        <v>30429</v>
      </c>
      <c r="L1249" s="653"/>
      <c r="M1249" s="167" t="s">
        <v>39</v>
      </c>
      <c r="N1249" s="131"/>
      <c r="O1249" s="132"/>
      <c r="P1249" s="132"/>
      <c r="Q1249" s="132"/>
      <c r="R1249" s="132"/>
      <c r="S1249" s="132"/>
      <c r="T1249" s="132"/>
      <c r="U1249" s="132"/>
      <c r="V1249" s="132"/>
      <c r="W1249" s="132"/>
      <c r="X1249" s="132"/>
      <c r="Y1249" s="132"/>
      <c r="Z1249" s="132"/>
      <c r="AA1249" s="132"/>
      <c r="AB1249" s="132"/>
    </row>
    <row r="1250" spans="1:28" s="133" customFormat="1" ht="15" customHeight="1" outlineLevel="1" x14ac:dyDescent="0.2">
      <c r="A1250" s="134">
        <v>8</v>
      </c>
      <c r="B1250" s="134">
        <v>27294</v>
      </c>
      <c r="C1250" s="135">
        <v>41803</v>
      </c>
      <c r="D1250" s="136" t="s">
        <v>1776</v>
      </c>
      <c r="E1250" s="134" t="s">
        <v>411</v>
      </c>
      <c r="F1250" s="137" t="s">
        <v>215</v>
      </c>
      <c r="G1250" s="138" t="s">
        <v>368</v>
      </c>
      <c r="H1250" s="139"/>
      <c r="I1250" s="140">
        <v>1</v>
      </c>
      <c r="J1250" s="141">
        <v>44597</v>
      </c>
      <c r="K1250" s="141">
        <v>44597</v>
      </c>
      <c r="L1250" s="653"/>
      <c r="M1250" s="167" t="s">
        <v>39</v>
      </c>
      <c r="N1250" s="131"/>
      <c r="O1250" s="132"/>
      <c r="P1250" s="132"/>
      <c r="Q1250" s="132"/>
      <c r="R1250" s="132"/>
      <c r="S1250" s="132"/>
      <c r="T1250" s="132"/>
      <c r="U1250" s="132"/>
      <c r="V1250" s="132"/>
      <c r="W1250" s="132"/>
      <c r="X1250" s="132"/>
      <c r="Y1250" s="132"/>
      <c r="Z1250" s="132"/>
      <c r="AA1250" s="132"/>
      <c r="AB1250" s="132"/>
    </row>
    <row r="1251" spans="1:28" s="133" customFormat="1" ht="15" customHeight="1" outlineLevel="1" x14ac:dyDescent="0.2">
      <c r="A1251" s="134">
        <v>9</v>
      </c>
      <c r="B1251" s="134">
        <v>27902</v>
      </c>
      <c r="C1251" s="135">
        <v>41807</v>
      </c>
      <c r="D1251" s="136" t="s">
        <v>1777</v>
      </c>
      <c r="E1251" s="134" t="s">
        <v>411</v>
      </c>
      <c r="F1251" s="137" t="s">
        <v>215</v>
      </c>
      <c r="G1251" s="138" t="s">
        <v>368</v>
      </c>
      <c r="H1251" s="139"/>
      <c r="I1251" s="140">
        <v>1</v>
      </c>
      <c r="J1251" s="141">
        <v>44597</v>
      </c>
      <c r="K1251" s="141">
        <v>44597</v>
      </c>
      <c r="L1251" s="653"/>
      <c r="M1251" s="167" t="s">
        <v>39</v>
      </c>
      <c r="N1251" s="131"/>
      <c r="O1251" s="132"/>
      <c r="P1251" s="132"/>
      <c r="Q1251" s="132"/>
      <c r="R1251" s="132"/>
      <c r="S1251" s="132"/>
      <c r="T1251" s="132"/>
      <c r="U1251" s="132"/>
      <c r="V1251" s="132"/>
      <c r="W1251" s="132"/>
      <c r="X1251" s="132"/>
      <c r="Y1251" s="132"/>
      <c r="Z1251" s="132"/>
      <c r="AA1251" s="132"/>
      <c r="AB1251" s="132"/>
    </row>
    <row r="1252" spans="1:28" s="133" customFormat="1" ht="15" customHeight="1" outlineLevel="1" x14ac:dyDescent="0.2">
      <c r="A1252" s="134">
        <v>10</v>
      </c>
      <c r="B1252" s="134">
        <v>27979</v>
      </c>
      <c r="C1252" s="135">
        <v>41807</v>
      </c>
      <c r="D1252" s="136" t="s">
        <v>1769</v>
      </c>
      <c r="E1252" s="134" t="s">
        <v>411</v>
      </c>
      <c r="F1252" s="137" t="s">
        <v>208</v>
      </c>
      <c r="G1252" s="138" t="s">
        <v>380</v>
      </c>
      <c r="H1252" s="139"/>
      <c r="I1252" s="140">
        <v>1</v>
      </c>
      <c r="J1252" s="141">
        <v>14099</v>
      </c>
      <c r="K1252" s="141">
        <v>14099</v>
      </c>
      <c r="L1252" s="653"/>
      <c r="M1252" s="167" t="s">
        <v>39</v>
      </c>
      <c r="N1252" s="131"/>
      <c r="O1252" s="132"/>
      <c r="P1252" s="132"/>
      <c r="Q1252" s="132"/>
      <c r="R1252" s="132"/>
      <c r="S1252" s="132"/>
      <c r="T1252" s="132"/>
      <c r="U1252" s="132"/>
      <c r="V1252" s="132"/>
      <c r="W1252" s="132"/>
      <c r="X1252" s="132"/>
      <c r="Y1252" s="132"/>
      <c r="Z1252" s="132"/>
      <c r="AA1252" s="132"/>
      <c r="AB1252" s="132"/>
    </row>
    <row r="1253" spans="1:28" s="133" customFormat="1" ht="15" customHeight="1" outlineLevel="1" x14ac:dyDescent="0.2">
      <c r="A1253" s="134">
        <v>11</v>
      </c>
      <c r="B1253" s="134">
        <v>28287</v>
      </c>
      <c r="C1253" s="135">
        <v>41808</v>
      </c>
      <c r="D1253" s="136" t="s">
        <v>1778</v>
      </c>
      <c r="E1253" s="134" t="s">
        <v>411</v>
      </c>
      <c r="F1253" s="137" t="s">
        <v>115</v>
      </c>
      <c r="G1253" s="138" t="s">
        <v>469</v>
      </c>
      <c r="H1253" s="139"/>
      <c r="I1253" s="140">
        <v>1</v>
      </c>
      <c r="J1253" s="141">
        <v>5274</v>
      </c>
      <c r="K1253" s="141">
        <v>5274</v>
      </c>
      <c r="L1253" s="653"/>
      <c r="M1253" s="167" t="s">
        <v>39</v>
      </c>
      <c r="N1253" s="131"/>
      <c r="O1253" s="132"/>
      <c r="P1253" s="132"/>
      <c r="Q1253" s="132"/>
      <c r="R1253" s="132"/>
      <c r="S1253" s="132"/>
      <c r="T1253" s="132"/>
      <c r="U1253" s="132"/>
      <c r="V1253" s="132"/>
      <c r="W1253" s="132"/>
      <c r="X1253" s="132"/>
      <c r="Y1253" s="132"/>
      <c r="Z1253" s="132"/>
      <c r="AA1253" s="132"/>
      <c r="AB1253" s="132"/>
    </row>
    <row r="1254" spans="1:28" s="133" customFormat="1" ht="15" customHeight="1" outlineLevel="1" x14ac:dyDescent="0.2">
      <c r="A1254" s="134">
        <v>12</v>
      </c>
      <c r="B1254" s="134">
        <v>28430</v>
      </c>
      <c r="C1254" s="135">
        <v>41810</v>
      </c>
      <c r="D1254" s="136" t="s">
        <v>457</v>
      </c>
      <c r="E1254" s="134" t="s">
        <v>1779</v>
      </c>
      <c r="F1254" s="137" t="s">
        <v>115</v>
      </c>
      <c r="G1254" s="138" t="s">
        <v>531</v>
      </c>
      <c r="H1254" s="139"/>
      <c r="I1254" s="140">
        <v>1</v>
      </c>
      <c r="J1254" s="141">
        <v>5274</v>
      </c>
      <c r="K1254" s="141">
        <v>5274</v>
      </c>
      <c r="L1254" s="653"/>
      <c r="M1254" s="167" t="s">
        <v>39</v>
      </c>
      <c r="N1254" s="131"/>
      <c r="O1254" s="132"/>
      <c r="P1254" s="132"/>
      <c r="Q1254" s="132"/>
      <c r="R1254" s="132"/>
      <c r="S1254" s="132"/>
      <c r="T1254" s="132"/>
      <c r="U1254" s="132"/>
      <c r="V1254" s="132"/>
      <c r="W1254" s="132"/>
      <c r="X1254" s="132"/>
      <c r="Y1254" s="132"/>
      <c r="Z1254" s="132"/>
      <c r="AA1254" s="132"/>
      <c r="AB1254" s="132"/>
    </row>
    <row r="1255" spans="1:28" s="133" customFormat="1" ht="15" customHeight="1" outlineLevel="1" x14ac:dyDescent="0.2">
      <c r="A1255" s="134">
        <v>13</v>
      </c>
      <c r="B1255" s="134">
        <v>28949</v>
      </c>
      <c r="C1255" s="135">
        <v>41810</v>
      </c>
      <c r="D1255" s="136" t="s">
        <v>1769</v>
      </c>
      <c r="E1255" s="134" t="s">
        <v>411</v>
      </c>
      <c r="F1255" s="137" t="s">
        <v>115</v>
      </c>
      <c r="G1255" s="138" t="s">
        <v>1780</v>
      </c>
      <c r="H1255" s="139"/>
      <c r="I1255" s="140">
        <v>3</v>
      </c>
      <c r="J1255" s="141">
        <v>5274</v>
      </c>
      <c r="K1255" s="141">
        <v>15822</v>
      </c>
      <c r="L1255" s="653"/>
      <c r="M1255" s="167" t="s">
        <v>39</v>
      </c>
      <c r="N1255" s="131"/>
      <c r="O1255" s="132"/>
      <c r="P1255" s="132"/>
      <c r="Q1255" s="132"/>
      <c r="R1255" s="132"/>
      <c r="S1255" s="132"/>
      <c r="T1255" s="132"/>
      <c r="U1255" s="132"/>
      <c r="V1255" s="132"/>
      <c r="W1255" s="132"/>
      <c r="X1255" s="132"/>
      <c r="Y1255" s="132"/>
      <c r="Z1255" s="132"/>
      <c r="AA1255" s="132"/>
      <c r="AB1255" s="132"/>
    </row>
    <row r="1256" spans="1:28" s="133" customFormat="1" ht="15" customHeight="1" outlineLevel="1" x14ac:dyDescent="0.2">
      <c r="A1256" s="134">
        <v>14</v>
      </c>
      <c r="B1256" s="134">
        <v>29179</v>
      </c>
      <c r="C1256" s="135">
        <v>41810</v>
      </c>
      <c r="D1256" s="136" t="s">
        <v>1781</v>
      </c>
      <c r="E1256" s="134" t="s">
        <v>411</v>
      </c>
      <c r="F1256" s="137" t="s">
        <v>215</v>
      </c>
      <c r="G1256" s="138" t="s">
        <v>384</v>
      </c>
      <c r="H1256" s="139"/>
      <c r="I1256" s="140">
        <v>2</v>
      </c>
      <c r="J1256" s="141">
        <v>44597</v>
      </c>
      <c r="K1256" s="141">
        <v>89194</v>
      </c>
      <c r="L1256" s="653"/>
      <c r="M1256" s="167" t="s">
        <v>39</v>
      </c>
      <c r="N1256" s="131"/>
      <c r="O1256" s="132"/>
      <c r="P1256" s="132"/>
      <c r="Q1256" s="132"/>
      <c r="R1256" s="132"/>
      <c r="S1256" s="132"/>
      <c r="T1256" s="132"/>
      <c r="U1256" s="132"/>
      <c r="V1256" s="132"/>
      <c r="W1256" s="132"/>
      <c r="X1256" s="132"/>
      <c r="Y1256" s="132"/>
      <c r="Z1256" s="132"/>
      <c r="AA1256" s="132"/>
      <c r="AB1256" s="132"/>
    </row>
    <row r="1257" spans="1:28" s="133" customFormat="1" ht="15" customHeight="1" outlineLevel="1" x14ac:dyDescent="0.2">
      <c r="A1257" s="134">
        <v>15</v>
      </c>
      <c r="B1257" s="134">
        <v>30422</v>
      </c>
      <c r="C1257" s="135">
        <v>41816</v>
      </c>
      <c r="D1257" s="136" t="s">
        <v>1782</v>
      </c>
      <c r="E1257" s="134" t="s">
        <v>411</v>
      </c>
      <c r="F1257" s="137" t="s">
        <v>534</v>
      </c>
      <c r="G1257" s="138" t="s">
        <v>428</v>
      </c>
      <c r="H1257" s="139"/>
      <c r="I1257" s="140">
        <v>1</v>
      </c>
      <c r="J1257" s="141">
        <v>30429</v>
      </c>
      <c r="K1257" s="141">
        <v>30429</v>
      </c>
      <c r="L1257" s="653"/>
      <c r="M1257" s="167" t="s">
        <v>39</v>
      </c>
      <c r="N1257" s="131"/>
      <c r="O1257" s="132"/>
      <c r="P1257" s="132"/>
      <c r="Q1257" s="132"/>
      <c r="R1257" s="132"/>
      <c r="S1257" s="132"/>
      <c r="T1257" s="132"/>
      <c r="U1257" s="132"/>
      <c r="V1257" s="132"/>
      <c r="W1257" s="132"/>
      <c r="X1257" s="132"/>
      <c r="Y1257" s="132"/>
      <c r="Z1257" s="132"/>
      <c r="AA1257" s="132"/>
      <c r="AB1257" s="132"/>
    </row>
    <row r="1258" spans="1:28" s="133" customFormat="1" ht="15" customHeight="1" outlineLevel="1" x14ac:dyDescent="0.2">
      <c r="A1258" s="134">
        <v>17</v>
      </c>
      <c r="B1258" s="134">
        <v>30515</v>
      </c>
      <c r="C1258" s="135">
        <v>41817</v>
      </c>
      <c r="D1258" s="136" t="s">
        <v>1783</v>
      </c>
      <c r="E1258" s="134" t="s">
        <v>1779</v>
      </c>
      <c r="F1258" s="137" t="s">
        <v>534</v>
      </c>
      <c r="G1258" s="138" t="s">
        <v>508</v>
      </c>
      <c r="H1258" s="139"/>
      <c r="I1258" s="140">
        <v>1</v>
      </c>
      <c r="J1258" s="141">
        <v>30429</v>
      </c>
      <c r="K1258" s="141">
        <v>30429</v>
      </c>
      <c r="L1258" s="653"/>
      <c r="M1258" s="167" t="s">
        <v>39</v>
      </c>
      <c r="N1258" s="131"/>
      <c r="O1258" s="132"/>
      <c r="P1258" s="132"/>
      <c r="Q1258" s="132"/>
      <c r="R1258" s="132"/>
      <c r="S1258" s="132"/>
      <c r="T1258" s="132"/>
      <c r="U1258" s="132"/>
      <c r="V1258" s="132"/>
      <c r="W1258" s="132"/>
      <c r="X1258" s="132"/>
      <c r="Y1258" s="132"/>
      <c r="Z1258" s="132"/>
      <c r="AA1258" s="132"/>
      <c r="AB1258" s="132"/>
    </row>
    <row r="1259" spans="1:28" s="133" customFormat="1" ht="15" customHeight="1" outlineLevel="1" x14ac:dyDescent="0.2">
      <c r="A1259" s="134">
        <v>18</v>
      </c>
      <c r="B1259" s="134">
        <v>30519</v>
      </c>
      <c r="C1259" s="135">
        <v>41817</v>
      </c>
      <c r="D1259" s="136" t="s">
        <v>1778</v>
      </c>
      <c r="E1259" s="134" t="s">
        <v>411</v>
      </c>
      <c r="F1259" s="137" t="s">
        <v>208</v>
      </c>
      <c r="G1259" s="138" t="s">
        <v>469</v>
      </c>
      <c r="H1259" s="139"/>
      <c r="I1259" s="140">
        <v>1</v>
      </c>
      <c r="J1259" s="141">
        <v>14099</v>
      </c>
      <c r="K1259" s="141">
        <v>14099</v>
      </c>
      <c r="L1259" s="654"/>
      <c r="M1259" s="167" t="s">
        <v>39</v>
      </c>
      <c r="N1259" s="131"/>
      <c r="O1259" s="132"/>
      <c r="P1259" s="132"/>
      <c r="Q1259" s="132"/>
      <c r="R1259" s="132"/>
      <c r="S1259" s="132"/>
      <c r="T1259" s="132"/>
      <c r="U1259" s="132"/>
      <c r="V1259" s="132"/>
      <c r="W1259" s="132"/>
      <c r="X1259" s="132"/>
      <c r="Y1259" s="132"/>
      <c r="Z1259" s="132"/>
      <c r="AA1259" s="132"/>
      <c r="AB1259" s="132"/>
    </row>
    <row r="1260" spans="1:28" s="133" customFormat="1" ht="15" customHeight="1" outlineLevel="1" x14ac:dyDescent="0.2">
      <c r="A1260" s="134">
        <v>1</v>
      </c>
      <c r="B1260" s="134">
        <v>28616</v>
      </c>
      <c r="C1260" s="135">
        <v>41813</v>
      </c>
      <c r="D1260" s="136" t="s">
        <v>1784</v>
      </c>
      <c r="E1260" s="134" t="s">
        <v>411</v>
      </c>
      <c r="F1260" s="137" t="s">
        <v>115</v>
      </c>
      <c r="G1260" s="138" t="s">
        <v>428</v>
      </c>
      <c r="H1260" s="139"/>
      <c r="I1260" s="140">
        <v>1</v>
      </c>
      <c r="J1260" s="141">
        <v>5274</v>
      </c>
      <c r="K1260" s="141">
        <v>5274</v>
      </c>
      <c r="L1260" s="181" t="s">
        <v>757</v>
      </c>
      <c r="M1260" s="167" t="s">
        <v>39</v>
      </c>
      <c r="N1260" s="131"/>
      <c r="O1260" s="132"/>
      <c r="P1260" s="132"/>
      <c r="Q1260" s="132"/>
      <c r="R1260" s="132"/>
      <c r="S1260" s="132"/>
      <c r="T1260" s="132"/>
      <c r="U1260" s="132"/>
      <c r="V1260" s="132"/>
      <c r="W1260" s="132"/>
      <c r="X1260" s="132"/>
      <c r="Y1260" s="132"/>
      <c r="Z1260" s="132"/>
      <c r="AA1260" s="132"/>
      <c r="AB1260" s="132"/>
    </row>
    <row r="1261" spans="1:28" s="133" customFormat="1" ht="15" customHeight="1" outlineLevel="1" x14ac:dyDescent="0.2">
      <c r="A1261" s="134">
        <v>2</v>
      </c>
      <c r="B1261" s="134">
        <v>31925</v>
      </c>
      <c r="C1261" s="135">
        <v>41822</v>
      </c>
      <c r="D1261" s="136" t="s">
        <v>1785</v>
      </c>
      <c r="E1261" s="134" t="s">
        <v>411</v>
      </c>
      <c r="F1261" s="137" t="s">
        <v>534</v>
      </c>
      <c r="G1261" s="138" t="s">
        <v>535</v>
      </c>
      <c r="H1261" s="139"/>
      <c r="I1261" s="140">
        <v>1</v>
      </c>
      <c r="J1261" s="141">
        <v>30429</v>
      </c>
      <c r="K1261" s="141">
        <v>30429</v>
      </c>
      <c r="L1261" s="181" t="s">
        <v>757</v>
      </c>
      <c r="M1261" s="167" t="s">
        <v>39</v>
      </c>
      <c r="N1261" s="131"/>
      <c r="O1261" s="132"/>
      <c r="P1261" s="132"/>
      <c r="Q1261" s="132"/>
      <c r="R1261" s="132"/>
      <c r="S1261" s="132"/>
      <c r="T1261" s="132"/>
      <c r="U1261" s="132"/>
      <c r="V1261" s="132"/>
      <c r="W1261" s="132"/>
      <c r="X1261" s="132"/>
      <c r="Y1261" s="132"/>
      <c r="Z1261" s="132"/>
      <c r="AA1261" s="132"/>
      <c r="AB1261" s="132"/>
    </row>
    <row r="1262" spans="1:28" s="133" customFormat="1" ht="15" customHeight="1" outlineLevel="1" x14ac:dyDescent="0.2">
      <c r="A1262" s="134">
        <v>3</v>
      </c>
      <c r="B1262" s="134">
        <v>31998</v>
      </c>
      <c r="C1262" s="135">
        <v>41823</v>
      </c>
      <c r="D1262" s="136" t="s">
        <v>1786</v>
      </c>
      <c r="E1262" s="134" t="s">
        <v>1787</v>
      </c>
      <c r="F1262" s="137" t="s">
        <v>115</v>
      </c>
      <c r="G1262" s="138" t="s">
        <v>1788</v>
      </c>
      <c r="H1262" s="139"/>
      <c r="I1262" s="140">
        <v>3</v>
      </c>
      <c r="J1262" s="141">
        <v>5274</v>
      </c>
      <c r="K1262" s="141">
        <v>15822</v>
      </c>
      <c r="L1262" s="181" t="s">
        <v>757</v>
      </c>
      <c r="M1262" s="167" t="s">
        <v>39</v>
      </c>
      <c r="N1262" s="131"/>
      <c r="O1262" s="132"/>
      <c r="P1262" s="132"/>
      <c r="Q1262" s="132"/>
      <c r="R1262" s="132"/>
      <c r="S1262" s="132"/>
      <c r="T1262" s="132"/>
      <c r="U1262" s="132"/>
      <c r="V1262" s="132"/>
      <c r="W1262" s="132"/>
      <c r="X1262" s="132"/>
      <c r="Y1262" s="132"/>
      <c r="Z1262" s="132"/>
      <c r="AA1262" s="132"/>
      <c r="AB1262" s="132"/>
    </row>
    <row r="1263" spans="1:28" s="133" customFormat="1" ht="15" customHeight="1" outlineLevel="1" x14ac:dyDescent="0.2">
      <c r="A1263" s="134">
        <v>4</v>
      </c>
      <c r="B1263" s="134">
        <v>32461</v>
      </c>
      <c r="C1263" s="135">
        <v>41823</v>
      </c>
      <c r="D1263" s="136" t="s">
        <v>1789</v>
      </c>
      <c r="E1263" s="134" t="s">
        <v>1787</v>
      </c>
      <c r="F1263" s="137" t="s">
        <v>114</v>
      </c>
      <c r="G1263" s="138" t="s">
        <v>389</v>
      </c>
      <c r="H1263" s="139"/>
      <c r="I1263" s="140">
        <v>1</v>
      </c>
      <c r="J1263" s="141">
        <v>33370</v>
      </c>
      <c r="K1263" s="141">
        <v>33370</v>
      </c>
      <c r="L1263" s="181" t="s">
        <v>757</v>
      </c>
      <c r="M1263" s="167" t="s">
        <v>39</v>
      </c>
      <c r="N1263" s="131"/>
      <c r="O1263" s="132"/>
      <c r="P1263" s="132"/>
      <c r="Q1263" s="132"/>
      <c r="R1263" s="132"/>
      <c r="S1263" s="132"/>
      <c r="T1263" s="132"/>
      <c r="U1263" s="132"/>
      <c r="V1263" s="132"/>
      <c r="W1263" s="132"/>
      <c r="X1263" s="132"/>
      <c r="Y1263" s="132"/>
      <c r="Z1263" s="132"/>
      <c r="AA1263" s="132"/>
      <c r="AB1263" s="132"/>
    </row>
    <row r="1264" spans="1:28" s="133" customFormat="1" ht="15" customHeight="1" outlineLevel="1" x14ac:dyDescent="0.2">
      <c r="A1264" s="134">
        <v>5</v>
      </c>
      <c r="B1264" s="134">
        <v>33143</v>
      </c>
      <c r="C1264" s="135">
        <v>41827</v>
      </c>
      <c r="D1264" s="136" t="s">
        <v>1790</v>
      </c>
      <c r="E1264" s="134" t="s">
        <v>411</v>
      </c>
      <c r="F1264" s="137" t="s">
        <v>574</v>
      </c>
      <c r="G1264" s="138" t="s">
        <v>508</v>
      </c>
      <c r="H1264" s="139"/>
      <c r="I1264" s="140">
        <v>1</v>
      </c>
      <c r="J1264" s="141">
        <v>49701</v>
      </c>
      <c r="K1264" s="141">
        <v>49701</v>
      </c>
      <c r="L1264" s="181" t="s">
        <v>757</v>
      </c>
      <c r="M1264" s="167" t="s">
        <v>39</v>
      </c>
      <c r="N1264" s="131"/>
      <c r="O1264" s="132"/>
      <c r="P1264" s="132"/>
      <c r="Q1264" s="132"/>
      <c r="R1264" s="132"/>
      <c r="S1264" s="132"/>
      <c r="T1264" s="132"/>
      <c r="U1264" s="132"/>
      <c r="V1264" s="132"/>
      <c r="W1264" s="132"/>
      <c r="X1264" s="132"/>
      <c r="Y1264" s="132"/>
      <c r="Z1264" s="132"/>
      <c r="AA1264" s="132"/>
      <c r="AB1264" s="132"/>
    </row>
    <row r="1265" spans="1:28" s="133" customFormat="1" ht="15" customHeight="1" outlineLevel="1" x14ac:dyDescent="0.2">
      <c r="A1265" s="134">
        <v>6</v>
      </c>
      <c r="B1265" s="134">
        <v>33181</v>
      </c>
      <c r="C1265" s="135">
        <v>41827</v>
      </c>
      <c r="D1265" s="136" t="s">
        <v>1791</v>
      </c>
      <c r="E1265" s="134" t="s">
        <v>411</v>
      </c>
      <c r="F1265" s="137" t="s">
        <v>574</v>
      </c>
      <c r="G1265" s="138" t="s">
        <v>559</v>
      </c>
      <c r="H1265" s="139"/>
      <c r="I1265" s="140">
        <v>1</v>
      </c>
      <c r="J1265" s="141">
        <v>49701</v>
      </c>
      <c r="K1265" s="141">
        <v>49701</v>
      </c>
      <c r="L1265" s="181" t="s">
        <v>757</v>
      </c>
      <c r="M1265" s="167" t="s">
        <v>39</v>
      </c>
      <c r="N1265" s="131"/>
      <c r="O1265" s="132"/>
      <c r="P1265" s="132"/>
      <c r="Q1265" s="132"/>
      <c r="R1265" s="132"/>
      <c r="S1265" s="132"/>
      <c r="T1265" s="132"/>
      <c r="U1265" s="132"/>
      <c r="V1265" s="132"/>
      <c r="W1265" s="132"/>
      <c r="X1265" s="132"/>
      <c r="Y1265" s="132"/>
      <c r="Z1265" s="132"/>
      <c r="AA1265" s="132"/>
      <c r="AB1265" s="132"/>
    </row>
    <row r="1266" spans="1:28" s="133" customFormat="1" ht="15" customHeight="1" outlineLevel="1" x14ac:dyDescent="0.2">
      <c r="A1266" s="134">
        <v>7</v>
      </c>
      <c r="B1266" s="134">
        <v>33274</v>
      </c>
      <c r="C1266" s="135">
        <v>41828</v>
      </c>
      <c r="D1266" s="136" t="s">
        <v>1769</v>
      </c>
      <c r="E1266" s="134" t="s">
        <v>411</v>
      </c>
      <c r="F1266" s="137" t="s">
        <v>114</v>
      </c>
      <c r="G1266" s="138" t="s">
        <v>380</v>
      </c>
      <c r="H1266" s="139"/>
      <c r="I1266" s="140">
        <v>1</v>
      </c>
      <c r="J1266" s="141">
        <v>33370</v>
      </c>
      <c r="K1266" s="141">
        <v>33370</v>
      </c>
      <c r="L1266" s="181" t="s">
        <v>757</v>
      </c>
      <c r="M1266" s="167" t="s">
        <v>39</v>
      </c>
      <c r="N1266" s="131"/>
      <c r="O1266" s="132"/>
      <c r="P1266" s="132"/>
      <c r="Q1266" s="132"/>
      <c r="R1266" s="132"/>
      <c r="S1266" s="132"/>
      <c r="T1266" s="132"/>
      <c r="U1266" s="132"/>
      <c r="V1266" s="132"/>
      <c r="W1266" s="132"/>
      <c r="X1266" s="132"/>
      <c r="Y1266" s="132"/>
      <c r="Z1266" s="132"/>
      <c r="AA1266" s="132"/>
      <c r="AB1266" s="132"/>
    </row>
    <row r="1267" spans="1:28" s="133" customFormat="1" ht="15" customHeight="1" outlineLevel="1" x14ac:dyDescent="0.2">
      <c r="A1267" s="134">
        <v>8</v>
      </c>
      <c r="B1267" s="134">
        <v>33335</v>
      </c>
      <c r="C1267" s="135">
        <v>41828</v>
      </c>
      <c r="D1267" s="136" t="s">
        <v>1792</v>
      </c>
      <c r="E1267" s="134" t="s">
        <v>411</v>
      </c>
      <c r="F1267" s="137" t="s">
        <v>215</v>
      </c>
      <c r="G1267" s="138" t="s">
        <v>368</v>
      </c>
      <c r="H1267" s="139"/>
      <c r="I1267" s="140">
        <v>1</v>
      </c>
      <c r="J1267" s="141">
        <v>44597</v>
      </c>
      <c r="K1267" s="141">
        <v>44597</v>
      </c>
      <c r="L1267" s="181" t="s">
        <v>757</v>
      </c>
      <c r="M1267" s="167" t="s">
        <v>39</v>
      </c>
      <c r="N1267" s="131"/>
      <c r="O1267" s="132"/>
      <c r="P1267" s="132"/>
      <c r="Q1267" s="132"/>
      <c r="R1267" s="132"/>
      <c r="S1267" s="132"/>
      <c r="T1267" s="132"/>
      <c r="U1267" s="132"/>
      <c r="V1267" s="132"/>
      <c r="W1267" s="132"/>
      <c r="X1267" s="132"/>
      <c r="Y1267" s="132"/>
      <c r="Z1267" s="132"/>
      <c r="AA1267" s="132"/>
      <c r="AB1267" s="132"/>
    </row>
    <row r="1268" spans="1:28" s="133" customFormat="1" ht="24" customHeight="1" outlineLevel="1" x14ac:dyDescent="0.2">
      <c r="A1268" s="134">
        <v>9</v>
      </c>
      <c r="B1268" s="134">
        <v>33612</v>
      </c>
      <c r="C1268" s="135">
        <v>41828</v>
      </c>
      <c r="D1268" s="136" t="s">
        <v>1793</v>
      </c>
      <c r="E1268" s="134" t="s">
        <v>411</v>
      </c>
      <c r="F1268" s="137" t="s">
        <v>574</v>
      </c>
      <c r="G1268" s="138" t="s">
        <v>642</v>
      </c>
      <c r="H1268" s="139"/>
      <c r="I1268" s="140">
        <v>1</v>
      </c>
      <c r="J1268" s="141">
        <v>49701</v>
      </c>
      <c r="K1268" s="141">
        <v>49701</v>
      </c>
      <c r="L1268" s="181" t="s">
        <v>757</v>
      </c>
      <c r="M1268" s="167" t="s">
        <v>39</v>
      </c>
      <c r="N1268" s="131"/>
      <c r="O1268" s="132"/>
      <c r="P1268" s="132"/>
      <c r="Q1268" s="132"/>
      <c r="R1268" s="132"/>
      <c r="S1268" s="132"/>
      <c r="T1268" s="132"/>
      <c r="U1268" s="132"/>
      <c r="V1268" s="132"/>
      <c r="W1268" s="132"/>
      <c r="X1268" s="132"/>
      <c r="Y1268" s="132"/>
      <c r="Z1268" s="132"/>
      <c r="AA1268" s="132"/>
      <c r="AB1268" s="132"/>
    </row>
    <row r="1269" spans="1:28" s="133" customFormat="1" ht="15" customHeight="1" outlineLevel="1" x14ac:dyDescent="0.2">
      <c r="A1269" s="134">
        <v>10</v>
      </c>
      <c r="B1269" s="134">
        <v>34234</v>
      </c>
      <c r="C1269" s="135">
        <v>41830</v>
      </c>
      <c r="D1269" s="136" t="s">
        <v>1794</v>
      </c>
      <c r="E1269" s="134" t="s">
        <v>411</v>
      </c>
      <c r="F1269" s="137" t="s">
        <v>115</v>
      </c>
      <c r="G1269" s="138" t="s">
        <v>508</v>
      </c>
      <c r="H1269" s="139"/>
      <c r="I1269" s="140">
        <v>1</v>
      </c>
      <c r="J1269" s="141">
        <v>5274</v>
      </c>
      <c r="K1269" s="141">
        <v>5274</v>
      </c>
      <c r="L1269" s="181" t="s">
        <v>757</v>
      </c>
      <c r="M1269" s="167" t="s">
        <v>39</v>
      </c>
      <c r="N1269" s="131"/>
      <c r="O1269" s="132"/>
      <c r="P1269" s="132"/>
      <c r="Q1269" s="132"/>
      <c r="R1269" s="132"/>
      <c r="S1269" s="132"/>
      <c r="T1269" s="132"/>
      <c r="U1269" s="132"/>
      <c r="V1269" s="132"/>
      <c r="W1269" s="132"/>
      <c r="X1269" s="132"/>
      <c r="Y1269" s="132"/>
      <c r="Z1269" s="132"/>
      <c r="AA1269" s="132"/>
      <c r="AB1269" s="132"/>
    </row>
    <row r="1270" spans="1:28" s="133" customFormat="1" ht="15" customHeight="1" outlineLevel="1" x14ac:dyDescent="0.2">
      <c r="A1270" s="134">
        <v>11</v>
      </c>
      <c r="B1270" s="134">
        <v>34568</v>
      </c>
      <c r="C1270" s="135">
        <v>41831</v>
      </c>
      <c r="D1270" s="136" t="s">
        <v>1756</v>
      </c>
      <c r="E1270" s="134" t="s">
        <v>411</v>
      </c>
      <c r="F1270" s="137" t="s">
        <v>577</v>
      </c>
      <c r="G1270" s="138" t="s">
        <v>368</v>
      </c>
      <c r="H1270" s="139"/>
      <c r="I1270" s="140">
        <v>1</v>
      </c>
      <c r="J1270" s="141">
        <v>25800</v>
      </c>
      <c r="K1270" s="141">
        <v>25800</v>
      </c>
      <c r="L1270" s="181" t="s">
        <v>757</v>
      </c>
      <c r="M1270" s="167" t="s">
        <v>39</v>
      </c>
      <c r="N1270" s="131"/>
      <c r="O1270" s="132"/>
      <c r="P1270" s="132"/>
      <c r="Q1270" s="132"/>
      <c r="R1270" s="132"/>
      <c r="S1270" s="132"/>
      <c r="T1270" s="132"/>
      <c r="U1270" s="132"/>
      <c r="V1270" s="132"/>
      <c r="W1270" s="132"/>
      <c r="X1270" s="132"/>
      <c r="Y1270" s="132"/>
      <c r="Z1270" s="132"/>
      <c r="AA1270" s="132"/>
      <c r="AB1270" s="132"/>
    </row>
    <row r="1271" spans="1:28" s="133" customFormat="1" ht="15" customHeight="1" outlineLevel="1" x14ac:dyDescent="0.2">
      <c r="A1271" s="134">
        <v>12</v>
      </c>
      <c r="B1271" s="134">
        <v>34617</v>
      </c>
      <c r="C1271" s="135">
        <v>41833</v>
      </c>
      <c r="D1271" s="136" t="s">
        <v>1795</v>
      </c>
      <c r="E1271" s="134" t="s">
        <v>901</v>
      </c>
      <c r="F1271" s="137" t="s">
        <v>577</v>
      </c>
      <c r="G1271" s="138" t="s">
        <v>368</v>
      </c>
      <c r="H1271" s="139"/>
      <c r="I1271" s="140">
        <v>1</v>
      </c>
      <c r="J1271" s="141">
        <v>25800</v>
      </c>
      <c r="K1271" s="141">
        <v>25800</v>
      </c>
      <c r="L1271" s="181" t="s">
        <v>757</v>
      </c>
      <c r="M1271" s="167" t="s">
        <v>39</v>
      </c>
      <c r="N1271" s="131"/>
      <c r="O1271" s="132"/>
      <c r="P1271" s="132"/>
      <c r="Q1271" s="132"/>
      <c r="R1271" s="132"/>
      <c r="S1271" s="132"/>
      <c r="T1271" s="132"/>
      <c r="U1271" s="132"/>
      <c r="V1271" s="132"/>
      <c r="W1271" s="132"/>
      <c r="X1271" s="132"/>
      <c r="Y1271" s="132"/>
      <c r="Z1271" s="132"/>
      <c r="AA1271" s="132"/>
      <c r="AB1271" s="132"/>
    </row>
    <row r="1272" spans="1:28" s="133" customFormat="1" ht="15" customHeight="1" outlineLevel="1" x14ac:dyDescent="0.2">
      <c r="A1272" s="134">
        <v>13</v>
      </c>
      <c r="B1272" s="134">
        <v>34633</v>
      </c>
      <c r="C1272" s="135">
        <v>41830</v>
      </c>
      <c r="D1272" s="136" t="s">
        <v>1796</v>
      </c>
      <c r="E1272" s="134" t="s">
        <v>1787</v>
      </c>
      <c r="F1272" s="137" t="s">
        <v>534</v>
      </c>
      <c r="G1272" s="138" t="s">
        <v>1797</v>
      </c>
      <c r="H1272" s="139"/>
      <c r="I1272" s="140">
        <v>2</v>
      </c>
      <c r="J1272" s="141">
        <v>30429</v>
      </c>
      <c r="K1272" s="141">
        <v>60858</v>
      </c>
      <c r="L1272" s="181" t="s">
        <v>757</v>
      </c>
      <c r="M1272" s="167" t="s">
        <v>39</v>
      </c>
      <c r="N1272" s="131"/>
      <c r="O1272" s="132"/>
      <c r="P1272" s="132"/>
      <c r="Q1272" s="132"/>
      <c r="R1272" s="132"/>
      <c r="S1272" s="132"/>
      <c r="T1272" s="132"/>
      <c r="U1272" s="132"/>
      <c r="V1272" s="132"/>
      <c r="W1272" s="132"/>
      <c r="X1272" s="132"/>
      <c r="Y1272" s="132"/>
      <c r="Z1272" s="132"/>
      <c r="AA1272" s="132"/>
      <c r="AB1272" s="132"/>
    </row>
    <row r="1273" spans="1:28" s="133" customFormat="1" ht="15" customHeight="1" outlineLevel="1" x14ac:dyDescent="0.2">
      <c r="A1273" s="134">
        <v>14</v>
      </c>
      <c r="B1273" s="134">
        <v>34646</v>
      </c>
      <c r="C1273" s="135">
        <v>41830</v>
      </c>
      <c r="D1273" s="136" t="s">
        <v>1798</v>
      </c>
      <c r="E1273" s="134" t="s">
        <v>411</v>
      </c>
      <c r="F1273" s="137" t="s">
        <v>574</v>
      </c>
      <c r="G1273" s="138" t="s">
        <v>559</v>
      </c>
      <c r="H1273" s="139"/>
      <c r="I1273" s="140">
        <v>1</v>
      </c>
      <c r="J1273" s="141">
        <v>49701</v>
      </c>
      <c r="K1273" s="141">
        <v>49701</v>
      </c>
      <c r="L1273" s="181" t="s">
        <v>757</v>
      </c>
      <c r="M1273" s="167" t="s">
        <v>39</v>
      </c>
      <c r="N1273" s="131"/>
      <c r="O1273" s="132"/>
      <c r="P1273" s="132"/>
      <c r="Q1273" s="132"/>
      <c r="R1273" s="132"/>
      <c r="S1273" s="132"/>
      <c r="T1273" s="132"/>
      <c r="U1273" s="132"/>
      <c r="V1273" s="132"/>
      <c r="W1273" s="132"/>
      <c r="X1273" s="132"/>
      <c r="Y1273" s="132"/>
      <c r="Z1273" s="132"/>
      <c r="AA1273" s="132"/>
      <c r="AB1273" s="132"/>
    </row>
    <row r="1274" spans="1:28" s="133" customFormat="1" ht="15" customHeight="1" outlineLevel="1" x14ac:dyDescent="0.2">
      <c r="A1274" s="134">
        <v>15</v>
      </c>
      <c r="B1274" s="134">
        <v>34943</v>
      </c>
      <c r="C1274" s="135">
        <v>41834</v>
      </c>
      <c r="D1274" s="136" t="s">
        <v>775</v>
      </c>
      <c r="E1274" s="134" t="s">
        <v>411</v>
      </c>
      <c r="F1274" s="137" t="s">
        <v>115</v>
      </c>
      <c r="G1274" s="138" t="s">
        <v>591</v>
      </c>
      <c r="H1274" s="139"/>
      <c r="I1274" s="140">
        <v>1</v>
      </c>
      <c r="J1274" s="141">
        <v>5274</v>
      </c>
      <c r="K1274" s="141">
        <v>5274</v>
      </c>
      <c r="L1274" s="181" t="s">
        <v>757</v>
      </c>
      <c r="M1274" s="167" t="s">
        <v>39</v>
      </c>
      <c r="N1274" s="131"/>
      <c r="O1274" s="132"/>
      <c r="P1274" s="132"/>
      <c r="Q1274" s="132"/>
      <c r="R1274" s="132"/>
      <c r="S1274" s="132"/>
      <c r="T1274" s="132"/>
      <c r="U1274" s="132"/>
      <c r="V1274" s="132"/>
      <c r="W1274" s="132"/>
      <c r="X1274" s="132"/>
      <c r="Y1274" s="132"/>
      <c r="Z1274" s="132"/>
      <c r="AA1274" s="132"/>
      <c r="AB1274" s="132"/>
    </row>
    <row r="1275" spans="1:28" s="133" customFormat="1" ht="15" customHeight="1" outlineLevel="1" x14ac:dyDescent="0.2">
      <c r="A1275" s="134">
        <v>16</v>
      </c>
      <c r="B1275" s="134">
        <v>35265</v>
      </c>
      <c r="C1275" s="135">
        <v>41834</v>
      </c>
      <c r="D1275" s="136" t="s">
        <v>1799</v>
      </c>
      <c r="E1275" s="134" t="s">
        <v>411</v>
      </c>
      <c r="F1275" s="137" t="s">
        <v>534</v>
      </c>
      <c r="G1275" s="138" t="s">
        <v>508</v>
      </c>
      <c r="H1275" s="139"/>
      <c r="I1275" s="140">
        <v>1</v>
      </c>
      <c r="J1275" s="141">
        <v>30429</v>
      </c>
      <c r="K1275" s="141">
        <v>30429</v>
      </c>
      <c r="L1275" s="181" t="s">
        <v>757</v>
      </c>
      <c r="M1275" s="167" t="s">
        <v>39</v>
      </c>
      <c r="N1275" s="131"/>
      <c r="O1275" s="132"/>
      <c r="P1275" s="132"/>
      <c r="Q1275" s="132"/>
      <c r="R1275" s="132"/>
      <c r="S1275" s="132"/>
      <c r="T1275" s="132"/>
      <c r="U1275" s="132"/>
      <c r="V1275" s="132"/>
      <c r="W1275" s="132"/>
      <c r="X1275" s="132"/>
      <c r="Y1275" s="132"/>
      <c r="Z1275" s="132"/>
      <c r="AA1275" s="132"/>
      <c r="AB1275" s="132"/>
    </row>
    <row r="1276" spans="1:28" s="133" customFormat="1" ht="15" customHeight="1" outlineLevel="1" x14ac:dyDescent="0.2">
      <c r="A1276" s="134">
        <v>17</v>
      </c>
      <c r="B1276" s="134">
        <v>35516</v>
      </c>
      <c r="C1276" s="135">
        <v>41834</v>
      </c>
      <c r="D1276" s="136" t="s">
        <v>1800</v>
      </c>
      <c r="E1276" s="134" t="s">
        <v>411</v>
      </c>
      <c r="F1276" s="137" t="s">
        <v>574</v>
      </c>
      <c r="G1276" s="138" t="s">
        <v>527</v>
      </c>
      <c r="H1276" s="139"/>
      <c r="I1276" s="140">
        <v>1</v>
      </c>
      <c r="J1276" s="141">
        <v>49701</v>
      </c>
      <c r="K1276" s="141">
        <v>49701</v>
      </c>
      <c r="L1276" s="181" t="s">
        <v>757</v>
      </c>
      <c r="M1276" s="167" t="s">
        <v>39</v>
      </c>
      <c r="N1276" s="131"/>
      <c r="O1276" s="132"/>
      <c r="P1276" s="132"/>
      <c r="Q1276" s="132"/>
      <c r="R1276" s="132"/>
      <c r="S1276" s="132"/>
      <c r="T1276" s="132"/>
      <c r="U1276" s="132"/>
      <c r="V1276" s="132"/>
      <c r="W1276" s="132"/>
      <c r="X1276" s="132"/>
      <c r="Y1276" s="132"/>
      <c r="Z1276" s="132"/>
      <c r="AA1276" s="132"/>
      <c r="AB1276" s="132"/>
    </row>
    <row r="1277" spans="1:28" s="133" customFormat="1" ht="15" customHeight="1" outlineLevel="1" x14ac:dyDescent="0.2">
      <c r="A1277" s="134">
        <v>18</v>
      </c>
      <c r="B1277" s="134">
        <v>36041</v>
      </c>
      <c r="C1277" s="135">
        <v>41837</v>
      </c>
      <c r="D1277" s="136" t="s">
        <v>1768</v>
      </c>
      <c r="E1277" s="134" t="s">
        <v>411</v>
      </c>
      <c r="F1277" s="137" t="s">
        <v>208</v>
      </c>
      <c r="G1277" s="138" t="s">
        <v>416</v>
      </c>
      <c r="H1277" s="139"/>
      <c r="I1277" s="140">
        <v>1</v>
      </c>
      <c r="J1277" s="141">
        <v>14099</v>
      </c>
      <c r="K1277" s="141">
        <v>14099</v>
      </c>
      <c r="L1277" s="181" t="s">
        <v>757</v>
      </c>
      <c r="M1277" s="167" t="s">
        <v>39</v>
      </c>
      <c r="N1277" s="131"/>
      <c r="O1277" s="132"/>
      <c r="P1277" s="132"/>
      <c r="Q1277" s="132"/>
      <c r="R1277" s="132"/>
      <c r="S1277" s="132"/>
      <c r="T1277" s="132"/>
      <c r="U1277" s="132"/>
      <c r="V1277" s="132"/>
      <c r="W1277" s="132"/>
      <c r="X1277" s="132"/>
      <c r="Y1277" s="132"/>
      <c r="Z1277" s="132"/>
      <c r="AA1277" s="132"/>
      <c r="AB1277" s="132"/>
    </row>
    <row r="1278" spans="1:28" s="133" customFormat="1" ht="15" customHeight="1" outlineLevel="1" x14ac:dyDescent="0.2">
      <c r="A1278" s="134">
        <v>19</v>
      </c>
      <c r="B1278" s="134">
        <v>36239</v>
      </c>
      <c r="C1278" s="135">
        <v>41838</v>
      </c>
      <c r="D1278" s="136" t="s">
        <v>1785</v>
      </c>
      <c r="E1278" s="134" t="s">
        <v>411</v>
      </c>
      <c r="F1278" s="137" t="s">
        <v>577</v>
      </c>
      <c r="G1278" s="138" t="s">
        <v>368</v>
      </c>
      <c r="H1278" s="139"/>
      <c r="I1278" s="140">
        <v>1</v>
      </c>
      <c r="J1278" s="141">
        <v>25800</v>
      </c>
      <c r="K1278" s="141">
        <v>25800</v>
      </c>
      <c r="L1278" s="181" t="s">
        <v>757</v>
      </c>
      <c r="M1278" s="167" t="s">
        <v>39</v>
      </c>
      <c r="N1278" s="131"/>
      <c r="O1278" s="132"/>
      <c r="P1278" s="132"/>
      <c r="Q1278" s="132"/>
      <c r="R1278" s="132"/>
      <c r="S1278" s="132"/>
      <c r="T1278" s="132"/>
      <c r="U1278" s="132"/>
      <c r="V1278" s="132"/>
      <c r="W1278" s="132"/>
      <c r="X1278" s="132"/>
      <c r="Y1278" s="132"/>
      <c r="Z1278" s="132"/>
      <c r="AA1278" s="132"/>
      <c r="AB1278" s="132"/>
    </row>
    <row r="1279" spans="1:28" s="133" customFormat="1" ht="15" customHeight="1" outlineLevel="1" x14ac:dyDescent="0.2">
      <c r="A1279" s="134">
        <v>20</v>
      </c>
      <c r="B1279" s="134">
        <v>36961</v>
      </c>
      <c r="C1279" s="135">
        <v>41841</v>
      </c>
      <c r="D1279" s="136" t="s">
        <v>1801</v>
      </c>
      <c r="E1279" s="134" t="s">
        <v>411</v>
      </c>
      <c r="F1279" s="137" t="s">
        <v>534</v>
      </c>
      <c r="G1279" s="138" t="s">
        <v>559</v>
      </c>
      <c r="H1279" s="139"/>
      <c r="I1279" s="140">
        <v>1</v>
      </c>
      <c r="J1279" s="141">
        <v>30429</v>
      </c>
      <c r="K1279" s="141">
        <v>30429</v>
      </c>
      <c r="L1279" s="181" t="s">
        <v>757</v>
      </c>
      <c r="M1279" s="167" t="s">
        <v>39</v>
      </c>
      <c r="N1279" s="131"/>
      <c r="O1279" s="132"/>
      <c r="P1279" s="132"/>
      <c r="Q1279" s="132"/>
      <c r="R1279" s="132"/>
      <c r="S1279" s="132"/>
      <c r="T1279" s="132"/>
      <c r="U1279" s="132"/>
      <c r="V1279" s="132"/>
      <c r="W1279" s="132"/>
      <c r="X1279" s="132"/>
      <c r="Y1279" s="132"/>
      <c r="Z1279" s="132"/>
      <c r="AA1279" s="132"/>
      <c r="AB1279" s="132"/>
    </row>
    <row r="1280" spans="1:28" s="133" customFormat="1" ht="15" customHeight="1" outlineLevel="1" x14ac:dyDescent="0.2">
      <c r="A1280" s="134">
        <v>21</v>
      </c>
      <c r="B1280" s="134">
        <v>37004</v>
      </c>
      <c r="C1280" s="135">
        <v>41841</v>
      </c>
      <c r="D1280" s="136" t="s">
        <v>1802</v>
      </c>
      <c r="E1280" s="134" t="s">
        <v>411</v>
      </c>
      <c r="F1280" s="137" t="s">
        <v>534</v>
      </c>
      <c r="G1280" s="138" t="s">
        <v>508</v>
      </c>
      <c r="H1280" s="139"/>
      <c r="I1280" s="140">
        <v>1</v>
      </c>
      <c r="J1280" s="141">
        <v>30429</v>
      </c>
      <c r="K1280" s="141">
        <v>30429</v>
      </c>
      <c r="L1280" s="181" t="s">
        <v>757</v>
      </c>
      <c r="M1280" s="167" t="s">
        <v>39</v>
      </c>
      <c r="N1280" s="131"/>
      <c r="O1280" s="132"/>
      <c r="P1280" s="132"/>
      <c r="Q1280" s="132"/>
      <c r="R1280" s="132"/>
      <c r="S1280" s="132"/>
      <c r="T1280" s="132"/>
      <c r="U1280" s="132"/>
      <c r="V1280" s="132"/>
      <c r="W1280" s="132"/>
      <c r="X1280" s="132"/>
      <c r="Y1280" s="132"/>
      <c r="Z1280" s="132"/>
      <c r="AA1280" s="132"/>
      <c r="AB1280" s="132"/>
    </row>
    <row r="1281" spans="1:28" s="133" customFormat="1" ht="15" customHeight="1" outlineLevel="1" x14ac:dyDescent="0.2">
      <c r="A1281" s="134">
        <v>22</v>
      </c>
      <c r="B1281" s="134">
        <v>37200</v>
      </c>
      <c r="C1281" s="135">
        <v>41843</v>
      </c>
      <c r="D1281" s="136" t="s">
        <v>1778</v>
      </c>
      <c r="E1281" s="134" t="s">
        <v>411</v>
      </c>
      <c r="F1281" s="137" t="s">
        <v>114</v>
      </c>
      <c r="G1281" s="138" t="s">
        <v>469</v>
      </c>
      <c r="H1281" s="139"/>
      <c r="I1281" s="140">
        <v>1</v>
      </c>
      <c r="J1281" s="141">
        <v>33370</v>
      </c>
      <c r="K1281" s="141">
        <v>33370</v>
      </c>
      <c r="L1281" s="181" t="s">
        <v>757</v>
      </c>
      <c r="M1281" s="167" t="s">
        <v>39</v>
      </c>
      <c r="N1281" s="131"/>
      <c r="O1281" s="132"/>
      <c r="P1281" s="132"/>
      <c r="Q1281" s="132"/>
      <c r="R1281" s="132"/>
      <c r="S1281" s="132"/>
      <c r="T1281" s="132"/>
      <c r="U1281" s="132"/>
      <c r="V1281" s="132"/>
      <c r="W1281" s="132"/>
      <c r="X1281" s="132"/>
      <c r="Y1281" s="132"/>
      <c r="Z1281" s="132"/>
      <c r="AA1281" s="132"/>
      <c r="AB1281" s="132"/>
    </row>
    <row r="1282" spans="1:28" s="133" customFormat="1" ht="15" customHeight="1" outlineLevel="1" x14ac:dyDescent="0.2">
      <c r="A1282" s="134">
        <v>23</v>
      </c>
      <c r="B1282" s="134">
        <v>37364</v>
      </c>
      <c r="C1282" s="135">
        <v>41844</v>
      </c>
      <c r="D1282" s="136" t="s">
        <v>1803</v>
      </c>
      <c r="E1282" s="134" t="s">
        <v>411</v>
      </c>
      <c r="F1282" s="137" t="s">
        <v>534</v>
      </c>
      <c r="G1282" s="138" t="s">
        <v>524</v>
      </c>
      <c r="H1282" s="139"/>
      <c r="I1282" s="140">
        <v>1</v>
      </c>
      <c r="J1282" s="141">
        <v>30429</v>
      </c>
      <c r="K1282" s="141">
        <v>30429</v>
      </c>
      <c r="L1282" s="181" t="s">
        <v>757</v>
      </c>
      <c r="M1282" s="167" t="s">
        <v>39</v>
      </c>
      <c r="N1282" s="131"/>
      <c r="O1282" s="132"/>
      <c r="P1282" s="132"/>
      <c r="Q1282" s="132"/>
      <c r="R1282" s="132"/>
      <c r="S1282" s="132"/>
      <c r="T1282" s="132"/>
      <c r="U1282" s="132"/>
      <c r="V1282" s="132"/>
      <c r="W1282" s="132"/>
      <c r="X1282" s="132"/>
      <c r="Y1282" s="132"/>
      <c r="Z1282" s="132"/>
      <c r="AA1282" s="132"/>
      <c r="AB1282" s="132"/>
    </row>
    <row r="1283" spans="1:28" s="133" customFormat="1" ht="15" customHeight="1" outlineLevel="1" x14ac:dyDescent="0.2">
      <c r="A1283" s="134">
        <v>24</v>
      </c>
      <c r="B1283" s="134">
        <v>37376</v>
      </c>
      <c r="C1283" s="135">
        <v>41844</v>
      </c>
      <c r="D1283" s="136" t="s">
        <v>1783</v>
      </c>
      <c r="E1283" s="134" t="s">
        <v>411</v>
      </c>
      <c r="F1283" s="137" t="s">
        <v>534</v>
      </c>
      <c r="G1283" s="138" t="s">
        <v>642</v>
      </c>
      <c r="H1283" s="139"/>
      <c r="I1283" s="140">
        <v>1</v>
      </c>
      <c r="J1283" s="141">
        <v>30429</v>
      </c>
      <c r="K1283" s="141">
        <v>30429</v>
      </c>
      <c r="L1283" s="181" t="s">
        <v>757</v>
      </c>
      <c r="M1283" s="167" t="s">
        <v>39</v>
      </c>
      <c r="N1283" s="131"/>
      <c r="O1283" s="132"/>
      <c r="P1283" s="132"/>
      <c r="Q1283" s="132"/>
      <c r="R1283" s="132"/>
      <c r="S1283" s="132"/>
      <c r="T1283" s="132"/>
      <c r="U1283" s="132"/>
      <c r="V1283" s="132"/>
      <c r="W1283" s="132"/>
      <c r="X1283" s="132"/>
      <c r="Y1283" s="132"/>
      <c r="Z1283" s="132"/>
      <c r="AA1283" s="132"/>
      <c r="AB1283" s="132"/>
    </row>
    <row r="1284" spans="1:28" s="133" customFormat="1" ht="15" customHeight="1" outlineLevel="1" x14ac:dyDescent="0.2">
      <c r="A1284" s="134">
        <v>25</v>
      </c>
      <c r="B1284" s="134">
        <v>38456</v>
      </c>
      <c r="C1284" s="135">
        <v>41848</v>
      </c>
      <c r="D1284" s="136" t="s">
        <v>1804</v>
      </c>
      <c r="E1284" s="134" t="s">
        <v>411</v>
      </c>
      <c r="F1284" s="137" t="s">
        <v>574</v>
      </c>
      <c r="G1284" s="138" t="s">
        <v>565</v>
      </c>
      <c r="H1284" s="139"/>
      <c r="I1284" s="140">
        <v>1</v>
      </c>
      <c r="J1284" s="141">
        <v>49701</v>
      </c>
      <c r="K1284" s="141">
        <v>49701</v>
      </c>
      <c r="L1284" s="181" t="s">
        <v>757</v>
      </c>
      <c r="M1284" s="167" t="s">
        <v>39</v>
      </c>
      <c r="N1284" s="131"/>
      <c r="O1284" s="132"/>
      <c r="P1284" s="132"/>
      <c r="Q1284" s="132"/>
      <c r="R1284" s="132"/>
      <c r="S1284" s="132"/>
      <c r="T1284" s="132"/>
      <c r="U1284" s="132"/>
      <c r="V1284" s="132"/>
      <c r="W1284" s="132"/>
      <c r="X1284" s="132"/>
      <c r="Y1284" s="132"/>
      <c r="Z1284" s="132"/>
      <c r="AA1284" s="132"/>
      <c r="AB1284" s="132"/>
    </row>
    <row r="1285" spans="1:28" s="133" customFormat="1" ht="15" customHeight="1" outlineLevel="1" x14ac:dyDescent="0.2">
      <c r="A1285" s="134">
        <v>26</v>
      </c>
      <c r="B1285" s="134">
        <v>39559</v>
      </c>
      <c r="C1285" s="135">
        <v>41851</v>
      </c>
      <c r="D1285" s="136" t="s">
        <v>1805</v>
      </c>
      <c r="E1285" s="134" t="s">
        <v>411</v>
      </c>
      <c r="F1285" s="137" t="s">
        <v>534</v>
      </c>
      <c r="G1285" s="138" t="s">
        <v>642</v>
      </c>
      <c r="H1285" s="139"/>
      <c r="I1285" s="140">
        <v>1</v>
      </c>
      <c r="J1285" s="141">
        <v>30429</v>
      </c>
      <c r="K1285" s="141">
        <v>30429</v>
      </c>
      <c r="L1285" s="181" t="s">
        <v>757</v>
      </c>
      <c r="M1285" s="167" t="s">
        <v>39</v>
      </c>
      <c r="N1285" s="131"/>
      <c r="O1285" s="132"/>
      <c r="P1285" s="132"/>
      <c r="Q1285" s="132"/>
      <c r="R1285" s="132"/>
      <c r="S1285" s="132"/>
      <c r="T1285" s="132"/>
      <c r="U1285" s="132"/>
      <c r="V1285" s="132"/>
      <c r="W1285" s="132"/>
      <c r="X1285" s="132"/>
      <c r="Y1285" s="132"/>
      <c r="Z1285" s="132"/>
      <c r="AA1285" s="132"/>
      <c r="AB1285" s="132"/>
    </row>
    <row r="1286" spans="1:28" s="133" customFormat="1" ht="15" customHeight="1" outlineLevel="1" x14ac:dyDescent="0.2">
      <c r="A1286" s="134">
        <v>27</v>
      </c>
      <c r="B1286" s="134">
        <v>39612</v>
      </c>
      <c r="C1286" s="135">
        <v>41851</v>
      </c>
      <c r="D1286" s="136" t="s">
        <v>1768</v>
      </c>
      <c r="E1286" s="134" t="s">
        <v>411</v>
      </c>
      <c r="F1286" s="137" t="s">
        <v>534</v>
      </c>
      <c r="G1286" s="138" t="s">
        <v>428</v>
      </c>
      <c r="H1286" s="139"/>
      <c r="I1286" s="140">
        <v>1</v>
      </c>
      <c r="J1286" s="141">
        <v>30429</v>
      </c>
      <c r="K1286" s="141">
        <v>30429</v>
      </c>
      <c r="L1286" s="181" t="s">
        <v>757</v>
      </c>
      <c r="M1286" s="167" t="s">
        <v>39</v>
      </c>
      <c r="N1286" s="131"/>
      <c r="O1286" s="132"/>
      <c r="P1286" s="132"/>
      <c r="Q1286" s="132"/>
      <c r="R1286" s="132"/>
      <c r="S1286" s="132"/>
      <c r="T1286" s="132"/>
      <c r="U1286" s="132"/>
      <c r="V1286" s="132"/>
      <c r="W1286" s="132"/>
      <c r="X1286" s="132"/>
      <c r="Y1286" s="132"/>
      <c r="Z1286" s="132"/>
      <c r="AA1286" s="132"/>
      <c r="AB1286" s="132"/>
    </row>
    <row r="1287" spans="1:28" s="133" customFormat="1" ht="15" customHeight="1" outlineLevel="1" x14ac:dyDescent="0.2">
      <c r="A1287" s="134">
        <v>28</v>
      </c>
      <c r="B1287" s="134">
        <v>39886</v>
      </c>
      <c r="C1287" s="135">
        <v>41851</v>
      </c>
      <c r="D1287" s="136" t="s">
        <v>1806</v>
      </c>
      <c r="E1287" s="134" t="s">
        <v>1787</v>
      </c>
      <c r="F1287" s="137" t="s">
        <v>114</v>
      </c>
      <c r="G1287" s="138" t="s">
        <v>416</v>
      </c>
      <c r="H1287" s="139"/>
      <c r="I1287" s="140">
        <v>1</v>
      </c>
      <c r="J1287" s="141">
        <v>33370</v>
      </c>
      <c r="K1287" s="141">
        <v>33370</v>
      </c>
      <c r="L1287" s="181" t="s">
        <v>757</v>
      </c>
      <c r="M1287" s="167" t="s">
        <v>39</v>
      </c>
      <c r="N1287" s="131"/>
      <c r="O1287" s="132"/>
      <c r="P1287" s="132"/>
      <c r="Q1287" s="132"/>
      <c r="R1287" s="132"/>
      <c r="S1287" s="132"/>
      <c r="T1287" s="132"/>
      <c r="U1287" s="132"/>
      <c r="V1287" s="132"/>
      <c r="W1287" s="132"/>
      <c r="X1287" s="132"/>
      <c r="Y1287" s="132"/>
      <c r="Z1287" s="132"/>
      <c r="AA1287" s="132"/>
      <c r="AB1287" s="132"/>
    </row>
    <row r="1288" spans="1:28" s="133" customFormat="1" ht="15" customHeight="1" outlineLevel="1" x14ac:dyDescent="0.2">
      <c r="A1288" s="134">
        <v>29</v>
      </c>
      <c r="B1288" s="134">
        <v>39962</v>
      </c>
      <c r="C1288" s="135">
        <v>41851</v>
      </c>
      <c r="D1288" s="136" t="s">
        <v>1807</v>
      </c>
      <c r="E1288" s="134" t="s">
        <v>411</v>
      </c>
      <c r="F1288" s="137" t="s">
        <v>208</v>
      </c>
      <c r="G1288" s="138" t="s">
        <v>407</v>
      </c>
      <c r="H1288" s="139"/>
      <c r="I1288" s="140">
        <v>1</v>
      </c>
      <c r="J1288" s="141">
        <v>14099</v>
      </c>
      <c r="K1288" s="141">
        <v>14099</v>
      </c>
      <c r="L1288" s="181" t="s">
        <v>757</v>
      </c>
      <c r="M1288" s="167" t="s">
        <v>39</v>
      </c>
      <c r="N1288" s="131"/>
      <c r="O1288" s="132"/>
      <c r="P1288" s="132"/>
      <c r="Q1288" s="132"/>
      <c r="R1288" s="132"/>
      <c r="S1288" s="132"/>
      <c r="T1288" s="132"/>
      <c r="U1288" s="132"/>
      <c r="V1288" s="132"/>
      <c r="W1288" s="132"/>
      <c r="X1288" s="132"/>
      <c r="Y1288" s="132"/>
      <c r="Z1288" s="132"/>
      <c r="AA1288" s="132"/>
      <c r="AB1288" s="132"/>
    </row>
    <row r="1289" spans="1:28" s="133" customFormat="1" ht="15" customHeight="1" outlineLevel="1" x14ac:dyDescent="0.2">
      <c r="A1289" s="134">
        <v>1</v>
      </c>
      <c r="B1289" s="134">
        <v>40426</v>
      </c>
      <c r="C1289" s="135">
        <v>41856</v>
      </c>
      <c r="D1289" s="136" t="s">
        <v>1808</v>
      </c>
      <c r="E1289" s="134" t="s">
        <v>411</v>
      </c>
      <c r="F1289" s="137" t="s">
        <v>215</v>
      </c>
      <c r="G1289" s="138" t="s">
        <v>366</v>
      </c>
      <c r="H1289" s="139"/>
      <c r="I1289" s="140">
        <v>1</v>
      </c>
      <c r="J1289" s="141">
        <v>44597</v>
      </c>
      <c r="K1289" s="141">
        <v>44597</v>
      </c>
      <c r="L1289" s="655" t="s">
        <v>785</v>
      </c>
      <c r="M1289" s="167" t="s">
        <v>39</v>
      </c>
      <c r="N1289" s="131"/>
      <c r="O1289" s="132"/>
      <c r="P1289" s="132"/>
      <c r="Q1289" s="132"/>
      <c r="R1289" s="132"/>
      <c r="S1289" s="132"/>
      <c r="T1289" s="132"/>
      <c r="U1289" s="132"/>
      <c r="V1289" s="132"/>
      <c r="W1289" s="132"/>
      <c r="X1289" s="132"/>
      <c r="Y1289" s="132"/>
      <c r="Z1289" s="132"/>
      <c r="AA1289" s="132"/>
      <c r="AB1289" s="132"/>
    </row>
    <row r="1290" spans="1:28" s="133" customFormat="1" ht="15" customHeight="1" outlineLevel="1" x14ac:dyDescent="0.2">
      <c r="A1290" s="134">
        <v>2</v>
      </c>
      <c r="B1290" s="134">
        <v>45278</v>
      </c>
      <c r="C1290" s="135">
        <v>41871</v>
      </c>
      <c r="D1290" s="136" t="s">
        <v>1809</v>
      </c>
      <c r="E1290" s="134" t="s">
        <v>1810</v>
      </c>
      <c r="F1290" s="137" t="s">
        <v>534</v>
      </c>
      <c r="G1290" s="138" t="s">
        <v>524</v>
      </c>
      <c r="H1290" s="139"/>
      <c r="I1290" s="140">
        <v>1</v>
      </c>
      <c r="J1290" s="141">
        <v>30429</v>
      </c>
      <c r="K1290" s="141">
        <v>30429</v>
      </c>
      <c r="L1290" s="656"/>
      <c r="M1290" s="167" t="s">
        <v>39</v>
      </c>
      <c r="N1290" s="131"/>
      <c r="O1290" s="132"/>
      <c r="P1290" s="132"/>
      <c r="Q1290" s="132"/>
      <c r="R1290" s="132"/>
      <c r="S1290" s="132"/>
      <c r="T1290" s="132"/>
      <c r="U1290" s="132"/>
      <c r="V1290" s="132"/>
      <c r="W1290" s="132"/>
      <c r="X1290" s="132"/>
      <c r="Y1290" s="132"/>
      <c r="Z1290" s="132"/>
      <c r="AA1290" s="132"/>
      <c r="AB1290" s="132"/>
    </row>
    <row r="1291" spans="1:28" s="133" customFormat="1" ht="15" customHeight="1" outlineLevel="1" x14ac:dyDescent="0.2">
      <c r="A1291" s="134">
        <v>3</v>
      </c>
      <c r="B1291" s="134">
        <v>42375</v>
      </c>
      <c r="C1291" s="135">
        <v>41862</v>
      </c>
      <c r="D1291" s="136" t="s">
        <v>1811</v>
      </c>
      <c r="E1291" s="134" t="s">
        <v>411</v>
      </c>
      <c r="F1291" s="137" t="s">
        <v>534</v>
      </c>
      <c r="G1291" s="138" t="s">
        <v>469</v>
      </c>
      <c r="H1291" s="139"/>
      <c r="I1291" s="140">
        <v>1</v>
      </c>
      <c r="J1291" s="141">
        <v>30429</v>
      </c>
      <c r="K1291" s="141">
        <v>30429</v>
      </c>
      <c r="L1291" s="656"/>
      <c r="M1291" s="167" t="s">
        <v>39</v>
      </c>
      <c r="N1291" s="131"/>
      <c r="O1291" s="132"/>
      <c r="P1291" s="132"/>
      <c r="Q1291" s="132"/>
      <c r="R1291" s="132"/>
      <c r="S1291" s="132"/>
      <c r="T1291" s="132"/>
      <c r="U1291" s="132"/>
      <c r="V1291" s="132"/>
      <c r="W1291" s="132"/>
      <c r="X1291" s="132"/>
      <c r="Y1291" s="132"/>
      <c r="Z1291" s="132"/>
      <c r="AA1291" s="132"/>
      <c r="AB1291" s="132"/>
    </row>
    <row r="1292" spans="1:28" s="133" customFormat="1" ht="15" customHeight="1" outlineLevel="1" x14ac:dyDescent="0.2">
      <c r="A1292" s="134">
        <v>4</v>
      </c>
      <c r="B1292" s="134">
        <v>46578</v>
      </c>
      <c r="C1292" s="135">
        <v>41879</v>
      </c>
      <c r="D1292" s="136" t="s">
        <v>1812</v>
      </c>
      <c r="E1292" s="134" t="s">
        <v>1787</v>
      </c>
      <c r="F1292" s="137" t="s">
        <v>115</v>
      </c>
      <c r="G1292" s="138" t="s">
        <v>416</v>
      </c>
      <c r="H1292" s="139"/>
      <c r="I1292" s="140">
        <v>1</v>
      </c>
      <c r="J1292" s="141">
        <v>5274</v>
      </c>
      <c r="K1292" s="141">
        <v>5274</v>
      </c>
      <c r="L1292" s="656"/>
      <c r="M1292" s="167" t="s">
        <v>39</v>
      </c>
      <c r="N1292" s="131"/>
      <c r="O1292" s="132"/>
      <c r="P1292" s="132"/>
      <c r="Q1292" s="132"/>
      <c r="R1292" s="132"/>
      <c r="S1292" s="132"/>
      <c r="T1292" s="132"/>
      <c r="U1292" s="132"/>
      <c r="V1292" s="132"/>
      <c r="W1292" s="132"/>
      <c r="X1292" s="132"/>
      <c r="Y1292" s="132"/>
      <c r="Z1292" s="132"/>
      <c r="AA1292" s="132"/>
      <c r="AB1292" s="132"/>
    </row>
    <row r="1293" spans="1:28" s="133" customFormat="1" ht="15" customHeight="1" outlineLevel="1" x14ac:dyDescent="0.2">
      <c r="A1293" s="134">
        <v>6</v>
      </c>
      <c r="B1293" s="134">
        <v>41047</v>
      </c>
      <c r="C1293" s="135">
        <v>41857</v>
      </c>
      <c r="D1293" s="136" t="s">
        <v>1813</v>
      </c>
      <c r="E1293" s="134" t="s">
        <v>411</v>
      </c>
      <c r="F1293" s="137" t="s">
        <v>577</v>
      </c>
      <c r="G1293" s="138" t="s">
        <v>368</v>
      </c>
      <c r="H1293" s="139"/>
      <c r="I1293" s="140">
        <v>1</v>
      </c>
      <c r="J1293" s="141">
        <v>25800</v>
      </c>
      <c r="K1293" s="141">
        <v>25800</v>
      </c>
      <c r="L1293" s="656"/>
      <c r="M1293" s="167" t="s">
        <v>39</v>
      </c>
      <c r="N1293" s="131"/>
      <c r="O1293" s="132"/>
      <c r="P1293" s="132"/>
      <c r="Q1293" s="132"/>
      <c r="R1293" s="132"/>
      <c r="S1293" s="132"/>
      <c r="T1293" s="132"/>
      <c r="U1293" s="132"/>
      <c r="V1293" s="132"/>
      <c r="W1293" s="132"/>
      <c r="X1293" s="132"/>
      <c r="Y1293" s="132"/>
      <c r="Z1293" s="132"/>
      <c r="AA1293" s="132"/>
      <c r="AB1293" s="132"/>
    </row>
    <row r="1294" spans="1:28" s="133" customFormat="1" ht="15" customHeight="1" outlineLevel="1" x14ac:dyDescent="0.2">
      <c r="A1294" s="134">
        <v>7</v>
      </c>
      <c r="B1294" s="134">
        <v>44036</v>
      </c>
      <c r="C1294" s="135">
        <v>41869</v>
      </c>
      <c r="D1294" s="136" t="s">
        <v>1768</v>
      </c>
      <c r="E1294" s="134" t="s">
        <v>411</v>
      </c>
      <c r="F1294" s="137" t="s">
        <v>114</v>
      </c>
      <c r="G1294" s="138" t="s">
        <v>416</v>
      </c>
      <c r="H1294" s="139"/>
      <c r="I1294" s="140">
        <v>1</v>
      </c>
      <c r="J1294" s="141">
        <v>33370</v>
      </c>
      <c r="K1294" s="141">
        <v>33370</v>
      </c>
      <c r="L1294" s="656"/>
      <c r="M1294" s="167" t="s">
        <v>39</v>
      </c>
      <c r="N1294" s="131"/>
      <c r="O1294" s="132"/>
      <c r="P1294" s="132"/>
      <c r="Q1294" s="132"/>
      <c r="R1294" s="132"/>
      <c r="S1294" s="132"/>
      <c r="T1294" s="132"/>
      <c r="U1294" s="132"/>
      <c r="V1294" s="132"/>
      <c r="W1294" s="132"/>
      <c r="X1294" s="132"/>
      <c r="Y1294" s="132"/>
      <c r="Z1294" s="132"/>
      <c r="AA1294" s="132"/>
      <c r="AB1294" s="132"/>
    </row>
    <row r="1295" spans="1:28" s="133" customFormat="1" ht="15" customHeight="1" outlineLevel="1" x14ac:dyDescent="0.2">
      <c r="A1295" s="134">
        <v>8</v>
      </c>
      <c r="B1295" s="134">
        <v>47220</v>
      </c>
      <c r="C1295" s="135">
        <v>41878</v>
      </c>
      <c r="D1295" s="136" t="s">
        <v>1814</v>
      </c>
      <c r="E1295" s="134" t="s">
        <v>512</v>
      </c>
      <c r="F1295" s="137" t="s">
        <v>577</v>
      </c>
      <c r="G1295" s="138" t="s">
        <v>368</v>
      </c>
      <c r="H1295" s="139"/>
      <c r="I1295" s="140">
        <v>1</v>
      </c>
      <c r="J1295" s="141">
        <v>25800</v>
      </c>
      <c r="K1295" s="141">
        <v>25800</v>
      </c>
      <c r="L1295" s="656"/>
      <c r="M1295" s="167" t="s">
        <v>39</v>
      </c>
      <c r="N1295" s="131"/>
      <c r="O1295" s="132"/>
      <c r="P1295" s="132"/>
      <c r="Q1295" s="132"/>
      <c r="R1295" s="132"/>
      <c r="S1295" s="132"/>
      <c r="T1295" s="132"/>
      <c r="U1295" s="132"/>
      <c r="V1295" s="132"/>
      <c r="W1295" s="132"/>
      <c r="X1295" s="132"/>
      <c r="Y1295" s="132"/>
      <c r="Z1295" s="132"/>
      <c r="AA1295" s="132"/>
      <c r="AB1295" s="132"/>
    </row>
    <row r="1296" spans="1:28" s="133" customFormat="1" ht="15" customHeight="1" outlineLevel="1" x14ac:dyDescent="0.2">
      <c r="A1296" s="134">
        <v>9</v>
      </c>
      <c r="B1296" s="134">
        <v>47617</v>
      </c>
      <c r="C1296" s="135">
        <v>41879</v>
      </c>
      <c r="D1296" s="136" t="s">
        <v>1815</v>
      </c>
      <c r="E1296" s="134" t="s">
        <v>411</v>
      </c>
      <c r="F1296" s="137" t="s">
        <v>215</v>
      </c>
      <c r="G1296" s="138" t="s">
        <v>368</v>
      </c>
      <c r="H1296" s="139"/>
      <c r="I1296" s="140">
        <v>1</v>
      </c>
      <c r="J1296" s="141">
        <v>44597</v>
      </c>
      <c r="K1296" s="141">
        <v>44597</v>
      </c>
      <c r="L1296" s="656"/>
      <c r="M1296" s="167" t="s">
        <v>39</v>
      </c>
      <c r="N1296" s="131"/>
      <c r="O1296" s="132"/>
      <c r="P1296" s="132"/>
      <c r="Q1296" s="132"/>
      <c r="R1296" s="132"/>
      <c r="S1296" s="132"/>
      <c r="T1296" s="132"/>
      <c r="U1296" s="132"/>
      <c r="V1296" s="132"/>
      <c r="W1296" s="132"/>
      <c r="X1296" s="132"/>
      <c r="Y1296" s="132"/>
      <c r="Z1296" s="132"/>
      <c r="AA1296" s="132"/>
      <c r="AB1296" s="132"/>
    </row>
    <row r="1297" spans="1:28" s="133" customFormat="1" ht="15" customHeight="1" outlineLevel="1" x14ac:dyDescent="0.2">
      <c r="A1297" s="134">
        <v>10</v>
      </c>
      <c r="B1297" s="134">
        <v>45865</v>
      </c>
      <c r="C1297" s="135">
        <v>41873</v>
      </c>
      <c r="D1297" s="136" t="s">
        <v>510</v>
      </c>
      <c r="E1297" s="134" t="s">
        <v>411</v>
      </c>
      <c r="F1297" s="137" t="s">
        <v>115</v>
      </c>
      <c r="G1297" s="138" t="s">
        <v>412</v>
      </c>
      <c r="H1297" s="139"/>
      <c r="I1297" s="140">
        <v>1</v>
      </c>
      <c r="J1297" s="141">
        <v>5274</v>
      </c>
      <c r="K1297" s="141">
        <v>5274</v>
      </c>
      <c r="L1297" s="656"/>
      <c r="M1297" s="167" t="s">
        <v>39</v>
      </c>
      <c r="N1297" s="131"/>
      <c r="O1297" s="132"/>
      <c r="P1297" s="132"/>
      <c r="Q1297" s="132"/>
      <c r="R1297" s="132"/>
      <c r="S1297" s="132"/>
      <c r="T1297" s="132"/>
      <c r="U1297" s="132"/>
      <c r="V1297" s="132"/>
      <c r="W1297" s="132"/>
      <c r="X1297" s="132"/>
      <c r="Y1297" s="132"/>
      <c r="Z1297" s="132"/>
      <c r="AA1297" s="132"/>
      <c r="AB1297" s="132"/>
    </row>
    <row r="1298" spans="1:28" s="133" customFormat="1" ht="15" customHeight="1" outlineLevel="1" x14ac:dyDescent="0.2">
      <c r="A1298" s="134">
        <v>11</v>
      </c>
      <c r="B1298" s="134">
        <v>48022</v>
      </c>
      <c r="C1298" s="135">
        <v>41880</v>
      </c>
      <c r="D1298" s="136" t="s">
        <v>1816</v>
      </c>
      <c r="E1298" s="134" t="s">
        <v>411</v>
      </c>
      <c r="F1298" s="137" t="s">
        <v>115</v>
      </c>
      <c r="G1298" s="138" t="s">
        <v>524</v>
      </c>
      <c r="H1298" s="139"/>
      <c r="I1298" s="140">
        <v>1</v>
      </c>
      <c r="J1298" s="141">
        <v>5274</v>
      </c>
      <c r="K1298" s="141">
        <v>5274</v>
      </c>
      <c r="L1298" s="656"/>
      <c r="M1298" s="167" t="s">
        <v>39</v>
      </c>
      <c r="N1298" s="131"/>
      <c r="O1298" s="132"/>
      <c r="P1298" s="132"/>
      <c r="Q1298" s="132"/>
      <c r="R1298" s="132"/>
      <c r="S1298" s="132"/>
      <c r="T1298" s="132"/>
      <c r="U1298" s="132"/>
      <c r="V1298" s="132"/>
      <c r="W1298" s="132"/>
      <c r="X1298" s="132"/>
      <c r="Y1298" s="132"/>
      <c r="Z1298" s="132"/>
      <c r="AA1298" s="132"/>
      <c r="AB1298" s="132"/>
    </row>
    <row r="1299" spans="1:28" s="133" customFormat="1" ht="15" customHeight="1" outlineLevel="1" x14ac:dyDescent="0.2">
      <c r="A1299" s="134">
        <v>12</v>
      </c>
      <c r="B1299" s="134">
        <v>47904</v>
      </c>
      <c r="C1299" s="135">
        <v>41879</v>
      </c>
      <c r="D1299" s="136" t="s">
        <v>1817</v>
      </c>
      <c r="E1299" s="134" t="s">
        <v>1787</v>
      </c>
      <c r="F1299" s="137" t="s">
        <v>534</v>
      </c>
      <c r="G1299" s="138" t="s">
        <v>428</v>
      </c>
      <c r="H1299" s="139"/>
      <c r="I1299" s="140">
        <v>1</v>
      </c>
      <c r="J1299" s="141">
        <v>30429</v>
      </c>
      <c r="K1299" s="141">
        <v>30429</v>
      </c>
      <c r="L1299" s="656"/>
      <c r="M1299" s="167" t="s">
        <v>39</v>
      </c>
      <c r="N1299" s="131"/>
      <c r="O1299" s="132"/>
      <c r="P1299" s="132"/>
      <c r="Q1299" s="132"/>
      <c r="R1299" s="132"/>
      <c r="S1299" s="132"/>
      <c r="T1299" s="132"/>
      <c r="U1299" s="132"/>
      <c r="V1299" s="132"/>
      <c r="W1299" s="132"/>
      <c r="X1299" s="132"/>
      <c r="Y1299" s="132"/>
      <c r="Z1299" s="132"/>
      <c r="AA1299" s="132"/>
      <c r="AB1299" s="132"/>
    </row>
    <row r="1300" spans="1:28" s="133" customFormat="1" ht="15" customHeight="1" outlineLevel="1" x14ac:dyDescent="0.2">
      <c r="A1300" s="134">
        <v>13</v>
      </c>
      <c r="B1300" s="134">
        <v>43795</v>
      </c>
      <c r="C1300" s="135">
        <v>41869</v>
      </c>
      <c r="D1300" s="136" t="s">
        <v>1818</v>
      </c>
      <c r="E1300" s="134" t="s">
        <v>411</v>
      </c>
      <c r="F1300" s="137" t="s">
        <v>215</v>
      </c>
      <c r="G1300" s="138" t="s">
        <v>366</v>
      </c>
      <c r="H1300" s="139"/>
      <c r="I1300" s="140">
        <v>1</v>
      </c>
      <c r="J1300" s="141">
        <v>44597</v>
      </c>
      <c r="K1300" s="141">
        <v>44597</v>
      </c>
      <c r="L1300" s="656"/>
      <c r="M1300" s="167" t="s">
        <v>39</v>
      </c>
      <c r="N1300" s="131"/>
      <c r="O1300" s="132"/>
      <c r="P1300" s="132"/>
      <c r="Q1300" s="132"/>
      <c r="R1300" s="132"/>
      <c r="S1300" s="132"/>
      <c r="T1300" s="132"/>
      <c r="U1300" s="132"/>
      <c r="V1300" s="132"/>
      <c r="W1300" s="132"/>
      <c r="X1300" s="132"/>
      <c r="Y1300" s="132"/>
      <c r="Z1300" s="132"/>
      <c r="AA1300" s="132"/>
      <c r="AB1300" s="132"/>
    </row>
    <row r="1301" spans="1:28" s="133" customFormat="1" ht="15" customHeight="1" outlineLevel="1" x14ac:dyDescent="0.2">
      <c r="A1301" s="134">
        <v>14</v>
      </c>
      <c r="B1301" s="134">
        <v>46774</v>
      </c>
      <c r="C1301" s="135">
        <v>41876</v>
      </c>
      <c r="D1301" s="136" t="s">
        <v>1819</v>
      </c>
      <c r="E1301" s="134" t="s">
        <v>587</v>
      </c>
      <c r="F1301" s="137" t="s">
        <v>215</v>
      </c>
      <c r="G1301" s="138" t="s">
        <v>368</v>
      </c>
      <c r="H1301" s="139"/>
      <c r="I1301" s="140">
        <v>1</v>
      </c>
      <c r="J1301" s="141">
        <v>44597</v>
      </c>
      <c r="K1301" s="141">
        <v>44597</v>
      </c>
      <c r="L1301" s="656"/>
      <c r="M1301" s="167" t="s">
        <v>39</v>
      </c>
      <c r="N1301" s="131"/>
      <c r="O1301" s="132"/>
      <c r="P1301" s="132"/>
      <c r="Q1301" s="132"/>
      <c r="R1301" s="132"/>
      <c r="S1301" s="132"/>
      <c r="T1301" s="132"/>
      <c r="U1301" s="132"/>
      <c r="V1301" s="132"/>
      <c r="W1301" s="132"/>
      <c r="X1301" s="132"/>
      <c r="Y1301" s="132"/>
      <c r="Z1301" s="132"/>
      <c r="AA1301" s="132"/>
      <c r="AB1301" s="132"/>
    </row>
    <row r="1302" spans="1:28" s="133" customFormat="1" ht="15" customHeight="1" outlineLevel="1" x14ac:dyDescent="0.2">
      <c r="A1302" s="134">
        <v>15</v>
      </c>
      <c r="B1302" s="134">
        <v>40966</v>
      </c>
      <c r="C1302" s="135">
        <v>41857</v>
      </c>
      <c r="D1302" s="136" t="s">
        <v>1794</v>
      </c>
      <c r="E1302" s="134" t="s">
        <v>411</v>
      </c>
      <c r="F1302" s="137" t="s">
        <v>114</v>
      </c>
      <c r="G1302" s="138" t="s">
        <v>414</v>
      </c>
      <c r="H1302" s="139"/>
      <c r="I1302" s="140">
        <v>1</v>
      </c>
      <c r="J1302" s="141">
        <v>33370</v>
      </c>
      <c r="K1302" s="141">
        <v>33370</v>
      </c>
      <c r="L1302" s="656"/>
      <c r="M1302" s="167" t="s">
        <v>39</v>
      </c>
      <c r="N1302" s="131"/>
      <c r="O1302" s="132"/>
      <c r="P1302" s="132"/>
      <c r="Q1302" s="132"/>
      <c r="R1302" s="132"/>
      <c r="S1302" s="132"/>
      <c r="T1302" s="132"/>
      <c r="U1302" s="132"/>
      <c r="V1302" s="132"/>
      <c r="W1302" s="132"/>
      <c r="X1302" s="132"/>
      <c r="Y1302" s="132"/>
      <c r="Z1302" s="132"/>
      <c r="AA1302" s="132"/>
      <c r="AB1302" s="132"/>
    </row>
    <row r="1303" spans="1:28" s="133" customFormat="1" ht="15" customHeight="1" outlineLevel="1" x14ac:dyDescent="0.2">
      <c r="A1303" s="134">
        <v>16</v>
      </c>
      <c r="B1303" s="134">
        <v>43717</v>
      </c>
      <c r="C1303" s="135">
        <v>41865</v>
      </c>
      <c r="D1303" s="136" t="s">
        <v>1820</v>
      </c>
      <c r="E1303" s="134" t="s">
        <v>1787</v>
      </c>
      <c r="F1303" s="137" t="s">
        <v>534</v>
      </c>
      <c r="G1303" s="138" t="s">
        <v>428</v>
      </c>
      <c r="H1303" s="139"/>
      <c r="I1303" s="140">
        <v>1</v>
      </c>
      <c r="J1303" s="141">
        <v>30429</v>
      </c>
      <c r="K1303" s="141">
        <v>30429</v>
      </c>
      <c r="L1303" s="656"/>
      <c r="M1303" s="167" t="s">
        <v>39</v>
      </c>
      <c r="N1303" s="131"/>
      <c r="O1303" s="132"/>
      <c r="P1303" s="132"/>
      <c r="Q1303" s="132"/>
      <c r="R1303" s="132"/>
      <c r="S1303" s="132"/>
      <c r="T1303" s="132"/>
      <c r="U1303" s="132"/>
      <c r="V1303" s="132"/>
      <c r="W1303" s="132"/>
      <c r="X1303" s="132"/>
      <c r="Y1303" s="132"/>
      <c r="Z1303" s="132"/>
      <c r="AA1303" s="132"/>
      <c r="AB1303" s="132"/>
    </row>
    <row r="1304" spans="1:28" s="133" customFormat="1" ht="15" customHeight="1" outlineLevel="1" x14ac:dyDescent="0.2">
      <c r="A1304" s="134">
        <v>17</v>
      </c>
      <c r="B1304" s="134">
        <v>47955</v>
      </c>
      <c r="C1304" s="135">
        <v>41879</v>
      </c>
      <c r="D1304" s="136" t="s">
        <v>1501</v>
      </c>
      <c r="E1304" s="134" t="s">
        <v>411</v>
      </c>
      <c r="F1304" s="137" t="s">
        <v>574</v>
      </c>
      <c r="G1304" s="138" t="s">
        <v>414</v>
      </c>
      <c r="H1304" s="139"/>
      <c r="I1304" s="140">
        <v>1</v>
      </c>
      <c r="J1304" s="141">
        <v>49701</v>
      </c>
      <c r="K1304" s="141">
        <v>49701</v>
      </c>
      <c r="L1304" s="656"/>
      <c r="M1304" s="167" t="s">
        <v>39</v>
      </c>
      <c r="N1304" s="131"/>
      <c r="O1304" s="132"/>
      <c r="P1304" s="132"/>
      <c r="Q1304" s="132"/>
      <c r="R1304" s="132"/>
      <c r="S1304" s="132"/>
      <c r="T1304" s="132"/>
      <c r="U1304" s="132"/>
      <c r="V1304" s="132"/>
      <c r="W1304" s="132"/>
      <c r="X1304" s="132"/>
      <c r="Y1304" s="132"/>
      <c r="Z1304" s="132"/>
      <c r="AA1304" s="132"/>
      <c r="AB1304" s="132"/>
    </row>
    <row r="1305" spans="1:28" s="133" customFormat="1" ht="15" customHeight="1" outlineLevel="1" x14ac:dyDescent="0.2">
      <c r="A1305" s="134">
        <v>18</v>
      </c>
      <c r="B1305" s="134">
        <v>41162</v>
      </c>
      <c r="C1305" s="135">
        <v>41857</v>
      </c>
      <c r="D1305" s="136" t="s">
        <v>775</v>
      </c>
      <c r="E1305" s="134" t="s">
        <v>411</v>
      </c>
      <c r="F1305" s="137" t="s">
        <v>114</v>
      </c>
      <c r="G1305" s="138" t="s">
        <v>591</v>
      </c>
      <c r="H1305" s="139"/>
      <c r="I1305" s="140">
        <v>1</v>
      </c>
      <c r="J1305" s="141">
        <v>33370</v>
      </c>
      <c r="K1305" s="141">
        <v>33370</v>
      </c>
      <c r="L1305" s="656"/>
      <c r="M1305" s="167" t="s">
        <v>39</v>
      </c>
      <c r="N1305" s="131"/>
      <c r="O1305" s="132"/>
      <c r="P1305" s="132"/>
      <c r="Q1305" s="132"/>
      <c r="R1305" s="132"/>
      <c r="S1305" s="132"/>
      <c r="T1305" s="132"/>
      <c r="U1305" s="132"/>
      <c r="V1305" s="132"/>
      <c r="W1305" s="132"/>
      <c r="X1305" s="132"/>
      <c r="Y1305" s="132"/>
      <c r="Z1305" s="132"/>
      <c r="AA1305" s="132"/>
      <c r="AB1305" s="132"/>
    </row>
    <row r="1306" spans="1:28" s="133" customFormat="1" ht="15" customHeight="1" outlineLevel="1" x14ac:dyDescent="0.2">
      <c r="A1306" s="134">
        <v>19</v>
      </c>
      <c r="B1306" s="134">
        <v>44526</v>
      </c>
      <c r="C1306" s="135">
        <v>41869</v>
      </c>
      <c r="D1306" s="136" t="s">
        <v>1821</v>
      </c>
      <c r="E1306" s="134" t="s">
        <v>411</v>
      </c>
      <c r="F1306" s="137" t="s">
        <v>574</v>
      </c>
      <c r="G1306" s="138" t="s">
        <v>524</v>
      </c>
      <c r="H1306" s="139"/>
      <c r="I1306" s="140">
        <v>1</v>
      </c>
      <c r="J1306" s="141">
        <v>49701</v>
      </c>
      <c r="K1306" s="141">
        <v>49701</v>
      </c>
      <c r="L1306" s="656"/>
      <c r="M1306" s="167" t="s">
        <v>39</v>
      </c>
      <c r="N1306" s="131"/>
      <c r="O1306" s="132"/>
      <c r="P1306" s="132"/>
      <c r="Q1306" s="132"/>
      <c r="R1306" s="132"/>
      <c r="S1306" s="132"/>
      <c r="T1306" s="132"/>
      <c r="U1306" s="132"/>
      <c r="V1306" s="132"/>
      <c r="W1306" s="132"/>
      <c r="X1306" s="132"/>
      <c r="Y1306" s="132"/>
      <c r="Z1306" s="132"/>
      <c r="AA1306" s="132"/>
      <c r="AB1306" s="132"/>
    </row>
    <row r="1307" spans="1:28" s="133" customFormat="1" ht="15" customHeight="1" outlineLevel="1" x14ac:dyDescent="0.2">
      <c r="A1307" s="134">
        <v>20</v>
      </c>
      <c r="B1307" s="134">
        <v>41480</v>
      </c>
      <c r="C1307" s="135">
        <v>41859</v>
      </c>
      <c r="D1307" s="136" t="s">
        <v>1822</v>
      </c>
      <c r="E1307" s="134" t="s">
        <v>940</v>
      </c>
      <c r="F1307" s="137" t="s">
        <v>577</v>
      </c>
      <c r="G1307" s="138" t="s">
        <v>368</v>
      </c>
      <c r="H1307" s="139"/>
      <c r="I1307" s="140">
        <v>1</v>
      </c>
      <c r="J1307" s="141">
        <v>25800</v>
      </c>
      <c r="K1307" s="141">
        <v>25800</v>
      </c>
      <c r="L1307" s="656"/>
      <c r="M1307" s="167" t="s">
        <v>39</v>
      </c>
      <c r="N1307" s="131"/>
      <c r="O1307" s="132"/>
      <c r="P1307" s="132"/>
      <c r="Q1307" s="132"/>
      <c r="R1307" s="132"/>
      <c r="S1307" s="132"/>
      <c r="T1307" s="132"/>
      <c r="U1307" s="132"/>
      <c r="V1307" s="132"/>
      <c r="W1307" s="132"/>
      <c r="X1307" s="132"/>
      <c r="Y1307" s="132"/>
      <c r="Z1307" s="132"/>
      <c r="AA1307" s="132"/>
      <c r="AB1307" s="132"/>
    </row>
    <row r="1308" spans="1:28" s="133" customFormat="1" ht="15" customHeight="1" outlineLevel="1" x14ac:dyDescent="0.2">
      <c r="A1308" s="134">
        <v>21</v>
      </c>
      <c r="B1308" s="134">
        <v>46225</v>
      </c>
      <c r="C1308" s="135">
        <v>41874</v>
      </c>
      <c r="D1308" s="136" t="s">
        <v>1823</v>
      </c>
      <c r="E1308" s="134" t="s">
        <v>411</v>
      </c>
      <c r="F1308" s="137" t="s">
        <v>115</v>
      </c>
      <c r="G1308" s="138" t="s">
        <v>416</v>
      </c>
      <c r="H1308" s="139"/>
      <c r="I1308" s="140">
        <v>1</v>
      </c>
      <c r="J1308" s="141">
        <v>5274</v>
      </c>
      <c r="K1308" s="141">
        <v>5274</v>
      </c>
      <c r="L1308" s="656"/>
      <c r="M1308" s="167" t="s">
        <v>39</v>
      </c>
      <c r="N1308" s="131"/>
      <c r="O1308" s="132"/>
      <c r="P1308" s="132"/>
      <c r="Q1308" s="132"/>
      <c r="R1308" s="132"/>
      <c r="S1308" s="132"/>
      <c r="T1308" s="132"/>
      <c r="U1308" s="132"/>
      <c r="V1308" s="132"/>
      <c r="W1308" s="132"/>
      <c r="X1308" s="132"/>
      <c r="Y1308" s="132"/>
      <c r="Z1308" s="132"/>
      <c r="AA1308" s="132"/>
      <c r="AB1308" s="132"/>
    </row>
    <row r="1309" spans="1:28" s="133" customFormat="1" ht="15" customHeight="1" outlineLevel="1" x14ac:dyDescent="0.2">
      <c r="A1309" s="134">
        <v>22</v>
      </c>
      <c r="B1309" s="134">
        <v>47793</v>
      </c>
      <c r="C1309" s="135">
        <v>41879</v>
      </c>
      <c r="D1309" s="136" t="s">
        <v>1824</v>
      </c>
      <c r="E1309" s="134" t="s">
        <v>411</v>
      </c>
      <c r="F1309" s="137" t="s">
        <v>215</v>
      </c>
      <c r="G1309" s="138" t="s">
        <v>384</v>
      </c>
      <c r="H1309" s="139"/>
      <c r="I1309" s="140">
        <v>2</v>
      </c>
      <c r="J1309" s="141">
        <v>44597</v>
      </c>
      <c r="K1309" s="141">
        <v>89194</v>
      </c>
      <c r="L1309" s="656"/>
      <c r="M1309" s="167" t="s">
        <v>39</v>
      </c>
      <c r="N1309" s="131"/>
      <c r="O1309" s="132"/>
      <c r="P1309" s="132"/>
      <c r="Q1309" s="132"/>
      <c r="R1309" s="132"/>
      <c r="S1309" s="132"/>
      <c r="T1309" s="132"/>
      <c r="U1309" s="132"/>
      <c r="V1309" s="132"/>
      <c r="W1309" s="132"/>
      <c r="X1309" s="132"/>
      <c r="Y1309" s="132"/>
      <c r="Z1309" s="132"/>
      <c r="AA1309" s="132"/>
      <c r="AB1309" s="132"/>
    </row>
    <row r="1310" spans="1:28" s="133" customFormat="1" ht="15" customHeight="1" outlineLevel="1" x14ac:dyDescent="0.2">
      <c r="A1310" s="134">
        <v>23</v>
      </c>
      <c r="B1310" s="134">
        <v>47179</v>
      </c>
      <c r="C1310" s="135">
        <v>41878</v>
      </c>
      <c r="D1310" s="136" t="s">
        <v>1825</v>
      </c>
      <c r="E1310" s="134" t="s">
        <v>411</v>
      </c>
      <c r="F1310" s="137" t="s">
        <v>215</v>
      </c>
      <c r="G1310" s="138" t="s">
        <v>368</v>
      </c>
      <c r="H1310" s="139"/>
      <c r="I1310" s="140">
        <v>1</v>
      </c>
      <c r="J1310" s="141">
        <v>44597</v>
      </c>
      <c r="K1310" s="141">
        <v>44597</v>
      </c>
      <c r="L1310" s="656"/>
      <c r="M1310" s="167" t="s">
        <v>39</v>
      </c>
      <c r="N1310" s="131"/>
      <c r="O1310" s="132"/>
      <c r="P1310" s="132"/>
      <c r="Q1310" s="132"/>
      <c r="R1310" s="132"/>
      <c r="S1310" s="132"/>
      <c r="T1310" s="132"/>
      <c r="U1310" s="132"/>
      <c r="V1310" s="132"/>
      <c r="W1310" s="132"/>
      <c r="X1310" s="132"/>
      <c r="Y1310" s="132"/>
      <c r="Z1310" s="132"/>
      <c r="AA1310" s="132"/>
      <c r="AB1310" s="132"/>
    </row>
    <row r="1311" spans="1:28" s="133" customFormat="1" ht="15" customHeight="1" outlineLevel="1" x14ac:dyDescent="0.2">
      <c r="A1311" s="134">
        <v>24</v>
      </c>
      <c r="B1311" s="134">
        <v>41416</v>
      </c>
      <c r="C1311" s="135">
        <v>41857</v>
      </c>
      <c r="D1311" s="136" t="s">
        <v>1826</v>
      </c>
      <c r="E1311" s="134" t="s">
        <v>411</v>
      </c>
      <c r="F1311" s="137" t="s">
        <v>215</v>
      </c>
      <c r="G1311" s="138" t="s">
        <v>368</v>
      </c>
      <c r="H1311" s="139"/>
      <c r="I1311" s="140">
        <v>1</v>
      </c>
      <c r="J1311" s="141">
        <v>44597</v>
      </c>
      <c r="K1311" s="141">
        <v>44597</v>
      </c>
      <c r="L1311" s="656"/>
      <c r="M1311" s="167" t="s">
        <v>39</v>
      </c>
      <c r="N1311" s="131"/>
      <c r="O1311" s="132"/>
      <c r="P1311" s="132"/>
      <c r="Q1311" s="132"/>
      <c r="R1311" s="132"/>
      <c r="S1311" s="132"/>
      <c r="T1311" s="132"/>
      <c r="U1311" s="132"/>
      <c r="V1311" s="132"/>
      <c r="W1311" s="132"/>
      <c r="X1311" s="132"/>
      <c r="Y1311" s="132"/>
      <c r="Z1311" s="132"/>
      <c r="AA1311" s="132"/>
      <c r="AB1311" s="132"/>
    </row>
    <row r="1312" spans="1:28" s="133" customFormat="1" ht="15" customHeight="1" outlineLevel="1" x14ac:dyDescent="0.2">
      <c r="A1312" s="134">
        <v>25</v>
      </c>
      <c r="B1312" s="134">
        <v>44910</v>
      </c>
      <c r="C1312" s="135">
        <v>41870</v>
      </c>
      <c r="D1312" s="136" t="s">
        <v>1827</v>
      </c>
      <c r="E1312" s="134" t="s">
        <v>411</v>
      </c>
      <c r="F1312" s="137" t="s">
        <v>217</v>
      </c>
      <c r="G1312" s="138" t="s">
        <v>366</v>
      </c>
      <c r="H1312" s="139"/>
      <c r="I1312" s="140">
        <v>1</v>
      </c>
      <c r="J1312" s="141">
        <v>22299</v>
      </c>
      <c r="K1312" s="141">
        <v>22299</v>
      </c>
      <c r="L1312" s="656"/>
      <c r="M1312" s="167" t="s">
        <v>39</v>
      </c>
      <c r="N1312" s="131"/>
      <c r="O1312" s="132"/>
      <c r="P1312" s="132"/>
      <c r="Q1312" s="132"/>
      <c r="R1312" s="132"/>
      <c r="S1312" s="132"/>
      <c r="T1312" s="132"/>
      <c r="U1312" s="132"/>
      <c r="V1312" s="132"/>
      <c r="W1312" s="132"/>
      <c r="X1312" s="132"/>
      <c r="Y1312" s="132"/>
      <c r="Z1312" s="132"/>
      <c r="AA1312" s="132"/>
      <c r="AB1312" s="132"/>
    </row>
    <row r="1313" spans="1:28" s="133" customFormat="1" ht="15" customHeight="1" outlineLevel="1" x14ac:dyDescent="0.2">
      <c r="A1313" s="134">
        <v>26</v>
      </c>
      <c r="B1313" s="134">
        <v>44034</v>
      </c>
      <c r="C1313" s="135">
        <v>41869</v>
      </c>
      <c r="D1313" s="136" t="s">
        <v>516</v>
      </c>
      <c r="E1313" s="134" t="s">
        <v>1787</v>
      </c>
      <c r="F1313" s="137" t="s">
        <v>215</v>
      </c>
      <c r="G1313" s="138" t="s">
        <v>366</v>
      </c>
      <c r="H1313" s="139"/>
      <c r="I1313" s="140">
        <v>1</v>
      </c>
      <c r="J1313" s="141">
        <v>44597</v>
      </c>
      <c r="K1313" s="141">
        <v>44597</v>
      </c>
      <c r="L1313" s="657"/>
      <c r="M1313" s="167" t="s">
        <v>39</v>
      </c>
      <c r="N1313" s="131"/>
      <c r="O1313" s="132"/>
      <c r="P1313" s="132"/>
      <c r="Q1313" s="132"/>
      <c r="R1313" s="132"/>
      <c r="S1313" s="132"/>
      <c r="T1313" s="132"/>
      <c r="U1313" s="132"/>
      <c r="V1313" s="132"/>
      <c r="W1313" s="132"/>
      <c r="X1313" s="132"/>
      <c r="Y1313" s="132"/>
      <c r="Z1313" s="132"/>
      <c r="AA1313" s="132"/>
      <c r="AB1313" s="132"/>
    </row>
    <row r="1314" spans="1:28" s="133" customFormat="1" ht="15" customHeight="1" outlineLevel="1" x14ac:dyDescent="0.2">
      <c r="A1314" s="134">
        <v>1</v>
      </c>
      <c r="B1314" s="134">
        <v>51838</v>
      </c>
      <c r="C1314" s="135">
        <v>41893</v>
      </c>
      <c r="D1314" s="136" t="s">
        <v>1828</v>
      </c>
      <c r="E1314" s="134" t="s">
        <v>1787</v>
      </c>
      <c r="F1314" s="137" t="s">
        <v>115</v>
      </c>
      <c r="G1314" s="138" t="s">
        <v>524</v>
      </c>
      <c r="H1314" s="139"/>
      <c r="I1314" s="140">
        <v>1</v>
      </c>
      <c r="J1314" s="141">
        <v>5274</v>
      </c>
      <c r="K1314" s="141">
        <v>5274</v>
      </c>
      <c r="L1314" s="646" t="s">
        <v>614</v>
      </c>
      <c r="M1314" s="167" t="s">
        <v>39</v>
      </c>
      <c r="N1314" s="131"/>
      <c r="O1314" s="132"/>
      <c r="P1314" s="132"/>
      <c r="Q1314" s="132"/>
      <c r="R1314" s="132"/>
      <c r="S1314" s="132"/>
      <c r="T1314" s="132"/>
      <c r="U1314" s="132"/>
      <c r="V1314" s="132"/>
      <c r="W1314" s="132"/>
      <c r="X1314" s="132"/>
      <c r="Y1314" s="132"/>
      <c r="Z1314" s="132"/>
      <c r="AA1314" s="132"/>
      <c r="AB1314" s="132"/>
    </row>
    <row r="1315" spans="1:28" s="133" customFormat="1" ht="15" customHeight="1" outlineLevel="1" x14ac:dyDescent="0.2">
      <c r="A1315" s="134">
        <v>2</v>
      </c>
      <c r="B1315" s="134">
        <v>49588</v>
      </c>
      <c r="C1315" s="135">
        <v>41885</v>
      </c>
      <c r="D1315" s="136" t="s">
        <v>1829</v>
      </c>
      <c r="E1315" s="134" t="s">
        <v>1787</v>
      </c>
      <c r="F1315" s="137" t="s">
        <v>115</v>
      </c>
      <c r="G1315" s="138" t="s">
        <v>407</v>
      </c>
      <c r="H1315" s="139"/>
      <c r="I1315" s="140">
        <v>1</v>
      </c>
      <c r="J1315" s="141">
        <v>5274</v>
      </c>
      <c r="K1315" s="141">
        <v>5274</v>
      </c>
      <c r="L1315" s="647"/>
      <c r="M1315" s="167" t="s">
        <v>39</v>
      </c>
      <c r="N1315" s="131"/>
      <c r="O1315" s="132"/>
      <c r="P1315" s="132"/>
      <c r="Q1315" s="132"/>
      <c r="R1315" s="132"/>
      <c r="S1315" s="132"/>
      <c r="T1315" s="132"/>
      <c r="U1315" s="132"/>
      <c r="V1315" s="132"/>
      <c r="W1315" s="132"/>
      <c r="X1315" s="132"/>
      <c r="Y1315" s="132"/>
      <c r="Z1315" s="132"/>
      <c r="AA1315" s="132"/>
      <c r="AB1315" s="132"/>
    </row>
    <row r="1316" spans="1:28" s="133" customFormat="1" ht="15" customHeight="1" outlineLevel="1" x14ac:dyDescent="0.2">
      <c r="A1316" s="134">
        <v>3</v>
      </c>
      <c r="B1316" s="134">
        <v>50465</v>
      </c>
      <c r="C1316" s="135">
        <v>41890</v>
      </c>
      <c r="D1316" s="136" t="s">
        <v>1830</v>
      </c>
      <c r="E1316" s="134" t="s">
        <v>411</v>
      </c>
      <c r="F1316" s="137" t="s">
        <v>115</v>
      </c>
      <c r="G1316" s="138" t="s">
        <v>1831</v>
      </c>
      <c r="H1316" s="139"/>
      <c r="I1316" s="140">
        <v>1</v>
      </c>
      <c r="J1316" s="141">
        <v>5274</v>
      </c>
      <c r="K1316" s="141">
        <v>5274</v>
      </c>
      <c r="L1316" s="647"/>
      <c r="M1316" s="167" t="s">
        <v>39</v>
      </c>
      <c r="N1316" s="131"/>
      <c r="O1316" s="132"/>
      <c r="P1316" s="132"/>
      <c r="Q1316" s="132"/>
      <c r="R1316" s="132"/>
      <c r="S1316" s="132"/>
      <c r="T1316" s="132"/>
      <c r="U1316" s="132"/>
      <c r="V1316" s="132"/>
      <c r="W1316" s="132"/>
      <c r="X1316" s="132"/>
      <c r="Y1316" s="132"/>
      <c r="Z1316" s="132"/>
      <c r="AA1316" s="132"/>
      <c r="AB1316" s="132"/>
    </row>
    <row r="1317" spans="1:28" s="133" customFormat="1" ht="15" customHeight="1" outlineLevel="1" x14ac:dyDescent="0.2">
      <c r="A1317" s="134">
        <v>4</v>
      </c>
      <c r="B1317" s="134">
        <v>50465</v>
      </c>
      <c r="C1317" s="135">
        <v>41890</v>
      </c>
      <c r="D1317" s="136" t="s">
        <v>1830</v>
      </c>
      <c r="E1317" s="134" t="s">
        <v>411</v>
      </c>
      <c r="F1317" s="137" t="s">
        <v>208</v>
      </c>
      <c r="G1317" s="138" t="s">
        <v>1831</v>
      </c>
      <c r="H1317" s="139"/>
      <c r="I1317" s="140">
        <v>1</v>
      </c>
      <c r="J1317" s="141">
        <v>14099</v>
      </c>
      <c r="K1317" s="141">
        <v>14099</v>
      </c>
      <c r="L1317" s="647"/>
      <c r="M1317" s="167" t="s">
        <v>39</v>
      </c>
      <c r="N1317" s="131"/>
      <c r="O1317" s="132"/>
      <c r="P1317" s="132"/>
      <c r="Q1317" s="132"/>
      <c r="R1317" s="132"/>
      <c r="S1317" s="132"/>
      <c r="T1317" s="132"/>
      <c r="U1317" s="132"/>
      <c r="V1317" s="132"/>
      <c r="W1317" s="132"/>
      <c r="X1317" s="132"/>
      <c r="Y1317" s="132"/>
      <c r="Z1317" s="132"/>
      <c r="AA1317" s="132"/>
      <c r="AB1317" s="132"/>
    </row>
    <row r="1318" spans="1:28" s="133" customFormat="1" ht="15" customHeight="1" outlineLevel="1" x14ac:dyDescent="0.2">
      <c r="A1318" s="134">
        <v>5</v>
      </c>
      <c r="B1318" s="134">
        <v>50213</v>
      </c>
      <c r="C1318" s="135">
        <v>41886</v>
      </c>
      <c r="D1318" s="136" t="s">
        <v>511</v>
      </c>
      <c r="E1318" s="134" t="s">
        <v>411</v>
      </c>
      <c r="F1318" s="137" t="s">
        <v>534</v>
      </c>
      <c r="G1318" s="138" t="s">
        <v>428</v>
      </c>
      <c r="H1318" s="139"/>
      <c r="I1318" s="140">
        <v>1</v>
      </c>
      <c r="J1318" s="141">
        <v>30429</v>
      </c>
      <c r="K1318" s="141">
        <v>30429</v>
      </c>
      <c r="L1318" s="647"/>
      <c r="M1318" s="167" t="s">
        <v>39</v>
      </c>
      <c r="N1318" s="131"/>
      <c r="O1318" s="132"/>
      <c r="P1318" s="132"/>
      <c r="Q1318" s="132"/>
      <c r="R1318" s="132"/>
      <c r="S1318" s="132"/>
      <c r="T1318" s="132"/>
      <c r="U1318" s="132"/>
      <c r="V1318" s="132"/>
      <c r="W1318" s="132"/>
      <c r="X1318" s="132"/>
      <c r="Y1318" s="132"/>
      <c r="Z1318" s="132"/>
      <c r="AA1318" s="132"/>
      <c r="AB1318" s="132"/>
    </row>
    <row r="1319" spans="1:28" s="133" customFormat="1" ht="15" customHeight="1" outlineLevel="1" x14ac:dyDescent="0.2">
      <c r="A1319" s="134">
        <v>6</v>
      </c>
      <c r="B1319" s="134">
        <v>53134</v>
      </c>
      <c r="C1319" s="135">
        <v>41895</v>
      </c>
      <c r="D1319" s="136" t="s">
        <v>1812</v>
      </c>
      <c r="E1319" s="134" t="s">
        <v>1787</v>
      </c>
      <c r="F1319" s="137" t="s">
        <v>114</v>
      </c>
      <c r="G1319" s="138" t="s">
        <v>416</v>
      </c>
      <c r="H1319" s="139"/>
      <c r="I1319" s="140">
        <v>1</v>
      </c>
      <c r="J1319" s="141">
        <v>33370</v>
      </c>
      <c r="K1319" s="141">
        <v>33370</v>
      </c>
      <c r="L1319" s="647"/>
      <c r="M1319" s="167" t="s">
        <v>39</v>
      </c>
      <c r="N1319" s="131"/>
      <c r="O1319" s="132"/>
      <c r="P1319" s="132"/>
      <c r="Q1319" s="132"/>
      <c r="R1319" s="132"/>
      <c r="S1319" s="132"/>
      <c r="T1319" s="132"/>
      <c r="U1319" s="132"/>
      <c r="V1319" s="132"/>
      <c r="W1319" s="132"/>
      <c r="X1319" s="132"/>
      <c r="Y1319" s="132"/>
      <c r="Z1319" s="132"/>
      <c r="AA1319" s="132"/>
      <c r="AB1319" s="132"/>
    </row>
    <row r="1320" spans="1:28" s="133" customFormat="1" ht="15" customHeight="1" outlineLevel="1" x14ac:dyDescent="0.2">
      <c r="A1320" s="134">
        <v>7</v>
      </c>
      <c r="B1320" s="134">
        <v>53963</v>
      </c>
      <c r="C1320" s="135">
        <v>41899</v>
      </c>
      <c r="D1320" s="136" t="s">
        <v>1832</v>
      </c>
      <c r="E1320" s="134" t="s">
        <v>1787</v>
      </c>
      <c r="F1320" s="137" t="s">
        <v>115</v>
      </c>
      <c r="G1320" s="138" t="s">
        <v>412</v>
      </c>
      <c r="H1320" s="139"/>
      <c r="I1320" s="140">
        <v>1</v>
      </c>
      <c r="J1320" s="141">
        <v>5274</v>
      </c>
      <c r="K1320" s="141">
        <v>5274</v>
      </c>
      <c r="L1320" s="647"/>
      <c r="M1320" s="167" t="s">
        <v>39</v>
      </c>
      <c r="N1320" s="131"/>
      <c r="O1320" s="132"/>
      <c r="P1320" s="132"/>
      <c r="Q1320" s="132"/>
      <c r="R1320" s="132"/>
      <c r="S1320" s="132"/>
      <c r="T1320" s="132"/>
      <c r="U1320" s="132"/>
      <c r="V1320" s="132"/>
      <c r="W1320" s="132"/>
      <c r="X1320" s="132"/>
      <c r="Y1320" s="132"/>
      <c r="Z1320" s="132"/>
      <c r="AA1320" s="132"/>
      <c r="AB1320" s="132"/>
    </row>
    <row r="1321" spans="1:28" s="133" customFormat="1" ht="15" customHeight="1" outlineLevel="1" x14ac:dyDescent="0.2">
      <c r="A1321" s="134">
        <v>8</v>
      </c>
      <c r="B1321" s="134">
        <v>47771</v>
      </c>
      <c r="C1321" s="135">
        <v>41882</v>
      </c>
      <c r="D1321" s="136" t="s">
        <v>1833</v>
      </c>
      <c r="E1321" s="134" t="s">
        <v>1787</v>
      </c>
      <c r="F1321" s="137" t="s">
        <v>115</v>
      </c>
      <c r="G1321" s="138" t="s">
        <v>1834</v>
      </c>
      <c r="H1321" s="139"/>
      <c r="I1321" s="140">
        <v>4</v>
      </c>
      <c r="J1321" s="141">
        <v>5274</v>
      </c>
      <c r="K1321" s="179">
        <v>21096</v>
      </c>
      <c r="L1321" s="647"/>
      <c r="M1321" s="167" t="s">
        <v>39</v>
      </c>
      <c r="N1321" s="131"/>
      <c r="O1321" s="132"/>
      <c r="P1321" s="132"/>
      <c r="Q1321" s="132"/>
      <c r="R1321" s="132"/>
      <c r="S1321" s="132"/>
      <c r="T1321" s="132"/>
      <c r="U1321" s="132"/>
      <c r="V1321" s="132"/>
      <c r="W1321" s="132"/>
      <c r="X1321" s="132"/>
      <c r="Y1321" s="132"/>
      <c r="Z1321" s="132"/>
      <c r="AA1321" s="132"/>
      <c r="AB1321" s="132"/>
    </row>
    <row r="1322" spans="1:28" s="133" customFormat="1" ht="15" customHeight="1" outlineLevel="1" x14ac:dyDescent="0.2">
      <c r="A1322" s="134">
        <v>9</v>
      </c>
      <c r="B1322" s="134">
        <v>56141</v>
      </c>
      <c r="C1322" s="135">
        <v>41912</v>
      </c>
      <c r="D1322" s="136" t="s">
        <v>1835</v>
      </c>
      <c r="E1322" s="134" t="s">
        <v>1836</v>
      </c>
      <c r="F1322" s="137" t="s">
        <v>215</v>
      </c>
      <c r="G1322" s="138" t="s">
        <v>368</v>
      </c>
      <c r="H1322" s="139"/>
      <c r="I1322" s="140">
        <v>1</v>
      </c>
      <c r="J1322" s="141">
        <v>44597</v>
      </c>
      <c r="K1322" s="141">
        <v>44597</v>
      </c>
      <c r="L1322" s="647"/>
      <c r="M1322" s="167" t="s">
        <v>39</v>
      </c>
      <c r="N1322" s="131"/>
      <c r="O1322" s="132"/>
      <c r="P1322" s="132"/>
      <c r="Q1322" s="132"/>
      <c r="R1322" s="132"/>
      <c r="S1322" s="132"/>
      <c r="T1322" s="132"/>
      <c r="U1322" s="132"/>
      <c r="V1322" s="132"/>
      <c r="W1322" s="132"/>
      <c r="X1322" s="132"/>
      <c r="Y1322" s="132"/>
      <c r="Z1322" s="132"/>
      <c r="AA1322" s="132"/>
      <c r="AB1322" s="132"/>
    </row>
    <row r="1323" spans="1:28" s="133" customFormat="1" ht="15" customHeight="1" outlineLevel="1" x14ac:dyDescent="0.2">
      <c r="A1323" s="134">
        <v>10</v>
      </c>
      <c r="B1323" s="134">
        <v>55656</v>
      </c>
      <c r="C1323" s="135">
        <v>41911</v>
      </c>
      <c r="D1323" s="136" t="s">
        <v>413</v>
      </c>
      <c r="E1323" s="134" t="s">
        <v>411</v>
      </c>
      <c r="F1323" s="137" t="s">
        <v>208</v>
      </c>
      <c r="G1323" s="138" t="s">
        <v>414</v>
      </c>
      <c r="H1323" s="139"/>
      <c r="I1323" s="140">
        <v>1</v>
      </c>
      <c r="J1323" s="141">
        <v>14099</v>
      </c>
      <c r="K1323" s="141">
        <v>14099</v>
      </c>
      <c r="L1323" s="647"/>
      <c r="M1323" s="167" t="s">
        <v>39</v>
      </c>
      <c r="N1323" s="131"/>
      <c r="O1323" s="132"/>
      <c r="P1323" s="132"/>
      <c r="Q1323" s="132"/>
      <c r="R1323" s="132"/>
      <c r="S1323" s="132"/>
      <c r="T1323" s="132"/>
      <c r="U1323" s="132"/>
      <c r="V1323" s="132"/>
      <c r="W1323" s="132"/>
      <c r="X1323" s="132"/>
      <c r="Y1323" s="132"/>
      <c r="Z1323" s="132"/>
      <c r="AA1323" s="132"/>
      <c r="AB1323" s="132"/>
    </row>
    <row r="1324" spans="1:28" s="133" customFormat="1" ht="15" customHeight="1" outlineLevel="1" x14ac:dyDescent="0.2">
      <c r="A1324" s="134">
        <v>11</v>
      </c>
      <c r="B1324" s="134">
        <v>54169</v>
      </c>
      <c r="C1324" s="135">
        <v>41904</v>
      </c>
      <c r="D1324" s="136" t="s">
        <v>1837</v>
      </c>
      <c r="E1324" s="134" t="s">
        <v>411</v>
      </c>
      <c r="F1324" s="137" t="s">
        <v>679</v>
      </c>
      <c r="G1324" s="138" t="s">
        <v>366</v>
      </c>
      <c r="H1324" s="139"/>
      <c r="I1324" s="140">
        <v>1</v>
      </c>
      <c r="J1324" s="141">
        <v>55058</v>
      </c>
      <c r="K1324" s="141">
        <v>55058</v>
      </c>
      <c r="L1324" s="647"/>
      <c r="M1324" s="167" t="s">
        <v>39</v>
      </c>
      <c r="N1324" s="131"/>
      <c r="O1324" s="132"/>
      <c r="P1324" s="132"/>
      <c r="Q1324" s="132"/>
      <c r="R1324" s="132"/>
      <c r="S1324" s="132"/>
      <c r="T1324" s="132"/>
      <c r="U1324" s="132"/>
      <c r="V1324" s="132"/>
      <c r="W1324" s="132"/>
      <c r="X1324" s="132"/>
      <c r="Y1324" s="132"/>
      <c r="Z1324" s="132"/>
      <c r="AA1324" s="132"/>
      <c r="AB1324" s="132"/>
    </row>
    <row r="1325" spans="1:28" s="133" customFormat="1" ht="15" customHeight="1" outlineLevel="1" x14ac:dyDescent="0.2">
      <c r="A1325" s="134">
        <v>12</v>
      </c>
      <c r="B1325" s="134">
        <v>54169</v>
      </c>
      <c r="C1325" s="135">
        <v>41904</v>
      </c>
      <c r="D1325" s="136" t="s">
        <v>1837</v>
      </c>
      <c r="E1325" s="134" t="s">
        <v>411</v>
      </c>
      <c r="F1325" s="137" t="s">
        <v>215</v>
      </c>
      <c r="G1325" s="138" t="s">
        <v>368</v>
      </c>
      <c r="H1325" s="139"/>
      <c r="I1325" s="140">
        <v>1</v>
      </c>
      <c r="J1325" s="141">
        <v>44597</v>
      </c>
      <c r="K1325" s="141">
        <v>44597</v>
      </c>
      <c r="L1325" s="647"/>
      <c r="M1325" s="167" t="s">
        <v>39</v>
      </c>
      <c r="N1325" s="131"/>
      <c r="O1325" s="132"/>
      <c r="P1325" s="132"/>
      <c r="Q1325" s="132"/>
      <c r="R1325" s="132"/>
      <c r="S1325" s="132"/>
      <c r="T1325" s="132"/>
      <c r="U1325" s="132"/>
      <c r="V1325" s="132"/>
      <c r="W1325" s="132"/>
      <c r="X1325" s="132"/>
      <c r="Y1325" s="132"/>
      <c r="Z1325" s="132"/>
      <c r="AA1325" s="132"/>
      <c r="AB1325" s="132"/>
    </row>
    <row r="1326" spans="1:28" s="133" customFormat="1" ht="15" customHeight="1" outlineLevel="1" x14ac:dyDescent="0.2">
      <c r="A1326" s="134">
        <v>13</v>
      </c>
      <c r="B1326" s="134">
        <v>55724</v>
      </c>
      <c r="C1326" s="135">
        <v>41911</v>
      </c>
      <c r="D1326" s="136" t="s">
        <v>1838</v>
      </c>
      <c r="E1326" s="134" t="s">
        <v>411</v>
      </c>
      <c r="F1326" s="137" t="s">
        <v>208</v>
      </c>
      <c r="G1326" s="138" t="s">
        <v>380</v>
      </c>
      <c r="H1326" s="139"/>
      <c r="I1326" s="140">
        <v>1</v>
      </c>
      <c r="J1326" s="141">
        <v>14099</v>
      </c>
      <c r="K1326" s="141">
        <v>14099</v>
      </c>
      <c r="L1326" s="647"/>
      <c r="M1326" s="167" t="s">
        <v>39</v>
      </c>
      <c r="N1326" s="131"/>
      <c r="O1326" s="132"/>
      <c r="P1326" s="132"/>
      <c r="Q1326" s="132"/>
      <c r="R1326" s="132"/>
      <c r="S1326" s="132"/>
      <c r="T1326" s="132"/>
      <c r="U1326" s="132"/>
      <c r="V1326" s="132"/>
      <c r="W1326" s="132"/>
      <c r="X1326" s="132"/>
      <c r="Y1326" s="132"/>
      <c r="Z1326" s="132"/>
      <c r="AA1326" s="132"/>
      <c r="AB1326" s="132"/>
    </row>
    <row r="1327" spans="1:28" s="133" customFormat="1" ht="15" customHeight="1" outlineLevel="1" x14ac:dyDescent="0.2">
      <c r="A1327" s="134">
        <v>14</v>
      </c>
      <c r="B1327" s="134">
        <v>52847</v>
      </c>
      <c r="C1327" s="135">
        <v>41895</v>
      </c>
      <c r="D1327" s="136" t="s">
        <v>1839</v>
      </c>
      <c r="E1327" s="134" t="s">
        <v>411</v>
      </c>
      <c r="F1327" s="137" t="s">
        <v>115</v>
      </c>
      <c r="G1327" s="138" t="s">
        <v>412</v>
      </c>
      <c r="H1327" s="139"/>
      <c r="I1327" s="140">
        <v>1</v>
      </c>
      <c r="J1327" s="141">
        <v>5274</v>
      </c>
      <c r="K1327" s="141">
        <v>5274</v>
      </c>
      <c r="L1327" s="647"/>
      <c r="M1327" s="167" t="s">
        <v>39</v>
      </c>
      <c r="N1327" s="131"/>
      <c r="O1327" s="132"/>
      <c r="P1327" s="132"/>
      <c r="Q1327" s="132"/>
      <c r="R1327" s="132"/>
      <c r="S1327" s="132"/>
      <c r="T1327" s="132"/>
      <c r="U1327" s="132"/>
      <c r="V1327" s="132"/>
      <c r="W1327" s="132"/>
      <c r="X1327" s="132"/>
      <c r="Y1327" s="132"/>
      <c r="Z1327" s="132"/>
      <c r="AA1327" s="132"/>
      <c r="AB1327" s="132"/>
    </row>
    <row r="1328" spans="1:28" s="133" customFormat="1" ht="15" customHeight="1" outlineLevel="1" x14ac:dyDescent="0.2">
      <c r="A1328" s="134">
        <v>15</v>
      </c>
      <c r="B1328" s="134">
        <v>52731</v>
      </c>
      <c r="C1328" s="135">
        <v>41894</v>
      </c>
      <c r="D1328" s="136" t="s">
        <v>1840</v>
      </c>
      <c r="E1328" s="134" t="s">
        <v>940</v>
      </c>
      <c r="F1328" s="137" t="s">
        <v>577</v>
      </c>
      <c r="G1328" s="138" t="s">
        <v>368</v>
      </c>
      <c r="H1328" s="139"/>
      <c r="I1328" s="140">
        <v>1</v>
      </c>
      <c r="J1328" s="141">
        <v>25800</v>
      </c>
      <c r="K1328" s="141">
        <v>25800</v>
      </c>
      <c r="L1328" s="647"/>
      <c r="M1328" s="167" t="s">
        <v>39</v>
      </c>
      <c r="N1328" s="131"/>
      <c r="O1328" s="132"/>
      <c r="P1328" s="132"/>
      <c r="Q1328" s="132"/>
      <c r="R1328" s="132"/>
      <c r="S1328" s="132"/>
      <c r="T1328" s="132"/>
      <c r="U1328" s="132"/>
      <c r="V1328" s="132"/>
      <c r="W1328" s="132"/>
      <c r="X1328" s="132"/>
      <c r="Y1328" s="132"/>
      <c r="Z1328" s="132"/>
      <c r="AA1328" s="132"/>
      <c r="AB1328" s="132"/>
    </row>
    <row r="1329" spans="1:28" s="133" customFormat="1" ht="15" customHeight="1" outlineLevel="1" x14ac:dyDescent="0.2">
      <c r="A1329" s="134">
        <v>16</v>
      </c>
      <c r="B1329" s="134">
        <v>54601</v>
      </c>
      <c r="C1329" s="135">
        <v>41904</v>
      </c>
      <c r="D1329" s="136" t="s">
        <v>510</v>
      </c>
      <c r="E1329" s="134" t="s">
        <v>411</v>
      </c>
      <c r="F1329" s="137" t="s">
        <v>114</v>
      </c>
      <c r="G1329" s="138" t="s">
        <v>412</v>
      </c>
      <c r="H1329" s="139"/>
      <c r="I1329" s="140">
        <v>1</v>
      </c>
      <c r="J1329" s="141">
        <v>33370</v>
      </c>
      <c r="K1329" s="141">
        <v>33370</v>
      </c>
      <c r="L1329" s="647"/>
      <c r="M1329" s="167" t="s">
        <v>39</v>
      </c>
      <c r="N1329" s="131"/>
      <c r="O1329" s="132"/>
      <c r="P1329" s="132"/>
      <c r="Q1329" s="132"/>
      <c r="R1329" s="132"/>
      <c r="S1329" s="132"/>
      <c r="T1329" s="132"/>
      <c r="U1329" s="132"/>
      <c r="V1329" s="132"/>
      <c r="W1329" s="132"/>
      <c r="X1329" s="132"/>
      <c r="Y1329" s="132"/>
      <c r="Z1329" s="132"/>
      <c r="AA1329" s="132"/>
      <c r="AB1329" s="132"/>
    </row>
    <row r="1330" spans="1:28" s="133" customFormat="1" ht="15" customHeight="1" outlineLevel="1" x14ac:dyDescent="0.2">
      <c r="A1330" s="134">
        <v>17</v>
      </c>
      <c r="B1330" s="134">
        <v>50583</v>
      </c>
      <c r="C1330" s="135">
        <v>41890</v>
      </c>
      <c r="D1330" s="136" t="s">
        <v>1816</v>
      </c>
      <c r="E1330" s="134" t="s">
        <v>411</v>
      </c>
      <c r="F1330" s="137" t="s">
        <v>208</v>
      </c>
      <c r="G1330" s="138" t="s">
        <v>524</v>
      </c>
      <c r="H1330" s="139"/>
      <c r="I1330" s="140">
        <v>1</v>
      </c>
      <c r="J1330" s="141">
        <v>14099</v>
      </c>
      <c r="K1330" s="141">
        <v>14099</v>
      </c>
      <c r="L1330" s="647"/>
      <c r="M1330" s="167" t="s">
        <v>39</v>
      </c>
      <c r="N1330" s="131"/>
      <c r="O1330" s="132"/>
      <c r="P1330" s="132"/>
      <c r="Q1330" s="132"/>
      <c r="R1330" s="132"/>
      <c r="S1330" s="132"/>
      <c r="T1330" s="132"/>
      <c r="U1330" s="132"/>
      <c r="V1330" s="132"/>
      <c r="W1330" s="132"/>
      <c r="X1330" s="132"/>
      <c r="Y1330" s="132"/>
      <c r="Z1330" s="132"/>
      <c r="AA1330" s="132"/>
      <c r="AB1330" s="132"/>
    </row>
    <row r="1331" spans="1:28" s="133" customFormat="1" ht="15" customHeight="1" outlineLevel="1" x14ac:dyDescent="0.2">
      <c r="A1331" s="134">
        <v>18</v>
      </c>
      <c r="B1331" s="134">
        <v>52544</v>
      </c>
      <c r="C1331" s="135">
        <v>41893</v>
      </c>
      <c r="D1331" s="136" t="s">
        <v>1816</v>
      </c>
      <c r="E1331" s="134" t="s">
        <v>411</v>
      </c>
      <c r="F1331" s="137" t="s">
        <v>208</v>
      </c>
      <c r="G1331" s="138" t="s">
        <v>431</v>
      </c>
      <c r="H1331" s="139"/>
      <c r="I1331" s="140">
        <v>1</v>
      </c>
      <c r="J1331" s="141">
        <v>14099</v>
      </c>
      <c r="K1331" s="141">
        <v>14099</v>
      </c>
      <c r="L1331" s="647"/>
      <c r="M1331" s="167" t="s">
        <v>39</v>
      </c>
      <c r="N1331" s="131"/>
      <c r="O1331" s="132"/>
      <c r="P1331" s="132"/>
      <c r="Q1331" s="132"/>
      <c r="R1331" s="132"/>
      <c r="S1331" s="132"/>
      <c r="T1331" s="132"/>
      <c r="U1331" s="132"/>
      <c r="V1331" s="132"/>
      <c r="W1331" s="132"/>
      <c r="X1331" s="132"/>
      <c r="Y1331" s="132"/>
      <c r="Z1331" s="132"/>
      <c r="AA1331" s="132"/>
      <c r="AB1331" s="132"/>
    </row>
    <row r="1332" spans="1:28" s="133" customFormat="1" ht="15" customHeight="1" outlineLevel="1" x14ac:dyDescent="0.2">
      <c r="A1332" s="134">
        <v>19</v>
      </c>
      <c r="B1332" s="134">
        <v>53953</v>
      </c>
      <c r="C1332" s="135">
        <v>41904</v>
      </c>
      <c r="D1332" s="136" t="s">
        <v>1841</v>
      </c>
      <c r="E1332" s="134" t="s">
        <v>411</v>
      </c>
      <c r="F1332" s="137" t="s">
        <v>115</v>
      </c>
      <c r="G1332" s="138" t="s">
        <v>559</v>
      </c>
      <c r="H1332" s="139"/>
      <c r="I1332" s="140">
        <v>1</v>
      </c>
      <c r="J1332" s="141">
        <v>5274</v>
      </c>
      <c r="K1332" s="141">
        <v>5274</v>
      </c>
      <c r="L1332" s="647"/>
      <c r="M1332" s="167" t="s">
        <v>39</v>
      </c>
      <c r="N1332" s="131"/>
      <c r="O1332" s="132"/>
      <c r="P1332" s="132"/>
      <c r="Q1332" s="132"/>
      <c r="R1332" s="132"/>
      <c r="S1332" s="132"/>
      <c r="T1332" s="132"/>
      <c r="U1332" s="132"/>
      <c r="V1332" s="132"/>
      <c r="W1332" s="132"/>
      <c r="X1332" s="132"/>
      <c r="Y1332" s="132"/>
      <c r="Z1332" s="132"/>
      <c r="AA1332" s="132"/>
      <c r="AB1332" s="132"/>
    </row>
    <row r="1333" spans="1:28" s="133" customFormat="1" ht="15" customHeight="1" outlineLevel="1" x14ac:dyDescent="0.2">
      <c r="A1333" s="134">
        <v>20</v>
      </c>
      <c r="B1333" s="134">
        <v>56086</v>
      </c>
      <c r="C1333" s="135">
        <v>41911</v>
      </c>
      <c r="D1333" s="136" t="s">
        <v>1842</v>
      </c>
      <c r="E1333" s="134" t="s">
        <v>518</v>
      </c>
      <c r="F1333" s="137" t="s">
        <v>577</v>
      </c>
      <c r="G1333" s="138" t="s">
        <v>368</v>
      </c>
      <c r="H1333" s="139"/>
      <c r="I1333" s="140">
        <v>1</v>
      </c>
      <c r="J1333" s="141">
        <v>25800</v>
      </c>
      <c r="K1333" s="141">
        <v>25800</v>
      </c>
      <c r="L1333" s="647"/>
      <c r="M1333" s="167" t="s">
        <v>39</v>
      </c>
      <c r="N1333" s="131"/>
      <c r="O1333" s="132"/>
      <c r="P1333" s="132"/>
      <c r="Q1333" s="132"/>
      <c r="R1333" s="132"/>
      <c r="S1333" s="132"/>
      <c r="T1333" s="132"/>
      <c r="U1333" s="132"/>
      <c r="V1333" s="132"/>
      <c r="W1333" s="132"/>
      <c r="X1333" s="132"/>
      <c r="Y1333" s="132"/>
      <c r="Z1333" s="132"/>
      <c r="AA1333" s="132"/>
      <c r="AB1333" s="132"/>
    </row>
    <row r="1334" spans="1:28" s="133" customFormat="1" ht="15" customHeight="1" outlineLevel="1" x14ac:dyDescent="0.2">
      <c r="A1334" s="134">
        <v>21</v>
      </c>
      <c r="B1334" s="134">
        <v>52942</v>
      </c>
      <c r="C1334" s="135">
        <v>41895</v>
      </c>
      <c r="D1334" s="136" t="s">
        <v>1773</v>
      </c>
      <c r="E1334" s="134" t="s">
        <v>411</v>
      </c>
      <c r="F1334" s="137" t="s">
        <v>534</v>
      </c>
      <c r="G1334" s="138" t="s">
        <v>428</v>
      </c>
      <c r="H1334" s="139"/>
      <c r="I1334" s="140">
        <v>1</v>
      </c>
      <c r="J1334" s="141">
        <v>30429</v>
      </c>
      <c r="K1334" s="141">
        <v>30429</v>
      </c>
      <c r="L1334" s="647"/>
      <c r="M1334" s="167" t="s">
        <v>39</v>
      </c>
      <c r="N1334" s="131"/>
      <c r="O1334" s="132"/>
      <c r="P1334" s="132"/>
      <c r="Q1334" s="132"/>
      <c r="R1334" s="132"/>
      <c r="S1334" s="132"/>
      <c r="T1334" s="132"/>
      <c r="U1334" s="132"/>
      <c r="V1334" s="132"/>
      <c r="W1334" s="132"/>
      <c r="X1334" s="132"/>
      <c r="Y1334" s="132"/>
      <c r="Z1334" s="132"/>
      <c r="AA1334" s="132"/>
      <c r="AB1334" s="132"/>
    </row>
    <row r="1335" spans="1:28" s="133" customFormat="1" ht="15" customHeight="1" outlineLevel="1" x14ac:dyDescent="0.2">
      <c r="A1335" s="134">
        <v>22</v>
      </c>
      <c r="B1335" s="134">
        <v>50696</v>
      </c>
      <c r="C1335" s="135">
        <v>41887</v>
      </c>
      <c r="D1335" s="136" t="s">
        <v>1798</v>
      </c>
      <c r="E1335" s="134" t="s">
        <v>411</v>
      </c>
      <c r="F1335" s="137" t="s">
        <v>534</v>
      </c>
      <c r="G1335" s="138" t="s">
        <v>412</v>
      </c>
      <c r="H1335" s="139"/>
      <c r="I1335" s="140">
        <v>1</v>
      </c>
      <c r="J1335" s="141">
        <v>30429</v>
      </c>
      <c r="K1335" s="141">
        <v>30429</v>
      </c>
      <c r="L1335" s="647"/>
      <c r="M1335" s="167" t="s">
        <v>39</v>
      </c>
      <c r="N1335" s="131"/>
      <c r="O1335" s="132"/>
      <c r="P1335" s="132"/>
      <c r="Q1335" s="132"/>
      <c r="R1335" s="132"/>
      <c r="S1335" s="132"/>
      <c r="T1335" s="132"/>
      <c r="U1335" s="132"/>
      <c r="V1335" s="132"/>
      <c r="W1335" s="132"/>
      <c r="X1335" s="132"/>
      <c r="Y1335" s="132"/>
      <c r="Z1335" s="132"/>
      <c r="AA1335" s="132"/>
      <c r="AB1335" s="132"/>
    </row>
    <row r="1336" spans="1:28" s="133" customFormat="1" ht="15" customHeight="1" outlineLevel="1" x14ac:dyDescent="0.2">
      <c r="A1336" s="134">
        <v>23</v>
      </c>
      <c r="B1336" s="134">
        <v>53516</v>
      </c>
      <c r="C1336" s="135">
        <v>41897</v>
      </c>
      <c r="D1336" s="136" t="s">
        <v>1843</v>
      </c>
      <c r="E1336" s="134" t="s">
        <v>411</v>
      </c>
      <c r="F1336" s="137" t="s">
        <v>574</v>
      </c>
      <c r="G1336" s="138" t="s">
        <v>559</v>
      </c>
      <c r="H1336" s="139"/>
      <c r="I1336" s="140">
        <v>1</v>
      </c>
      <c r="J1336" s="141">
        <v>49701</v>
      </c>
      <c r="K1336" s="141">
        <v>49701</v>
      </c>
      <c r="L1336" s="647"/>
      <c r="M1336" s="167" t="s">
        <v>39</v>
      </c>
      <c r="N1336" s="131"/>
      <c r="O1336" s="132"/>
      <c r="P1336" s="132"/>
      <c r="Q1336" s="132"/>
      <c r="R1336" s="132"/>
      <c r="S1336" s="132"/>
      <c r="T1336" s="132"/>
      <c r="U1336" s="132"/>
      <c r="V1336" s="132"/>
      <c r="W1336" s="132"/>
      <c r="X1336" s="132"/>
      <c r="Y1336" s="132"/>
      <c r="Z1336" s="132"/>
      <c r="AA1336" s="132"/>
      <c r="AB1336" s="132"/>
    </row>
    <row r="1337" spans="1:28" s="133" customFormat="1" ht="15" customHeight="1" outlineLevel="1" x14ac:dyDescent="0.2">
      <c r="A1337" s="134">
        <v>24</v>
      </c>
      <c r="B1337" s="134">
        <v>55831</v>
      </c>
      <c r="C1337" s="135">
        <v>41909</v>
      </c>
      <c r="D1337" s="136" t="s">
        <v>1844</v>
      </c>
      <c r="E1337" s="134" t="s">
        <v>411</v>
      </c>
      <c r="F1337" s="137" t="s">
        <v>534</v>
      </c>
      <c r="G1337" s="138" t="s">
        <v>524</v>
      </c>
      <c r="H1337" s="139"/>
      <c r="I1337" s="140">
        <v>1</v>
      </c>
      <c r="J1337" s="141">
        <v>30429</v>
      </c>
      <c r="K1337" s="141">
        <v>30429</v>
      </c>
      <c r="L1337" s="647"/>
      <c r="M1337" s="167" t="s">
        <v>39</v>
      </c>
      <c r="N1337" s="131"/>
      <c r="O1337" s="132"/>
      <c r="P1337" s="132"/>
      <c r="Q1337" s="132"/>
      <c r="R1337" s="132"/>
      <c r="S1337" s="132"/>
      <c r="T1337" s="132"/>
      <c r="U1337" s="132"/>
      <c r="V1337" s="132"/>
      <c r="W1337" s="132"/>
      <c r="X1337" s="132"/>
      <c r="Y1337" s="132"/>
      <c r="Z1337" s="132"/>
      <c r="AA1337" s="132"/>
      <c r="AB1337" s="132"/>
    </row>
    <row r="1338" spans="1:28" s="133" customFormat="1" ht="15" customHeight="1" outlineLevel="1" x14ac:dyDescent="0.2">
      <c r="A1338" s="134">
        <v>25</v>
      </c>
      <c r="B1338" s="134">
        <v>54756</v>
      </c>
      <c r="C1338" s="135">
        <v>41905</v>
      </c>
      <c r="D1338" s="136" t="s">
        <v>1845</v>
      </c>
      <c r="E1338" s="134" t="s">
        <v>411</v>
      </c>
      <c r="F1338" s="137" t="s">
        <v>534</v>
      </c>
      <c r="G1338" s="138" t="s">
        <v>524</v>
      </c>
      <c r="H1338" s="139"/>
      <c r="I1338" s="140">
        <v>1</v>
      </c>
      <c r="J1338" s="141">
        <v>30429</v>
      </c>
      <c r="K1338" s="141">
        <v>30429</v>
      </c>
      <c r="L1338" s="647"/>
      <c r="M1338" s="167" t="s">
        <v>39</v>
      </c>
      <c r="N1338" s="131"/>
      <c r="O1338" s="132"/>
      <c r="P1338" s="132"/>
      <c r="Q1338" s="132"/>
      <c r="R1338" s="132"/>
      <c r="S1338" s="132"/>
      <c r="T1338" s="132"/>
      <c r="U1338" s="132"/>
      <c r="V1338" s="132"/>
      <c r="W1338" s="132"/>
      <c r="X1338" s="132"/>
      <c r="Y1338" s="132"/>
      <c r="Z1338" s="132"/>
      <c r="AA1338" s="132"/>
      <c r="AB1338" s="132"/>
    </row>
    <row r="1339" spans="1:28" s="133" customFormat="1" ht="15" customHeight="1" outlineLevel="1" x14ac:dyDescent="0.2">
      <c r="A1339" s="134">
        <v>26</v>
      </c>
      <c r="B1339" s="134">
        <v>55940</v>
      </c>
      <c r="C1339" s="135">
        <v>41911</v>
      </c>
      <c r="D1339" s="136" t="s">
        <v>1807</v>
      </c>
      <c r="E1339" s="134" t="s">
        <v>411</v>
      </c>
      <c r="F1339" s="137" t="s">
        <v>114</v>
      </c>
      <c r="G1339" s="138" t="s">
        <v>407</v>
      </c>
      <c r="H1339" s="139"/>
      <c r="I1339" s="140">
        <v>1</v>
      </c>
      <c r="J1339" s="141">
        <v>33370</v>
      </c>
      <c r="K1339" s="141">
        <v>33370</v>
      </c>
      <c r="L1339" s="647"/>
      <c r="M1339" s="167" t="s">
        <v>39</v>
      </c>
      <c r="N1339" s="131"/>
      <c r="O1339" s="132"/>
      <c r="P1339" s="132"/>
      <c r="Q1339" s="132"/>
      <c r="R1339" s="132"/>
      <c r="S1339" s="132"/>
      <c r="T1339" s="132"/>
      <c r="U1339" s="132"/>
      <c r="V1339" s="132"/>
      <c r="W1339" s="132"/>
      <c r="X1339" s="132"/>
      <c r="Y1339" s="132"/>
      <c r="Z1339" s="132"/>
      <c r="AA1339" s="132"/>
      <c r="AB1339" s="132"/>
    </row>
    <row r="1340" spans="1:28" s="133" customFormat="1" ht="15" customHeight="1" outlineLevel="1" x14ac:dyDescent="0.2">
      <c r="A1340" s="134">
        <v>27</v>
      </c>
      <c r="B1340" s="134">
        <v>55757</v>
      </c>
      <c r="C1340" s="135">
        <v>41911</v>
      </c>
      <c r="D1340" s="136" t="s">
        <v>1846</v>
      </c>
      <c r="E1340" s="134" t="s">
        <v>587</v>
      </c>
      <c r="F1340" s="137" t="s">
        <v>215</v>
      </c>
      <c r="G1340" s="138" t="s">
        <v>366</v>
      </c>
      <c r="H1340" s="139"/>
      <c r="I1340" s="140">
        <v>1</v>
      </c>
      <c r="J1340" s="141">
        <v>44597</v>
      </c>
      <c r="K1340" s="141">
        <v>44597</v>
      </c>
      <c r="L1340" s="647"/>
      <c r="M1340" s="167" t="s">
        <v>39</v>
      </c>
      <c r="N1340" s="131"/>
      <c r="O1340" s="132"/>
      <c r="P1340" s="132"/>
      <c r="Q1340" s="132"/>
      <c r="R1340" s="132"/>
      <c r="S1340" s="132"/>
      <c r="T1340" s="132"/>
      <c r="U1340" s="132"/>
      <c r="V1340" s="132"/>
      <c r="W1340" s="132"/>
      <c r="X1340" s="132"/>
      <c r="Y1340" s="132"/>
      <c r="Z1340" s="132"/>
      <c r="AA1340" s="132"/>
      <c r="AB1340" s="132"/>
    </row>
    <row r="1341" spans="1:28" s="133" customFormat="1" ht="15" customHeight="1" outlineLevel="1" x14ac:dyDescent="0.2">
      <c r="A1341" s="134">
        <v>28</v>
      </c>
      <c r="B1341" s="134">
        <v>52508</v>
      </c>
      <c r="C1341" s="135">
        <v>41894</v>
      </c>
      <c r="D1341" s="136" t="s">
        <v>1847</v>
      </c>
      <c r="E1341" s="134" t="s">
        <v>1787</v>
      </c>
      <c r="F1341" s="137" t="s">
        <v>534</v>
      </c>
      <c r="G1341" s="138" t="s">
        <v>1848</v>
      </c>
      <c r="H1341" s="139"/>
      <c r="I1341" s="140">
        <v>2</v>
      </c>
      <c r="J1341" s="141">
        <v>30429</v>
      </c>
      <c r="K1341" s="141">
        <v>60858</v>
      </c>
      <c r="L1341" s="647"/>
      <c r="M1341" s="167" t="s">
        <v>39</v>
      </c>
      <c r="N1341" s="131"/>
      <c r="O1341" s="132"/>
      <c r="P1341" s="132"/>
      <c r="Q1341" s="132"/>
      <c r="R1341" s="132"/>
      <c r="S1341" s="132"/>
      <c r="T1341" s="132"/>
      <c r="U1341" s="132"/>
      <c r="V1341" s="132"/>
      <c r="W1341" s="132"/>
      <c r="X1341" s="132"/>
      <c r="Y1341" s="132"/>
      <c r="Z1341" s="132"/>
      <c r="AA1341" s="132"/>
      <c r="AB1341" s="132"/>
    </row>
    <row r="1342" spans="1:28" s="133" customFormat="1" ht="15" customHeight="1" outlineLevel="1" x14ac:dyDescent="0.2">
      <c r="A1342" s="134">
        <v>29</v>
      </c>
      <c r="B1342" s="134">
        <v>54258</v>
      </c>
      <c r="C1342" s="135">
        <v>41904</v>
      </c>
      <c r="D1342" s="136" t="s">
        <v>1847</v>
      </c>
      <c r="E1342" s="134" t="s">
        <v>1787</v>
      </c>
      <c r="F1342" s="137" t="s">
        <v>534</v>
      </c>
      <c r="G1342" s="138" t="s">
        <v>591</v>
      </c>
      <c r="H1342" s="139"/>
      <c r="I1342" s="140">
        <v>1</v>
      </c>
      <c r="J1342" s="141">
        <v>30429</v>
      </c>
      <c r="K1342" s="141">
        <v>30429</v>
      </c>
      <c r="L1342" s="647"/>
      <c r="M1342" s="167" t="s">
        <v>39</v>
      </c>
      <c r="N1342" s="131"/>
      <c r="O1342" s="132"/>
      <c r="P1342" s="132"/>
      <c r="Q1342" s="132"/>
      <c r="R1342" s="132"/>
      <c r="S1342" s="132"/>
      <c r="T1342" s="132"/>
      <c r="U1342" s="132"/>
      <c r="V1342" s="132"/>
      <c r="W1342" s="132"/>
      <c r="X1342" s="132"/>
      <c r="Y1342" s="132"/>
      <c r="Z1342" s="132"/>
      <c r="AA1342" s="132"/>
      <c r="AB1342" s="132"/>
    </row>
    <row r="1343" spans="1:28" s="133" customFormat="1" ht="15" customHeight="1" outlineLevel="1" x14ac:dyDescent="0.2">
      <c r="A1343" s="134">
        <v>30</v>
      </c>
      <c r="B1343" s="134">
        <v>52962</v>
      </c>
      <c r="C1343" s="135">
        <v>41897</v>
      </c>
      <c r="D1343" s="136" t="s">
        <v>1849</v>
      </c>
      <c r="E1343" s="134" t="s">
        <v>940</v>
      </c>
      <c r="F1343" s="137" t="s">
        <v>577</v>
      </c>
      <c r="G1343" s="138" t="s">
        <v>368</v>
      </c>
      <c r="H1343" s="139"/>
      <c r="I1343" s="140">
        <v>1</v>
      </c>
      <c r="J1343" s="141">
        <v>25800</v>
      </c>
      <c r="K1343" s="141">
        <v>25800</v>
      </c>
      <c r="L1343" s="647"/>
      <c r="M1343" s="167" t="s">
        <v>39</v>
      </c>
      <c r="N1343" s="131"/>
      <c r="O1343" s="132"/>
      <c r="P1343" s="132"/>
      <c r="Q1343" s="132"/>
      <c r="R1343" s="132"/>
      <c r="S1343" s="132"/>
      <c r="T1343" s="132"/>
      <c r="U1343" s="132"/>
      <c r="V1343" s="132"/>
      <c r="W1343" s="132"/>
      <c r="X1343" s="132"/>
      <c r="Y1343" s="132"/>
      <c r="Z1343" s="132"/>
      <c r="AA1343" s="132"/>
      <c r="AB1343" s="132"/>
    </row>
    <row r="1344" spans="1:28" s="133" customFormat="1" ht="15" customHeight="1" outlineLevel="1" x14ac:dyDescent="0.2">
      <c r="A1344" s="134">
        <v>31</v>
      </c>
      <c r="B1344" s="134">
        <v>51730</v>
      </c>
      <c r="C1344" s="135">
        <v>41893</v>
      </c>
      <c r="D1344" s="136" t="s">
        <v>1823</v>
      </c>
      <c r="E1344" s="134" t="s">
        <v>411</v>
      </c>
      <c r="F1344" s="137" t="s">
        <v>114</v>
      </c>
      <c r="G1344" s="138" t="s">
        <v>416</v>
      </c>
      <c r="H1344" s="139"/>
      <c r="I1344" s="140">
        <v>1</v>
      </c>
      <c r="J1344" s="141">
        <v>33370</v>
      </c>
      <c r="K1344" s="141">
        <v>33370</v>
      </c>
      <c r="L1344" s="647"/>
      <c r="M1344" s="167" t="s">
        <v>39</v>
      </c>
      <c r="N1344" s="131"/>
      <c r="O1344" s="132"/>
      <c r="P1344" s="132"/>
      <c r="Q1344" s="132"/>
      <c r="R1344" s="132"/>
      <c r="S1344" s="132"/>
      <c r="T1344" s="132"/>
      <c r="U1344" s="132"/>
      <c r="V1344" s="132"/>
      <c r="W1344" s="132"/>
      <c r="X1344" s="132"/>
      <c r="Y1344" s="132"/>
      <c r="Z1344" s="132"/>
      <c r="AA1344" s="132"/>
      <c r="AB1344" s="132"/>
    </row>
    <row r="1345" spans="1:28" s="133" customFormat="1" ht="15" customHeight="1" outlineLevel="1" x14ac:dyDescent="0.2">
      <c r="A1345" s="134">
        <v>32</v>
      </c>
      <c r="B1345" s="134">
        <v>55278</v>
      </c>
      <c r="C1345" s="135">
        <v>41909</v>
      </c>
      <c r="D1345" s="136" t="s">
        <v>1850</v>
      </c>
      <c r="E1345" s="134" t="s">
        <v>940</v>
      </c>
      <c r="F1345" s="137" t="s">
        <v>577</v>
      </c>
      <c r="G1345" s="138" t="s">
        <v>368</v>
      </c>
      <c r="H1345" s="139"/>
      <c r="I1345" s="140">
        <v>1</v>
      </c>
      <c r="J1345" s="141">
        <v>25800</v>
      </c>
      <c r="K1345" s="141">
        <v>25800</v>
      </c>
      <c r="L1345" s="647"/>
      <c r="M1345" s="167" t="s">
        <v>39</v>
      </c>
      <c r="N1345" s="131"/>
      <c r="O1345" s="132"/>
      <c r="P1345" s="132"/>
      <c r="Q1345" s="132"/>
      <c r="R1345" s="132"/>
      <c r="S1345" s="132"/>
      <c r="T1345" s="132"/>
      <c r="U1345" s="132"/>
      <c r="V1345" s="132"/>
      <c r="W1345" s="132"/>
      <c r="X1345" s="132"/>
      <c r="Y1345" s="132"/>
      <c r="Z1345" s="132"/>
      <c r="AA1345" s="132"/>
      <c r="AB1345" s="132"/>
    </row>
    <row r="1346" spans="1:28" s="133" customFormat="1" ht="15" customHeight="1" outlineLevel="1" x14ac:dyDescent="0.2">
      <c r="A1346" s="134">
        <v>33</v>
      </c>
      <c r="B1346" s="134">
        <v>55453</v>
      </c>
      <c r="C1346" s="135">
        <v>41911</v>
      </c>
      <c r="D1346" s="136" t="s">
        <v>1851</v>
      </c>
      <c r="E1346" s="134" t="s">
        <v>587</v>
      </c>
      <c r="F1346" s="137" t="s">
        <v>215</v>
      </c>
      <c r="G1346" s="138" t="s">
        <v>384</v>
      </c>
      <c r="H1346" s="139"/>
      <c r="I1346" s="140">
        <v>2</v>
      </c>
      <c r="J1346" s="141">
        <v>44597</v>
      </c>
      <c r="K1346" s="141">
        <v>89194</v>
      </c>
      <c r="L1346" s="647"/>
      <c r="M1346" s="167" t="s">
        <v>39</v>
      </c>
      <c r="N1346" s="131"/>
      <c r="O1346" s="132"/>
      <c r="P1346" s="132"/>
      <c r="Q1346" s="132"/>
      <c r="R1346" s="132"/>
      <c r="S1346" s="132"/>
      <c r="T1346" s="132"/>
      <c r="U1346" s="132"/>
      <c r="V1346" s="132"/>
      <c r="W1346" s="132"/>
      <c r="X1346" s="132"/>
      <c r="Y1346" s="132"/>
      <c r="Z1346" s="132"/>
      <c r="AA1346" s="132"/>
      <c r="AB1346" s="132"/>
    </row>
    <row r="1347" spans="1:28" s="133" customFormat="1" ht="15" customHeight="1" outlineLevel="1" x14ac:dyDescent="0.2">
      <c r="A1347" s="134">
        <v>34</v>
      </c>
      <c r="B1347" s="134">
        <v>50672</v>
      </c>
      <c r="C1347" s="135">
        <v>41887</v>
      </c>
      <c r="D1347" s="136" t="s">
        <v>1852</v>
      </c>
      <c r="E1347" s="134" t="s">
        <v>411</v>
      </c>
      <c r="F1347" s="137" t="s">
        <v>534</v>
      </c>
      <c r="G1347" s="138" t="s">
        <v>565</v>
      </c>
      <c r="H1347" s="139"/>
      <c r="I1347" s="140">
        <v>1</v>
      </c>
      <c r="J1347" s="141">
        <v>30429</v>
      </c>
      <c r="K1347" s="141">
        <v>30429</v>
      </c>
      <c r="L1347" s="647"/>
      <c r="M1347" s="167" t="s">
        <v>39</v>
      </c>
      <c r="N1347" s="131"/>
      <c r="O1347" s="132"/>
      <c r="P1347" s="132"/>
      <c r="Q1347" s="132"/>
      <c r="R1347" s="132"/>
      <c r="S1347" s="132"/>
      <c r="T1347" s="132"/>
      <c r="U1347" s="132"/>
      <c r="V1347" s="132"/>
      <c r="W1347" s="132"/>
      <c r="X1347" s="132"/>
      <c r="Y1347" s="132"/>
      <c r="Z1347" s="132"/>
      <c r="AA1347" s="132"/>
      <c r="AB1347" s="132"/>
    </row>
    <row r="1348" spans="1:28" s="133" customFormat="1" ht="15" customHeight="1" outlineLevel="1" x14ac:dyDescent="0.2">
      <c r="A1348" s="134">
        <v>35</v>
      </c>
      <c r="B1348" s="134">
        <v>55653</v>
      </c>
      <c r="C1348" s="135">
        <v>41911</v>
      </c>
      <c r="D1348" s="136" t="s">
        <v>1852</v>
      </c>
      <c r="E1348" s="134" t="s">
        <v>940</v>
      </c>
      <c r="F1348" s="137" t="s">
        <v>577</v>
      </c>
      <c r="G1348" s="138" t="s">
        <v>368</v>
      </c>
      <c r="H1348" s="139"/>
      <c r="I1348" s="140">
        <v>1</v>
      </c>
      <c r="J1348" s="141">
        <v>25800</v>
      </c>
      <c r="K1348" s="141">
        <v>25800</v>
      </c>
      <c r="L1348" s="647"/>
      <c r="M1348" s="167" t="s">
        <v>39</v>
      </c>
      <c r="N1348" s="131"/>
      <c r="O1348" s="132"/>
      <c r="P1348" s="132"/>
      <c r="Q1348" s="132"/>
      <c r="R1348" s="132"/>
      <c r="S1348" s="132"/>
      <c r="T1348" s="132"/>
      <c r="U1348" s="132"/>
      <c r="V1348" s="132"/>
      <c r="W1348" s="132"/>
      <c r="X1348" s="132"/>
      <c r="Y1348" s="132"/>
      <c r="Z1348" s="132"/>
      <c r="AA1348" s="132"/>
      <c r="AB1348" s="132"/>
    </row>
    <row r="1349" spans="1:28" s="133" customFormat="1" ht="15" customHeight="1" outlineLevel="1" x14ac:dyDescent="0.2">
      <c r="A1349" s="134">
        <v>36</v>
      </c>
      <c r="B1349" s="134">
        <v>55281</v>
      </c>
      <c r="C1349" s="135">
        <v>41906</v>
      </c>
      <c r="D1349" s="136" t="s">
        <v>1853</v>
      </c>
      <c r="E1349" s="134" t="s">
        <v>411</v>
      </c>
      <c r="F1349" s="137" t="s">
        <v>215</v>
      </c>
      <c r="G1349" s="138" t="s">
        <v>368</v>
      </c>
      <c r="H1349" s="139"/>
      <c r="I1349" s="140">
        <v>1</v>
      </c>
      <c r="J1349" s="141">
        <v>44597</v>
      </c>
      <c r="K1349" s="141">
        <v>44597</v>
      </c>
      <c r="L1349" s="647"/>
      <c r="M1349" s="167" t="s">
        <v>39</v>
      </c>
      <c r="N1349" s="131"/>
      <c r="O1349" s="132"/>
      <c r="P1349" s="132"/>
      <c r="Q1349" s="132"/>
      <c r="R1349" s="132"/>
      <c r="S1349" s="132"/>
      <c r="T1349" s="132"/>
      <c r="U1349" s="132"/>
      <c r="V1349" s="132"/>
      <c r="W1349" s="132"/>
      <c r="X1349" s="132"/>
      <c r="Y1349" s="132"/>
      <c r="Z1349" s="132"/>
      <c r="AA1349" s="132"/>
      <c r="AB1349" s="132"/>
    </row>
    <row r="1350" spans="1:28" s="133" customFormat="1" ht="15" customHeight="1" outlineLevel="1" x14ac:dyDescent="0.2">
      <c r="A1350" s="134">
        <v>37</v>
      </c>
      <c r="B1350" s="134">
        <v>50331</v>
      </c>
      <c r="C1350" s="135">
        <v>41887</v>
      </c>
      <c r="D1350" s="136" t="s">
        <v>1854</v>
      </c>
      <c r="E1350" s="134" t="s">
        <v>1787</v>
      </c>
      <c r="F1350" s="137" t="s">
        <v>115</v>
      </c>
      <c r="G1350" s="138" t="s">
        <v>1855</v>
      </c>
      <c r="H1350" s="139"/>
      <c r="I1350" s="140">
        <v>4</v>
      </c>
      <c r="J1350" s="141">
        <v>5274</v>
      </c>
      <c r="K1350" s="141">
        <v>21096</v>
      </c>
      <c r="L1350" s="647"/>
      <c r="M1350" s="167" t="s">
        <v>39</v>
      </c>
      <c r="N1350" s="131"/>
      <c r="O1350" s="132"/>
      <c r="P1350" s="132"/>
      <c r="Q1350" s="132"/>
      <c r="R1350" s="132"/>
      <c r="S1350" s="132"/>
      <c r="T1350" s="132"/>
      <c r="U1350" s="132"/>
      <c r="V1350" s="132"/>
      <c r="W1350" s="132"/>
      <c r="X1350" s="132"/>
      <c r="Y1350" s="132"/>
      <c r="Z1350" s="132"/>
      <c r="AA1350" s="132"/>
      <c r="AB1350" s="132"/>
    </row>
    <row r="1351" spans="1:28" s="133" customFormat="1" ht="15" customHeight="1" outlineLevel="1" x14ac:dyDescent="0.2">
      <c r="A1351" s="134">
        <v>38</v>
      </c>
      <c r="B1351" s="134">
        <v>49085</v>
      </c>
      <c r="C1351" s="135">
        <v>41884</v>
      </c>
      <c r="D1351" s="136" t="s">
        <v>1856</v>
      </c>
      <c r="E1351" s="134" t="s">
        <v>518</v>
      </c>
      <c r="F1351" s="137" t="s">
        <v>534</v>
      </c>
      <c r="G1351" s="138" t="s">
        <v>469</v>
      </c>
      <c r="H1351" s="139"/>
      <c r="I1351" s="140">
        <v>1</v>
      </c>
      <c r="J1351" s="141">
        <v>30429</v>
      </c>
      <c r="K1351" s="141">
        <v>30429</v>
      </c>
      <c r="L1351" s="647"/>
      <c r="M1351" s="167" t="s">
        <v>39</v>
      </c>
      <c r="N1351" s="131"/>
      <c r="O1351" s="132"/>
      <c r="P1351" s="132"/>
      <c r="Q1351" s="132"/>
      <c r="R1351" s="132"/>
      <c r="S1351" s="132"/>
      <c r="T1351" s="132"/>
      <c r="U1351" s="132"/>
      <c r="V1351" s="132"/>
      <c r="W1351" s="132"/>
      <c r="X1351" s="132"/>
      <c r="Y1351" s="132"/>
      <c r="Z1351" s="132"/>
      <c r="AA1351" s="132"/>
      <c r="AB1351" s="132"/>
    </row>
    <row r="1352" spans="1:28" s="133" customFormat="1" ht="15" customHeight="1" outlineLevel="1" x14ac:dyDescent="0.2">
      <c r="A1352" s="134">
        <v>39</v>
      </c>
      <c r="B1352" s="134">
        <v>54868</v>
      </c>
      <c r="C1352" s="135">
        <v>41906</v>
      </c>
      <c r="D1352" s="136" t="s">
        <v>1857</v>
      </c>
      <c r="E1352" s="134" t="s">
        <v>411</v>
      </c>
      <c r="F1352" s="137" t="s">
        <v>208</v>
      </c>
      <c r="G1352" s="138" t="s">
        <v>416</v>
      </c>
      <c r="H1352" s="139"/>
      <c r="I1352" s="140">
        <v>1</v>
      </c>
      <c r="J1352" s="141">
        <v>14099</v>
      </c>
      <c r="K1352" s="141">
        <v>14099</v>
      </c>
      <c r="L1352" s="647"/>
      <c r="M1352" s="167" t="s">
        <v>39</v>
      </c>
      <c r="N1352" s="131"/>
      <c r="O1352" s="132"/>
      <c r="P1352" s="132"/>
      <c r="Q1352" s="132"/>
      <c r="R1352" s="132"/>
      <c r="S1352" s="132"/>
      <c r="T1352" s="132"/>
      <c r="U1352" s="132"/>
      <c r="V1352" s="132"/>
      <c r="W1352" s="132"/>
      <c r="X1352" s="132"/>
      <c r="Y1352" s="132"/>
      <c r="Z1352" s="132"/>
      <c r="AA1352" s="132"/>
      <c r="AB1352" s="132"/>
    </row>
    <row r="1353" spans="1:28" s="133" customFormat="1" ht="15" customHeight="1" outlineLevel="1" x14ac:dyDescent="0.2">
      <c r="A1353" s="134">
        <v>40</v>
      </c>
      <c r="B1353" s="134">
        <v>53203</v>
      </c>
      <c r="C1353" s="135">
        <v>41897</v>
      </c>
      <c r="D1353" s="136" t="s">
        <v>1858</v>
      </c>
      <c r="E1353" s="134" t="s">
        <v>411</v>
      </c>
      <c r="F1353" s="137" t="s">
        <v>679</v>
      </c>
      <c r="G1353" s="138" t="s">
        <v>368</v>
      </c>
      <c r="H1353" s="139"/>
      <c r="I1353" s="140">
        <v>1</v>
      </c>
      <c r="J1353" s="141">
        <v>55058</v>
      </c>
      <c r="K1353" s="141">
        <v>55058</v>
      </c>
      <c r="L1353" s="648"/>
      <c r="M1353" s="167" t="s">
        <v>39</v>
      </c>
      <c r="N1353" s="131"/>
      <c r="O1353" s="132"/>
      <c r="P1353" s="132"/>
      <c r="Q1353" s="132"/>
      <c r="R1353" s="132"/>
      <c r="S1353" s="132"/>
      <c r="T1353" s="132"/>
      <c r="U1353" s="132"/>
      <c r="V1353" s="132"/>
      <c r="W1353" s="132"/>
      <c r="X1353" s="132"/>
      <c r="Y1353" s="132"/>
      <c r="Z1353" s="132"/>
      <c r="AA1353" s="132"/>
      <c r="AB1353" s="132"/>
    </row>
    <row r="1354" spans="1:28" s="133" customFormat="1" ht="15" customHeight="1" outlineLevel="1" x14ac:dyDescent="0.2">
      <c r="A1354" s="134">
        <v>9</v>
      </c>
      <c r="B1354" s="173">
        <v>57190</v>
      </c>
      <c r="C1354" s="135">
        <v>41915</v>
      </c>
      <c r="D1354" s="136" t="s">
        <v>522</v>
      </c>
      <c r="E1354" s="134" t="s">
        <v>1787</v>
      </c>
      <c r="F1354" s="137" t="s">
        <v>114</v>
      </c>
      <c r="G1354" s="138" t="s">
        <v>524</v>
      </c>
      <c r="H1354" s="139"/>
      <c r="I1354" s="140">
        <v>1</v>
      </c>
      <c r="J1354" s="141">
        <v>33370</v>
      </c>
      <c r="K1354" s="141">
        <v>33370</v>
      </c>
      <c r="L1354" s="195" t="s">
        <v>617</v>
      </c>
      <c r="M1354" s="167" t="s">
        <v>39</v>
      </c>
      <c r="N1354" s="131"/>
      <c r="O1354" s="132"/>
      <c r="P1354" s="132"/>
      <c r="Q1354" s="132"/>
      <c r="R1354" s="132"/>
      <c r="S1354" s="132"/>
      <c r="T1354" s="132"/>
      <c r="U1354" s="132"/>
      <c r="V1354" s="132"/>
      <c r="W1354" s="132"/>
      <c r="X1354" s="132"/>
      <c r="Y1354" s="132"/>
      <c r="Z1354" s="132"/>
      <c r="AA1354" s="132"/>
      <c r="AB1354" s="132"/>
    </row>
    <row r="1355" spans="1:28" s="133" customFormat="1" ht="15" customHeight="1" outlineLevel="1" x14ac:dyDescent="0.2">
      <c r="A1355" s="134">
        <v>10</v>
      </c>
      <c r="B1355" s="173">
        <v>58001</v>
      </c>
      <c r="C1355" s="135">
        <v>41918</v>
      </c>
      <c r="D1355" s="136" t="s">
        <v>1859</v>
      </c>
      <c r="E1355" s="134" t="s">
        <v>411</v>
      </c>
      <c r="F1355" s="137" t="s">
        <v>115</v>
      </c>
      <c r="G1355" s="138" t="s">
        <v>404</v>
      </c>
      <c r="H1355" s="139"/>
      <c r="I1355" s="140">
        <v>1</v>
      </c>
      <c r="J1355" s="141">
        <v>5274</v>
      </c>
      <c r="K1355" s="141">
        <v>5274</v>
      </c>
      <c r="L1355" s="195" t="s">
        <v>617</v>
      </c>
      <c r="M1355" s="167" t="s">
        <v>39</v>
      </c>
      <c r="N1355" s="131"/>
      <c r="O1355" s="132"/>
      <c r="P1355" s="132"/>
      <c r="Q1355" s="132"/>
      <c r="R1355" s="132"/>
      <c r="S1355" s="132"/>
      <c r="T1355" s="132"/>
      <c r="U1355" s="132"/>
      <c r="V1355" s="132"/>
      <c r="W1355" s="132"/>
      <c r="X1355" s="132"/>
      <c r="Y1355" s="132"/>
      <c r="Z1355" s="132"/>
      <c r="AA1355" s="132"/>
      <c r="AB1355" s="132"/>
    </row>
    <row r="1356" spans="1:28" s="133" customFormat="1" ht="15" customHeight="1" outlineLevel="1" x14ac:dyDescent="0.2">
      <c r="A1356" s="134">
        <v>11</v>
      </c>
      <c r="B1356" s="173">
        <v>55066</v>
      </c>
      <c r="C1356" s="135">
        <v>41928</v>
      </c>
      <c r="D1356" s="136" t="s">
        <v>1860</v>
      </c>
      <c r="E1356" s="134" t="s">
        <v>411</v>
      </c>
      <c r="F1356" s="137" t="s">
        <v>114</v>
      </c>
      <c r="G1356" s="138" t="s">
        <v>1831</v>
      </c>
      <c r="H1356" s="139"/>
      <c r="I1356" s="140">
        <v>1</v>
      </c>
      <c r="J1356" s="141">
        <v>33370</v>
      </c>
      <c r="K1356" s="141">
        <v>33370</v>
      </c>
      <c r="L1356" s="195" t="s">
        <v>617</v>
      </c>
      <c r="M1356" s="167" t="s">
        <v>39</v>
      </c>
      <c r="N1356" s="131"/>
      <c r="O1356" s="132"/>
      <c r="P1356" s="132"/>
      <c r="Q1356" s="132"/>
      <c r="R1356" s="132"/>
      <c r="S1356" s="132"/>
      <c r="T1356" s="132"/>
      <c r="U1356" s="132"/>
      <c r="V1356" s="132"/>
      <c r="W1356" s="132"/>
      <c r="X1356" s="132"/>
      <c r="Y1356" s="132"/>
      <c r="Z1356" s="132"/>
      <c r="AA1356" s="132"/>
      <c r="AB1356" s="132"/>
    </row>
    <row r="1357" spans="1:28" s="133" customFormat="1" ht="15" customHeight="1" outlineLevel="1" x14ac:dyDescent="0.2">
      <c r="A1357" s="134">
        <v>12</v>
      </c>
      <c r="B1357" s="173">
        <v>57380</v>
      </c>
      <c r="C1357" s="135">
        <v>41914</v>
      </c>
      <c r="D1357" s="136" t="s">
        <v>1861</v>
      </c>
      <c r="E1357" s="134" t="s">
        <v>1787</v>
      </c>
      <c r="F1357" s="137" t="s">
        <v>534</v>
      </c>
      <c r="G1357" s="138" t="s">
        <v>469</v>
      </c>
      <c r="H1357" s="139"/>
      <c r="I1357" s="140">
        <v>1</v>
      </c>
      <c r="J1357" s="141">
        <v>30429</v>
      </c>
      <c r="K1357" s="141">
        <v>30429</v>
      </c>
      <c r="L1357" s="195" t="s">
        <v>617</v>
      </c>
      <c r="M1357" s="167" t="s">
        <v>39</v>
      </c>
      <c r="N1357" s="131"/>
      <c r="O1357" s="132"/>
      <c r="P1357" s="132"/>
      <c r="Q1357" s="132"/>
      <c r="R1357" s="132"/>
      <c r="S1357" s="132"/>
      <c r="T1357" s="132"/>
      <c r="U1357" s="132"/>
      <c r="V1357" s="132"/>
      <c r="W1357" s="132"/>
      <c r="X1357" s="132"/>
      <c r="Y1357" s="132"/>
      <c r="Z1357" s="132"/>
      <c r="AA1357" s="132"/>
      <c r="AB1357" s="132"/>
    </row>
    <row r="1358" spans="1:28" s="133" customFormat="1" ht="15" customHeight="1" outlineLevel="1" x14ac:dyDescent="0.2">
      <c r="A1358" s="134">
        <v>13</v>
      </c>
      <c r="B1358" s="173">
        <v>59842</v>
      </c>
      <c r="C1358" s="135">
        <v>41942</v>
      </c>
      <c r="D1358" s="136" t="s">
        <v>511</v>
      </c>
      <c r="E1358" s="134" t="s">
        <v>512</v>
      </c>
      <c r="F1358" s="137" t="s">
        <v>577</v>
      </c>
      <c r="G1358" s="138" t="s">
        <v>368</v>
      </c>
      <c r="H1358" s="139"/>
      <c r="I1358" s="140">
        <v>1</v>
      </c>
      <c r="J1358" s="141">
        <v>25800</v>
      </c>
      <c r="K1358" s="141">
        <v>25800</v>
      </c>
      <c r="L1358" s="195" t="s">
        <v>617</v>
      </c>
      <c r="M1358" s="167" t="s">
        <v>39</v>
      </c>
      <c r="N1358" s="131"/>
      <c r="O1358" s="132"/>
      <c r="P1358" s="132"/>
      <c r="Q1358" s="132"/>
      <c r="R1358" s="132"/>
      <c r="S1358" s="132"/>
      <c r="T1358" s="132"/>
      <c r="U1358" s="132"/>
      <c r="V1358" s="132"/>
      <c r="W1358" s="132"/>
      <c r="X1358" s="132"/>
      <c r="Y1358" s="132"/>
      <c r="Z1358" s="132"/>
      <c r="AA1358" s="132"/>
      <c r="AB1358" s="132"/>
    </row>
    <row r="1359" spans="1:28" s="133" customFormat="1" ht="15" customHeight="1" outlineLevel="1" x14ac:dyDescent="0.2">
      <c r="A1359" s="134">
        <v>14</v>
      </c>
      <c r="B1359" s="173">
        <v>54183</v>
      </c>
      <c r="C1359" s="135">
        <v>41927</v>
      </c>
      <c r="D1359" s="136" t="s">
        <v>1862</v>
      </c>
      <c r="E1359" s="134" t="s">
        <v>411</v>
      </c>
      <c r="F1359" s="137" t="s">
        <v>215</v>
      </c>
      <c r="G1359" s="138" t="s">
        <v>366</v>
      </c>
      <c r="H1359" s="139"/>
      <c r="I1359" s="140">
        <v>1</v>
      </c>
      <c r="J1359" s="141">
        <v>44597</v>
      </c>
      <c r="K1359" s="141">
        <v>44597</v>
      </c>
      <c r="L1359" s="195" t="s">
        <v>617</v>
      </c>
      <c r="M1359" s="167" t="s">
        <v>39</v>
      </c>
      <c r="N1359" s="131"/>
      <c r="O1359" s="132"/>
      <c r="P1359" s="132"/>
      <c r="Q1359" s="132"/>
      <c r="R1359" s="132"/>
      <c r="S1359" s="132"/>
      <c r="T1359" s="132"/>
      <c r="U1359" s="132"/>
      <c r="V1359" s="132"/>
      <c r="W1359" s="132"/>
      <c r="X1359" s="132"/>
      <c r="Y1359" s="132"/>
      <c r="Z1359" s="132"/>
      <c r="AA1359" s="132"/>
      <c r="AB1359" s="132"/>
    </row>
    <row r="1360" spans="1:28" s="133" customFormat="1" ht="15" customHeight="1" outlineLevel="1" x14ac:dyDescent="0.2">
      <c r="A1360" s="134">
        <v>15</v>
      </c>
      <c r="B1360" s="173">
        <v>55740</v>
      </c>
      <c r="C1360" s="135">
        <v>41929</v>
      </c>
      <c r="D1360" s="136" t="s">
        <v>410</v>
      </c>
      <c r="E1360" s="134" t="s">
        <v>411</v>
      </c>
      <c r="F1360" s="137" t="s">
        <v>114</v>
      </c>
      <c r="G1360" s="138" t="s">
        <v>412</v>
      </c>
      <c r="H1360" s="139"/>
      <c r="I1360" s="140">
        <v>1</v>
      </c>
      <c r="J1360" s="141">
        <v>33370</v>
      </c>
      <c r="K1360" s="141">
        <v>33370</v>
      </c>
      <c r="L1360" s="195" t="s">
        <v>617</v>
      </c>
      <c r="M1360" s="167" t="s">
        <v>39</v>
      </c>
      <c r="N1360" s="131"/>
      <c r="O1360" s="132"/>
      <c r="P1360" s="132"/>
      <c r="Q1360" s="132"/>
      <c r="R1360" s="132"/>
      <c r="S1360" s="132"/>
      <c r="T1360" s="132"/>
      <c r="U1360" s="132"/>
      <c r="V1360" s="132"/>
      <c r="W1360" s="132"/>
      <c r="X1360" s="132"/>
      <c r="Y1360" s="132"/>
      <c r="Z1360" s="132"/>
      <c r="AA1360" s="132"/>
      <c r="AB1360" s="132"/>
    </row>
    <row r="1361" spans="1:28" s="133" customFormat="1" ht="15" customHeight="1" outlineLevel="1" x14ac:dyDescent="0.2">
      <c r="A1361" s="134">
        <v>16</v>
      </c>
      <c r="B1361" s="173">
        <v>53002</v>
      </c>
      <c r="C1361" s="135">
        <v>41922</v>
      </c>
      <c r="D1361" s="136" t="s">
        <v>1832</v>
      </c>
      <c r="E1361" s="134" t="s">
        <v>1787</v>
      </c>
      <c r="F1361" s="137" t="s">
        <v>114</v>
      </c>
      <c r="G1361" s="138" t="s">
        <v>412</v>
      </c>
      <c r="H1361" s="139"/>
      <c r="I1361" s="140">
        <v>1</v>
      </c>
      <c r="J1361" s="141">
        <v>33370</v>
      </c>
      <c r="K1361" s="141">
        <v>33370</v>
      </c>
      <c r="L1361" s="195" t="s">
        <v>617</v>
      </c>
      <c r="M1361" s="167" t="s">
        <v>39</v>
      </c>
      <c r="N1361" s="131"/>
      <c r="O1361" s="132"/>
      <c r="P1361" s="132"/>
      <c r="Q1361" s="132"/>
      <c r="R1361" s="132"/>
      <c r="S1361" s="132"/>
      <c r="T1361" s="132"/>
      <c r="U1361" s="132"/>
      <c r="V1361" s="132"/>
      <c r="W1361" s="132"/>
      <c r="X1361" s="132"/>
      <c r="Y1361" s="132"/>
      <c r="Z1361" s="132"/>
      <c r="AA1361" s="132"/>
      <c r="AB1361" s="132"/>
    </row>
    <row r="1362" spans="1:28" s="133" customFormat="1" ht="15" customHeight="1" outlineLevel="1" x14ac:dyDescent="0.2">
      <c r="A1362" s="134">
        <v>17</v>
      </c>
      <c r="B1362" s="173">
        <v>59073</v>
      </c>
      <c r="C1362" s="135">
        <v>41940</v>
      </c>
      <c r="D1362" s="136" t="s">
        <v>1863</v>
      </c>
      <c r="E1362" s="134" t="s">
        <v>411</v>
      </c>
      <c r="F1362" s="137" t="s">
        <v>115</v>
      </c>
      <c r="G1362" s="138" t="s">
        <v>531</v>
      </c>
      <c r="H1362" s="139"/>
      <c r="I1362" s="140">
        <v>1</v>
      </c>
      <c r="J1362" s="141">
        <v>5274</v>
      </c>
      <c r="K1362" s="141">
        <v>5274</v>
      </c>
      <c r="L1362" s="195" t="s">
        <v>617</v>
      </c>
      <c r="M1362" s="167" t="s">
        <v>39</v>
      </c>
      <c r="N1362" s="131"/>
      <c r="O1362" s="132"/>
      <c r="P1362" s="132"/>
      <c r="Q1362" s="132"/>
      <c r="R1362" s="132"/>
      <c r="S1362" s="132"/>
      <c r="T1362" s="132"/>
      <c r="U1362" s="132"/>
      <c r="V1362" s="132"/>
      <c r="W1362" s="132"/>
      <c r="X1362" s="132"/>
      <c r="Y1362" s="132"/>
      <c r="Z1362" s="132"/>
      <c r="AA1362" s="132"/>
      <c r="AB1362" s="132"/>
    </row>
    <row r="1363" spans="1:28" s="133" customFormat="1" ht="15" customHeight="1" outlineLevel="1" x14ac:dyDescent="0.2">
      <c r="A1363" s="134">
        <v>18</v>
      </c>
      <c r="B1363" s="173">
        <v>60392</v>
      </c>
      <c r="C1363" s="135">
        <v>41942</v>
      </c>
      <c r="D1363" s="136" t="s">
        <v>1864</v>
      </c>
      <c r="E1363" s="134" t="s">
        <v>411</v>
      </c>
      <c r="F1363" s="137" t="s">
        <v>534</v>
      </c>
      <c r="G1363" s="138" t="s">
        <v>524</v>
      </c>
      <c r="H1363" s="139"/>
      <c r="I1363" s="140">
        <v>1</v>
      </c>
      <c r="J1363" s="141">
        <v>30429</v>
      </c>
      <c r="K1363" s="141">
        <v>30429</v>
      </c>
      <c r="L1363" s="195" t="s">
        <v>617</v>
      </c>
      <c r="M1363" s="167" t="s">
        <v>39</v>
      </c>
      <c r="N1363" s="131"/>
      <c r="O1363" s="132"/>
      <c r="P1363" s="132"/>
      <c r="Q1363" s="132"/>
      <c r="R1363" s="132"/>
      <c r="S1363" s="132"/>
      <c r="T1363" s="132"/>
      <c r="U1363" s="132"/>
      <c r="V1363" s="132"/>
      <c r="W1363" s="132"/>
      <c r="X1363" s="132"/>
      <c r="Y1363" s="132"/>
      <c r="Z1363" s="132"/>
      <c r="AA1363" s="132"/>
      <c r="AB1363" s="132"/>
    </row>
    <row r="1364" spans="1:28" s="133" customFormat="1" ht="15" customHeight="1" outlineLevel="1" x14ac:dyDescent="0.2">
      <c r="A1364" s="134">
        <v>19</v>
      </c>
      <c r="B1364" s="173">
        <v>56454</v>
      </c>
      <c r="C1364" s="135">
        <v>41933</v>
      </c>
      <c r="D1364" s="136" t="s">
        <v>413</v>
      </c>
      <c r="E1364" s="134" t="s">
        <v>411</v>
      </c>
      <c r="F1364" s="137" t="s">
        <v>114</v>
      </c>
      <c r="G1364" s="138" t="s">
        <v>414</v>
      </c>
      <c r="H1364" s="139"/>
      <c r="I1364" s="140">
        <v>1</v>
      </c>
      <c r="J1364" s="141">
        <v>33370</v>
      </c>
      <c r="K1364" s="141">
        <v>33370</v>
      </c>
      <c r="L1364" s="195" t="s">
        <v>617</v>
      </c>
      <c r="M1364" s="167" t="s">
        <v>39</v>
      </c>
      <c r="N1364" s="131"/>
      <c r="O1364" s="132"/>
      <c r="P1364" s="132"/>
      <c r="Q1364" s="132"/>
      <c r="R1364" s="132"/>
      <c r="S1364" s="132"/>
      <c r="T1364" s="132"/>
      <c r="U1364" s="132"/>
      <c r="V1364" s="132"/>
      <c r="W1364" s="132"/>
      <c r="X1364" s="132"/>
      <c r="Y1364" s="132"/>
      <c r="Z1364" s="132"/>
      <c r="AA1364" s="132"/>
      <c r="AB1364" s="132"/>
    </row>
    <row r="1365" spans="1:28" s="133" customFormat="1" ht="15" customHeight="1" outlineLevel="1" x14ac:dyDescent="0.2">
      <c r="A1365" s="134">
        <v>20</v>
      </c>
      <c r="B1365" s="173">
        <v>56340</v>
      </c>
      <c r="C1365" s="135">
        <v>41933</v>
      </c>
      <c r="D1365" s="136" t="s">
        <v>1865</v>
      </c>
      <c r="E1365" s="134" t="s">
        <v>411</v>
      </c>
      <c r="F1365" s="137" t="s">
        <v>115</v>
      </c>
      <c r="G1365" s="138" t="s">
        <v>527</v>
      </c>
      <c r="H1365" s="139"/>
      <c r="I1365" s="140">
        <v>1</v>
      </c>
      <c r="J1365" s="141">
        <v>5274</v>
      </c>
      <c r="K1365" s="141">
        <v>5274</v>
      </c>
      <c r="L1365" s="195" t="s">
        <v>617</v>
      </c>
      <c r="M1365" s="167" t="s">
        <v>39</v>
      </c>
      <c r="N1365" s="131"/>
      <c r="O1365" s="132"/>
      <c r="P1365" s="132"/>
      <c r="Q1365" s="132"/>
      <c r="R1365" s="132"/>
      <c r="S1365" s="132"/>
      <c r="T1365" s="132"/>
      <c r="U1365" s="132"/>
      <c r="V1365" s="132"/>
      <c r="W1365" s="132"/>
      <c r="X1365" s="132"/>
      <c r="Y1365" s="132"/>
      <c r="Z1365" s="132"/>
      <c r="AA1365" s="132"/>
      <c r="AB1365" s="132"/>
    </row>
    <row r="1366" spans="1:28" s="133" customFormat="1" ht="15" customHeight="1" outlineLevel="1" x14ac:dyDescent="0.2">
      <c r="A1366" s="134">
        <v>21</v>
      </c>
      <c r="B1366" s="134">
        <v>58497</v>
      </c>
      <c r="C1366" s="135">
        <v>41920</v>
      </c>
      <c r="D1366" s="213" t="s">
        <v>1866</v>
      </c>
      <c r="E1366" s="134" t="s">
        <v>411</v>
      </c>
      <c r="F1366" s="137" t="s">
        <v>679</v>
      </c>
      <c r="G1366" s="138" t="s">
        <v>366</v>
      </c>
      <c r="H1366" s="139"/>
      <c r="I1366" s="140">
        <v>1</v>
      </c>
      <c r="J1366" s="141">
        <v>55058</v>
      </c>
      <c r="K1366" s="141">
        <v>55058</v>
      </c>
      <c r="L1366" s="195" t="s">
        <v>617</v>
      </c>
      <c r="M1366" s="167" t="s">
        <v>39</v>
      </c>
      <c r="N1366" s="131"/>
      <c r="O1366" s="132"/>
      <c r="P1366" s="132"/>
      <c r="Q1366" s="132"/>
      <c r="R1366" s="132"/>
      <c r="S1366" s="132"/>
      <c r="T1366" s="132"/>
      <c r="U1366" s="132"/>
      <c r="V1366" s="132"/>
      <c r="W1366" s="132"/>
      <c r="X1366" s="132"/>
      <c r="Y1366" s="132"/>
      <c r="Z1366" s="132"/>
      <c r="AA1366" s="132"/>
      <c r="AB1366" s="132"/>
    </row>
    <row r="1367" spans="1:28" s="133" customFormat="1" ht="15" customHeight="1" outlineLevel="1" x14ac:dyDescent="0.2">
      <c r="A1367" s="134">
        <v>22</v>
      </c>
      <c r="B1367" s="173">
        <v>59140</v>
      </c>
      <c r="C1367" s="135">
        <v>41920</v>
      </c>
      <c r="D1367" s="136" t="s">
        <v>1816</v>
      </c>
      <c r="E1367" s="134" t="s">
        <v>411</v>
      </c>
      <c r="F1367" s="137" t="s">
        <v>114</v>
      </c>
      <c r="G1367" s="138" t="s">
        <v>431</v>
      </c>
      <c r="H1367" s="139"/>
      <c r="I1367" s="140">
        <v>1</v>
      </c>
      <c r="J1367" s="141">
        <v>33370</v>
      </c>
      <c r="K1367" s="141">
        <v>33370</v>
      </c>
      <c r="L1367" s="195" t="s">
        <v>617</v>
      </c>
      <c r="M1367" s="167" t="s">
        <v>39</v>
      </c>
      <c r="N1367" s="131"/>
      <c r="O1367" s="132"/>
      <c r="P1367" s="132"/>
      <c r="Q1367" s="132"/>
      <c r="R1367" s="132"/>
      <c r="S1367" s="132"/>
      <c r="T1367" s="132"/>
      <c r="U1367" s="132"/>
      <c r="V1367" s="132"/>
      <c r="W1367" s="132"/>
      <c r="X1367" s="132"/>
      <c r="Y1367" s="132"/>
      <c r="Z1367" s="132"/>
      <c r="AA1367" s="132"/>
      <c r="AB1367" s="132"/>
    </row>
    <row r="1368" spans="1:28" s="133" customFormat="1" ht="15" customHeight="1" outlineLevel="1" x14ac:dyDescent="0.2">
      <c r="A1368" s="134">
        <v>23</v>
      </c>
      <c r="B1368" s="173">
        <v>57681</v>
      </c>
      <c r="C1368" s="135">
        <v>41915</v>
      </c>
      <c r="D1368" s="136" t="s">
        <v>1867</v>
      </c>
      <c r="E1368" s="134" t="s">
        <v>1787</v>
      </c>
      <c r="F1368" s="137" t="s">
        <v>534</v>
      </c>
      <c r="G1368" s="138" t="s">
        <v>412</v>
      </c>
      <c r="H1368" s="139"/>
      <c r="I1368" s="140">
        <v>1</v>
      </c>
      <c r="J1368" s="141">
        <v>30429</v>
      </c>
      <c r="K1368" s="141">
        <v>30429</v>
      </c>
      <c r="L1368" s="195" t="s">
        <v>617</v>
      </c>
      <c r="M1368" s="167" t="s">
        <v>39</v>
      </c>
      <c r="N1368" s="131"/>
      <c r="O1368" s="132"/>
      <c r="P1368" s="132"/>
      <c r="Q1368" s="132"/>
      <c r="R1368" s="132"/>
      <c r="S1368" s="132"/>
      <c r="T1368" s="132"/>
      <c r="U1368" s="132"/>
      <c r="V1368" s="132"/>
      <c r="W1368" s="132"/>
      <c r="X1368" s="132"/>
      <c r="Y1368" s="132"/>
      <c r="Z1368" s="132"/>
      <c r="AA1368" s="132"/>
      <c r="AB1368" s="132"/>
    </row>
    <row r="1369" spans="1:28" s="133" customFormat="1" ht="15" customHeight="1" outlineLevel="1" x14ac:dyDescent="0.2">
      <c r="A1369" s="134">
        <v>24</v>
      </c>
      <c r="B1369" s="173">
        <v>57998</v>
      </c>
      <c r="C1369" s="135">
        <v>41939</v>
      </c>
      <c r="D1369" s="136" t="s">
        <v>1868</v>
      </c>
      <c r="E1369" s="134" t="s">
        <v>411</v>
      </c>
      <c r="F1369" s="137" t="s">
        <v>115</v>
      </c>
      <c r="G1369" s="138" t="s">
        <v>407</v>
      </c>
      <c r="H1369" s="139"/>
      <c r="I1369" s="140">
        <v>1</v>
      </c>
      <c r="J1369" s="141">
        <v>5274</v>
      </c>
      <c r="K1369" s="141">
        <v>5274</v>
      </c>
      <c r="L1369" s="195" t="s">
        <v>617</v>
      </c>
      <c r="M1369" s="167" t="s">
        <v>39</v>
      </c>
      <c r="N1369" s="131"/>
      <c r="O1369" s="132"/>
      <c r="P1369" s="132"/>
      <c r="Q1369" s="132"/>
      <c r="R1369" s="132"/>
      <c r="S1369" s="132"/>
      <c r="T1369" s="132"/>
      <c r="U1369" s="132"/>
      <c r="V1369" s="132"/>
      <c r="W1369" s="132"/>
      <c r="X1369" s="132"/>
      <c r="Y1369" s="132"/>
      <c r="Z1369" s="132"/>
      <c r="AA1369" s="132"/>
      <c r="AB1369" s="132"/>
    </row>
    <row r="1370" spans="1:28" s="133" customFormat="1" ht="15" customHeight="1" outlineLevel="1" x14ac:dyDescent="0.2">
      <c r="A1370" s="134">
        <v>25</v>
      </c>
      <c r="B1370" s="173">
        <v>53214</v>
      </c>
      <c r="C1370" s="135">
        <v>41922</v>
      </c>
      <c r="D1370" s="136" t="s">
        <v>1794</v>
      </c>
      <c r="E1370" s="134" t="s">
        <v>411</v>
      </c>
      <c r="F1370" s="137" t="s">
        <v>1129</v>
      </c>
      <c r="G1370" s="138" t="s">
        <v>565</v>
      </c>
      <c r="H1370" s="139"/>
      <c r="I1370" s="140">
        <v>1</v>
      </c>
      <c r="J1370" s="141">
        <v>49701</v>
      </c>
      <c r="K1370" s="141">
        <v>49701</v>
      </c>
      <c r="L1370" s="195" t="s">
        <v>617</v>
      </c>
      <c r="M1370" s="167" t="s">
        <v>39</v>
      </c>
      <c r="N1370" s="131"/>
      <c r="O1370" s="132"/>
      <c r="P1370" s="132"/>
      <c r="Q1370" s="132"/>
      <c r="R1370" s="132"/>
      <c r="S1370" s="132"/>
      <c r="T1370" s="132"/>
      <c r="U1370" s="132"/>
      <c r="V1370" s="132"/>
      <c r="W1370" s="132"/>
      <c r="X1370" s="132"/>
      <c r="Y1370" s="132"/>
      <c r="Z1370" s="132"/>
      <c r="AA1370" s="132"/>
      <c r="AB1370" s="132"/>
    </row>
    <row r="1371" spans="1:28" s="133" customFormat="1" ht="15" customHeight="1" outlineLevel="1" x14ac:dyDescent="0.2">
      <c r="A1371" s="134">
        <v>26</v>
      </c>
      <c r="B1371" s="173">
        <v>57250</v>
      </c>
      <c r="C1371" s="135">
        <v>41914</v>
      </c>
      <c r="D1371" s="136" t="s">
        <v>1273</v>
      </c>
      <c r="E1371" s="134" t="s">
        <v>411</v>
      </c>
      <c r="F1371" s="137" t="s">
        <v>534</v>
      </c>
      <c r="G1371" s="138" t="s">
        <v>508</v>
      </c>
      <c r="H1371" s="139"/>
      <c r="I1371" s="140">
        <v>1</v>
      </c>
      <c r="J1371" s="141">
        <v>30429</v>
      </c>
      <c r="K1371" s="141">
        <v>30429</v>
      </c>
      <c r="L1371" s="195" t="s">
        <v>617</v>
      </c>
      <c r="M1371" s="167" t="s">
        <v>39</v>
      </c>
      <c r="N1371" s="131"/>
      <c r="O1371" s="132"/>
      <c r="P1371" s="132"/>
      <c r="Q1371" s="132"/>
      <c r="R1371" s="132"/>
      <c r="S1371" s="132"/>
      <c r="T1371" s="132"/>
      <c r="U1371" s="132"/>
      <c r="V1371" s="132"/>
      <c r="W1371" s="132"/>
      <c r="X1371" s="132"/>
      <c r="Y1371" s="132"/>
      <c r="Z1371" s="132"/>
      <c r="AA1371" s="132"/>
      <c r="AB1371" s="132"/>
    </row>
    <row r="1372" spans="1:28" s="133" customFormat="1" ht="15" customHeight="1" outlineLevel="1" x14ac:dyDescent="0.2">
      <c r="A1372" s="134">
        <v>27</v>
      </c>
      <c r="B1372" s="173">
        <v>55673</v>
      </c>
      <c r="C1372" s="135">
        <v>41929</v>
      </c>
      <c r="D1372" s="136" t="s">
        <v>1869</v>
      </c>
      <c r="E1372" s="134" t="s">
        <v>411</v>
      </c>
      <c r="F1372" s="137" t="s">
        <v>115</v>
      </c>
      <c r="G1372" s="138" t="s">
        <v>428</v>
      </c>
      <c r="H1372" s="139"/>
      <c r="I1372" s="140">
        <v>1</v>
      </c>
      <c r="J1372" s="141">
        <v>5274</v>
      </c>
      <c r="K1372" s="141">
        <v>5274</v>
      </c>
      <c r="L1372" s="195" t="s">
        <v>617</v>
      </c>
      <c r="M1372" s="167" t="s">
        <v>39</v>
      </c>
      <c r="N1372" s="131"/>
      <c r="O1372" s="132"/>
      <c r="P1372" s="132"/>
      <c r="Q1372" s="132"/>
      <c r="R1372" s="132"/>
      <c r="S1372" s="132"/>
      <c r="T1372" s="132"/>
      <c r="U1372" s="132"/>
      <c r="V1372" s="132"/>
      <c r="W1372" s="132"/>
      <c r="X1372" s="132"/>
      <c r="Y1372" s="132"/>
      <c r="Z1372" s="132"/>
      <c r="AA1372" s="132"/>
      <c r="AB1372" s="132"/>
    </row>
    <row r="1373" spans="1:28" s="133" customFormat="1" ht="15" customHeight="1" outlineLevel="1" x14ac:dyDescent="0.2">
      <c r="A1373" s="134">
        <v>28</v>
      </c>
      <c r="B1373" s="173">
        <v>54656</v>
      </c>
      <c r="C1373" s="135">
        <v>41927</v>
      </c>
      <c r="D1373" s="136" t="s">
        <v>1870</v>
      </c>
      <c r="E1373" s="134" t="s">
        <v>411</v>
      </c>
      <c r="F1373" s="137" t="s">
        <v>534</v>
      </c>
      <c r="G1373" s="138" t="s">
        <v>428</v>
      </c>
      <c r="H1373" s="139"/>
      <c r="I1373" s="140">
        <v>1</v>
      </c>
      <c r="J1373" s="141">
        <v>30429</v>
      </c>
      <c r="K1373" s="141">
        <v>30429</v>
      </c>
      <c r="L1373" s="195" t="s">
        <v>617</v>
      </c>
      <c r="M1373" s="167" t="s">
        <v>39</v>
      </c>
      <c r="N1373" s="131"/>
      <c r="O1373" s="132"/>
      <c r="P1373" s="132"/>
      <c r="Q1373" s="132"/>
      <c r="R1373" s="132"/>
      <c r="S1373" s="132"/>
      <c r="T1373" s="132"/>
      <c r="U1373" s="132"/>
      <c r="V1373" s="132"/>
      <c r="W1373" s="132"/>
      <c r="X1373" s="132"/>
      <c r="Y1373" s="132"/>
      <c r="Z1373" s="132"/>
      <c r="AA1373" s="132"/>
      <c r="AB1373" s="132"/>
    </row>
    <row r="1374" spans="1:28" s="133" customFormat="1" ht="15" customHeight="1" outlineLevel="1" x14ac:dyDescent="0.2">
      <c r="A1374" s="134">
        <v>29</v>
      </c>
      <c r="B1374" s="173">
        <v>60415</v>
      </c>
      <c r="C1374" s="135">
        <v>41942</v>
      </c>
      <c r="D1374" s="136" t="s">
        <v>1871</v>
      </c>
      <c r="E1374" s="134" t="s">
        <v>411</v>
      </c>
      <c r="F1374" s="137" t="s">
        <v>534</v>
      </c>
      <c r="G1374" s="138" t="s">
        <v>416</v>
      </c>
      <c r="H1374" s="139"/>
      <c r="I1374" s="140">
        <v>1</v>
      </c>
      <c r="J1374" s="141">
        <v>30429</v>
      </c>
      <c r="K1374" s="141">
        <v>30429</v>
      </c>
      <c r="L1374" s="195" t="s">
        <v>617</v>
      </c>
      <c r="M1374" s="167" t="s">
        <v>39</v>
      </c>
      <c r="N1374" s="131"/>
      <c r="O1374" s="132"/>
      <c r="P1374" s="132"/>
      <c r="Q1374" s="132"/>
      <c r="R1374" s="132"/>
      <c r="S1374" s="132"/>
      <c r="T1374" s="132"/>
      <c r="U1374" s="132"/>
      <c r="V1374" s="132"/>
      <c r="W1374" s="132"/>
      <c r="X1374" s="132"/>
      <c r="Y1374" s="132"/>
      <c r="Z1374" s="132"/>
      <c r="AA1374" s="132"/>
      <c r="AB1374" s="132"/>
    </row>
    <row r="1375" spans="1:28" s="133" customFormat="1" ht="15" customHeight="1" outlineLevel="1" x14ac:dyDescent="0.2">
      <c r="A1375" s="134">
        <v>30</v>
      </c>
      <c r="B1375" s="173">
        <v>57688</v>
      </c>
      <c r="C1375" s="135">
        <v>41915</v>
      </c>
      <c r="D1375" s="136" t="s">
        <v>1189</v>
      </c>
      <c r="E1375" s="134" t="s">
        <v>411</v>
      </c>
      <c r="F1375" s="137" t="s">
        <v>679</v>
      </c>
      <c r="G1375" s="138" t="s">
        <v>368</v>
      </c>
      <c r="H1375" s="139"/>
      <c r="I1375" s="140">
        <v>1</v>
      </c>
      <c r="J1375" s="141">
        <v>55058</v>
      </c>
      <c r="K1375" s="141">
        <v>55058</v>
      </c>
      <c r="L1375" s="195" t="s">
        <v>617</v>
      </c>
      <c r="M1375" s="167" t="s">
        <v>39</v>
      </c>
      <c r="N1375" s="131"/>
      <c r="O1375" s="132"/>
      <c r="P1375" s="132"/>
      <c r="Q1375" s="132"/>
      <c r="R1375" s="132"/>
      <c r="S1375" s="132"/>
      <c r="T1375" s="132"/>
      <c r="U1375" s="132"/>
      <c r="V1375" s="132"/>
      <c r="W1375" s="132"/>
      <c r="X1375" s="132"/>
      <c r="Y1375" s="132"/>
      <c r="Z1375" s="132"/>
      <c r="AA1375" s="132"/>
      <c r="AB1375" s="132"/>
    </row>
    <row r="1376" spans="1:28" s="133" customFormat="1" ht="15" customHeight="1" outlineLevel="1" x14ac:dyDescent="0.2">
      <c r="A1376" s="134">
        <v>31</v>
      </c>
      <c r="B1376" s="173">
        <v>58226</v>
      </c>
      <c r="C1376" s="135">
        <v>41918</v>
      </c>
      <c r="D1376" s="136" t="s">
        <v>1872</v>
      </c>
      <c r="E1376" s="134" t="s">
        <v>518</v>
      </c>
      <c r="F1376" s="137" t="s">
        <v>577</v>
      </c>
      <c r="G1376" s="138" t="s">
        <v>368</v>
      </c>
      <c r="H1376" s="139"/>
      <c r="I1376" s="140">
        <v>1</v>
      </c>
      <c r="J1376" s="141">
        <v>25800</v>
      </c>
      <c r="K1376" s="141">
        <v>25800</v>
      </c>
      <c r="L1376" s="195" t="s">
        <v>617</v>
      </c>
      <c r="M1376" s="167" t="s">
        <v>39</v>
      </c>
      <c r="N1376" s="131"/>
      <c r="O1376" s="132"/>
      <c r="P1376" s="132"/>
      <c r="Q1376" s="132"/>
      <c r="R1376" s="132"/>
      <c r="S1376" s="132"/>
      <c r="T1376" s="132"/>
      <c r="U1376" s="132"/>
      <c r="V1376" s="132"/>
      <c r="W1376" s="132"/>
      <c r="X1376" s="132"/>
      <c r="Y1376" s="132"/>
      <c r="Z1376" s="132"/>
      <c r="AA1376" s="132"/>
      <c r="AB1376" s="132"/>
    </row>
    <row r="1377" spans="1:28" s="133" customFormat="1" ht="15" customHeight="1" outlineLevel="1" x14ac:dyDescent="0.2">
      <c r="A1377" s="134">
        <v>32</v>
      </c>
      <c r="B1377" s="173">
        <v>56238</v>
      </c>
      <c r="C1377" s="135">
        <v>41932</v>
      </c>
      <c r="D1377" s="136" t="s">
        <v>415</v>
      </c>
      <c r="E1377" s="134" t="s">
        <v>411</v>
      </c>
      <c r="F1377" s="137" t="s">
        <v>114</v>
      </c>
      <c r="G1377" s="138" t="s">
        <v>416</v>
      </c>
      <c r="H1377" s="139"/>
      <c r="I1377" s="140">
        <v>1</v>
      </c>
      <c r="J1377" s="141">
        <v>33370</v>
      </c>
      <c r="K1377" s="141">
        <v>33370</v>
      </c>
      <c r="L1377" s="195" t="s">
        <v>617</v>
      </c>
      <c r="M1377" s="167" t="s">
        <v>39</v>
      </c>
      <c r="N1377" s="131"/>
      <c r="O1377" s="132"/>
      <c r="P1377" s="132"/>
      <c r="Q1377" s="132"/>
      <c r="R1377" s="132"/>
      <c r="S1377" s="132"/>
      <c r="T1377" s="132"/>
      <c r="U1377" s="132"/>
      <c r="V1377" s="132"/>
      <c r="W1377" s="132"/>
      <c r="X1377" s="132"/>
      <c r="Y1377" s="132"/>
      <c r="Z1377" s="132"/>
      <c r="AA1377" s="132"/>
      <c r="AB1377" s="132"/>
    </row>
    <row r="1378" spans="1:28" s="133" customFormat="1" ht="15" customHeight="1" outlineLevel="1" x14ac:dyDescent="0.2">
      <c r="A1378" s="121">
        <v>2</v>
      </c>
      <c r="B1378" s="147">
        <v>62677</v>
      </c>
      <c r="C1378" s="122">
        <v>41953</v>
      </c>
      <c r="D1378" s="123" t="s">
        <v>1873</v>
      </c>
      <c r="E1378" s="121" t="s">
        <v>411</v>
      </c>
      <c r="F1378" s="124" t="s">
        <v>115</v>
      </c>
      <c r="G1378" s="125" t="s">
        <v>428</v>
      </c>
      <c r="H1378" s="126"/>
      <c r="I1378" s="127">
        <v>1</v>
      </c>
      <c r="J1378" s="128">
        <v>5274</v>
      </c>
      <c r="K1378" s="128">
        <v>5274</v>
      </c>
      <c r="L1378" s="214" t="s">
        <v>957</v>
      </c>
      <c r="M1378" s="167" t="s">
        <v>39</v>
      </c>
      <c r="N1378" s="131"/>
      <c r="O1378" s="132"/>
      <c r="P1378" s="132"/>
      <c r="Q1378" s="132"/>
      <c r="R1378" s="132"/>
      <c r="S1378" s="132"/>
      <c r="T1378" s="132"/>
      <c r="U1378" s="132"/>
      <c r="V1378" s="132"/>
      <c r="W1378" s="132"/>
      <c r="X1378" s="132"/>
      <c r="Y1378" s="132"/>
      <c r="Z1378" s="132"/>
      <c r="AA1378" s="132"/>
      <c r="AB1378" s="132"/>
    </row>
    <row r="1379" spans="1:28" s="133" customFormat="1" ht="15" customHeight="1" outlineLevel="1" x14ac:dyDescent="0.2">
      <c r="A1379" s="121">
        <v>3</v>
      </c>
      <c r="B1379" s="147">
        <v>61231</v>
      </c>
      <c r="C1379" s="122">
        <v>41947</v>
      </c>
      <c r="D1379" s="123" t="s">
        <v>417</v>
      </c>
      <c r="E1379" s="121" t="s">
        <v>418</v>
      </c>
      <c r="F1379" s="124" t="s">
        <v>577</v>
      </c>
      <c r="G1379" s="125" t="s">
        <v>368</v>
      </c>
      <c r="H1379" s="126"/>
      <c r="I1379" s="127">
        <v>1</v>
      </c>
      <c r="J1379" s="128">
        <v>25800</v>
      </c>
      <c r="K1379" s="128">
        <v>25800</v>
      </c>
      <c r="L1379" s="214" t="s">
        <v>957</v>
      </c>
      <c r="M1379" s="167" t="s">
        <v>39</v>
      </c>
      <c r="N1379" s="131"/>
      <c r="O1379" s="132"/>
      <c r="P1379" s="132"/>
      <c r="Q1379" s="132"/>
      <c r="R1379" s="132"/>
      <c r="S1379" s="132"/>
      <c r="T1379" s="132"/>
      <c r="U1379" s="132"/>
      <c r="V1379" s="132"/>
      <c r="W1379" s="132"/>
      <c r="X1379" s="132"/>
      <c r="Y1379" s="132"/>
      <c r="Z1379" s="132"/>
      <c r="AA1379" s="132"/>
      <c r="AB1379" s="132"/>
    </row>
    <row r="1380" spans="1:28" s="133" customFormat="1" ht="15" customHeight="1" outlineLevel="1" x14ac:dyDescent="0.2">
      <c r="A1380" s="121">
        <v>4</v>
      </c>
      <c r="B1380" s="147">
        <v>60387</v>
      </c>
      <c r="C1380" s="122">
        <v>41942</v>
      </c>
      <c r="D1380" s="123" t="s">
        <v>1874</v>
      </c>
      <c r="E1380" s="121" t="s">
        <v>411</v>
      </c>
      <c r="F1380" s="124" t="s">
        <v>233</v>
      </c>
      <c r="G1380" s="125" t="s">
        <v>366</v>
      </c>
      <c r="H1380" s="126"/>
      <c r="I1380" s="127">
        <v>1</v>
      </c>
      <c r="J1380" s="128">
        <v>12499</v>
      </c>
      <c r="K1380" s="128">
        <v>12499</v>
      </c>
      <c r="L1380" s="214" t="s">
        <v>957</v>
      </c>
      <c r="M1380" s="167" t="s">
        <v>39</v>
      </c>
      <c r="N1380" s="131"/>
      <c r="O1380" s="132"/>
      <c r="P1380" s="132"/>
      <c r="Q1380" s="132"/>
      <c r="R1380" s="132"/>
      <c r="S1380" s="132"/>
      <c r="T1380" s="132"/>
      <c r="U1380" s="132"/>
      <c r="V1380" s="132"/>
      <c r="W1380" s="132"/>
      <c r="X1380" s="132"/>
      <c r="Y1380" s="132"/>
      <c r="Z1380" s="132"/>
      <c r="AA1380" s="132"/>
      <c r="AB1380" s="132"/>
    </row>
    <row r="1381" spans="1:28" s="133" customFormat="1" ht="15" customHeight="1" outlineLevel="1" x14ac:dyDescent="0.2">
      <c r="A1381" s="121">
        <v>5</v>
      </c>
      <c r="B1381" s="147">
        <v>58001</v>
      </c>
      <c r="C1381" s="122">
        <v>41918</v>
      </c>
      <c r="D1381" s="123" t="s">
        <v>1859</v>
      </c>
      <c r="E1381" s="121" t="s">
        <v>411</v>
      </c>
      <c r="F1381" s="124" t="s">
        <v>208</v>
      </c>
      <c r="G1381" s="125" t="s">
        <v>404</v>
      </c>
      <c r="H1381" s="126"/>
      <c r="I1381" s="127">
        <v>1</v>
      </c>
      <c r="J1381" s="128">
        <v>14099</v>
      </c>
      <c r="K1381" s="128">
        <v>14099</v>
      </c>
      <c r="L1381" s="214" t="s">
        <v>957</v>
      </c>
      <c r="M1381" s="167" t="s">
        <v>39</v>
      </c>
      <c r="N1381" s="131"/>
      <c r="O1381" s="132"/>
      <c r="P1381" s="132"/>
      <c r="Q1381" s="132"/>
      <c r="R1381" s="132"/>
      <c r="S1381" s="132"/>
      <c r="T1381" s="132"/>
      <c r="U1381" s="132"/>
      <c r="V1381" s="132"/>
      <c r="W1381" s="132"/>
      <c r="X1381" s="132"/>
      <c r="Y1381" s="132"/>
      <c r="Z1381" s="132"/>
      <c r="AA1381" s="132"/>
      <c r="AB1381" s="132"/>
    </row>
    <row r="1382" spans="1:28" s="133" customFormat="1" ht="15" customHeight="1" outlineLevel="1" x14ac:dyDescent="0.2">
      <c r="A1382" s="121">
        <v>6</v>
      </c>
      <c r="B1382" s="147">
        <v>67374</v>
      </c>
      <c r="C1382" s="122">
        <v>41963</v>
      </c>
      <c r="D1382" s="123" t="s">
        <v>1859</v>
      </c>
      <c r="E1382" s="121" t="s">
        <v>411</v>
      </c>
      <c r="F1382" s="124" t="s">
        <v>190</v>
      </c>
      <c r="G1382" s="125" t="s">
        <v>404</v>
      </c>
      <c r="H1382" s="126"/>
      <c r="I1382" s="127">
        <v>1</v>
      </c>
      <c r="J1382" s="128">
        <v>57960</v>
      </c>
      <c r="K1382" s="128">
        <v>57960</v>
      </c>
      <c r="L1382" s="214" t="s">
        <v>957</v>
      </c>
      <c r="M1382" s="167" t="s">
        <v>39</v>
      </c>
      <c r="N1382" s="131"/>
      <c r="O1382" s="132"/>
      <c r="P1382" s="132"/>
      <c r="Q1382" s="132"/>
      <c r="R1382" s="132"/>
      <c r="S1382" s="132"/>
      <c r="T1382" s="132"/>
      <c r="U1382" s="132"/>
      <c r="V1382" s="132"/>
      <c r="W1382" s="132"/>
      <c r="X1382" s="132"/>
      <c r="Y1382" s="132"/>
      <c r="Z1382" s="132"/>
      <c r="AA1382" s="132"/>
      <c r="AB1382" s="132"/>
    </row>
    <row r="1383" spans="1:28" s="133" customFormat="1" ht="15" customHeight="1" outlineLevel="1" x14ac:dyDescent="0.2">
      <c r="A1383" s="121">
        <v>7</v>
      </c>
      <c r="B1383" s="147">
        <v>68325</v>
      </c>
      <c r="C1383" s="122">
        <v>41967</v>
      </c>
      <c r="D1383" s="123" t="s">
        <v>1875</v>
      </c>
      <c r="E1383" s="121" t="s">
        <v>411</v>
      </c>
      <c r="F1383" s="124" t="s">
        <v>534</v>
      </c>
      <c r="G1383" s="125" t="s">
        <v>508</v>
      </c>
      <c r="H1383" s="126"/>
      <c r="I1383" s="127">
        <v>1</v>
      </c>
      <c r="J1383" s="128">
        <v>30429</v>
      </c>
      <c r="K1383" s="128">
        <v>30429</v>
      </c>
      <c r="L1383" s="214" t="s">
        <v>957</v>
      </c>
      <c r="M1383" s="167" t="s">
        <v>39</v>
      </c>
      <c r="N1383" s="131"/>
      <c r="O1383" s="132"/>
      <c r="P1383" s="132"/>
      <c r="Q1383" s="132"/>
      <c r="R1383" s="132"/>
      <c r="S1383" s="132"/>
      <c r="T1383" s="132"/>
      <c r="U1383" s="132"/>
      <c r="V1383" s="132"/>
      <c r="W1383" s="132"/>
      <c r="X1383" s="132"/>
      <c r="Y1383" s="132"/>
      <c r="Z1383" s="132"/>
      <c r="AA1383" s="132"/>
      <c r="AB1383" s="132"/>
    </row>
    <row r="1384" spans="1:28" s="133" customFormat="1" ht="15" customHeight="1" outlineLevel="1" x14ac:dyDescent="0.2">
      <c r="A1384" s="121">
        <v>8</v>
      </c>
      <c r="B1384" s="147">
        <v>69529</v>
      </c>
      <c r="C1384" s="122">
        <v>41969</v>
      </c>
      <c r="D1384" s="123" t="s">
        <v>1876</v>
      </c>
      <c r="E1384" s="121" t="s">
        <v>411</v>
      </c>
      <c r="F1384" s="124" t="s">
        <v>115</v>
      </c>
      <c r="G1384" s="125" t="s">
        <v>1877</v>
      </c>
      <c r="H1384" s="126"/>
      <c r="I1384" s="127">
        <v>4</v>
      </c>
      <c r="J1384" s="128">
        <v>5274</v>
      </c>
      <c r="K1384" s="128">
        <v>21096</v>
      </c>
      <c r="L1384" s="214" t="s">
        <v>957</v>
      </c>
      <c r="M1384" s="167" t="s">
        <v>39</v>
      </c>
      <c r="N1384" s="131"/>
      <c r="O1384" s="132"/>
      <c r="P1384" s="132"/>
      <c r="Q1384" s="132"/>
      <c r="R1384" s="132"/>
      <c r="S1384" s="132"/>
      <c r="T1384" s="132"/>
      <c r="U1384" s="132"/>
      <c r="V1384" s="132"/>
      <c r="W1384" s="132"/>
      <c r="X1384" s="132"/>
      <c r="Y1384" s="132"/>
      <c r="Z1384" s="132"/>
      <c r="AA1384" s="132"/>
      <c r="AB1384" s="132"/>
    </row>
    <row r="1385" spans="1:28" s="133" customFormat="1" ht="15" customHeight="1" outlineLevel="1" x14ac:dyDescent="0.2">
      <c r="A1385" s="121">
        <v>9</v>
      </c>
      <c r="B1385" s="147">
        <v>63327</v>
      </c>
      <c r="C1385" s="122">
        <v>41954</v>
      </c>
      <c r="D1385" s="123" t="s">
        <v>1878</v>
      </c>
      <c r="E1385" s="121" t="s">
        <v>411</v>
      </c>
      <c r="F1385" s="124" t="s">
        <v>115</v>
      </c>
      <c r="G1385" s="125" t="s">
        <v>1879</v>
      </c>
      <c r="H1385" s="126"/>
      <c r="I1385" s="127">
        <v>2</v>
      </c>
      <c r="J1385" s="128">
        <v>5274</v>
      </c>
      <c r="K1385" s="128">
        <v>10548</v>
      </c>
      <c r="L1385" s="214" t="s">
        <v>957</v>
      </c>
      <c r="M1385" s="167" t="s">
        <v>39</v>
      </c>
      <c r="N1385" s="131"/>
      <c r="O1385" s="132"/>
      <c r="P1385" s="132"/>
      <c r="Q1385" s="132"/>
      <c r="R1385" s="132"/>
      <c r="S1385" s="132"/>
      <c r="T1385" s="132"/>
      <c r="U1385" s="132"/>
      <c r="V1385" s="132"/>
      <c r="W1385" s="132"/>
      <c r="X1385" s="132"/>
      <c r="Y1385" s="132"/>
      <c r="Z1385" s="132"/>
      <c r="AA1385" s="132"/>
      <c r="AB1385" s="132"/>
    </row>
    <row r="1386" spans="1:28" s="133" customFormat="1" ht="15" customHeight="1" outlineLevel="1" x14ac:dyDescent="0.2">
      <c r="A1386" s="121">
        <v>10</v>
      </c>
      <c r="B1386" s="147">
        <v>69390</v>
      </c>
      <c r="C1386" s="122">
        <v>41969</v>
      </c>
      <c r="D1386" s="123" t="s">
        <v>1880</v>
      </c>
      <c r="E1386" s="121" t="s">
        <v>411</v>
      </c>
      <c r="F1386" s="124" t="s">
        <v>574</v>
      </c>
      <c r="G1386" s="125" t="s">
        <v>428</v>
      </c>
      <c r="H1386" s="126"/>
      <c r="I1386" s="127">
        <v>1</v>
      </c>
      <c r="J1386" s="128">
        <v>49701</v>
      </c>
      <c r="K1386" s="128">
        <v>49701</v>
      </c>
      <c r="L1386" s="214" t="s">
        <v>957</v>
      </c>
      <c r="M1386" s="167" t="s">
        <v>39</v>
      </c>
      <c r="N1386" s="131"/>
      <c r="O1386" s="132"/>
      <c r="P1386" s="132"/>
      <c r="Q1386" s="132"/>
      <c r="R1386" s="132"/>
      <c r="S1386" s="132"/>
      <c r="T1386" s="132"/>
      <c r="U1386" s="132"/>
      <c r="V1386" s="132"/>
      <c r="W1386" s="132"/>
      <c r="X1386" s="132"/>
      <c r="Y1386" s="132"/>
      <c r="Z1386" s="132"/>
      <c r="AA1386" s="132"/>
      <c r="AB1386" s="132"/>
    </row>
    <row r="1387" spans="1:28" s="133" customFormat="1" ht="15" customHeight="1" outlineLevel="1" x14ac:dyDescent="0.2">
      <c r="A1387" s="121">
        <v>11</v>
      </c>
      <c r="B1387" s="147">
        <v>61184</v>
      </c>
      <c r="C1387" s="122">
        <v>41947</v>
      </c>
      <c r="D1387" s="123" t="s">
        <v>1881</v>
      </c>
      <c r="E1387" s="121" t="s">
        <v>587</v>
      </c>
      <c r="F1387" s="124" t="s">
        <v>215</v>
      </c>
      <c r="G1387" s="125" t="s">
        <v>368</v>
      </c>
      <c r="H1387" s="126"/>
      <c r="I1387" s="127">
        <v>1</v>
      </c>
      <c r="J1387" s="128">
        <v>44597</v>
      </c>
      <c r="K1387" s="128">
        <v>44597</v>
      </c>
      <c r="L1387" s="214" t="s">
        <v>957</v>
      </c>
      <c r="M1387" s="167" t="s">
        <v>39</v>
      </c>
      <c r="N1387" s="131"/>
      <c r="O1387" s="132"/>
      <c r="P1387" s="132"/>
      <c r="Q1387" s="132"/>
      <c r="R1387" s="132"/>
      <c r="S1387" s="132"/>
      <c r="T1387" s="132"/>
      <c r="U1387" s="132"/>
      <c r="V1387" s="132"/>
      <c r="W1387" s="132"/>
      <c r="X1387" s="132"/>
      <c r="Y1387" s="132"/>
      <c r="Z1387" s="132"/>
      <c r="AA1387" s="132"/>
      <c r="AB1387" s="132"/>
    </row>
    <row r="1388" spans="1:28" s="133" customFormat="1" ht="15" customHeight="1" outlineLevel="1" x14ac:dyDescent="0.2">
      <c r="A1388" s="121">
        <v>12</v>
      </c>
      <c r="B1388" s="121">
        <v>70829</v>
      </c>
      <c r="C1388" s="122">
        <v>41971</v>
      </c>
      <c r="D1388" s="123" t="s">
        <v>1865</v>
      </c>
      <c r="E1388" s="121" t="s">
        <v>411</v>
      </c>
      <c r="F1388" s="124" t="s">
        <v>114</v>
      </c>
      <c r="G1388" s="125" t="s">
        <v>401</v>
      </c>
      <c r="H1388" s="126"/>
      <c r="I1388" s="127">
        <v>1</v>
      </c>
      <c r="J1388" s="128">
        <v>33370</v>
      </c>
      <c r="K1388" s="128">
        <v>33370</v>
      </c>
      <c r="L1388" s="214" t="s">
        <v>957</v>
      </c>
      <c r="M1388" s="167" t="s">
        <v>39</v>
      </c>
      <c r="N1388" s="131"/>
      <c r="O1388" s="132"/>
      <c r="P1388" s="132"/>
      <c r="Q1388" s="132"/>
      <c r="R1388" s="132"/>
      <c r="S1388" s="132"/>
      <c r="T1388" s="132"/>
      <c r="U1388" s="132"/>
      <c r="V1388" s="132"/>
      <c r="W1388" s="132"/>
      <c r="X1388" s="132"/>
      <c r="Y1388" s="132"/>
      <c r="Z1388" s="132"/>
      <c r="AA1388" s="132"/>
      <c r="AB1388" s="132"/>
    </row>
    <row r="1389" spans="1:28" s="133" customFormat="1" ht="15" customHeight="1" outlineLevel="1" x14ac:dyDescent="0.2">
      <c r="A1389" s="121">
        <v>13</v>
      </c>
      <c r="B1389" s="147">
        <v>68322</v>
      </c>
      <c r="C1389" s="122">
        <v>41969</v>
      </c>
      <c r="D1389" s="123" t="s">
        <v>1882</v>
      </c>
      <c r="E1389" s="121" t="s">
        <v>411</v>
      </c>
      <c r="F1389" s="124" t="s">
        <v>534</v>
      </c>
      <c r="G1389" s="125" t="s">
        <v>412</v>
      </c>
      <c r="H1389" s="126"/>
      <c r="I1389" s="127">
        <v>1</v>
      </c>
      <c r="J1389" s="128">
        <v>30429</v>
      </c>
      <c r="K1389" s="128">
        <v>30429</v>
      </c>
      <c r="L1389" s="214" t="s">
        <v>957</v>
      </c>
      <c r="M1389" s="167" t="s">
        <v>39</v>
      </c>
      <c r="N1389" s="131"/>
      <c r="O1389" s="132"/>
      <c r="P1389" s="132"/>
      <c r="Q1389" s="132"/>
      <c r="R1389" s="132"/>
      <c r="S1389" s="132"/>
      <c r="T1389" s="132"/>
      <c r="U1389" s="132"/>
      <c r="V1389" s="132"/>
      <c r="W1389" s="132"/>
      <c r="X1389" s="132"/>
      <c r="Y1389" s="132"/>
      <c r="Z1389" s="132"/>
      <c r="AA1389" s="132"/>
      <c r="AB1389" s="132"/>
    </row>
    <row r="1390" spans="1:28" s="133" customFormat="1" ht="15" customHeight="1" outlineLevel="1" x14ac:dyDescent="0.2">
      <c r="A1390" s="121">
        <v>14</v>
      </c>
      <c r="B1390" s="147">
        <v>67443</v>
      </c>
      <c r="C1390" s="122">
        <v>41963</v>
      </c>
      <c r="D1390" s="123" t="s">
        <v>1883</v>
      </c>
      <c r="E1390" s="121" t="s">
        <v>411</v>
      </c>
      <c r="F1390" s="124" t="s">
        <v>534</v>
      </c>
      <c r="G1390" s="125" t="s">
        <v>414</v>
      </c>
      <c r="H1390" s="126"/>
      <c r="I1390" s="127">
        <v>1</v>
      </c>
      <c r="J1390" s="128">
        <v>30429</v>
      </c>
      <c r="K1390" s="128">
        <v>30429</v>
      </c>
      <c r="L1390" s="214" t="s">
        <v>957</v>
      </c>
      <c r="M1390" s="167" t="s">
        <v>39</v>
      </c>
      <c r="N1390" s="131"/>
      <c r="O1390" s="132"/>
      <c r="P1390" s="132"/>
      <c r="Q1390" s="132"/>
      <c r="R1390" s="132"/>
      <c r="S1390" s="132"/>
      <c r="T1390" s="132"/>
      <c r="U1390" s="132"/>
      <c r="V1390" s="132"/>
      <c r="W1390" s="132"/>
      <c r="X1390" s="132"/>
      <c r="Y1390" s="132"/>
      <c r="Z1390" s="132"/>
      <c r="AA1390" s="132"/>
      <c r="AB1390" s="132"/>
    </row>
    <row r="1391" spans="1:28" s="133" customFormat="1" ht="15" customHeight="1" outlineLevel="1" x14ac:dyDescent="0.2">
      <c r="A1391" s="121">
        <v>15</v>
      </c>
      <c r="B1391" s="147">
        <v>69389</v>
      </c>
      <c r="C1391" s="122">
        <v>41969</v>
      </c>
      <c r="D1391" s="123" t="s">
        <v>1884</v>
      </c>
      <c r="E1391" s="121" t="s">
        <v>411</v>
      </c>
      <c r="F1391" s="124" t="s">
        <v>574</v>
      </c>
      <c r="G1391" s="125" t="s">
        <v>559</v>
      </c>
      <c r="H1391" s="126"/>
      <c r="I1391" s="127">
        <v>1</v>
      </c>
      <c r="J1391" s="128">
        <v>49701</v>
      </c>
      <c r="K1391" s="128">
        <v>49701</v>
      </c>
      <c r="L1391" s="214" t="s">
        <v>957</v>
      </c>
      <c r="M1391" s="167" t="s">
        <v>39</v>
      </c>
      <c r="N1391" s="131"/>
      <c r="O1391" s="132"/>
      <c r="P1391" s="132"/>
      <c r="Q1391" s="132"/>
      <c r="R1391" s="132"/>
      <c r="S1391" s="132"/>
      <c r="T1391" s="132"/>
      <c r="U1391" s="132"/>
      <c r="V1391" s="132"/>
      <c r="W1391" s="132"/>
      <c r="X1391" s="132"/>
      <c r="Y1391" s="132"/>
      <c r="Z1391" s="132"/>
      <c r="AA1391" s="132"/>
      <c r="AB1391" s="132"/>
    </row>
    <row r="1392" spans="1:28" s="133" customFormat="1" ht="15" customHeight="1" outlineLevel="1" x14ac:dyDescent="0.2">
      <c r="A1392" s="121">
        <v>16</v>
      </c>
      <c r="B1392" s="147">
        <v>69591</v>
      </c>
      <c r="C1392" s="122">
        <v>41969</v>
      </c>
      <c r="D1392" s="123" t="s">
        <v>1885</v>
      </c>
      <c r="E1392" s="121" t="s">
        <v>411</v>
      </c>
      <c r="F1392" s="124" t="s">
        <v>534</v>
      </c>
      <c r="G1392" s="125" t="s">
        <v>469</v>
      </c>
      <c r="H1392" s="126"/>
      <c r="I1392" s="127">
        <v>1</v>
      </c>
      <c r="J1392" s="128">
        <v>30429</v>
      </c>
      <c r="K1392" s="128">
        <v>30429</v>
      </c>
      <c r="L1392" s="214" t="s">
        <v>957</v>
      </c>
      <c r="M1392" s="167" t="s">
        <v>39</v>
      </c>
      <c r="N1392" s="131"/>
      <c r="O1392" s="132"/>
      <c r="P1392" s="132"/>
      <c r="Q1392" s="132"/>
      <c r="R1392" s="132"/>
      <c r="S1392" s="132"/>
      <c r="T1392" s="132"/>
      <c r="U1392" s="132"/>
      <c r="V1392" s="132"/>
      <c r="W1392" s="132"/>
      <c r="X1392" s="132"/>
      <c r="Y1392" s="132"/>
      <c r="Z1392" s="132"/>
      <c r="AA1392" s="132"/>
      <c r="AB1392" s="132"/>
    </row>
    <row r="1393" spans="1:28" s="133" customFormat="1" ht="15" customHeight="1" outlineLevel="1" x14ac:dyDescent="0.2">
      <c r="A1393" s="121">
        <v>17</v>
      </c>
      <c r="B1393" s="147">
        <v>63890</v>
      </c>
      <c r="C1393" s="122">
        <v>41954</v>
      </c>
      <c r="D1393" s="123" t="s">
        <v>1816</v>
      </c>
      <c r="E1393" s="121" t="s">
        <v>411</v>
      </c>
      <c r="F1393" s="124" t="s">
        <v>114</v>
      </c>
      <c r="G1393" s="125" t="s">
        <v>412</v>
      </c>
      <c r="H1393" s="126"/>
      <c r="I1393" s="127">
        <v>1</v>
      </c>
      <c r="J1393" s="128">
        <v>33370</v>
      </c>
      <c r="K1393" s="128">
        <v>33370</v>
      </c>
      <c r="L1393" s="214" t="s">
        <v>957</v>
      </c>
      <c r="M1393" s="167" t="s">
        <v>39</v>
      </c>
      <c r="N1393" s="131"/>
      <c r="O1393" s="132"/>
      <c r="P1393" s="132"/>
      <c r="Q1393" s="132"/>
      <c r="R1393" s="132"/>
      <c r="S1393" s="132"/>
      <c r="T1393" s="132"/>
      <c r="U1393" s="132"/>
      <c r="V1393" s="132"/>
      <c r="W1393" s="132"/>
      <c r="X1393" s="132"/>
      <c r="Y1393" s="132"/>
      <c r="Z1393" s="132"/>
      <c r="AA1393" s="132"/>
      <c r="AB1393" s="132"/>
    </row>
    <row r="1394" spans="1:28" s="133" customFormat="1" ht="15" customHeight="1" outlineLevel="1" x14ac:dyDescent="0.2">
      <c r="A1394" s="121">
        <v>18</v>
      </c>
      <c r="B1394" s="147">
        <v>60970</v>
      </c>
      <c r="C1394" s="122">
        <v>41946</v>
      </c>
      <c r="D1394" s="123" t="s">
        <v>1841</v>
      </c>
      <c r="E1394" s="121" t="s">
        <v>411</v>
      </c>
      <c r="F1394" s="124" t="s">
        <v>534</v>
      </c>
      <c r="G1394" s="125" t="s">
        <v>469</v>
      </c>
      <c r="H1394" s="126"/>
      <c r="I1394" s="127">
        <v>1</v>
      </c>
      <c r="J1394" s="128">
        <v>30429</v>
      </c>
      <c r="K1394" s="128">
        <v>30429</v>
      </c>
      <c r="L1394" s="214" t="s">
        <v>957</v>
      </c>
      <c r="M1394" s="167" t="s">
        <v>39</v>
      </c>
      <c r="N1394" s="131"/>
      <c r="O1394" s="132"/>
      <c r="P1394" s="132"/>
      <c r="Q1394" s="132"/>
      <c r="R1394" s="132"/>
      <c r="S1394" s="132"/>
      <c r="T1394" s="132"/>
      <c r="U1394" s="132"/>
      <c r="V1394" s="132"/>
      <c r="W1394" s="132"/>
      <c r="X1394" s="132"/>
      <c r="Y1394" s="132"/>
      <c r="Z1394" s="132"/>
      <c r="AA1394" s="132"/>
      <c r="AB1394" s="132"/>
    </row>
    <row r="1395" spans="1:28" s="133" customFormat="1" ht="15" customHeight="1" outlineLevel="1" x14ac:dyDescent="0.2">
      <c r="A1395" s="121">
        <v>20</v>
      </c>
      <c r="B1395" s="147">
        <v>63845</v>
      </c>
      <c r="C1395" s="122">
        <v>41955</v>
      </c>
      <c r="D1395" s="123" t="s">
        <v>1886</v>
      </c>
      <c r="E1395" s="121" t="s">
        <v>411</v>
      </c>
      <c r="F1395" s="124" t="s">
        <v>208</v>
      </c>
      <c r="G1395" s="125" t="s">
        <v>407</v>
      </c>
      <c r="H1395" s="126"/>
      <c r="I1395" s="127">
        <v>1</v>
      </c>
      <c r="J1395" s="128">
        <v>14099</v>
      </c>
      <c r="K1395" s="128">
        <v>14099</v>
      </c>
      <c r="L1395" s="214" t="s">
        <v>957</v>
      </c>
      <c r="M1395" s="167" t="s">
        <v>39</v>
      </c>
      <c r="N1395" s="131"/>
      <c r="O1395" s="132"/>
      <c r="P1395" s="132"/>
      <c r="Q1395" s="132"/>
      <c r="R1395" s="132"/>
      <c r="S1395" s="132"/>
      <c r="T1395" s="132"/>
      <c r="U1395" s="132"/>
      <c r="V1395" s="132"/>
      <c r="W1395" s="132"/>
      <c r="X1395" s="132"/>
      <c r="Y1395" s="132"/>
      <c r="Z1395" s="132"/>
      <c r="AA1395" s="132"/>
      <c r="AB1395" s="132"/>
    </row>
    <row r="1396" spans="1:28" s="133" customFormat="1" ht="15" customHeight="1" outlineLevel="1" x14ac:dyDescent="0.2">
      <c r="A1396" s="121">
        <v>21</v>
      </c>
      <c r="B1396" s="147">
        <v>61051</v>
      </c>
      <c r="C1396" s="122">
        <v>41946</v>
      </c>
      <c r="D1396" s="123" t="s">
        <v>1887</v>
      </c>
      <c r="E1396" s="121" t="s">
        <v>411</v>
      </c>
      <c r="F1396" s="124" t="s">
        <v>215</v>
      </c>
      <c r="G1396" s="125" t="s">
        <v>366</v>
      </c>
      <c r="H1396" s="126"/>
      <c r="I1396" s="127">
        <v>1</v>
      </c>
      <c r="J1396" s="128">
        <v>44597</v>
      </c>
      <c r="K1396" s="128">
        <v>44597</v>
      </c>
      <c r="L1396" s="214" t="s">
        <v>957</v>
      </c>
      <c r="M1396" s="167" t="s">
        <v>39</v>
      </c>
      <c r="N1396" s="131"/>
      <c r="O1396" s="132"/>
      <c r="P1396" s="132"/>
      <c r="Q1396" s="132"/>
      <c r="R1396" s="132"/>
      <c r="S1396" s="132"/>
      <c r="T1396" s="132"/>
      <c r="U1396" s="132"/>
      <c r="V1396" s="132"/>
      <c r="W1396" s="132"/>
      <c r="X1396" s="132"/>
      <c r="Y1396" s="132"/>
      <c r="Z1396" s="132"/>
      <c r="AA1396" s="132"/>
      <c r="AB1396" s="132"/>
    </row>
    <row r="1397" spans="1:28" s="133" customFormat="1" ht="15" customHeight="1" outlineLevel="1" x14ac:dyDescent="0.2">
      <c r="A1397" s="121">
        <v>22</v>
      </c>
      <c r="B1397" s="147">
        <v>69064</v>
      </c>
      <c r="C1397" s="122">
        <v>41968</v>
      </c>
      <c r="D1397" s="123" t="s">
        <v>1888</v>
      </c>
      <c r="E1397" s="121" t="s">
        <v>411</v>
      </c>
      <c r="F1397" s="124" t="s">
        <v>205</v>
      </c>
      <c r="G1397" s="125" t="s">
        <v>469</v>
      </c>
      <c r="H1397" s="126"/>
      <c r="I1397" s="127">
        <v>1</v>
      </c>
      <c r="J1397" s="128">
        <v>55062</v>
      </c>
      <c r="K1397" s="128">
        <v>55062</v>
      </c>
      <c r="L1397" s="214" t="s">
        <v>957</v>
      </c>
      <c r="M1397" s="167" t="s">
        <v>39</v>
      </c>
      <c r="N1397" s="131"/>
      <c r="O1397" s="132"/>
      <c r="P1397" s="132"/>
      <c r="Q1397" s="132"/>
      <c r="R1397" s="132"/>
      <c r="S1397" s="132"/>
      <c r="T1397" s="132"/>
      <c r="U1397" s="132"/>
      <c r="V1397" s="132"/>
      <c r="W1397" s="132"/>
      <c r="X1397" s="132"/>
      <c r="Y1397" s="132"/>
      <c r="Z1397" s="132"/>
      <c r="AA1397" s="132"/>
      <c r="AB1397" s="132"/>
    </row>
    <row r="1398" spans="1:28" s="133" customFormat="1" ht="15" customHeight="1" outlineLevel="1" x14ac:dyDescent="0.2">
      <c r="A1398" s="121">
        <v>23</v>
      </c>
      <c r="B1398" s="147">
        <v>60458</v>
      </c>
      <c r="C1398" s="122">
        <v>41942</v>
      </c>
      <c r="D1398" s="123" t="s">
        <v>1889</v>
      </c>
      <c r="E1398" s="121" t="s">
        <v>411</v>
      </c>
      <c r="F1398" s="124" t="s">
        <v>208</v>
      </c>
      <c r="G1398" s="125" t="s">
        <v>404</v>
      </c>
      <c r="H1398" s="126"/>
      <c r="I1398" s="127">
        <v>1</v>
      </c>
      <c r="J1398" s="128">
        <v>14099</v>
      </c>
      <c r="K1398" s="128">
        <v>14099</v>
      </c>
      <c r="L1398" s="214" t="s">
        <v>957</v>
      </c>
      <c r="M1398" s="167" t="s">
        <v>39</v>
      </c>
      <c r="N1398" s="131"/>
      <c r="O1398" s="132"/>
      <c r="P1398" s="132"/>
      <c r="Q1398" s="132"/>
      <c r="R1398" s="132"/>
      <c r="S1398" s="132"/>
      <c r="T1398" s="132"/>
      <c r="U1398" s="132"/>
      <c r="V1398" s="132"/>
      <c r="W1398" s="132"/>
      <c r="X1398" s="132"/>
      <c r="Y1398" s="132"/>
      <c r="Z1398" s="132"/>
      <c r="AA1398" s="132"/>
      <c r="AB1398" s="132"/>
    </row>
    <row r="1399" spans="1:28" s="133" customFormat="1" ht="15" customHeight="1" outlineLevel="1" x14ac:dyDescent="0.2">
      <c r="A1399" s="121">
        <v>24</v>
      </c>
      <c r="B1399" s="147">
        <v>65853</v>
      </c>
      <c r="C1399" s="122">
        <v>41960</v>
      </c>
      <c r="D1399" s="123" t="s">
        <v>1890</v>
      </c>
      <c r="E1399" s="121" t="s">
        <v>411</v>
      </c>
      <c r="F1399" s="124" t="s">
        <v>534</v>
      </c>
      <c r="G1399" s="125" t="s">
        <v>428</v>
      </c>
      <c r="H1399" s="126"/>
      <c r="I1399" s="127">
        <v>1</v>
      </c>
      <c r="J1399" s="128">
        <v>30429</v>
      </c>
      <c r="K1399" s="128">
        <v>30429</v>
      </c>
      <c r="L1399" s="214" t="s">
        <v>957</v>
      </c>
      <c r="M1399" s="167" t="s">
        <v>39</v>
      </c>
      <c r="N1399" s="131"/>
      <c r="O1399" s="132"/>
      <c r="P1399" s="132"/>
      <c r="Q1399" s="132"/>
      <c r="R1399" s="132"/>
      <c r="S1399" s="132"/>
      <c r="T1399" s="132"/>
      <c r="U1399" s="132"/>
      <c r="V1399" s="132"/>
      <c r="W1399" s="132"/>
      <c r="X1399" s="132"/>
      <c r="Y1399" s="132"/>
      <c r="Z1399" s="132"/>
      <c r="AA1399" s="132"/>
      <c r="AB1399" s="132"/>
    </row>
    <row r="1400" spans="1:28" s="133" customFormat="1" ht="15" customHeight="1" outlineLevel="1" x14ac:dyDescent="0.2">
      <c r="A1400" s="121">
        <v>26</v>
      </c>
      <c r="B1400" s="147">
        <v>55673</v>
      </c>
      <c r="C1400" s="122">
        <v>41929</v>
      </c>
      <c r="D1400" s="123" t="s">
        <v>1869</v>
      </c>
      <c r="E1400" s="121" t="s">
        <v>411</v>
      </c>
      <c r="F1400" s="124" t="s">
        <v>208</v>
      </c>
      <c r="G1400" s="125" t="s">
        <v>428</v>
      </c>
      <c r="H1400" s="126"/>
      <c r="I1400" s="127">
        <v>1</v>
      </c>
      <c r="J1400" s="128">
        <v>14099</v>
      </c>
      <c r="K1400" s="128">
        <v>14099</v>
      </c>
      <c r="L1400" s="214" t="s">
        <v>957</v>
      </c>
      <c r="M1400" s="167" t="s">
        <v>39</v>
      </c>
      <c r="N1400" s="131"/>
      <c r="O1400" s="132"/>
      <c r="P1400" s="132"/>
      <c r="Q1400" s="132"/>
      <c r="R1400" s="132"/>
      <c r="S1400" s="132"/>
      <c r="T1400" s="132"/>
      <c r="U1400" s="132"/>
      <c r="V1400" s="132"/>
      <c r="W1400" s="132"/>
      <c r="X1400" s="132"/>
      <c r="Y1400" s="132"/>
      <c r="Z1400" s="132"/>
      <c r="AA1400" s="132"/>
      <c r="AB1400" s="132"/>
    </row>
    <row r="1401" spans="1:28" s="133" customFormat="1" ht="15" customHeight="1" outlineLevel="1" x14ac:dyDescent="0.2">
      <c r="A1401" s="121">
        <v>27</v>
      </c>
      <c r="B1401" s="147">
        <v>59524</v>
      </c>
      <c r="C1401" s="122">
        <v>41941</v>
      </c>
      <c r="D1401" s="123" t="s">
        <v>520</v>
      </c>
      <c r="E1401" s="121" t="s">
        <v>518</v>
      </c>
      <c r="F1401" s="124" t="s">
        <v>577</v>
      </c>
      <c r="G1401" s="125" t="s">
        <v>368</v>
      </c>
      <c r="H1401" s="126"/>
      <c r="I1401" s="127">
        <v>1</v>
      </c>
      <c r="J1401" s="128">
        <v>25800</v>
      </c>
      <c r="K1401" s="128">
        <v>25800</v>
      </c>
      <c r="L1401" s="214" t="s">
        <v>957</v>
      </c>
      <c r="M1401" s="167" t="s">
        <v>39</v>
      </c>
      <c r="N1401" s="131"/>
      <c r="O1401" s="132"/>
      <c r="P1401" s="132"/>
      <c r="Q1401" s="132"/>
      <c r="R1401" s="132"/>
      <c r="S1401" s="132"/>
      <c r="T1401" s="132"/>
      <c r="U1401" s="132"/>
      <c r="V1401" s="132"/>
      <c r="W1401" s="132"/>
      <c r="X1401" s="132"/>
      <c r="Y1401" s="132"/>
      <c r="Z1401" s="132"/>
      <c r="AA1401" s="132"/>
      <c r="AB1401" s="132"/>
    </row>
    <row r="1402" spans="1:28" s="133" customFormat="1" ht="15" customHeight="1" outlineLevel="1" x14ac:dyDescent="0.2">
      <c r="A1402" s="121">
        <v>28</v>
      </c>
      <c r="B1402" s="147">
        <v>61112</v>
      </c>
      <c r="C1402" s="122">
        <v>41947</v>
      </c>
      <c r="D1402" s="123" t="s">
        <v>1891</v>
      </c>
      <c r="E1402" s="121" t="s">
        <v>1892</v>
      </c>
      <c r="F1402" s="124" t="s">
        <v>1008</v>
      </c>
      <c r="G1402" s="125" t="s">
        <v>384</v>
      </c>
      <c r="H1402" s="126"/>
      <c r="I1402" s="127">
        <v>2</v>
      </c>
      <c r="J1402" s="128">
        <v>9129</v>
      </c>
      <c r="K1402" s="128">
        <v>18258</v>
      </c>
      <c r="L1402" s="214" t="s">
        <v>957</v>
      </c>
      <c r="M1402" s="167" t="s">
        <v>39</v>
      </c>
      <c r="N1402" s="131"/>
      <c r="O1402" s="132"/>
      <c r="P1402" s="132"/>
      <c r="Q1402" s="132"/>
      <c r="R1402" s="132"/>
      <c r="S1402" s="132"/>
      <c r="T1402" s="132"/>
      <c r="U1402" s="132"/>
      <c r="V1402" s="132"/>
      <c r="W1402" s="132"/>
      <c r="X1402" s="132"/>
      <c r="Y1402" s="132"/>
      <c r="Z1402" s="132"/>
      <c r="AA1402" s="132"/>
      <c r="AB1402" s="132"/>
    </row>
    <row r="1403" spans="1:28" s="133" customFormat="1" ht="15" customHeight="1" outlineLevel="1" x14ac:dyDescent="0.2">
      <c r="A1403" s="121">
        <v>29</v>
      </c>
      <c r="B1403" s="147">
        <v>60717</v>
      </c>
      <c r="C1403" s="122">
        <v>41946</v>
      </c>
      <c r="D1403" s="123" t="s">
        <v>526</v>
      </c>
      <c r="E1403" s="121" t="s">
        <v>411</v>
      </c>
      <c r="F1403" s="124" t="s">
        <v>115</v>
      </c>
      <c r="G1403" s="125" t="s">
        <v>527</v>
      </c>
      <c r="H1403" s="126"/>
      <c r="I1403" s="127">
        <v>1</v>
      </c>
      <c r="J1403" s="128">
        <v>5274</v>
      </c>
      <c r="K1403" s="128">
        <v>5274</v>
      </c>
      <c r="L1403" s="214" t="s">
        <v>957</v>
      </c>
      <c r="M1403" s="167" t="s">
        <v>39</v>
      </c>
      <c r="N1403" s="131"/>
      <c r="O1403" s="132"/>
      <c r="P1403" s="132"/>
      <c r="Q1403" s="132"/>
      <c r="R1403" s="132"/>
      <c r="S1403" s="132"/>
      <c r="T1403" s="132"/>
      <c r="U1403" s="132"/>
      <c r="V1403" s="132"/>
      <c r="W1403" s="132"/>
      <c r="X1403" s="132"/>
      <c r="Y1403" s="132"/>
      <c r="Z1403" s="132"/>
      <c r="AA1403" s="132"/>
      <c r="AB1403" s="132"/>
    </row>
    <row r="1404" spans="1:28" s="133" customFormat="1" ht="15" customHeight="1" outlineLevel="1" x14ac:dyDescent="0.2">
      <c r="A1404" s="121">
        <v>30</v>
      </c>
      <c r="B1404" s="147">
        <v>57221</v>
      </c>
      <c r="C1404" s="122">
        <v>41914</v>
      </c>
      <c r="D1404" s="123" t="s">
        <v>1893</v>
      </c>
      <c r="E1404" s="121" t="s">
        <v>1787</v>
      </c>
      <c r="F1404" s="124" t="s">
        <v>534</v>
      </c>
      <c r="G1404" s="125" t="s">
        <v>428</v>
      </c>
      <c r="H1404" s="126"/>
      <c r="I1404" s="127">
        <v>1</v>
      </c>
      <c r="J1404" s="128">
        <v>30429</v>
      </c>
      <c r="K1404" s="128">
        <v>30429</v>
      </c>
      <c r="L1404" s="214" t="s">
        <v>957</v>
      </c>
      <c r="M1404" s="167" t="s">
        <v>39</v>
      </c>
      <c r="N1404" s="131"/>
      <c r="O1404" s="132"/>
      <c r="P1404" s="132"/>
      <c r="Q1404" s="132"/>
      <c r="R1404" s="132"/>
      <c r="S1404" s="132"/>
      <c r="T1404" s="132"/>
      <c r="U1404" s="132"/>
      <c r="V1404" s="132"/>
      <c r="W1404" s="132"/>
      <c r="X1404" s="132"/>
      <c r="Y1404" s="132"/>
      <c r="Z1404" s="132"/>
      <c r="AA1404" s="132"/>
      <c r="AB1404" s="132"/>
    </row>
    <row r="1405" spans="1:28" s="133" customFormat="1" ht="15" customHeight="1" outlineLevel="1" x14ac:dyDescent="0.2">
      <c r="A1405" s="121">
        <v>31</v>
      </c>
      <c r="B1405" s="147">
        <v>68131</v>
      </c>
      <c r="C1405" s="122">
        <v>41967</v>
      </c>
      <c r="D1405" s="123" t="s">
        <v>1851</v>
      </c>
      <c r="E1405" s="121" t="s">
        <v>587</v>
      </c>
      <c r="F1405" s="124" t="s">
        <v>215</v>
      </c>
      <c r="G1405" s="125" t="s">
        <v>384</v>
      </c>
      <c r="H1405" s="126"/>
      <c r="I1405" s="127">
        <v>2</v>
      </c>
      <c r="J1405" s="128">
        <v>44597</v>
      </c>
      <c r="K1405" s="128" t="s">
        <v>1567</v>
      </c>
      <c r="L1405" s="214" t="s">
        <v>957</v>
      </c>
      <c r="M1405" s="167" t="s">
        <v>39</v>
      </c>
      <c r="N1405" s="131"/>
      <c r="O1405" s="132"/>
      <c r="P1405" s="132"/>
      <c r="Q1405" s="132"/>
      <c r="R1405" s="132"/>
      <c r="S1405" s="132"/>
      <c r="T1405" s="132"/>
      <c r="U1405" s="132"/>
      <c r="V1405" s="132"/>
      <c r="W1405" s="132"/>
      <c r="X1405" s="132"/>
      <c r="Y1405" s="132"/>
      <c r="Z1405" s="132"/>
      <c r="AA1405" s="132"/>
      <c r="AB1405" s="132"/>
    </row>
    <row r="1406" spans="1:28" s="133" customFormat="1" ht="15" customHeight="1" outlineLevel="1" x14ac:dyDescent="0.2">
      <c r="A1406" s="121">
        <v>32</v>
      </c>
      <c r="B1406" s="147">
        <v>65176</v>
      </c>
      <c r="C1406" s="122">
        <v>41957</v>
      </c>
      <c r="D1406" s="123" t="s">
        <v>1894</v>
      </c>
      <c r="E1406" s="121" t="s">
        <v>411</v>
      </c>
      <c r="F1406" s="124" t="s">
        <v>115</v>
      </c>
      <c r="G1406" s="125" t="s">
        <v>524</v>
      </c>
      <c r="H1406" s="126"/>
      <c r="I1406" s="127">
        <v>1</v>
      </c>
      <c r="J1406" s="128">
        <v>5274</v>
      </c>
      <c r="K1406" s="128">
        <v>5274</v>
      </c>
      <c r="L1406" s="214" t="s">
        <v>957</v>
      </c>
      <c r="M1406" s="167" t="s">
        <v>39</v>
      </c>
      <c r="N1406" s="131"/>
      <c r="O1406" s="132"/>
      <c r="P1406" s="132"/>
      <c r="Q1406" s="132"/>
      <c r="R1406" s="132"/>
      <c r="S1406" s="132"/>
      <c r="T1406" s="132"/>
      <c r="U1406" s="132"/>
      <c r="V1406" s="132"/>
      <c r="W1406" s="132"/>
      <c r="X1406" s="132"/>
      <c r="Y1406" s="132"/>
      <c r="Z1406" s="132"/>
      <c r="AA1406" s="132"/>
      <c r="AB1406" s="132"/>
    </row>
    <row r="1407" spans="1:28" s="133" customFormat="1" ht="15" customHeight="1" outlineLevel="1" x14ac:dyDescent="0.2">
      <c r="A1407" s="121">
        <v>33</v>
      </c>
      <c r="B1407" s="147">
        <v>67538</v>
      </c>
      <c r="C1407" s="122">
        <v>41964</v>
      </c>
      <c r="D1407" s="123" t="s">
        <v>517</v>
      </c>
      <c r="E1407" s="121" t="s">
        <v>518</v>
      </c>
      <c r="F1407" s="124" t="s">
        <v>577</v>
      </c>
      <c r="G1407" s="125" t="s">
        <v>368</v>
      </c>
      <c r="H1407" s="126"/>
      <c r="I1407" s="127">
        <v>1</v>
      </c>
      <c r="J1407" s="128">
        <v>25800</v>
      </c>
      <c r="K1407" s="128">
        <v>25800</v>
      </c>
      <c r="L1407" s="214" t="s">
        <v>957</v>
      </c>
      <c r="M1407" s="167" t="s">
        <v>39</v>
      </c>
      <c r="N1407" s="131"/>
      <c r="O1407" s="132"/>
      <c r="P1407" s="132"/>
      <c r="Q1407" s="132"/>
      <c r="R1407" s="132"/>
      <c r="S1407" s="132"/>
      <c r="T1407" s="132"/>
      <c r="U1407" s="132"/>
      <c r="V1407" s="132"/>
      <c r="W1407" s="132"/>
      <c r="X1407" s="132"/>
      <c r="Y1407" s="132"/>
      <c r="Z1407" s="132"/>
      <c r="AA1407" s="132"/>
      <c r="AB1407" s="132"/>
    </row>
    <row r="1408" spans="1:28" s="133" customFormat="1" ht="15" customHeight="1" outlineLevel="1" x14ac:dyDescent="0.2">
      <c r="A1408" s="121">
        <v>34</v>
      </c>
      <c r="B1408" s="147">
        <v>63750</v>
      </c>
      <c r="C1408" s="122">
        <v>41954</v>
      </c>
      <c r="D1408" s="123" t="s">
        <v>1895</v>
      </c>
      <c r="E1408" s="121" t="s">
        <v>411</v>
      </c>
      <c r="F1408" s="124" t="s">
        <v>534</v>
      </c>
      <c r="G1408" s="125" t="s">
        <v>428</v>
      </c>
      <c r="H1408" s="126"/>
      <c r="I1408" s="127">
        <v>1</v>
      </c>
      <c r="J1408" s="128">
        <v>30429</v>
      </c>
      <c r="K1408" s="128">
        <v>30429</v>
      </c>
      <c r="L1408" s="214" t="s">
        <v>957</v>
      </c>
      <c r="M1408" s="167" t="s">
        <v>39</v>
      </c>
      <c r="N1408" s="131"/>
      <c r="O1408" s="132"/>
      <c r="P1408" s="132"/>
      <c r="Q1408" s="132"/>
      <c r="R1408" s="132"/>
      <c r="S1408" s="132"/>
      <c r="T1408" s="132"/>
      <c r="U1408" s="132"/>
      <c r="V1408" s="132"/>
      <c r="W1408" s="132"/>
      <c r="X1408" s="132"/>
      <c r="Y1408" s="132"/>
      <c r="Z1408" s="132"/>
      <c r="AA1408" s="132"/>
      <c r="AB1408" s="132"/>
    </row>
    <row r="1409" spans="1:28" s="133" customFormat="1" ht="18.75" customHeight="1" outlineLevel="1" x14ac:dyDescent="0.2">
      <c r="A1409" s="121">
        <v>35</v>
      </c>
      <c r="B1409" s="121">
        <v>71053</v>
      </c>
      <c r="C1409" s="122">
        <v>41974</v>
      </c>
      <c r="D1409" s="123" t="s">
        <v>1896</v>
      </c>
      <c r="E1409" s="121" t="s">
        <v>411</v>
      </c>
      <c r="F1409" s="124" t="s">
        <v>115</v>
      </c>
      <c r="G1409" s="125" t="s">
        <v>389</v>
      </c>
      <c r="H1409" s="126"/>
      <c r="I1409" s="127">
        <v>1</v>
      </c>
      <c r="J1409" s="128">
        <v>5274</v>
      </c>
      <c r="K1409" s="128">
        <v>5274</v>
      </c>
      <c r="L1409" s="214" t="s">
        <v>957</v>
      </c>
      <c r="M1409" s="167" t="s">
        <v>39</v>
      </c>
      <c r="N1409" s="131"/>
      <c r="O1409" s="132"/>
      <c r="P1409" s="132"/>
      <c r="Q1409" s="132"/>
      <c r="R1409" s="132"/>
      <c r="S1409" s="132"/>
      <c r="T1409" s="132"/>
      <c r="U1409" s="132"/>
      <c r="V1409" s="132"/>
      <c r="W1409" s="132"/>
      <c r="X1409" s="132"/>
      <c r="Y1409" s="132"/>
      <c r="Z1409" s="132"/>
      <c r="AA1409" s="132"/>
      <c r="AB1409" s="132"/>
    </row>
    <row r="1410" spans="1:28" s="133" customFormat="1" ht="15" customHeight="1" outlineLevel="1" x14ac:dyDescent="0.2">
      <c r="A1410" s="121">
        <v>26</v>
      </c>
      <c r="B1410" s="121">
        <v>52727</v>
      </c>
      <c r="C1410" s="122">
        <v>41985</v>
      </c>
      <c r="D1410" s="123" t="s">
        <v>1897</v>
      </c>
      <c r="E1410" s="121" t="s">
        <v>411</v>
      </c>
      <c r="F1410" s="124" t="s">
        <v>115</v>
      </c>
      <c r="G1410" s="125" t="s">
        <v>407</v>
      </c>
      <c r="H1410" s="126"/>
      <c r="I1410" s="127">
        <v>1</v>
      </c>
      <c r="J1410" s="128">
        <v>5274</v>
      </c>
      <c r="K1410" s="128">
        <v>5274</v>
      </c>
      <c r="L1410" s="211" t="s">
        <v>620</v>
      </c>
      <c r="M1410" s="167" t="s">
        <v>39</v>
      </c>
      <c r="N1410" s="131"/>
      <c r="O1410" s="132"/>
      <c r="P1410" s="132"/>
      <c r="Q1410" s="132"/>
      <c r="R1410" s="132"/>
      <c r="S1410" s="132"/>
      <c r="T1410" s="132"/>
      <c r="U1410" s="132"/>
      <c r="V1410" s="132"/>
      <c r="W1410" s="132"/>
      <c r="X1410" s="132"/>
      <c r="Y1410" s="132"/>
      <c r="Z1410" s="132"/>
      <c r="AA1410" s="132"/>
      <c r="AB1410" s="132"/>
    </row>
    <row r="1411" spans="1:28" s="133" customFormat="1" ht="15" customHeight="1" outlineLevel="1" x14ac:dyDescent="0.2">
      <c r="A1411" s="121">
        <v>22</v>
      </c>
      <c r="B1411" s="121">
        <v>52897</v>
      </c>
      <c r="C1411" s="122">
        <v>41988</v>
      </c>
      <c r="D1411" s="123" t="s">
        <v>1898</v>
      </c>
      <c r="E1411" s="121" t="s">
        <v>411</v>
      </c>
      <c r="F1411" s="124" t="s">
        <v>115</v>
      </c>
      <c r="G1411" s="125" t="s">
        <v>524</v>
      </c>
      <c r="H1411" s="126"/>
      <c r="I1411" s="127">
        <v>1</v>
      </c>
      <c r="J1411" s="128">
        <v>5274</v>
      </c>
      <c r="K1411" s="128">
        <v>5274</v>
      </c>
      <c r="L1411" s="211" t="s">
        <v>620</v>
      </c>
      <c r="M1411" s="167" t="s">
        <v>39</v>
      </c>
      <c r="N1411" s="131"/>
      <c r="O1411" s="132"/>
      <c r="P1411" s="132"/>
      <c r="Q1411" s="132"/>
      <c r="R1411" s="132"/>
      <c r="S1411" s="132"/>
      <c r="T1411" s="132"/>
      <c r="U1411" s="132"/>
      <c r="V1411" s="132"/>
      <c r="W1411" s="132"/>
      <c r="X1411" s="132"/>
      <c r="Y1411" s="132"/>
      <c r="Z1411" s="132"/>
      <c r="AA1411" s="132"/>
      <c r="AB1411" s="132"/>
    </row>
    <row r="1412" spans="1:28" s="133" customFormat="1" ht="15" customHeight="1" outlineLevel="1" x14ac:dyDescent="0.2">
      <c r="A1412" s="121">
        <v>23</v>
      </c>
      <c r="B1412" s="121">
        <v>52931</v>
      </c>
      <c r="C1412" s="122">
        <v>41985</v>
      </c>
      <c r="D1412" s="123" t="s">
        <v>1778</v>
      </c>
      <c r="E1412" s="121" t="s">
        <v>411</v>
      </c>
      <c r="F1412" s="124" t="s">
        <v>534</v>
      </c>
      <c r="G1412" s="125" t="s">
        <v>642</v>
      </c>
      <c r="H1412" s="126"/>
      <c r="I1412" s="127">
        <v>1</v>
      </c>
      <c r="J1412" s="128">
        <v>30429</v>
      </c>
      <c r="K1412" s="128">
        <v>30429</v>
      </c>
      <c r="L1412" s="211" t="s">
        <v>620</v>
      </c>
      <c r="M1412" s="167" t="s">
        <v>39</v>
      </c>
      <c r="N1412" s="131"/>
      <c r="O1412" s="132"/>
      <c r="P1412" s="132"/>
      <c r="Q1412" s="132"/>
      <c r="R1412" s="132"/>
      <c r="S1412" s="132"/>
      <c r="T1412" s="132"/>
      <c r="U1412" s="132"/>
      <c r="V1412" s="132"/>
      <c r="W1412" s="132"/>
      <c r="X1412" s="132"/>
      <c r="Y1412" s="132"/>
      <c r="Z1412" s="132"/>
      <c r="AA1412" s="132"/>
      <c r="AB1412" s="132"/>
    </row>
    <row r="1413" spans="1:28" s="133" customFormat="1" ht="15" customHeight="1" outlineLevel="1" x14ac:dyDescent="0.2">
      <c r="A1413" s="121">
        <v>24</v>
      </c>
      <c r="B1413" s="121">
        <v>52934</v>
      </c>
      <c r="C1413" s="122">
        <v>41988</v>
      </c>
      <c r="D1413" s="123" t="s">
        <v>1899</v>
      </c>
      <c r="E1413" s="121" t="s">
        <v>411</v>
      </c>
      <c r="F1413" s="124" t="s">
        <v>115</v>
      </c>
      <c r="G1413" s="125" t="s">
        <v>1900</v>
      </c>
      <c r="H1413" s="126"/>
      <c r="I1413" s="127">
        <v>1</v>
      </c>
      <c r="J1413" s="128">
        <v>5274</v>
      </c>
      <c r="K1413" s="128">
        <v>5274</v>
      </c>
      <c r="L1413" s="211" t="s">
        <v>620</v>
      </c>
      <c r="M1413" s="167" t="s">
        <v>39</v>
      </c>
      <c r="N1413" s="131"/>
      <c r="O1413" s="132"/>
      <c r="P1413" s="132"/>
      <c r="Q1413" s="132"/>
      <c r="R1413" s="132"/>
      <c r="S1413" s="132"/>
      <c r="T1413" s="132"/>
      <c r="U1413" s="132"/>
      <c r="V1413" s="132"/>
      <c r="W1413" s="132"/>
      <c r="X1413" s="132"/>
      <c r="Y1413" s="132"/>
      <c r="Z1413" s="132"/>
      <c r="AA1413" s="132"/>
      <c r="AB1413" s="132"/>
    </row>
    <row r="1414" spans="1:28" s="133" customFormat="1" ht="15" customHeight="1" outlineLevel="1" x14ac:dyDescent="0.2">
      <c r="A1414" s="121">
        <v>25</v>
      </c>
      <c r="B1414" s="121">
        <v>53060</v>
      </c>
      <c r="C1414" s="122">
        <v>41988</v>
      </c>
      <c r="D1414" s="123" t="s">
        <v>1901</v>
      </c>
      <c r="E1414" s="121" t="s">
        <v>411</v>
      </c>
      <c r="F1414" s="124" t="s">
        <v>190</v>
      </c>
      <c r="G1414" s="125" t="s">
        <v>404</v>
      </c>
      <c r="H1414" s="126"/>
      <c r="I1414" s="127">
        <v>1</v>
      </c>
      <c r="J1414" s="128">
        <v>57960</v>
      </c>
      <c r="K1414" s="128">
        <v>57960</v>
      </c>
      <c r="L1414" s="211" t="s">
        <v>620</v>
      </c>
      <c r="M1414" s="167" t="s">
        <v>39</v>
      </c>
      <c r="N1414" s="131"/>
      <c r="O1414" s="132"/>
      <c r="P1414" s="132"/>
      <c r="Q1414" s="132"/>
      <c r="R1414" s="132"/>
      <c r="S1414" s="132"/>
      <c r="T1414" s="132"/>
      <c r="U1414" s="132"/>
      <c r="V1414" s="132"/>
      <c r="W1414" s="132"/>
      <c r="X1414" s="132"/>
      <c r="Y1414" s="132"/>
      <c r="Z1414" s="132"/>
      <c r="AA1414" s="132"/>
      <c r="AB1414" s="132"/>
    </row>
    <row r="1415" spans="1:28" s="133" customFormat="1" ht="15" customHeight="1" outlineLevel="1" x14ac:dyDescent="0.2">
      <c r="A1415" s="121">
        <v>2</v>
      </c>
      <c r="B1415" s="147">
        <v>53215</v>
      </c>
      <c r="C1415" s="122">
        <v>41925</v>
      </c>
      <c r="D1415" s="123" t="s">
        <v>1845</v>
      </c>
      <c r="E1415" s="121" t="s">
        <v>940</v>
      </c>
      <c r="F1415" s="124" t="s">
        <v>577</v>
      </c>
      <c r="G1415" s="125" t="s">
        <v>366</v>
      </c>
      <c r="H1415" s="126"/>
      <c r="I1415" s="127">
        <v>1</v>
      </c>
      <c r="J1415" s="128">
        <v>25800</v>
      </c>
      <c r="K1415" s="128">
        <v>25800</v>
      </c>
      <c r="L1415" s="211" t="s">
        <v>620</v>
      </c>
      <c r="M1415" s="167" t="s">
        <v>39</v>
      </c>
      <c r="N1415" s="131"/>
      <c r="O1415" s="132"/>
      <c r="P1415" s="132"/>
      <c r="Q1415" s="132"/>
      <c r="R1415" s="132"/>
      <c r="S1415" s="132"/>
      <c r="T1415" s="132"/>
      <c r="U1415" s="132"/>
      <c r="V1415" s="132"/>
      <c r="W1415" s="132"/>
      <c r="X1415" s="132"/>
      <c r="Y1415" s="132"/>
      <c r="Z1415" s="132"/>
      <c r="AA1415" s="132"/>
      <c r="AB1415" s="132"/>
    </row>
    <row r="1416" spans="1:28" s="133" customFormat="1" ht="15" customHeight="1" outlineLevel="1" x14ac:dyDescent="0.2">
      <c r="A1416" s="121">
        <v>1</v>
      </c>
      <c r="B1416" s="147">
        <v>53250</v>
      </c>
      <c r="C1416" s="122">
        <v>41925</v>
      </c>
      <c r="D1416" s="123" t="s">
        <v>1902</v>
      </c>
      <c r="E1416" s="121" t="s">
        <v>411</v>
      </c>
      <c r="F1416" s="124" t="s">
        <v>208</v>
      </c>
      <c r="G1416" s="125" t="s">
        <v>389</v>
      </c>
      <c r="H1416" s="126"/>
      <c r="I1416" s="127">
        <v>1</v>
      </c>
      <c r="J1416" s="128">
        <v>14099</v>
      </c>
      <c r="K1416" s="128">
        <v>14099</v>
      </c>
      <c r="L1416" s="211" t="s">
        <v>620</v>
      </c>
      <c r="M1416" s="167" t="s">
        <v>39</v>
      </c>
      <c r="N1416" s="131"/>
      <c r="O1416" s="132"/>
      <c r="P1416" s="132"/>
      <c r="Q1416" s="132"/>
      <c r="R1416" s="132"/>
      <c r="S1416" s="132"/>
      <c r="T1416" s="132"/>
      <c r="U1416" s="132"/>
      <c r="V1416" s="132"/>
      <c r="W1416" s="132"/>
      <c r="X1416" s="132"/>
      <c r="Y1416" s="132"/>
      <c r="Z1416" s="132"/>
      <c r="AA1416" s="132"/>
      <c r="AB1416" s="132"/>
    </row>
    <row r="1417" spans="1:28" s="133" customFormat="1" ht="15" customHeight="1" outlineLevel="1" x14ac:dyDescent="0.2">
      <c r="A1417" s="121">
        <v>6</v>
      </c>
      <c r="B1417" s="121">
        <v>71382</v>
      </c>
      <c r="C1417" s="122">
        <v>41974</v>
      </c>
      <c r="D1417" s="123" t="s">
        <v>1903</v>
      </c>
      <c r="E1417" s="121" t="s">
        <v>411</v>
      </c>
      <c r="F1417" s="124" t="s">
        <v>534</v>
      </c>
      <c r="G1417" s="125" t="s">
        <v>412</v>
      </c>
      <c r="H1417" s="126"/>
      <c r="I1417" s="127">
        <v>1</v>
      </c>
      <c r="J1417" s="128">
        <v>30429</v>
      </c>
      <c r="K1417" s="128">
        <v>30429</v>
      </c>
      <c r="L1417" s="211" t="s">
        <v>620</v>
      </c>
      <c r="M1417" s="167" t="s">
        <v>39</v>
      </c>
      <c r="N1417" s="131"/>
      <c r="O1417" s="132"/>
      <c r="P1417" s="132"/>
      <c r="Q1417" s="132"/>
      <c r="R1417" s="132"/>
      <c r="S1417" s="132"/>
      <c r="T1417" s="132"/>
      <c r="U1417" s="132"/>
      <c r="V1417" s="132"/>
      <c r="W1417" s="132"/>
      <c r="X1417" s="132"/>
      <c r="Y1417" s="132"/>
      <c r="Z1417" s="132"/>
      <c r="AA1417" s="132"/>
      <c r="AB1417" s="132"/>
    </row>
    <row r="1418" spans="1:28" s="133" customFormat="1" ht="15" customHeight="1" outlineLevel="1" x14ac:dyDescent="0.2">
      <c r="A1418" s="121">
        <v>5</v>
      </c>
      <c r="B1418" s="121">
        <v>71552</v>
      </c>
      <c r="C1418" s="122">
        <v>41974</v>
      </c>
      <c r="D1418" s="123" t="s">
        <v>1904</v>
      </c>
      <c r="E1418" s="121" t="s">
        <v>411</v>
      </c>
      <c r="F1418" s="124" t="s">
        <v>534</v>
      </c>
      <c r="G1418" s="125" t="s">
        <v>1095</v>
      </c>
      <c r="H1418" s="126"/>
      <c r="I1418" s="127">
        <v>2</v>
      </c>
      <c r="J1418" s="128">
        <v>30429</v>
      </c>
      <c r="K1418" s="128">
        <v>60858</v>
      </c>
      <c r="L1418" s="211" t="s">
        <v>620</v>
      </c>
      <c r="M1418" s="167" t="s">
        <v>39</v>
      </c>
      <c r="N1418" s="131"/>
      <c r="O1418" s="132"/>
      <c r="P1418" s="132"/>
      <c r="Q1418" s="132"/>
      <c r="R1418" s="132"/>
      <c r="S1418" s="132"/>
      <c r="T1418" s="132"/>
      <c r="U1418" s="132"/>
      <c r="V1418" s="132"/>
      <c r="W1418" s="132"/>
      <c r="X1418" s="132"/>
      <c r="Y1418" s="132"/>
      <c r="Z1418" s="132"/>
      <c r="AA1418" s="132"/>
      <c r="AB1418" s="132"/>
    </row>
    <row r="1419" spans="1:28" s="133" customFormat="1" ht="15" customHeight="1" outlineLevel="1" x14ac:dyDescent="0.2">
      <c r="A1419" s="121">
        <v>4</v>
      </c>
      <c r="B1419" s="121">
        <v>71637</v>
      </c>
      <c r="C1419" s="122">
        <v>41974</v>
      </c>
      <c r="D1419" s="123" t="s">
        <v>1905</v>
      </c>
      <c r="E1419" s="121" t="s">
        <v>411</v>
      </c>
      <c r="F1419" s="124" t="s">
        <v>534</v>
      </c>
      <c r="G1419" s="125" t="s">
        <v>412</v>
      </c>
      <c r="H1419" s="126"/>
      <c r="I1419" s="127">
        <v>1</v>
      </c>
      <c r="J1419" s="128">
        <v>30429</v>
      </c>
      <c r="K1419" s="128">
        <v>30429</v>
      </c>
      <c r="L1419" s="211" t="s">
        <v>620</v>
      </c>
      <c r="M1419" s="167" t="s">
        <v>39</v>
      </c>
      <c r="N1419" s="131"/>
      <c r="O1419" s="132"/>
      <c r="P1419" s="132"/>
      <c r="Q1419" s="132"/>
      <c r="R1419" s="132"/>
      <c r="S1419" s="132"/>
      <c r="T1419" s="132"/>
      <c r="U1419" s="132"/>
      <c r="V1419" s="132"/>
      <c r="W1419" s="132"/>
      <c r="X1419" s="132"/>
      <c r="Y1419" s="132"/>
      <c r="Z1419" s="132"/>
      <c r="AA1419" s="132"/>
      <c r="AB1419" s="132"/>
    </row>
    <row r="1420" spans="1:28" s="133" customFormat="1" ht="15" customHeight="1" outlineLevel="1" x14ac:dyDescent="0.2">
      <c r="A1420" s="121">
        <v>8</v>
      </c>
      <c r="B1420" s="121">
        <v>72006</v>
      </c>
      <c r="C1420" s="122">
        <v>41976</v>
      </c>
      <c r="D1420" s="123" t="s">
        <v>1841</v>
      </c>
      <c r="E1420" s="121" t="s">
        <v>411</v>
      </c>
      <c r="F1420" s="124" t="s">
        <v>115</v>
      </c>
      <c r="G1420" s="125" t="s">
        <v>559</v>
      </c>
      <c r="H1420" s="126"/>
      <c r="I1420" s="127">
        <v>1</v>
      </c>
      <c r="J1420" s="128">
        <v>5274</v>
      </c>
      <c r="K1420" s="128">
        <v>5274</v>
      </c>
      <c r="L1420" s="211" t="s">
        <v>620</v>
      </c>
      <c r="M1420" s="167" t="s">
        <v>39</v>
      </c>
      <c r="N1420" s="131"/>
      <c r="O1420" s="132"/>
      <c r="P1420" s="132"/>
      <c r="Q1420" s="132"/>
      <c r="R1420" s="132"/>
      <c r="S1420" s="132"/>
      <c r="T1420" s="132"/>
      <c r="U1420" s="132"/>
      <c r="V1420" s="132"/>
      <c r="W1420" s="132"/>
      <c r="X1420" s="132"/>
      <c r="Y1420" s="132"/>
      <c r="Z1420" s="132"/>
      <c r="AA1420" s="132"/>
      <c r="AB1420" s="132"/>
    </row>
    <row r="1421" spans="1:28" s="133" customFormat="1" ht="15" customHeight="1" outlineLevel="1" x14ac:dyDescent="0.2">
      <c r="A1421" s="121">
        <v>10</v>
      </c>
      <c r="B1421" s="121">
        <v>72325</v>
      </c>
      <c r="C1421" s="122">
        <v>41976</v>
      </c>
      <c r="D1421" s="123" t="s">
        <v>1906</v>
      </c>
      <c r="E1421" s="121" t="s">
        <v>411</v>
      </c>
      <c r="F1421" s="124" t="s">
        <v>114</v>
      </c>
      <c r="G1421" s="125" t="s">
        <v>1560</v>
      </c>
      <c r="H1421" s="126"/>
      <c r="I1421" s="127">
        <v>3</v>
      </c>
      <c r="J1421" s="128">
        <v>33370</v>
      </c>
      <c r="K1421" s="128">
        <v>100110</v>
      </c>
      <c r="L1421" s="211" t="s">
        <v>620</v>
      </c>
      <c r="M1421" s="167" t="s">
        <v>39</v>
      </c>
      <c r="N1421" s="131"/>
      <c r="O1421" s="132"/>
      <c r="P1421" s="132"/>
      <c r="Q1421" s="132"/>
      <c r="R1421" s="132"/>
      <c r="S1421" s="132"/>
      <c r="T1421" s="132"/>
      <c r="U1421" s="132"/>
      <c r="V1421" s="132"/>
      <c r="W1421" s="132"/>
      <c r="X1421" s="132"/>
      <c r="Y1421" s="132"/>
      <c r="Z1421" s="132"/>
      <c r="AA1421" s="132"/>
      <c r="AB1421" s="132"/>
    </row>
    <row r="1422" spans="1:28" s="133" customFormat="1" ht="15" customHeight="1" outlineLevel="1" x14ac:dyDescent="0.2">
      <c r="A1422" s="121">
        <v>9</v>
      </c>
      <c r="B1422" s="121">
        <v>72347</v>
      </c>
      <c r="C1422" s="122">
        <v>41976</v>
      </c>
      <c r="D1422" s="123" t="s">
        <v>1907</v>
      </c>
      <c r="E1422" s="121" t="s">
        <v>411</v>
      </c>
      <c r="F1422" s="124" t="s">
        <v>574</v>
      </c>
      <c r="G1422" s="125" t="s">
        <v>401</v>
      </c>
      <c r="H1422" s="126"/>
      <c r="I1422" s="127">
        <v>1</v>
      </c>
      <c r="J1422" s="128">
        <v>49701</v>
      </c>
      <c r="K1422" s="128">
        <v>49701</v>
      </c>
      <c r="L1422" s="211" t="s">
        <v>620</v>
      </c>
      <c r="M1422" s="167" t="s">
        <v>39</v>
      </c>
      <c r="N1422" s="131"/>
      <c r="O1422" s="132"/>
      <c r="P1422" s="132"/>
      <c r="Q1422" s="132"/>
      <c r="R1422" s="132"/>
      <c r="S1422" s="132"/>
      <c r="T1422" s="132"/>
      <c r="U1422" s="132"/>
      <c r="V1422" s="132"/>
      <c r="W1422" s="132"/>
      <c r="X1422" s="132"/>
      <c r="Y1422" s="132"/>
      <c r="Z1422" s="132"/>
      <c r="AA1422" s="132"/>
      <c r="AB1422" s="132"/>
    </row>
    <row r="1423" spans="1:28" s="133" customFormat="1" ht="15" customHeight="1" outlineLevel="1" x14ac:dyDescent="0.2">
      <c r="A1423" s="121">
        <v>7</v>
      </c>
      <c r="B1423" s="121">
        <v>72348</v>
      </c>
      <c r="C1423" s="122">
        <v>41976</v>
      </c>
      <c r="D1423" s="123" t="s">
        <v>1908</v>
      </c>
      <c r="E1423" s="121" t="s">
        <v>411</v>
      </c>
      <c r="F1423" s="124" t="s">
        <v>574</v>
      </c>
      <c r="G1423" s="125" t="s">
        <v>412</v>
      </c>
      <c r="H1423" s="126"/>
      <c r="I1423" s="127">
        <v>1</v>
      </c>
      <c r="J1423" s="128">
        <v>49701</v>
      </c>
      <c r="K1423" s="128">
        <v>49701</v>
      </c>
      <c r="L1423" s="211" t="s">
        <v>620</v>
      </c>
      <c r="M1423" s="167" t="s">
        <v>39</v>
      </c>
      <c r="N1423" s="131"/>
      <c r="O1423" s="132"/>
      <c r="P1423" s="132"/>
      <c r="Q1423" s="132"/>
      <c r="R1423" s="132"/>
      <c r="S1423" s="132"/>
      <c r="T1423" s="132"/>
      <c r="U1423" s="132"/>
      <c r="V1423" s="132"/>
      <c r="W1423" s="132"/>
      <c r="X1423" s="132"/>
      <c r="Y1423" s="132"/>
      <c r="Z1423" s="132"/>
      <c r="AA1423" s="132"/>
      <c r="AB1423" s="132"/>
    </row>
    <row r="1424" spans="1:28" s="133" customFormat="1" ht="15" customHeight="1" outlineLevel="1" x14ac:dyDescent="0.2">
      <c r="A1424" s="121">
        <v>11</v>
      </c>
      <c r="B1424" s="121">
        <v>72864</v>
      </c>
      <c r="C1424" s="122">
        <v>41978</v>
      </c>
      <c r="D1424" s="123" t="s">
        <v>530</v>
      </c>
      <c r="E1424" s="121" t="s">
        <v>411</v>
      </c>
      <c r="F1424" s="124" t="s">
        <v>115</v>
      </c>
      <c r="G1424" s="125" t="s">
        <v>531</v>
      </c>
      <c r="H1424" s="126"/>
      <c r="I1424" s="127">
        <v>1</v>
      </c>
      <c r="J1424" s="128">
        <v>5274</v>
      </c>
      <c r="K1424" s="128">
        <v>5274</v>
      </c>
      <c r="L1424" s="211" t="s">
        <v>620</v>
      </c>
      <c r="M1424" s="167" t="s">
        <v>39</v>
      </c>
      <c r="N1424" s="131"/>
      <c r="O1424" s="132"/>
      <c r="P1424" s="132"/>
      <c r="Q1424" s="132"/>
      <c r="R1424" s="132"/>
      <c r="S1424" s="132"/>
      <c r="T1424" s="132"/>
      <c r="U1424" s="132"/>
      <c r="V1424" s="132"/>
      <c r="W1424" s="132"/>
      <c r="X1424" s="132"/>
      <c r="Y1424" s="132"/>
      <c r="Z1424" s="132"/>
      <c r="AA1424" s="132"/>
      <c r="AB1424" s="132"/>
    </row>
    <row r="1425" spans="1:28" s="133" customFormat="1" ht="15" customHeight="1" outlineLevel="1" x14ac:dyDescent="0.2">
      <c r="A1425" s="121">
        <v>3</v>
      </c>
      <c r="B1425" s="121">
        <v>72941</v>
      </c>
      <c r="C1425" s="122">
        <v>41977</v>
      </c>
      <c r="D1425" s="123" t="s">
        <v>1909</v>
      </c>
      <c r="E1425" s="121" t="s">
        <v>411</v>
      </c>
      <c r="F1425" s="124" t="s">
        <v>1482</v>
      </c>
      <c r="G1425" s="125" t="s">
        <v>397</v>
      </c>
      <c r="H1425" s="126"/>
      <c r="I1425" s="127">
        <v>2</v>
      </c>
      <c r="J1425" s="128">
        <v>48203</v>
      </c>
      <c r="K1425" s="128">
        <v>96406</v>
      </c>
      <c r="L1425" s="211" t="s">
        <v>620</v>
      </c>
      <c r="M1425" s="167" t="s">
        <v>39</v>
      </c>
      <c r="N1425" s="131"/>
      <c r="O1425" s="132"/>
      <c r="P1425" s="132"/>
      <c r="Q1425" s="132"/>
      <c r="R1425" s="132"/>
      <c r="S1425" s="132"/>
      <c r="T1425" s="132"/>
      <c r="U1425" s="132"/>
      <c r="V1425" s="132"/>
      <c r="W1425" s="132"/>
      <c r="X1425" s="132"/>
      <c r="Y1425" s="132"/>
      <c r="Z1425" s="132"/>
      <c r="AA1425" s="132"/>
      <c r="AB1425" s="132"/>
    </row>
    <row r="1426" spans="1:28" s="133" customFormat="1" ht="15" customHeight="1" outlineLevel="1" x14ac:dyDescent="0.2">
      <c r="A1426" s="121">
        <v>18</v>
      </c>
      <c r="B1426" s="121">
        <v>73509</v>
      </c>
      <c r="C1426" s="122">
        <v>41978</v>
      </c>
      <c r="D1426" s="123" t="s">
        <v>1863</v>
      </c>
      <c r="E1426" s="121" t="s">
        <v>411</v>
      </c>
      <c r="F1426" s="124" t="s">
        <v>208</v>
      </c>
      <c r="G1426" s="125" t="s">
        <v>389</v>
      </c>
      <c r="H1426" s="126"/>
      <c r="I1426" s="127">
        <v>1</v>
      </c>
      <c r="J1426" s="128">
        <v>14099</v>
      </c>
      <c r="K1426" s="128">
        <v>14099</v>
      </c>
      <c r="L1426" s="211" t="s">
        <v>620</v>
      </c>
      <c r="M1426" s="167" t="s">
        <v>39</v>
      </c>
      <c r="N1426" s="131"/>
      <c r="O1426" s="132"/>
      <c r="P1426" s="132"/>
      <c r="Q1426" s="132"/>
      <c r="R1426" s="132"/>
      <c r="S1426" s="132"/>
      <c r="T1426" s="132"/>
      <c r="U1426" s="132"/>
      <c r="V1426" s="132"/>
      <c r="W1426" s="132"/>
      <c r="X1426" s="132"/>
      <c r="Y1426" s="132"/>
      <c r="Z1426" s="132"/>
      <c r="AA1426" s="132"/>
      <c r="AB1426" s="132"/>
    </row>
    <row r="1427" spans="1:28" s="133" customFormat="1" ht="15" customHeight="1" outlineLevel="1" x14ac:dyDescent="0.2">
      <c r="A1427" s="121">
        <v>12</v>
      </c>
      <c r="B1427" s="121">
        <v>73517</v>
      </c>
      <c r="C1427" s="122">
        <v>41978</v>
      </c>
      <c r="D1427" s="123" t="s">
        <v>526</v>
      </c>
      <c r="E1427" s="121" t="s">
        <v>411</v>
      </c>
      <c r="F1427" s="124" t="s">
        <v>208</v>
      </c>
      <c r="G1427" s="125" t="s">
        <v>527</v>
      </c>
      <c r="H1427" s="126"/>
      <c r="I1427" s="127">
        <v>1</v>
      </c>
      <c r="J1427" s="128">
        <v>14099</v>
      </c>
      <c r="K1427" s="128">
        <v>14099</v>
      </c>
      <c r="L1427" s="211" t="s">
        <v>620</v>
      </c>
      <c r="M1427" s="167" t="s">
        <v>39</v>
      </c>
      <c r="N1427" s="131"/>
      <c r="O1427" s="132"/>
      <c r="P1427" s="132"/>
      <c r="Q1427" s="132"/>
      <c r="R1427" s="132"/>
      <c r="S1427" s="132"/>
      <c r="T1427" s="132"/>
      <c r="U1427" s="132"/>
      <c r="V1427" s="132"/>
      <c r="W1427" s="132"/>
      <c r="X1427" s="132"/>
      <c r="Y1427" s="132"/>
      <c r="Z1427" s="132"/>
      <c r="AA1427" s="132"/>
      <c r="AB1427" s="132"/>
    </row>
    <row r="1428" spans="1:28" s="133" customFormat="1" ht="15" customHeight="1" outlineLevel="1" x14ac:dyDescent="0.2">
      <c r="A1428" s="121">
        <v>17</v>
      </c>
      <c r="B1428" s="121">
        <v>73717</v>
      </c>
      <c r="C1428" s="122">
        <v>41978</v>
      </c>
      <c r="D1428" s="123" t="s">
        <v>1863</v>
      </c>
      <c r="E1428" s="121" t="s">
        <v>411</v>
      </c>
      <c r="F1428" s="124" t="s">
        <v>190</v>
      </c>
      <c r="G1428" s="125" t="s">
        <v>531</v>
      </c>
      <c r="H1428" s="126"/>
      <c r="I1428" s="127">
        <v>1</v>
      </c>
      <c r="J1428" s="128">
        <v>57960</v>
      </c>
      <c r="K1428" s="128">
        <v>57960</v>
      </c>
      <c r="L1428" s="211" t="s">
        <v>620</v>
      </c>
      <c r="M1428" s="167" t="s">
        <v>39</v>
      </c>
      <c r="N1428" s="131"/>
      <c r="O1428" s="132"/>
      <c r="P1428" s="132"/>
      <c r="Q1428" s="132"/>
      <c r="R1428" s="132"/>
      <c r="S1428" s="132"/>
      <c r="T1428" s="132"/>
      <c r="U1428" s="132"/>
      <c r="V1428" s="132"/>
      <c r="W1428" s="132"/>
      <c r="X1428" s="132"/>
      <c r="Y1428" s="132"/>
      <c r="Z1428" s="132"/>
      <c r="AA1428" s="132"/>
      <c r="AB1428" s="132"/>
    </row>
    <row r="1429" spans="1:28" s="133" customFormat="1" ht="15" customHeight="1" outlineLevel="1" x14ac:dyDescent="0.2">
      <c r="A1429" s="121">
        <v>50</v>
      </c>
      <c r="B1429" s="121">
        <v>73729</v>
      </c>
      <c r="C1429" s="122">
        <v>41978</v>
      </c>
      <c r="D1429" s="123" t="s">
        <v>1910</v>
      </c>
      <c r="E1429" s="121" t="s">
        <v>411</v>
      </c>
      <c r="F1429" s="124" t="s">
        <v>574</v>
      </c>
      <c r="G1429" s="125" t="s">
        <v>428</v>
      </c>
      <c r="H1429" s="126"/>
      <c r="I1429" s="127">
        <v>1</v>
      </c>
      <c r="J1429" s="128">
        <v>49701</v>
      </c>
      <c r="K1429" s="128">
        <v>49701</v>
      </c>
      <c r="L1429" s="211" t="s">
        <v>620</v>
      </c>
      <c r="M1429" s="167" t="s">
        <v>39</v>
      </c>
      <c r="N1429" s="131"/>
      <c r="O1429" s="132"/>
      <c r="P1429" s="132"/>
      <c r="Q1429" s="132"/>
      <c r="R1429" s="132"/>
      <c r="S1429" s="132"/>
      <c r="T1429" s="132"/>
      <c r="U1429" s="132"/>
      <c r="V1429" s="132"/>
      <c r="W1429" s="132"/>
      <c r="X1429" s="132"/>
      <c r="Y1429" s="132"/>
      <c r="Z1429" s="132"/>
      <c r="AA1429" s="132"/>
      <c r="AB1429" s="132"/>
    </row>
    <row r="1430" spans="1:28" s="133" customFormat="1" ht="15" customHeight="1" outlineLevel="1" x14ac:dyDescent="0.2">
      <c r="A1430" s="121">
        <v>19</v>
      </c>
      <c r="B1430" s="121">
        <v>73934</v>
      </c>
      <c r="C1430" s="122">
        <v>41982</v>
      </c>
      <c r="D1430" s="123" t="s">
        <v>1911</v>
      </c>
      <c r="E1430" s="121" t="s">
        <v>411</v>
      </c>
      <c r="F1430" s="124" t="s">
        <v>574</v>
      </c>
      <c r="G1430" s="125" t="s">
        <v>416</v>
      </c>
      <c r="H1430" s="126"/>
      <c r="I1430" s="127">
        <v>1</v>
      </c>
      <c r="J1430" s="128">
        <v>49701</v>
      </c>
      <c r="K1430" s="128">
        <v>49701</v>
      </c>
      <c r="L1430" s="211" t="s">
        <v>620</v>
      </c>
      <c r="M1430" s="167" t="s">
        <v>39</v>
      </c>
      <c r="N1430" s="131"/>
      <c r="O1430" s="132"/>
      <c r="P1430" s="132"/>
      <c r="Q1430" s="132"/>
      <c r="R1430" s="132"/>
      <c r="S1430" s="132"/>
      <c r="T1430" s="132"/>
      <c r="U1430" s="132"/>
      <c r="V1430" s="132"/>
      <c r="W1430" s="132"/>
      <c r="X1430" s="132"/>
      <c r="Y1430" s="132"/>
      <c r="Z1430" s="132"/>
      <c r="AA1430" s="132"/>
      <c r="AB1430" s="132"/>
    </row>
    <row r="1431" spans="1:28" s="133" customFormat="1" ht="15" customHeight="1" outlineLevel="1" x14ac:dyDescent="0.2">
      <c r="A1431" s="121">
        <v>16</v>
      </c>
      <c r="B1431" s="121">
        <v>74688</v>
      </c>
      <c r="C1431" s="122">
        <v>41984</v>
      </c>
      <c r="D1431" s="123" t="s">
        <v>522</v>
      </c>
      <c r="E1431" s="121" t="s">
        <v>523</v>
      </c>
      <c r="F1431" s="124" t="s">
        <v>577</v>
      </c>
      <c r="G1431" s="125" t="s">
        <v>368</v>
      </c>
      <c r="H1431" s="126"/>
      <c r="I1431" s="127">
        <v>1</v>
      </c>
      <c r="J1431" s="128">
        <v>25800</v>
      </c>
      <c r="K1431" s="128">
        <v>25800</v>
      </c>
      <c r="L1431" s="211" t="s">
        <v>620</v>
      </c>
      <c r="M1431" s="167" t="s">
        <v>39</v>
      </c>
      <c r="N1431" s="131"/>
      <c r="O1431" s="132"/>
      <c r="P1431" s="132"/>
      <c r="Q1431" s="132"/>
      <c r="R1431" s="132"/>
      <c r="S1431" s="132"/>
      <c r="T1431" s="132"/>
      <c r="U1431" s="132"/>
      <c r="V1431" s="132"/>
      <c r="W1431" s="132"/>
      <c r="X1431" s="132"/>
      <c r="Y1431" s="132"/>
      <c r="Z1431" s="132"/>
      <c r="AA1431" s="132"/>
      <c r="AB1431" s="132"/>
    </row>
    <row r="1432" spans="1:28" s="133" customFormat="1" ht="15" customHeight="1" outlineLevel="1" x14ac:dyDescent="0.2">
      <c r="A1432" s="121">
        <v>15</v>
      </c>
      <c r="B1432" s="121">
        <v>74699</v>
      </c>
      <c r="C1432" s="122">
        <v>41983</v>
      </c>
      <c r="D1432" s="123" t="s">
        <v>1912</v>
      </c>
      <c r="E1432" s="121" t="s">
        <v>411</v>
      </c>
      <c r="F1432" s="124" t="s">
        <v>534</v>
      </c>
      <c r="G1432" s="125" t="s">
        <v>524</v>
      </c>
      <c r="H1432" s="126"/>
      <c r="I1432" s="127">
        <v>1</v>
      </c>
      <c r="J1432" s="128">
        <v>30429</v>
      </c>
      <c r="K1432" s="128">
        <v>30429</v>
      </c>
      <c r="L1432" s="211" t="s">
        <v>620</v>
      </c>
      <c r="M1432" s="167" t="s">
        <v>39</v>
      </c>
      <c r="N1432" s="131"/>
      <c r="O1432" s="132"/>
      <c r="P1432" s="132"/>
      <c r="Q1432" s="132"/>
      <c r="R1432" s="132"/>
      <c r="S1432" s="132"/>
      <c r="T1432" s="132"/>
      <c r="U1432" s="132"/>
      <c r="V1432" s="132"/>
      <c r="W1432" s="132"/>
      <c r="X1432" s="132"/>
      <c r="Y1432" s="132"/>
      <c r="Z1432" s="132"/>
      <c r="AA1432" s="132"/>
      <c r="AB1432" s="132"/>
    </row>
    <row r="1433" spans="1:28" s="133" customFormat="1" ht="15" customHeight="1" outlineLevel="1" x14ac:dyDescent="0.2">
      <c r="A1433" s="121">
        <v>13</v>
      </c>
      <c r="B1433" s="121">
        <v>74773</v>
      </c>
      <c r="C1433" s="122">
        <v>41983</v>
      </c>
      <c r="D1433" s="123" t="s">
        <v>1913</v>
      </c>
      <c r="E1433" s="121" t="s">
        <v>411</v>
      </c>
      <c r="F1433" s="124" t="s">
        <v>115</v>
      </c>
      <c r="G1433" s="125" t="s">
        <v>524</v>
      </c>
      <c r="H1433" s="126"/>
      <c r="I1433" s="127">
        <v>1</v>
      </c>
      <c r="J1433" s="128">
        <v>5274</v>
      </c>
      <c r="K1433" s="128">
        <v>5274</v>
      </c>
      <c r="L1433" s="211" t="s">
        <v>620</v>
      </c>
      <c r="M1433" s="167" t="s">
        <v>39</v>
      </c>
      <c r="N1433" s="131"/>
      <c r="O1433" s="132"/>
      <c r="P1433" s="132"/>
      <c r="Q1433" s="132"/>
      <c r="R1433" s="132"/>
      <c r="S1433" s="132"/>
      <c r="T1433" s="132"/>
      <c r="U1433" s="132"/>
      <c r="V1433" s="132"/>
      <c r="W1433" s="132"/>
      <c r="X1433" s="132"/>
      <c r="Y1433" s="132"/>
      <c r="Z1433" s="132"/>
      <c r="AA1433" s="132"/>
      <c r="AB1433" s="132"/>
    </row>
    <row r="1434" spans="1:28" s="133" customFormat="1" ht="15" customHeight="1" outlineLevel="1" x14ac:dyDescent="0.2">
      <c r="A1434" s="121">
        <v>14</v>
      </c>
      <c r="B1434" s="121">
        <v>74895</v>
      </c>
      <c r="C1434" s="122">
        <v>41983</v>
      </c>
      <c r="D1434" s="123" t="s">
        <v>1914</v>
      </c>
      <c r="E1434" s="121" t="s">
        <v>411</v>
      </c>
      <c r="F1434" s="124" t="s">
        <v>534</v>
      </c>
      <c r="G1434" s="125" t="s">
        <v>524</v>
      </c>
      <c r="H1434" s="126"/>
      <c r="I1434" s="127">
        <v>1</v>
      </c>
      <c r="J1434" s="128">
        <v>30429</v>
      </c>
      <c r="K1434" s="128">
        <v>30429</v>
      </c>
      <c r="L1434" s="211" t="s">
        <v>620</v>
      </c>
      <c r="M1434" s="167" t="s">
        <v>39</v>
      </c>
      <c r="N1434" s="131"/>
      <c r="O1434" s="132"/>
      <c r="P1434" s="132"/>
      <c r="Q1434" s="132"/>
      <c r="R1434" s="132"/>
      <c r="S1434" s="132"/>
      <c r="T1434" s="132"/>
      <c r="U1434" s="132"/>
      <c r="V1434" s="132"/>
      <c r="W1434" s="132"/>
      <c r="X1434" s="132"/>
      <c r="Y1434" s="132"/>
      <c r="Z1434" s="132"/>
      <c r="AA1434" s="132"/>
      <c r="AB1434" s="132"/>
    </row>
    <row r="1435" spans="1:28" s="133" customFormat="1" ht="15" customHeight="1" outlineLevel="1" x14ac:dyDescent="0.2">
      <c r="A1435" s="121">
        <v>21</v>
      </c>
      <c r="B1435" s="121">
        <v>80025</v>
      </c>
      <c r="C1435" s="122">
        <v>41989</v>
      </c>
      <c r="D1435" s="123" t="s">
        <v>1915</v>
      </c>
      <c r="E1435" s="121" t="s">
        <v>481</v>
      </c>
      <c r="F1435" s="124" t="s">
        <v>1066</v>
      </c>
      <c r="G1435" s="125" t="s">
        <v>368</v>
      </c>
      <c r="H1435" s="126"/>
      <c r="I1435" s="127">
        <v>1</v>
      </c>
      <c r="J1435" s="128">
        <v>18764</v>
      </c>
      <c r="K1435" s="128">
        <v>18764</v>
      </c>
      <c r="L1435" s="211" t="s">
        <v>620</v>
      </c>
      <c r="M1435" s="167" t="s">
        <v>39</v>
      </c>
      <c r="N1435" s="131"/>
      <c r="O1435" s="132"/>
      <c r="P1435" s="132"/>
      <c r="Q1435" s="132"/>
      <c r="R1435" s="132"/>
      <c r="S1435" s="132"/>
      <c r="T1435" s="132"/>
      <c r="U1435" s="132"/>
      <c r="V1435" s="132"/>
      <c r="W1435" s="132"/>
      <c r="X1435" s="132"/>
      <c r="Y1435" s="132"/>
      <c r="Z1435" s="132"/>
      <c r="AA1435" s="132"/>
      <c r="AB1435" s="132"/>
    </row>
    <row r="1436" spans="1:28" s="133" customFormat="1" ht="15" customHeight="1" outlineLevel="1" x14ac:dyDescent="0.2">
      <c r="A1436" s="121">
        <v>27</v>
      </c>
      <c r="B1436" s="121">
        <v>80057</v>
      </c>
      <c r="C1436" s="122">
        <v>41988</v>
      </c>
      <c r="D1436" s="123" t="s">
        <v>1916</v>
      </c>
      <c r="E1436" s="121" t="s">
        <v>411</v>
      </c>
      <c r="F1436" s="124" t="s">
        <v>114</v>
      </c>
      <c r="G1436" s="125" t="s">
        <v>524</v>
      </c>
      <c r="H1436" s="126"/>
      <c r="I1436" s="127">
        <v>1</v>
      </c>
      <c r="J1436" s="128">
        <v>33370</v>
      </c>
      <c r="K1436" s="128">
        <v>33370</v>
      </c>
      <c r="L1436" s="211" t="s">
        <v>620</v>
      </c>
      <c r="M1436" s="167" t="s">
        <v>39</v>
      </c>
      <c r="N1436" s="131"/>
      <c r="O1436" s="132"/>
      <c r="P1436" s="132"/>
      <c r="Q1436" s="132"/>
      <c r="R1436" s="132"/>
      <c r="S1436" s="132"/>
      <c r="T1436" s="132"/>
      <c r="U1436" s="132"/>
      <c r="V1436" s="132"/>
      <c r="W1436" s="132"/>
      <c r="X1436" s="132"/>
      <c r="Y1436" s="132"/>
      <c r="Z1436" s="132"/>
      <c r="AA1436" s="132"/>
      <c r="AB1436" s="132"/>
    </row>
    <row r="1437" spans="1:28" s="133" customFormat="1" ht="15" customHeight="1" outlineLevel="1" x14ac:dyDescent="0.2">
      <c r="A1437" s="121">
        <v>28</v>
      </c>
      <c r="B1437" s="121">
        <v>80146</v>
      </c>
      <c r="C1437" s="122">
        <v>41988</v>
      </c>
      <c r="D1437" s="123" t="s">
        <v>530</v>
      </c>
      <c r="E1437" s="121" t="s">
        <v>411</v>
      </c>
      <c r="F1437" s="124" t="s">
        <v>208</v>
      </c>
      <c r="G1437" s="125" t="s">
        <v>531</v>
      </c>
      <c r="H1437" s="126"/>
      <c r="I1437" s="127">
        <v>1</v>
      </c>
      <c r="J1437" s="128">
        <v>14099</v>
      </c>
      <c r="K1437" s="128">
        <v>14099</v>
      </c>
      <c r="L1437" s="211" t="s">
        <v>620</v>
      </c>
      <c r="M1437" s="167" t="s">
        <v>39</v>
      </c>
      <c r="N1437" s="131"/>
      <c r="O1437" s="132"/>
      <c r="P1437" s="132"/>
      <c r="Q1437" s="132"/>
      <c r="R1437" s="132"/>
      <c r="S1437" s="132"/>
      <c r="T1437" s="132"/>
      <c r="U1437" s="132"/>
      <c r="V1437" s="132"/>
      <c r="W1437" s="132"/>
      <c r="X1437" s="132"/>
      <c r="Y1437" s="132"/>
      <c r="Z1437" s="132"/>
      <c r="AA1437" s="132"/>
      <c r="AB1437" s="132"/>
    </row>
    <row r="1438" spans="1:28" s="133" customFormat="1" ht="15" customHeight="1" outlineLevel="1" x14ac:dyDescent="0.2">
      <c r="A1438" s="121">
        <v>20</v>
      </c>
      <c r="B1438" s="121">
        <v>80705</v>
      </c>
      <c r="C1438" s="122">
        <v>41989</v>
      </c>
      <c r="D1438" s="123" t="s">
        <v>1917</v>
      </c>
      <c r="E1438" s="121" t="s">
        <v>1918</v>
      </c>
      <c r="F1438" s="124" t="s">
        <v>577</v>
      </c>
      <c r="G1438" s="125" t="s">
        <v>368</v>
      </c>
      <c r="H1438" s="126"/>
      <c r="I1438" s="127">
        <v>1</v>
      </c>
      <c r="J1438" s="128">
        <v>25800</v>
      </c>
      <c r="K1438" s="128">
        <v>25800</v>
      </c>
      <c r="L1438" s="211" t="s">
        <v>620</v>
      </c>
      <c r="M1438" s="167" t="s">
        <v>39</v>
      </c>
      <c r="N1438" s="131"/>
      <c r="O1438" s="132"/>
      <c r="P1438" s="132"/>
      <c r="Q1438" s="132"/>
      <c r="R1438" s="132"/>
      <c r="S1438" s="132"/>
      <c r="T1438" s="132"/>
      <c r="U1438" s="132"/>
      <c r="V1438" s="132"/>
      <c r="W1438" s="132"/>
      <c r="X1438" s="132"/>
      <c r="Y1438" s="132"/>
      <c r="Z1438" s="132"/>
      <c r="AA1438" s="132"/>
      <c r="AB1438" s="132"/>
    </row>
    <row r="1439" spans="1:28" s="133" customFormat="1" ht="15" customHeight="1" outlineLevel="1" x14ac:dyDescent="0.2">
      <c r="A1439" s="121">
        <v>38</v>
      </c>
      <c r="B1439" s="121">
        <v>81430</v>
      </c>
      <c r="C1439" s="122">
        <v>41991</v>
      </c>
      <c r="D1439" s="123" t="s">
        <v>1873</v>
      </c>
      <c r="E1439" s="121" t="s">
        <v>411</v>
      </c>
      <c r="F1439" s="124" t="s">
        <v>114</v>
      </c>
      <c r="G1439" s="125" t="s">
        <v>428</v>
      </c>
      <c r="H1439" s="126"/>
      <c r="I1439" s="127">
        <v>1</v>
      </c>
      <c r="J1439" s="128">
        <v>33370</v>
      </c>
      <c r="K1439" s="128">
        <v>33370</v>
      </c>
      <c r="L1439" s="211" t="s">
        <v>620</v>
      </c>
      <c r="M1439" s="167" t="s">
        <v>39</v>
      </c>
      <c r="N1439" s="131"/>
      <c r="O1439" s="132"/>
      <c r="P1439" s="132"/>
      <c r="Q1439" s="132"/>
      <c r="R1439" s="132"/>
      <c r="S1439" s="132"/>
      <c r="T1439" s="132"/>
      <c r="U1439" s="132"/>
      <c r="V1439" s="132"/>
      <c r="W1439" s="132"/>
      <c r="X1439" s="132"/>
      <c r="Y1439" s="132"/>
      <c r="Z1439" s="132"/>
      <c r="AA1439" s="132"/>
      <c r="AB1439" s="132"/>
    </row>
    <row r="1440" spans="1:28" s="133" customFormat="1" ht="15" customHeight="1" outlineLevel="1" x14ac:dyDescent="0.2">
      <c r="A1440" s="121">
        <v>37</v>
      </c>
      <c r="B1440" s="121">
        <v>81517</v>
      </c>
      <c r="C1440" s="122">
        <v>41992</v>
      </c>
      <c r="D1440" s="123" t="s">
        <v>1919</v>
      </c>
      <c r="E1440" s="121" t="s">
        <v>533</v>
      </c>
      <c r="F1440" s="124" t="s">
        <v>115</v>
      </c>
      <c r="G1440" s="125" t="s">
        <v>469</v>
      </c>
      <c r="H1440" s="126"/>
      <c r="I1440" s="127">
        <v>1</v>
      </c>
      <c r="J1440" s="128">
        <v>5274</v>
      </c>
      <c r="K1440" s="128">
        <v>5274</v>
      </c>
      <c r="L1440" s="211" t="s">
        <v>620</v>
      </c>
      <c r="M1440" s="167" t="s">
        <v>39</v>
      </c>
      <c r="N1440" s="131"/>
      <c r="O1440" s="132"/>
      <c r="P1440" s="132"/>
      <c r="Q1440" s="132"/>
      <c r="R1440" s="132"/>
      <c r="S1440" s="132"/>
      <c r="T1440" s="132"/>
      <c r="U1440" s="132"/>
      <c r="V1440" s="132"/>
      <c r="W1440" s="132"/>
      <c r="X1440" s="132"/>
      <c r="Y1440" s="132"/>
      <c r="Z1440" s="132"/>
      <c r="AA1440" s="132"/>
      <c r="AB1440" s="132"/>
    </row>
    <row r="1441" spans="1:28" s="133" customFormat="1" ht="15" customHeight="1" outlineLevel="1" x14ac:dyDescent="0.2">
      <c r="A1441" s="121">
        <v>36</v>
      </c>
      <c r="B1441" s="121">
        <v>81758</v>
      </c>
      <c r="C1441" s="122">
        <v>41991</v>
      </c>
      <c r="D1441" s="123" t="s">
        <v>1920</v>
      </c>
      <c r="E1441" s="121" t="s">
        <v>411</v>
      </c>
      <c r="F1441" s="124" t="s">
        <v>534</v>
      </c>
      <c r="G1441" s="125" t="s">
        <v>559</v>
      </c>
      <c r="H1441" s="126"/>
      <c r="I1441" s="127">
        <v>1</v>
      </c>
      <c r="J1441" s="128">
        <v>30429</v>
      </c>
      <c r="K1441" s="128">
        <v>30429</v>
      </c>
      <c r="L1441" s="211" t="s">
        <v>620</v>
      </c>
      <c r="M1441" s="167" t="s">
        <v>39</v>
      </c>
      <c r="N1441" s="131"/>
      <c r="O1441" s="132"/>
      <c r="P1441" s="132"/>
      <c r="Q1441" s="132"/>
      <c r="R1441" s="132"/>
      <c r="S1441" s="132"/>
      <c r="T1441" s="132"/>
      <c r="U1441" s="132"/>
      <c r="V1441" s="132"/>
      <c r="W1441" s="132"/>
      <c r="X1441" s="132"/>
      <c r="Y1441" s="132"/>
      <c r="Z1441" s="132"/>
      <c r="AA1441" s="132"/>
      <c r="AB1441" s="132"/>
    </row>
    <row r="1442" spans="1:28" s="133" customFormat="1" ht="15" customHeight="1" outlineLevel="1" x14ac:dyDescent="0.2">
      <c r="A1442" s="121">
        <v>35</v>
      </c>
      <c r="B1442" s="121">
        <v>81857</v>
      </c>
      <c r="C1442" s="122">
        <v>41991</v>
      </c>
      <c r="D1442" s="123" t="s">
        <v>1921</v>
      </c>
      <c r="E1442" s="121" t="s">
        <v>411</v>
      </c>
      <c r="F1442" s="124" t="s">
        <v>114</v>
      </c>
      <c r="G1442" s="125" t="s">
        <v>428</v>
      </c>
      <c r="H1442" s="126"/>
      <c r="I1442" s="127">
        <v>1</v>
      </c>
      <c r="J1442" s="128">
        <v>33370</v>
      </c>
      <c r="K1442" s="128">
        <v>33370</v>
      </c>
      <c r="L1442" s="211" t="s">
        <v>620</v>
      </c>
      <c r="M1442" s="167" t="s">
        <v>39</v>
      </c>
      <c r="N1442" s="131"/>
      <c r="O1442" s="132"/>
      <c r="P1442" s="132"/>
      <c r="Q1442" s="132"/>
      <c r="R1442" s="132"/>
      <c r="S1442" s="132"/>
      <c r="T1442" s="132"/>
      <c r="U1442" s="132"/>
      <c r="V1442" s="132"/>
      <c r="W1442" s="132"/>
      <c r="X1442" s="132"/>
      <c r="Y1442" s="132"/>
      <c r="Z1442" s="132"/>
      <c r="AA1442" s="132"/>
      <c r="AB1442" s="132"/>
    </row>
    <row r="1443" spans="1:28" s="133" customFormat="1" ht="15" customHeight="1" outlineLevel="1" x14ac:dyDescent="0.2">
      <c r="A1443" s="121">
        <v>34</v>
      </c>
      <c r="B1443" s="121">
        <v>82547</v>
      </c>
      <c r="C1443" s="122">
        <v>41995</v>
      </c>
      <c r="D1443" s="123" t="s">
        <v>1922</v>
      </c>
      <c r="E1443" s="121" t="s">
        <v>411</v>
      </c>
      <c r="F1443" s="124" t="s">
        <v>215</v>
      </c>
      <c r="G1443" s="125" t="s">
        <v>384</v>
      </c>
      <c r="H1443" s="126"/>
      <c r="I1443" s="127">
        <v>2</v>
      </c>
      <c r="J1443" s="128">
        <v>44597</v>
      </c>
      <c r="K1443" s="128">
        <v>89194</v>
      </c>
      <c r="L1443" s="211" t="s">
        <v>620</v>
      </c>
      <c r="M1443" s="167" t="s">
        <v>39</v>
      </c>
      <c r="N1443" s="131"/>
      <c r="O1443" s="132"/>
      <c r="P1443" s="132"/>
      <c r="Q1443" s="132"/>
      <c r="R1443" s="132"/>
      <c r="S1443" s="132"/>
      <c r="T1443" s="132"/>
      <c r="U1443" s="132"/>
      <c r="V1443" s="132"/>
      <c r="W1443" s="132"/>
      <c r="X1443" s="132"/>
      <c r="Y1443" s="132"/>
      <c r="Z1443" s="132"/>
      <c r="AA1443" s="132"/>
      <c r="AB1443" s="132"/>
    </row>
    <row r="1444" spans="1:28" s="133" customFormat="1" ht="15" customHeight="1" outlineLevel="1" x14ac:dyDescent="0.2">
      <c r="A1444" s="121">
        <v>30</v>
      </c>
      <c r="B1444" s="121">
        <v>82741</v>
      </c>
      <c r="C1444" s="122">
        <v>41996</v>
      </c>
      <c r="D1444" s="123" t="s">
        <v>1827</v>
      </c>
      <c r="E1444" s="121" t="s">
        <v>411</v>
      </c>
      <c r="F1444" s="124" t="s">
        <v>215</v>
      </c>
      <c r="G1444" s="125" t="s">
        <v>384</v>
      </c>
      <c r="H1444" s="126"/>
      <c r="I1444" s="127">
        <v>2</v>
      </c>
      <c r="J1444" s="128">
        <v>44597</v>
      </c>
      <c r="K1444" s="128">
        <v>89194</v>
      </c>
      <c r="L1444" s="211" t="s">
        <v>620</v>
      </c>
      <c r="M1444" s="167" t="s">
        <v>39</v>
      </c>
      <c r="N1444" s="131"/>
      <c r="O1444" s="132"/>
      <c r="P1444" s="132"/>
      <c r="Q1444" s="132"/>
      <c r="R1444" s="132"/>
      <c r="S1444" s="132"/>
      <c r="T1444" s="132"/>
      <c r="U1444" s="132"/>
      <c r="V1444" s="132"/>
      <c r="W1444" s="132"/>
      <c r="X1444" s="132"/>
      <c r="Y1444" s="132"/>
      <c r="Z1444" s="132"/>
      <c r="AA1444" s="132"/>
      <c r="AB1444" s="132"/>
    </row>
    <row r="1445" spans="1:28" s="133" customFormat="1" ht="15" customHeight="1" outlineLevel="1" x14ac:dyDescent="0.2">
      <c r="A1445" s="121">
        <v>33</v>
      </c>
      <c r="B1445" s="121">
        <v>82809</v>
      </c>
      <c r="C1445" s="122">
        <v>41995</v>
      </c>
      <c r="D1445" s="123" t="s">
        <v>1898</v>
      </c>
      <c r="E1445" s="121" t="s">
        <v>411</v>
      </c>
      <c r="F1445" s="124" t="s">
        <v>208</v>
      </c>
      <c r="G1445" s="125" t="s">
        <v>524</v>
      </c>
      <c r="H1445" s="126"/>
      <c r="I1445" s="127">
        <v>1</v>
      </c>
      <c r="J1445" s="128">
        <v>14099</v>
      </c>
      <c r="K1445" s="128">
        <v>14099</v>
      </c>
      <c r="L1445" s="211" t="s">
        <v>620</v>
      </c>
      <c r="M1445" s="167" t="s">
        <v>39</v>
      </c>
      <c r="N1445" s="131"/>
      <c r="O1445" s="132"/>
      <c r="P1445" s="132"/>
      <c r="Q1445" s="132"/>
      <c r="R1445" s="132"/>
      <c r="S1445" s="132"/>
      <c r="T1445" s="132"/>
      <c r="U1445" s="132"/>
      <c r="V1445" s="132"/>
      <c r="W1445" s="132"/>
      <c r="X1445" s="132"/>
      <c r="Y1445" s="132"/>
      <c r="Z1445" s="132"/>
      <c r="AA1445" s="132"/>
      <c r="AB1445" s="132"/>
    </row>
    <row r="1446" spans="1:28" s="133" customFormat="1" ht="15" customHeight="1" outlineLevel="1" x14ac:dyDescent="0.2">
      <c r="A1446" s="121">
        <v>31</v>
      </c>
      <c r="B1446" s="121">
        <v>82828</v>
      </c>
      <c r="C1446" s="122">
        <v>41995</v>
      </c>
      <c r="D1446" s="123" t="s">
        <v>1923</v>
      </c>
      <c r="E1446" s="121" t="s">
        <v>411</v>
      </c>
      <c r="F1446" s="124" t="s">
        <v>534</v>
      </c>
      <c r="G1446" s="125" t="s">
        <v>565</v>
      </c>
      <c r="H1446" s="126"/>
      <c r="I1446" s="127">
        <v>1</v>
      </c>
      <c r="J1446" s="128">
        <v>30429</v>
      </c>
      <c r="K1446" s="128">
        <v>30429</v>
      </c>
      <c r="L1446" s="211" t="s">
        <v>620</v>
      </c>
      <c r="M1446" s="167" t="s">
        <v>39</v>
      </c>
      <c r="N1446" s="131"/>
      <c r="O1446" s="132"/>
      <c r="P1446" s="132"/>
      <c r="Q1446" s="132"/>
      <c r="R1446" s="132"/>
      <c r="S1446" s="132"/>
      <c r="T1446" s="132"/>
      <c r="U1446" s="132"/>
      <c r="V1446" s="132"/>
      <c r="W1446" s="132"/>
      <c r="X1446" s="132"/>
      <c r="Y1446" s="132"/>
      <c r="Z1446" s="132"/>
      <c r="AA1446" s="132"/>
      <c r="AB1446" s="132"/>
    </row>
    <row r="1447" spans="1:28" s="133" customFormat="1" ht="15" customHeight="1" outlineLevel="1" x14ac:dyDescent="0.2">
      <c r="A1447" s="121">
        <v>32</v>
      </c>
      <c r="B1447" s="121">
        <v>82844</v>
      </c>
      <c r="C1447" s="122">
        <v>41995</v>
      </c>
      <c r="D1447" s="123" t="s">
        <v>1924</v>
      </c>
      <c r="E1447" s="121" t="s">
        <v>411</v>
      </c>
      <c r="F1447" s="124" t="s">
        <v>534</v>
      </c>
      <c r="G1447" s="125" t="s">
        <v>428</v>
      </c>
      <c r="H1447" s="126"/>
      <c r="I1447" s="127">
        <v>1</v>
      </c>
      <c r="J1447" s="128">
        <v>30429</v>
      </c>
      <c r="K1447" s="128">
        <v>30429</v>
      </c>
      <c r="L1447" s="211" t="s">
        <v>620</v>
      </c>
      <c r="M1447" s="167" t="s">
        <v>39</v>
      </c>
      <c r="N1447" s="131"/>
      <c r="O1447" s="132"/>
      <c r="P1447" s="132"/>
      <c r="Q1447" s="132"/>
      <c r="R1447" s="132"/>
      <c r="S1447" s="132"/>
      <c r="T1447" s="132"/>
      <c r="U1447" s="132"/>
      <c r="V1447" s="132"/>
      <c r="W1447" s="132"/>
      <c r="X1447" s="132"/>
      <c r="Y1447" s="132"/>
      <c r="Z1447" s="132"/>
      <c r="AA1447" s="132"/>
      <c r="AB1447" s="132"/>
    </row>
    <row r="1448" spans="1:28" s="133" customFormat="1" ht="15" customHeight="1" outlineLevel="1" x14ac:dyDescent="0.2">
      <c r="A1448" s="121">
        <v>44</v>
      </c>
      <c r="B1448" s="121">
        <v>83358</v>
      </c>
      <c r="C1448" s="122">
        <v>41999</v>
      </c>
      <c r="D1448" s="123" t="s">
        <v>1925</v>
      </c>
      <c r="E1448" s="121" t="s">
        <v>411</v>
      </c>
      <c r="F1448" s="124" t="s">
        <v>215</v>
      </c>
      <c r="G1448" s="125" t="s">
        <v>384</v>
      </c>
      <c r="H1448" s="126"/>
      <c r="I1448" s="127">
        <v>2</v>
      </c>
      <c r="J1448" s="128">
        <v>44597</v>
      </c>
      <c r="K1448" s="128">
        <v>89194</v>
      </c>
      <c r="L1448" s="211" t="s">
        <v>620</v>
      </c>
      <c r="M1448" s="167" t="s">
        <v>39</v>
      </c>
      <c r="N1448" s="131"/>
      <c r="O1448" s="132"/>
      <c r="P1448" s="132"/>
      <c r="Q1448" s="132"/>
      <c r="R1448" s="132"/>
      <c r="S1448" s="132"/>
      <c r="T1448" s="132"/>
      <c r="U1448" s="132"/>
      <c r="V1448" s="132"/>
      <c r="W1448" s="132"/>
      <c r="X1448" s="132"/>
      <c r="Y1448" s="132"/>
      <c r="Z1448" s="132"/>
      <c r="AA1448" s="132"/>
      <c r="AB1448" s="132"/>
    </row>
    <row r="1449" spans="1:28" s="133" customFormat="1" ht="15" customHeight="1" outlineLevel="1" x14ac:dyDescent="0.2">
      <c r="A1449" s="121">
        <v>29</v>
      </c>
      <c r="B1449" s="121">
        <v>83631</v>
      </c>
      <c r="C1449" s="122">
        <v>41999</v>
      </c>
      <c r="D1449" s="123" t="s">
        <v>1926</v>
      </c>
      <c r="E1449" s="121" t="s">
        <v>411</v>
      </c>
      <c r="F1449" s="124" t="s">
        <v>534</v>
      </c>
      <c r="G1449" s="125" t="s">
        <v>428</v>
      </c>
      <c r="H1449" s="126"/>
      <c r="I1449" s="127">
        <v>1</v>
      </c>
      <c r="J1449" s="128">
        <v>30429</v>
      </c>
      <c r="K1449" s="128">
        <v>30429</v>
      </c>
      <c r="L1449" s="211" t="s">
        <v>620</v>
      </c>
      <c r="M1449" s="167" t="s">
        <v>39</v>
      </c>
      <c r="N1449" s="131"/>
      <c r="O1449" s="132"/>
      <c r="P1449" s="132"/>
      <c r="Q1449" s="132"/>
      <c r="R1449" s="132"/>
      <c r="S1449" s="132"/>
      <c r="T1449" s="132"/>
      <c r="U1449" s="132"/>
      <c r="V1449" s="132"/>
      <c r="W1449" s="132"/>
      <c r="X1449" s="132"/>
      <c r="Y1449" s="132"/>
      <c r="Z1449" s="132"/>
      <c r="AA1449" s="132"/>
      <c r="AB1449" s="132"/>
    </row>
    <row r="1450" spans="1:28" s="133" customFormat="1" ht="15" customHeight="1" outlineLevel="1" x14ac:dyDescent="0.2">
      <c r="A1450" s="121">
        <v>40</v>
      </c>
      <c r="B1450" s="121">
        <v>84066</v>
      </c>
      <c r="C1450" s="122">
        <v>42002</v>
      </c>
      <c r="D1450" s="123" t="s">
        <v>1927</v>
      </c>
      <c r="E1450" s="121" t="s">
        <v>533</v>
      </c>
      <c r="F1450" s="124" t="s">
        <v>534</v>
      </c>
      <c r="G1450" s="125" t="s">
        <v>642</v>
      </c>
      <c r="H1450" s="126"/>
      <c r="I1450" s="127">
        <v>1</v>
      </c>
      <c r="J1450" s="128">
        <v>30429</v>
      </c>
      <c r="K1450" s="128">
        <v>30429</v>
      </c>
      <c r="L1450" s="211" t="s">
        <v>620</v>
      </c>
      <c r="M1450" s="167" t="s">
        <v>39</v>
      </c>
      <c r="N1450" s="131"/>
      <c r="O1450" s="132"/>
      <c r="P1450" s="132"/>
      <c r="Q1450" s="132"/>
      <c r="R1450" s="132"/>
      <c r="S1450" s="132"/>
      <c r="T1450" s="132"/>
      <c r="U1450" s="132"/>
      <c r="V1450" s="132"/>
      <c r="W1450" s="132"/>
      <c r="X1450" s="132"/>
      <c r="Y1450" s="132"/>
      <c r="Z1450" s="132"/>
      <c r="AA1450" s="132"/>
      <c r="AB1450" s="132"/>
    </row>
    <row r="1451" spans="1:28" s="133" customFormat="1" ht="15" customHeight="1" outlineLevel="1" x14ac:dyDescent="0.2">
      <c r="A1451" s="121">
        <v>42</v>
      </c>
      <c r="B1451" s="121">
        <v>84257</v>
      </c>
      <c r="C1451" s="122">
        <v>42002</v>
      </c>
      <c r="D1451" s="123" t="s">
        <v>1928</v>
      </c>
      <c r="E1451" s="121" t="s">
        <v>411</v>
      </c>
      <c r="F1451" s="124" t="s">
        <v>574</v>
      </c>
      <c r="G1451" s="125" t="s">
        <v>565</v>
      </c>
      <c r="H1451" s="126"/>
      <c r="I1451" s="127">
        <v>1</v>
      </c>
      <c r="J1451" s="128">
        <v>49701</v>
      </c>
      <c r="K1451" s="128">
        <v>49701</v>
      </c>
      <c r="L1451" s="211" t="s">
        <v>620</v>
      </c>
      <c r="M1451" s="167" t="s">
        <v>39</v>
      </c>
      <c r="N1451" s="131"/>
      <c r="O1451" s="132"/>
      <c r="P1451" s="132"/>
      <c r="Q1451" s="132"/>
      <c r="R1451" s="132"/>
      <c r="S1451" s="132"/>
      <c r="T1451" s="132"/>
      <c r="U1451" s="132"/>
      <c r="V1451" s="132"/>
      <c r="W1451" s="132"/>
      <c r="X1451" s="132"/>
      <c r="Y1451" s="132"/>
      <c r="Z1451" s="132"/>
      <c r="AA1451" s="132"/>
      <c r="AB1451" s="132"/>
    </row>
    <row r="1452" spans="1:28" s="133" customFormat="1" ht="15" customHeight="1" outlineLevel="1" x14ac:dyDescent="0.2">
      <c r="A1452" s="121">
        <v>43</v>
      </c>
      <c r="B1452" s="121">
        <v>84272</v>
      </c>
      <c r="C1452" s="122">
        <v>42002</v>
      </c>
      <c r="D1452" s="123" t="s">
        <v>1929</v>
      </c>
      <c r="E1452" s="121" t="s">
        <v>533</v>
      </c>
      <c r="F1452" s="124" t="s">
        <v>534</v>
      </c>
      <c r="G1452" s="125" t="s">
        <v>524</v>
      </c>
      <c r="H1452" s="126"/>
      <c r="I1452" s="127">
        <v>1</v>
      </c>
      <c r="J1452" s="128">
        <v>30429</v>
      </c>
      <c r="K1452" s="128">
        <v>30429</v>
      </c>
      <c r="L1452" s="211" t="s">
        <v>620</v>
      </c>
      <c r="M1452" s="186" t="s">
        <v>39</v>
      </c>
      <c r="N1452" s="131"/>
      <c r="O1452" s="132"/>
      <c r="P1452" s="132"/>
      <c r="Q1452" s="132"/>
      <c r="R1452" s="132"/>
      <c r="S1452" s="132"/>
      <c r="T1452" s="132"/>
      <c r="U1452" s="132"/>
      <c r="V1452" s="132"/>
      <c r="W1452" s="132"/>
      <c r="X1452" s="132"/>
      <c r="Y1452" s="132"/>
      <c r="Z1452" s="132"/>
      <c r="AA1452" s="132"/>
      <c r="AB1452" s="132"/>
    </row>
    <row r="1453" spans="1:28" s="133" customFormat="1" ht="15" customHeight="1" outlineLevel="1" x14ac:dyDescent="0.2">
      <c r="A1453" s="121">
        <v>39</v>
      </c>
      <c r="B1453" s="121">
        <v>84616</v>
      </c>
      <c r="C1453" s="122">
        <v>42003</v>
      </c>
      <c r="D1453" s="123" t="s">
        <v>1930</v>
      </c>
      <c r="E1453" s="121" t="s">
        <v>411</v>
      </c>
      <c r="F1453" s="124" t="s">
        <v>679</v>
      </c>
      <c r="G1453" s="125" t="s">
        <v>368</v>
      </c>
      <c r="H1453" s="126"/>
      <c r="I1453" s="127">
        <v>1</v>
      </c>
      <c r="J1453" s="128">
        <v>55058</v>
      </c>
      <c r="K1453" s="128">
        <v>55058</v>
      </c>
      <c r="L1453" s="211" t="s">
        <v>620</v>
      </c>
      <c r="M1453" s="186" t="s">
        <v>39</v>
      </c>
      <c r="N1453" s="131"/>
      <c r="O1453" s="132"/>
      <c r="P1453" s="132"/>
      <c r="Q1453" s="132"/>
      <c r="R1453" s="132"/>
      <c r="S1453" s="132"/>
      <c r="T1453" s="132"/>
      <c r="U1453" s="132"/>
      <c r="V1453" s="132"/>
      <c r="W1453" s="132"/>
      <c r="X1453" s="132"/>
      <c r="Y1453" s="132"/>
      <c r="Z1453" s="132"/>
      <c r="AA1453" s="132"/>
      <c r="AB1453" s="132"/>
    </row>
    <row r="1454" spans="1:28" s="133" customFormat="1" ht="15" customHeight="1" outlineLevel="1" x14ac:dyDescent="0.2">
      <c r="A1454" s="121">
        <v>46</v>
      </c>
      <c r="B1454" s="121">
        <v>84741</v>
      </c>
      <c r="C1454" s="122">
        <v>42003</v>
      </c>
      <c r="D1454" s="123" t="s">
        <v>1889</v>
      </c>
      <c r="E1454" s="121" t="s">
        <v>411</v>
      </c>
      <c r="F1454" s="124" t="s">
        <v>115</v>
      </c>
      <c r="G1454" s="125" t="s">
        <v>527</v>
      </c>
      <c r="H1454" s="126"/>
      <c r="I1454" s="127">
        <v>1</v>
      </c>
      <c r="J1454" s="128">
        <v>5274</v>
      </c>
      <c r="K1454" s="128">
        <v>5274</v>
      </c>
      <c r="L1454" s="211" t="s">
        <v>620</v>
      </c>
      <c r="M1454" s="186" t="s">
        <v>39</v>
      </c>
      <c r="N1454" s="131"/>
      <c r="O1454" s="132"/>
      <c r="P1454" s="132"/>
      <c r="Q1454" s="132"/>
      <c r="R1454" s="132"/>
      <c r="S1454" s="132"/>
      <c r="T1454" s="132"/>
      <c r="U1454" s="132"/>
      <c r="V1454" s="132"/>
      <c r="W1454" s="132"/>
      <c r="X1454" s="132"/>
      <c r="Y1454" s="132"/>
      <c r="Z1454" s="132"/>
      <c r="AA1454" s="132"/>
      <c r="AB1454" s="132"/>
    </row>
    <row r="1455" spans="1:28" s="133" customFormat="1" ht="15" customHeight="1" outlineLevel="1" x14ac:dyDescent="0.2">
      <c r="A1455" s="121">
        <v>47</v>
      </c>
      <c r="B1455" s="121">
        <v>84741</v>
      </c>
      <c r="C1455" s="122">
        <v>42003</v>
      </c>
      <c r="D1455" s="123" t="s">
        <v>1889</v>
      </c>
      <c r="E1455" s="121" t="s">
        <v>411</v>
      </c>
      <c r="F1455" s="124" t="s">
        <v>208</v>
      </c>
      <c r="G1455" s="125" t="s">
        <v>527</v>
      </c>
      <c r="H1455" s="126"/>
      <c r="I1455" s="127">
        <v>1</v>
      </c>
      <c r="J1455" s="128">
        <v>14099</v>
      </c>
      <c r="K1455" s="128">
        <v>14099</v>
      </c>
      <c r="L1455" s="211" t="s">
        <v>620</v>
      </c>
      <c r="M1455" s="186" t="s">
        <v>39</v>
      </c>
      <c r="N1455" s="131"/>
      <c r="O1455" s="132"/>
      <c r="P1455" s="132"/>
      <c r="Q1455" s="132"/>
      <c r="R1455" s="132"/>
      <c r="S1455" s="132"/>
      <c r="T1455" s="132"/>
      <c r="U1455" s="132"/>
      <c r="V1455" s="132"/>
      <c r="W1455" s="132"/>
      <c r="X1455" s="132"/>
      <c r="Y1455" s="132"/>
      <c r="Z1455" s="132"/>
      <c r="AA1455" s="132"/>
      <c r="AB1455" s="132"/>
    </row>
    <row r="1456" spans="1:28" s="133" customFormat="1" ht="15" customHeight="1" outlineLevel="1" x14ac:dyDescent="0.2">
      <c r="A1456" s="121">
        <v>45</v>
      </c>
      <c r="B1456" s="121">
        <v>84806</v>
      </c>
      <c r="C1456" s="122">
        <v>42003</v>
      </c>
      <c r="D1456" s="123" t="s">
        <v>1931</v>
      </c>
      <c r="E1456" s="121" t="s">
        <v>411</v>
      </c>
      <c r="F1456" s="124" t="s">
        <v>534</v>
      </c>
      <c r="G1456" s="125" t="s">
        <v>416</v>
      </c>
      <c r="H1456" s="126"/>
      <c r="I1456" s="127">
        <v>1</v>
      </c>
      <c r="J1456" s="128">
        <v>30429</v>
      </c>
      <c r="K1456" s="128">
        <v>30429</v>
      </c>
      <c r="L1456" s="211" t="s">
        <v>620</v>
      </c>
      <c r="M1456" s="186" t="s">
        <v>39</v>
      </c>
      <c r="N1456" s="131"/>
      <c r="O1456" s="132"/>
      <c r="P1456" s="132"/>
      <c r="Q1456" s="132"/>
      <c r="R1456" s="132"/>
      <c r="S1456" s="132"/>
      <c r="T1456" s="132"/>
      <c r="U1456" s="132"/>
      <c r="V1456" s="132"/>
      <c r="W1456" s="132"/>
      <c r="X1456" s="132"/>
      <c r="Y1456" s="132"/>
      <c r="Z1456" s="132"/>
      <c r="AA1456" s="132"/>
      <c r="AB1456" s="132"/>
    </row>
    <row r="1457" spans="1:28" s="133" customFormat="1" ht="15" customHeight="1" outlineLevel="1" x14ac:dyDescent="0.2">
      <c r="A1457" s="121">
        <v>49</v>
      </c>
      <c r="B1457" s="121">
        <v>84836</v>
      </c>
      <c r="C1457" s="122">
        <v>42004</v>
      </c>
      <c r="D1457" s="123" t="s">
        <v>1932</v>
      </c>
      <c r="E1457" s="121" t="s">
        <v>411</v>
      </c>
      <c r="F1457" s="124" t="s">
        <v>534</v>
      </c>
      <c r="G1457" s="125" t="s">
        <v>469</v>
      </c>
      <c r="H1457" s="126"/>
      <c r="I1457" s="127">
        <v>1</v>
      </c>
      <c r="J1457" s="128">
        <v>30429</v>
      </c>
      <c r="K1457" s="128">
        <v>30429</v>
      </c>
      <c r="L1457" s="211" t="s">
        <v>620</v>
      </c>
      <c r="M1457" s="186" t="s">
        <v>39</v>
      </c>
      <c r="N1457" s="131"/>
      <c r="O1457" s="132"/>
      <c r="P1457" s="132"/>
      <c r="Q1457" s="132"/>
      <c r="R1457" s="132"/>
      <c r="S1457" s="132"/>
      <c r="T1457" s="132"/>
      <c r="U1457" s="132"/>
      <c r="V1457" s="132"/>
      <c r="W1457" s="132"/>
      <c r="X1457" s="132"/>
      <c r="Y1457" s="132"/>
      <c r="Z1457" s="132"/>
      <c r="AA1457" s="132"/>
      <c r="AB1457" s="132"/>
    </row>
    <row r="1458" spans="1:28" s="133" customFormat="1" ht="15" customHeight="1" outlineLevel="1" x14ac:dyDescent="0.2">
      <c r="A1458" s="121">
        <v>48</v>
      </c>
      <c r="B1458" s="121">
        <v>84838</v>
      </c>
      <c r="C1458" s="122">
        <v>42006</v>
      </c>
      <c r="D1458" s="123" t="s">
        <v>1933</v>
      </c>
      <c r="E1458" s="121" t="s">
        <v>411</v>
      </c>
      <c r="F1458" s="124" t="s">
        <v>534</v>
      </c>
      <c r="G1458" s="125" t="s">
        <v>389</v>
      </c>
      <c r="H1458" s="126"/>
      <c r="I1458" s="127">
        <v>1</v>
      </c>
      <c r="J1458" s="128">
        <v>30429</v>
      </c>
      <c r="K1458" s="128">
        <v>30429</v>
      </c>
      <c r="L1458" s="211" t="s">
        <v>620</v>
      </c>
      <c r="M1458" s="186" t="s">
        <v>39</v>
      </c>
      <c r="N1458" s="131"/>
      <c r="O1458" s="132"/>
      <c r="P1458" s="132"/>
      <c r="Q1458" s="132"/>
      <c r="R1458" s="132"/>
      <c r="S1458" s="132"/>
      <c r="T1458" s="132"/>
      <c r="U1458" s="132"/>
      <c r="V1458" s="132"/>
      <c r="W1458" s="132"/>
      <c r="X1458" s="132"/>
      <c r="Y1458" s="132"/>
      <c r="Z1458" s="132"/>
      <c r="AA1458" s="132"/>
      <c r="AB1458" s="132"/>
    </row>
    <row r="1459" spans="1:28" s="133" customFormat="1" ht="15" customHeight="1" outlineLevel="1" x14ac:dyDescent="0.2">
      <c r="A1459" s="121">
        <v>51</v>
      </c>
      <c r="B1459" s="121">
        <v>84916</v>
      </c>
      <c r="C1459" s="122">
        <v>42003</v>
      </c>
      <c r="D1459" s="123" t="s">
        <v>1934</v>
      </c>
      <c r="E1459" s="121" t="s">
        <v>411</v>
      </c>
      <c r="F1459" s="124" t="s">
        <v>215</v>
      </c>
      <c r="G1459" s="125" t="s">
        <v>366</v>
      </c>
      <c r="H1459" s="126"/>
      <c r="I1459" s="127">
        <v>1</v>
      </c>
      <c r="J1459" s="128">
        <v>44597</v>
      </c>
      <c r="K1459" s="128">
        <v>44597</v>
      </c>
      <c r="L1459" s="211" t="s">
        <v>620</v>
      </c>
      <c r="M1459" s="186" t="s">
        <v>39</v>
      </c>
      <c r="N1459" s="131"/>
      <c r="O1459" s="132"/>
      <c r="P1459" s="132"/>
      <c r="Q1459" s="132"/>
      <c r="R1459" s="132"/>
      <c r="S1459" s="132"/>
      <c r="T1459" s="132"/>
      <c r="U1459" s="132"/>
      <c r="V1459" s="132"/>
      <c r="W1459" s="132"/>
      <c r="X1459" s="132"/>
      <c r="Y1459" s="132"/>
      <c r="Z1459" s="132"/>
      <c r="AA1459" s="132"/>
      <c r="AB1459" s="132"/>
    </row>
    <row r="1460" spans="1:28" s="133" customFormat="1" ht="15" customHeight="1" outlineLevel="1" x14ac:dyDescent="0.2">
      <c r="A1460" s="121">
        <v>53</v>
      </c>
      <c r="B1460" s="121">
        <v>84487</v>
      </c>
      <c r="C1460" s="122">
        <v>42002</v>
      </c>
      <c r="D1460" s="123" t="s">
        <v>1935</v>
      </c>
      <c r="E1460" s="121" t="s">
        <v>411</v>
      </c>
      <c r="F1460" s="124" t="s">
        <v>215</v>
      </c>
      <c r="G1460" s="125" t="s">
        <v>384</v>
      </c>
      <c r="H1460" s="126"/>
      <c r="I1460" s="127">
        <v>2</v>
      </c>
      <c r="J1460" s="128">
        <v>44597</v>
      </c>
      <c r="K1460" s="128">
        <v>89194</v>
      </c>
      <c r="L1460" s="211" t="s">
        <v>620</v>
      </c>
      <c r="M1460" s="186" t="s">
        <v>39</v>
      </c>
      <c r="N1460" s="131"/>
      <c r="O1460" s="132"/>
      <c r="P1460" s="132"/>
      <c r="Q1460" s="132"/>
      <c r="R1460" s="132"/>
      <c r="S1460" s="132"/>
      <c r="T1460" s="132"/>
      <c r="U1460" s="132"/>
      <c r="V1460" s="132"/>
      <c r="W1460" s="132"/>
      <c r="X1460" s="132"/>
      <c r="Y1460" s="132"/>
      <c r="Z1460" s="132"/>
      <c r="AA1460" s="132"/>
      <c r="AB1460" s="132"/>
    </row>
    <row r="1461" spans="1:28" s="133" customFormat="1" ht="15" customHeight="1" outlineLevel="1" x14ac:dyDescent="0.2">
      <c r="A1461" s="121">
        <v>1</v>
      </c>
      <c r="B1461" s="121">
        <v>91474</v>
      </c>
      <c r="C1461" s="123" t="s">
        <v>1936</v>
      </c>
      <c r="D1461" s="121" t="s">
        <v>1937</v>
      </c>
      <c r="E1461" s="124" t="s">
        <v>114</v>
      </c>
      <c r="F1461" s="122">
        <v>41666</v>
      </c>
      <c r="G1461" s="125" t="s">
        <v>412</v>
      </c>
      <c r="H1461" s="126" t="s">
        <v>1938</v>
      </c>
      <c r="I1461" s="127">
        <v>1</v>
      </c>
      <c r="J1461" s="128">
        <v>33370</v>
      </c>
      <c r="K1461" s="128">
        <v>33370</v>
      </c>
      <c r="L1461" s="646" t="s">
        <v>552</v>
      </c>
      <c r="M1461" s="636" t="s">
        <v>41</v>
      </c>
      <c r="N1461" s="131"/>
      <c r="O1461" s="132"/>
      <c r="P1461" s="132"/>
      <c r="Q1461" s="132"/>
      <c r="R1461" s="132"/>
      <c r="S1461" s="132"/>
      <c r="T1461" s="132"/>
      <c r="U1461" s="132"/>
      <c r="V1461" s="132"/>
      <c r="W1461" s="132"/>
      <c r="X1461" s="132"/>
      <c r="Y1461" s="132"/>
      <c r="Z1461" s="132"/>
      <c r="AA1461" s="132"/>
      <c r="AB1461" s="132"/>
    </row>
    <row r="1462" spans="1:28" s="133" customFormat="1" ht="15" customHeight="1" outlineLevel="1" x14ac:dyDescent="0.2">
      <c r="A1462" s="121">
        <v>2</v>
      </c>
      <c r="B1462" s="121">
        <v>89762</v>
      </c>
      <c r="C1462" s="123" t="s">
        <v>1939</v>
      </c>
      <c r="D1462" s="121" t="s">
        <v>1937</v>
      </c>
      <c r="E1462" s="124" t="s">
        <v>534</v>
      </c>
      <c r="F1462" s="122">
        <v>41660</v>
      </c>
      <c r="G1462" s="125" t="s">
        <v>428</v>
      </c>
      <c r="H1462" s="126" t="s">
        <v>647</v>
      </c>
      <c r="I1462" s="127">
        <v>1</v>
      </c>
      <c r="J1462" s="128">
        <v>30429</v>
      </c>
      <c r="K1462" s="128">
        <v>30429</v>
      </c>
      <c r="L1462" s="647"/>
      <c r="M1462" s="637"/>
      <c r="N1462" s="131"/>
      <c r="O1462" s="132"/>
      <c r="P1462" s="132"/>
      <c r="Q1462" s="132"/>
      <c r="R1462" s="132"/>
      <c r="S1462" s="132"/>
      <c r="T1462" s="132"/>
      <c r="U1462" s="132"/>
      <c r="V1462" s="132"/>
      <c r="W1462" s="132"/>
      <c r="X1462" s="132"/>
      <c r="Y1462" s="132"/>
      <c r="Z1462" s="132"/>
      <c r="AA1462" s="132"/>
      <c r="AB1462" s="132"/>
    </row>
    <row r="1463" spans="1:28" s="133" customFormat="1" ht="15" customHeight="1" outlineLevel="1" x14ac:dyDescent="0.2">
      <c r="A1463" s="121">
        <v>3</v>
      </c>
      <c r="B1463" s="121">
        <v>90757</v>
      </c>
      <c r="C1463" s="123" t="s">
        <v>1940</v>
      </c>
      <c r="D1463" s="121" t="s">
        <v>1937</v>
      </c>
      <c r="E1463" s="124" t="s">
        <v>534</v>
      </c>
      <c r="F1463" s="122">
        <v>41665</v>
      </c>
      <c r="G1463" s="125" t="s">
        <v>469</v>
      </c>
      <c r="H1463" s="126" t="s">
        <v>551</v>
      </c>
      <c r="I1463" s="127">
        <v>1</v>
      </c>
      <c r="J1463" s="128">
        <v>30429</v>
      </c>
      <c r="K1463" s="128">
        <v>30429</v>
      </c>
      <c r="L1463" s="647"/>
      <c r="M1463" s="637"/>
      <c r="N1463" s="131"/>
      <c r="O1463" s="132"/>
      <c r="P1463" s="132"/>
      <c r="Q1463" s="132"/>
      <c r="R1463" s="132"/>
      <c r="S1463" s="132"/>
      <c r="T1463" s="132"/>
      <c r="U1463" s="132"/>
      <c r="V1463" s="132"/>
      <c r="W1463" s="132"/>
      <c r="X1463" s="132"/>
      <c r="Y1463" s="132"/>
      <c r="Z1463" s="132"/>
      <c r="AA1463" s="132"/>
      <c r="AB1463" s="132"/>
    </row>
    <row r="1464" spans="1:28" s="133" customFormat="1" ht="15" customHeight="1" outlineLevel="1" x14ac:dyDescent="0.2">
      <c r="A1464" s="121">
        <v>4</v>
      </c>
      <c r="B1464" s="121">
        <v>78215</v>
      </c>
      <c r="C1464" s="123" t="s">
        <v>1941</v>
      </c>
      <c r="D1464" s="121" t="s">
        <v>1937</v>
      </c>
      <c r="E1464" s="124" t="s">
        <v>114</v>
      </c>
      <c r="F1464" s="122">
        <v>41614</v>
      </c>
      <c r="G1464" s="125" t="s">
        <v>508</v>
      </c>
      <c r="H1464" s="126"/>
      <c r="I1464" s="127">
        <v>1</v>
      </c>
      <c r="J1464" s="128">
        <v>33370</v>
      </c>
      <c r="K1464" s="128">
        <v>33370</v>
      </c>
      <c r="L1464" s="647"/>
      <c r="M1464" s="637"/>
      <c r="N1464" s="131"/>
      <c r="O1464" s="132"/>
      <c r="P1464" s="132"/>
      <c r="Q1464" s="132"/>
      <c r="R1464" s="132"/>
      <c r="S1464" s="132"/>
      <c r="T1464" s="132"/>
      <c r="U1464" s="132"/>
      <c r="V1464" s="132"/>
      <c r="W1464" s="132"/>
      <c r="X1464" s="132"/>
      <c r="Y1464" s="132"/>
      <c r="Z1464" s="132"/>
      <c r="AA1464" s="132"/>
      <c r="AB1464" s="132"/>
    </row>
    <row r="1465" spans="1:28" s="133" customFormat="1" ht="15" customHeight="1" outlineLevel="1" x14ac:dyDescent="0.2">
      <c r="A1465" s="121">
        <v>5</v>
      </c>
      <c r="B1465" s="121">
        <v>93196</v>
      </c>
      <c r="C1465" s="123" t="s">
        <v>1942</v>
      </c>
      <c r="D1465" s="121" t="s">
        <v>1937</v>
      </c>
      <c r="E1465" s="124" t="s">
        <v>534</v>
      </c>
      <c r="F1465" s="122">
        <v>41674</v>
      </c>
      <c r="G1465" s="125" t="s">
        <v>401</v>
      </c>
      <c r="H1465" s="126" t="s">
        <v>551</v>
      </c>
      <c r="I1465" s="127">
        <v>1</v>
      </c>
      <c r="J1465" s="128">
        <v>30429</v>
      </c>
      <c r="K1465" s="128">
        <v>30429</v>
      </c>
      <c r="L1465" s="647"/>
      <c r="M1465" s="637"/>
      <c r="N1465" s="131"/>
      <c r="O1465" s="132"/>
      <c r="P1465" s="132"/>
      <c r="Q1465" s="132"/>
      <c r="R1465" s="132"/>
      <c r="S1465" s="132"/>
      <c r="T1465" s="132"/>
      <c r="U1465" s="132"/>
      <c r="V1465" s="132"/>
      <c r="W1465" s="132"/>
      <c r="X1465" s="132"/>
      <c r="Y1465" s="132"/>
      <c r="Z1465" s="132"/>
      <c r="AA1465" s="132"/>
      <c r="AB1465" s="132"/>
    </row>
    <row r="1466" spans="1:28" s="133" customFormat="1" ht="15" customHeight="1" outlineLevel="1" x14ac:dyDescent="0.2">
      <c r="A1466" s="121">
        <v>6</v>
      </c>
      <c r="B1466" s="121">
        <v>88298</v>
      </c>
      <c r="C1466" s="123" t="s">
        <v>1943</v>
      </c>
      <c r="D1466" s="121" t="s">
        <v>1937</v>
      </c>
      <c r="E1466" s="124" t="s">
        <v>114</v>
      </c>
      <c r="F1466" s="122">
        <v>41654</v>
      </c>
      <c r="G1466" s="125" t="s">
        <v>559</v>
      </c>
      <c r="H1466" s="126" t="s">
        <v>551</v>
      </c>
      <c r="I1466" s="127">
        <v>1</v>
      </c>
      <c r="J1466" s="128">
        <v>33370</v>
      </c>
      <c r="K1466" s="128">
        <v>33370</v>
      </c>
      <c r="L1466" s="647"/>
      <c r="M1466" s="637"/>
      <c r="N1466" s="131"/>
      <c r="O1466" s="132"/>
      <c r="P1466" s="132"/>
      <c r="Q1466" s="132"/>
      <c r="R1466" s="132"/>
      <c r="S1466" s="132"/>
      <c r="T1466" s="132"/>
      <c r="U1466" s="132"/>
      <c r="V1466" s="132"/>
      <c r="W1466" s="132"/>
      <c r="X1466" s="132"/>
      <c r="Y1466" s="132"/>
      <c r="Z1466" s="132"/>
      <c r="AA1466" s="132"/>
      <c r="AB1466" s="132"/>
    </row>
    <row r="1467" spans="1:28" s="133" customFormat="1" ht="15" customHeight="1" outlineLevel="1" x14ac:dyDescent="0.2">
      <c r="A1467" s="121">
        <v>7</v>
      </c>
      <c r="B1467" s="121">
        <v>85955</v>
      </c>
      <c r="C1467" s="123" t="s">
        <v>1944</v>
      </c>
      <c r="D1467" s="121" t="s">
        <v>1937</v>
      </c>
      <c r="E1467" s="124" t="s">
        <v>534</v>
      </c>
      <c r="F1467" s="122">
        <v>41646</v>
      </c>
      <c r="G1467" s="125" t="s">
        <v>428</v>
      </c>
      <c r="H1467" s="126" t="s">
        <v>1945</v>
      </c>
      <c r="I1467" s="127">
        <v>1</v>
      </c>
      <c r="J1467" s="128">
        <v>30429</v>
      </c>
      <c r="K1467" s="128">
        <v>30429</v>
      </c>
      <c r="L1467" s="647"/>
      <c r="M1467" s="637"/>
      <c r="N1467" s="131"/>
      <c r="O1467" s="132"/>
      <c r="P1467" s="132"/>
      <c r="Q1467" s="132"/>
      <c r="R1467" s="132"/>
      <c r="S1467" s="132"/>
      <c r="T1467" s="132"/>
      <c r="U1467" s="132"/>
      <c r="V1467" s="132"/>
      <c r="W1467" s="132"/>
      <c r="X1467" s="132"/>
      <c r="Y1467" s="132"/>
      <c r="Z1467" s="132"/>
      <c r="AA1467" s="132"/>
      <c r="AB1467" s="132"/>
    </row>
    <row r="1468" spans="1:28" s="133" customFormat="1" ht="15" customHeight="1" outlineLevel="1" x14ac:dyDescent="0.2">
      <c r="A1468" s="121">
        <v>8</v>
      </c>
      <c r="B1468" s="121">
        <v>89527</v>
      </c>
      <c r="C1468" s="123" t="s">
        <v>1946</v>
      </c>
      <c r="D1468" s="121" t="s">
        <v>1937</v>
      </c>
      <c r="E1468" s="124" t="s">
        <v>534</v>
      </c>
      <c r="F1468" s="122">
        <v>41660</v>
      </c>
      <c r="G1468" s="125" t="s">
        <v>559</v>
      </c>
      <c r="H1468" s="126" t="s">
        <v>1938</v>
      </c>
      <c r="I1468" s="127">
        <v>1</v>
      </c>
      <c r="J1468" s="128">
        <v>30429</v>
      </c>
      <c r="K1468" s="128">
        <v>30429</v>
      </c>
      <c r="L1468" s="647"/>
      <c r="M1468" s="637"/>
      <c r="N1468" s="131"/>
      <c r="O1468" s="132"/>
      <c r="P1468" s="132"/>
      <c r="Q1468" s="132"/>
      <c r="R1468" s="132"/>
      <c r="S1468" s="132"/>
      <c r="T1468" s="132"/>
      <c r="U1468" s="132"/>
      <c r="V1468" s="132"/>
      <c r="W1468" s="132"/>
      <c r="X1468" s="132"/>
      <c r="Y1468" s="132"/>
      <c r="Z1468" s="132"/>
      <c r="AA1468" s="132"/>
      <c r="AB1468" s="132"/>
    </row>
    <row r="1469" spans="1:28" s="133" customFormat="1" ht="15" customHeight="1" outlineLevel="1" x14ac:dyDescent="0.2">
      <c r="A1469" s="121">
        <v>9</v>
      </c>
      <c r="B1469" s="121">
        <v>89844</v>
      </c>
      <c r="C1469" s="123" t="s">
        <v>1947</v>
      </c>
      <c r="D1469" s="121" t="s">
        <v>1937</v>
      </c>
      <c r="E1469" s="124" t="s">
        <v>534</v>
      </c>
      <c r="F1469" s="122">
        <v>41660</v>
      </c>
      <c r="G1469" s="125" t="s">
        <v>428</v>
      </c>
      <c r="H1469" s="126" t="s">
        <v>551</v>
      </c>
      <c r="I1469" s="127">
        <v>1</v>
      </c>
      <c r="J1469" s="128">
        <v>30429</v>
      </c>
      <c r="K1469" s="128">
        <v>30429</v>
      </c>
      <c r="L1469" s="647"/>
      <c r="M1469" s="637"/>
      <c r="N1469" s="131"/>
      <c r="O1469" s="132"/>
      <c r="P1469" s="132"/>
      <c r="Q1469" s="132"/>
      <c r="R1469" s="132"/>
      <c r="S1469" s="132"/>
      <c r="T1469" s="132"/>
      <c r="U1469" s="132"/>
      <c r="V1469" s="132"/>
      <c r="W1469" s="132"/>
      <c r="X1469" s="132"/>
      <c r="Y1469" s="132"/>
      <c r="Z1469" s="132"/>
      <c r="AA1469" s="132"/>
      <c r="AB1469" s="132"/>
    </row>
    <row r="1470" spans="1:28" s="133" customFormat="1" ht="15" customHeight="1" outlineLevel="1" x14ac:dyDescent="0.2">
      <c r="A1470" s="121">
        <v>10</v>
      </c>
      <c r="B1470" s="121">
        <v>88927</v>
      </c>
      <c r="C1470" s="123" t="s">
        <v>1948</v>
      </c>
      <c r="D1470" s="121" t="s">
        <v>1937</v>
      </c>
      <c r="E1470" s="124" t="s">
        <v>534</v>
      </c>
      <c r="F1470" s="122">
        <v>41660</v>
      </c>
      <c r="G1470" s="125" t="s">
        <v>469</v>
      </c>
      <c r="H1470" s="126" t="s">
        <v>647</v>
      </c>
      <c r="I1470" s="127">
        <v>1</v>
      </c>
      <c r="J1470" s="128">
        <v>30429</v>
      </c>
      <c r="K1470" s="128">
        <v>30429</v>
      </c>
      <c r="L1470" s="647"/>
      <c r="M1470" s="637"/>
      <c r="N1470" s="131"/>
      <c r="O1470" s="132"/>
      <c r="P1470" s="132"/>
      <c r="Q1470" s="132"/>
      <c r="R1470" s="132"/>
      <c r="S1470" s="132"/>
      <c r="T1470" s="132"/>
      <c r="U1470" s="132"/>
      <c r="V1470" s="132"/>
      <c r="W1470" s="132"/>
      <c r="X1470" s="132"/>
      <c r="Y1470" s="132"/>
      <c r="Z1470" s="132"/>
      <c r="AA1470" s="132"/>
      <c r="AB1470" s="132"/>
    </row>
    <row r="1471" spans="1:28" s="133" customFormat="1" ht="15" customHeight="1" outlineLevel="1" x14ac:dyDescent="0.2">
      <c r="A1471" s="121">
        <v>11</v>
      </c>
      <c r="B1471" s="121">
        <v>88122</v>
      </c>
      <c r="C1471" s="123" t="s">
        <v>1949</v>
      </c>
      <c r="D1471" s="121" t="s">
        <v>1937</v>
      </c>
      <c r="E1471" s="124" t="s">
        <v>534</v>
      </c>
      <c r="F1471" s="122">
        <v>41654</v>
      </c>
      <c r="G1471" s="125" t="s">
        <v>416</v>
      </c>
      <c r="H1471" s="126" t="s">
        <v>551</v>
      </c>
      <c r="I1471" s="127">
        <v>1</v>
      </c>
      <c r="J1471" s="128">
        <v>30429</v>
      </c>
      <c r="K1471" s="128">
        <v>30429</v>
      </c>
      <c r="L1471" s="647"/>
      <c r="M1471" s="637"/>
      <c r="N1471" s="131"/>
      <c r="O1471" s="132"/>
      <c r="P1471" s="132"/>
      <c r="Q1471" s="132"/>
      <c r="R1471" s="132"/>
      <c r="S1471" s="132"/>
      <c r="T1471" s="132"/>
      <c r="U1471" s="132"/>
      <c r="V1471" s="132"/>
      <c r="W1471" s="132"/>
      <c r="X1471" s="132"/>
      <c r="Y1471" s="132"/>
      <c r="Z1471" s="132"/>
      <c r="AA1471" s="132"/>
      <c r="AB1471" s="132"/>
    </row>
    <row r="1472" spans="1:28" s="133" customFormat="1" ht="15" customHeight="1" outlineLevel="1" x14ac:dyDescent="0.2">
      <c r="A1472" s="121">
        <v>12</v>
      </c>
      <c r="B1472" s="121">
        <v>91545</v>
      </c>
      <c r="C1472" s="123" t="s">
        <v>1950</v>
      </c>
      <c r="D1472" s="121" t="s">
        <v>1937</v>
      </c>
      <c r="E1472" s="124" t="s">
        <v>534</v>
      </c>
      <c r="F1472" s="122">
        <v>41667</v>
      </c>
      <c r="G1472" s="125" t="s">
        <v>1951</v>
      </c>
      <c r="H1472" s="126" t="s">
        <v>1952</v>
      </c>
      <c r="I1472" s="127">
        <v>2</v>
      </c>
      <c r="J1472" s="128">
        <v>30429</v>
      </c>
      <c r="K1472" s="128">
        <v>60858</v>
      </c>
      <c r="L1472" s="647"/>
      <c r="M1472" s="637"/>
      <c r="N1472" s="131"/>
      <c r="O1472" s="132"/>
      <c r="P1472" s="132"/>
      <c r="Q1472" s="132"/>
      <c r="R1472" s="132"/>
      <c r="S1472" s="132"/>
      <c r="T1472" s="132"/>
      <c r="U1472" s="132"/>
      <c r="V1472" s="132"/>
      <c r="W1472" s="132"/>
      <c r="X1472" s="132"/>
      <c r="Y1472" s="132"/>
      <c r="Z1472" s="132"/>
      <c r="AA1472" s="132"/>
      <c r="AB1472" s="132"/>
    </row>
    <row r="1473" spans="1:28" s="133" customFormat="1" ht="15" customHeight="1" outlineLevel="1" x14ac:dyDescent="0.2">
      <c r="A1473" s="121">
        <v>13</v>
      </c>
      <c r="B1473" s="121">
        <v>85970</v>
      </c>
      <c r="C1473" s="123" t="s">
        <v>1953</v>
      </c>
      <c r="D1473" s="121" t="s">
        <v>1937</v>
      </c>
      <c r="E1473" s="124" t="s">
        <v>534</v>
      </c>
      <c r="F1473" s="122">
        <v>41645</v>
      </c>
      <c r="G1473" s="125" t="s">
        <v>401</v>
      </c>
      <c r="H1473" s="126" t="s">
        <v>1938</v>
      </c>
      <c r="I1473" s="127">
        <v>1</v>
      </c>
      <c r="J1473" s="128">
        <v>30429</v>
      </c>
      <c r="K1473" s="128">
        <v>30429</v>
      </c>
      <c r="L1473" s="647"/>
      <c r="M1473" s="637"/>
      <c r="N1473" s="131"/>
      <c r="O1473" s="132"/>
      <c r="P1473" s="132"/>
      <c r="Q1473" s="132"/>
      <c r="R1473" s="132"/>
      <c r="S1473" s="132"/>
      <c r="T1473" s="132"/>
      <c r="U1473" s="132"/>
      <c r="V1473" s="132"/>
      <c r="W1473" s="132"/>
      <c r="X1473" s="132"/>
      <c r="Y1473" s="132"/>
      <c r="Z1473" s="132"/>
      <c r="AA1473" s="132"/>
      <c r="AB1473" s="132"/>
    </row>
    <row r="1474" spans="1:28" s="133" customFormat="1" ht="15" customHeight="1" outlineLevel="1" x14ac:dyDescent="0.2">
      <c r="A1474" s="121">
        <v>14</v>
      </c>
      <c r="B1474" s="121">
        <v>91380</v>
      </c>
      <c r="C1474" s="123" t="s">
        <v>1954</v>
      </c>
      <c r="D1474" s="121" t="s">
        <v>1937</v>
      </c>
      <c r="E1474" s="124" t="s">
        <v>534</v>
      </c>
      <c r="F1474" s="122">
        <v>41666</v>
      </c>
      <c r="G1474" s="125" t="s">
        <v>535</v>
      </c>
      <c r="H1474" s="126" t="s">
        <v>551</v>
      </c>
      <c r="I1474" s="127">
        <v>1</v>
      </c>
      <c r="J1474" s="128">
        <v>30429</v>
      </c>
      <c r="K1474" s="128">
        <v>30429</v>
      </c>
      <c r="L1474" s="648"/>
      <c r="M1474" s="638"/>
      <c r="N1474" s="131"/>
      <c r="O1474" s="132"/>
      <c r="P1474" s="132"/>
      <c r="Q1474" s="132"/>
      <c r="R1474" s="132"/>
      <c r="S1474" s="132"/>
      <c r="T1474" s="132"/>
      <c r="U1474" s="132"/>
      <c r="V1474" s="132"/>
      <c r="W1474" s="132"/>
      <c r="X1474" s="132"/>
      <c r="Y1474" s="132"/>
      <c r="Z1474" s="132"/>
      <c r="AA1474" s="132"/>
      <c r="AB1474" s="132"/>
    </row>
    <row r="1475" spans="1:28" s="144" customFormat="1" ht="15" customHeight="1" outlineLevel="1" x14ac:dyDescent="0.2">
      <c r="A1475" s="134" t="s">
        <v>1955</v>
      </c>
      <c r="B1475" s="134">
        <v>92924</v>
      </c>
      <c r="C1475" s="136" t="s">
        <v>1956</v>
      </c>
      <c r="D1475" s="134" t="s">
        <v>1957</v>
      </c>
      <c r="E1475" s="137" t="s">
        <v>215</v>
      </c>
      <c r="F1475" s="135">
        <v>41673</v>
      </c>
      <c r="G1475" s="138" t="s">
        <v>368</v>
      </c>
      <c r="H1475" s="139" t="s">
        <v>486</v>
      </c>
      <c r="I1475" s="140">
        <v>1</v>
      </c>
      <c r="J1475" s="141">
        <v>44597</v>
      </c>
      <c r="K1475" s="168">
        <v>44597</v>
      </c>
      <c r="L1475" s="639" t="s">
        <v>555</v>
      </c>
      <c r="M1475" s="641" t="s">
        <v>41</v>
      </c>
      <c r="N1475" s="142"/>
      <c r="O1475" s="143"/>
      <c r="P1475" s="143"/>
      <c r="Q1475" s="143"/>
      <c r="R1475" s="143"/>
      <c r="S1475" s="143"/>
      <c r="T1475" s="143"/>
      <c r="U1475" s="143"/>
      <c r="V1475" s="143"/>
      <c r="W1475" s="143"/>
      <c r="X1475" s="143"/>
      <c r="Y1475" s="143"/>
      <c r="Z1475" s="143"/>
      <c r="AA1475" s="143"/>
      <c r="AB1475" s="143"/>
    </row>
    <row r="1476" spans="1:28" s="144" customFormat="1" ht="25.5" customHeight="1" outlineLevel="1" x14ac:dyDescent="0.2">
      <c r="A1476" s="134">
        <v>2</v>
      </c>
      <c r="B1476" s="134">
        <v>92924</v>
      </c>
      <c r="C1476" s="136" t="s">
        <v>1956</v>
      </c>
      <c r="D1476" s="134" t="s">
        <v>1957</v>
      </c>
      <c r="E1476" s="137" t="s">
        <v>679</v>
      </c>
      <c r="F1476" s="135">
        <v>41673</v>
      </c>
      <c r="G1476" s="138" t="s">
        <v>366</v>
      </c>
      <c r="H1476" s="139" t="s">
        <v>486</v>
      </c>
      <c r="I1476" s="140">
        <v>1</v>
      </c>
      <c r="J1476" s="141">
        <v>55058</v>
      </c>
      <c r="K1476" s="168">
        <v>55058</v>
      </c>
      <c r="L1476" s="640"/>
      <c r="M1476" s="642"/>
      <c r="N1476" s="142"/>
      <c r="O1476" s="143"/>
      <c r="P1476" s="143"/>
      <c r="Q1476" s="143"/>
      <c r="R1476" s="143"/>
      <c r="S1476" s="143"/>
      <c r="T1476" s="143"/>
      <c r="U1476" s="143"/>
      <c r="V1476" s="143"/>
      <c r="W1476" s="143"/>
      <c r="X1476" s="143"/>
      <c r="Y1476" s="143"/>
      <c r="Z1476" s="143"/>
      <c r="AA1476" s="143"/>
      <c r="AB1476" s="143"/>
    </row>
    <row r="1477" spans="1:28" s="133" customFormat="1" ht="15" customHeight="1" outlineLevel="1" x14ac:dyDescent="0.2">
      <c r="A1477" s="121">
        <v>1</v>
      </c>
      <c r="B1477" s="147">
        <v>3340</v>
      </c>
      <c r="C1477" s="123" t="s">
        <v>1958</v>
      </c>
      <c r="D1477" s="121" t="s">
        <v>1937</v>
      </c>
      <c r="E1477" s="124" t="s">
        <v>534</v>
      </c>
      <c r="F1477" s="122">
        <v>41718</v>
      </c>
      <c r="G1477" s="125" t="s">
        <v>414</v>
      </c>
      <c r="H1477" s="126" t="s">
        <v>551</v>
      </c>
      <c r="I1477" s="127">
        <v>1</v>
      </c>
      <c r="J1477" s="128">
        <v>30429</v>
      </c>
      <c r="K1477" s="128">
        <v>30429</v>
      </c>
      <c r="L1477" s="643" t="s">
        <v>578</v>
      </c>
      <c r="M1477" s="167" t="s">
        <v>41</v>
      </c>
      <c r="N1477" s="131"/>
      <c r="O1477" s="132"/>
      <c r="P1477" s="132"/>
      <c r="Q1477" s="132"/>
      <c r="R1477" s="132"/>
      <c r="S1477" s="132"/>
      <c r="T1477" s="132"/>
      <c r="U1477" s="132"/>
      <c r="V1477" s="132"/>
      <c r="W1477" s="132"/>
      <c r="X1477" s="132"/>
      <c r="Y1477" s="132"/>
      <c r="Z1477" s="132"/>
      <c r="AA1477" s="132"/>
      <c r="AB1477" s="132"/>
    </row>
    <row r="1478" spans="1:28" s="133" customFormat="1" ht="15" customHeight="1" outlineLevel="1" x14ac:dyDescent="0.2">
      <c r="A1478" s="121">
        <v>2</v>
      </c>
      <c r="B1478" s="121">
        <v>4209</v>
      </c>
      <c r="C1478" s="123" t="s">
        <v>1959</v>
      </c>
      <c r="D1478" s="121" t="s">
        <v>1937</v>
      </c>
      <c r="E1478" s="124" t="s">
        <v>534</v>
      </c>
      <c r="F1478" s="122">
        <v>41722</v>
      </c>
      <c r="G1478" s="125" t="s">
        <v>524</v>
      </c>
      <c r="H1478" s="126" t="s">
        <v>551</v>
      </c>
      <c r="I1478" s="127">
        <v>1</v>
      </c>
      <c r="J1478" s="128">
        <v>30429</v>
      </c>
      <c r="K1478" s="128">
        <v>30429</v>
      </c>
      <c r="L1478" s="644"/>
      <c r="M1478" s="167" t="s">
        <v>41</v>
      </c>
      <c r="N1478" s="131"/>
      <c r="O1478" s="132"/>
      <c r="P1478" s="132"/>
      <c r="Q1478" s="132"/>
      <c r="R1478" s="132"/>
      <c r="S1478" s="132"/>
      <c r="T1478" s="132"/>
      <c r="U1478" s="132"/>
      <c r="V1478" s="132"/>
      <c r="W1478" s="132"/>
      <c r="X1478" s="132"/>
      <c r="Y1478" s="132"/>
      <c r="Z1478" s="132"/>
      <c r="AA1478" s="132"/>
      <c r="AB1478" s="132"/>
    </row>
    <row r="1479" spans="1:28" s="133" customFormat="1" ht="15" customHeight="1" outlineLevel="1" x14ac:dyDescent="0.2">
      <c r="A1479" s="121">
        <v>3</v>
      </c>
      <c r="B1479" s="121">
        <v>3332</v>
      </c>
      <c r="C1479" s="123" t="s">
        <v>1960</v>
      </c>
      <c r="D1479" s="121" t="s">
        <v>1937</v>
      </c>
      <c r="E1479" s="124" t="s">
        <v>534</v>
      </c>
      <c r="F1479" s="122">
        <v>41722</v>
      </c>
      <c r="G1479" s="125" t="s">
        <v>508</v>
      </c>
      <c r="H1479" s="126" t="s">
        <v>551</v>
      </c>
      <c r="I1479" s="127">
        <v>1</v>
      </c>
      <c r="J1479" s="128">
        <v>30429</v>
      </c>
      <c r="K1479" s="128">
        <v>30429</v>
      </c>
      <c r="L1479" s="644"/>
      <c r="M1479" s="167" t="s">
        <v>41</v>
      </c>
      <c r="N1479" s="131"/>
      <c r="O1479" s="132"/>
      <c r="P1479" s="132"/>
      <c r="Q1479" s="132"/>
      <c r="R1479" s="132"/>
      <c r="S1479" s="132"/>
      <c r="T1479" s="132"/>
      <c r="U1479" s="132"/>
      <c r="V1479" s="132"/>
      <c r="W1479" s="132"/>
      <c r="X1479" s="132"/>
      <c r="Y1479" s="132"/>
      <c r="Z1479" s="132"/>
      <c r="AA1479" s="132"/>
      <c r="AB1479" s="132"/>
    </row>
    <row r="1480" spans="1:28" s="133" customFormat="1" ht="15" customHeight="1" outlineLevel="1" x14ac:dyDescent="0.2">
      <c r="A1480" s="121">
        <v>4</v>
      </c>
      <c r="B1480" s="121">
        <v>3342</v>
      </c>
      <c r="C1480" s="123" t="s">
        <v>1961</v>
      </c>
      <c r="D1480" s="121" t="s">
        <v>1937</v>
      </c>
      <c r="E1480" s="124" t="s">
        <v>534</v>
      </c>
      <c r="F1480" s="122">
        <v>41718</v>
      </c>
      <c r="G1480" s="125" t="s">
        <v>524</v>
      </c>
      <c r="H1480" s="126" t="s">
        <v>551</v>
      </c>
      <c r="I1480" s="127">
        <v>1</v>
      </c>
      <c r="J1480" s="128">
        <v>30429</v>
      </c>
      <c r="K1480" s="128">
        <v>30429</v>
      </c>
      <c r="L1480" s="644"/>
      <c r="M1480" s="167" t="s">
        <v>41</v>
      </c>
      <c r="N1480" s="131"/>
      <c r="O1480" s="132"/>
      <c r="P1480" s="132"/>
      <c r="Q1480" s="132"/>
      <c r="R1480" s="132"/>
      <c r="S1480" s="132"/>
      <c r="T1480" s="132"/>
      <c r="U1480" s="132"/>
      <c r="V1480" s="132"/>
      <c r="W1480" s="132"/>
      <c r="X1480" s="132"/>
      <c r="Y1480" s="132"/>
      <c r="Z1480" s="132"/>
      <c r="AA1480" s="132"/>
      <c r="AB1480" s="132"/>
    </row>
    <row r="1481" spans="1:28" s="133" customFormat="1" ht="15" customHeight="1" outlineLevel="1" x14ac:dyDescent="0.2">
      <c r="A1481" s="121">
        <v>5</v>
      </c>
      <c r="B1481" s="121">
        <v>3330</v>
      </c>
      <c r="C1481" s="123" t="s">
        <v>1962</v>
      </c>
      <c r="D1481" s="121" t="s">
        <v>1937</v>
      </c>
      <c r="E1481" s="124" t="s">
        <v>534</v>
      </c>
      <c r="F1481" s="122">
        <v>41718</v>
      </c>
      <c r="G1481" s="125" t="s">
        <v>401</v>
      </c>
      <c r="H1481" s="126" t="s">
        <v>1963</v>
      </c>
      <c r="I1481" s="127">
        <v>1</v>
      </c>
      <c r="J1481" s="128">
        <v>30429</v>
      </c>
      <c r="K1481" s="128">
        <v>30429</v>
      </c>
      <c r="L1481" s="644"/>
      <c r="M1481" s="167" t="s">
        <v>41</v>
      </c>
      <c r="N1481" s="131"/>
      <c r="O1481" s="132"/>
      <c r="P1481" s="132"/>
      <c r="Q1481" s="132"/>
      <c r="R1481" s="132"/>
      <c r="S1481" s="132"/>
      <c r="T1481" s="132"/>
      <c r="U1481" s="132"/>
      <c r="V1481" s="132"/>
      <c r="W1481" s="132"/>
      <c r="X1481" s="132"/>
      <c r="Y1481" s="132"/>
      <c r="Z1481" s="132"/>
      <c r="AA1481" s="132"/>
      <c r="AB1481" s="132"/>
    </row>
    <row r="1482" spans="1:28" s="133" customFormat="1" ht="15" customHeight="1" outlineLevel="1" x14ac:dyDescent="0.2">
      <c r="A1482" s="121">
        <v>6</v>
      </c>
      <c r="B1482" s="121">
        <v>1475</v>
      </c>
      <c r="C1482" s="123" t="s">
        <v>1964</v>
      </c>
      <c r="D1482" s="121" t="s">
        <v>1937</v>
      </c>
      <c r="E1482" s="124" t="s">
        <v>534</v>
      </c>
      <c r="F1482" s="122">
        <v>41711</v>
      </c>
      <c r="G1482" s="125" t="s">
        <v>565</v>
      </c>
      <c r="H1482" s="126" t="s">
        <v>551</v>
      </c>
      <c r="I1482" s="127">
        <v>1</v>
      </c>
      <c r="J1482" s="128">
        <v>30429</v>
      </c>
      <c r="K1482" s="128">
        <v>30429</v>
      </c>
      <c r="L1482" s="644"/>
      <c r="M1482" s="167" t="s">
        <v>41</v>
      </c>
      <c r="N1482" s="131"/>
      <c r="O1482" s="132"/>
      <c r="P1482" s="132"/>
      <c r="Q1482" s="132"/>
      <c r="R1482" s="132"/>
      <c r="S1482" s="132"/>
      <c r="T1482" s="132"/>
      <c r="U1482" s="132"/>
      <c r="V1482" s="132"/>
      <c r="W1482" s="132"/>
      <c r="X1482" s="132"/>
      <c r="Y1482" s="132"/>
      <c r="Z1482" s="132"/>
      <c r="AA1482" s="132"/>
      <c r="AB1482" s="132"/>
    </row>
    <row r="1483" spans="1:28" s="133" customFormat="1" ht="15" customHeight="1" outlineLevel="1" x14ac:dyDescent="0.2">
      <c r="A1483" s="121">
        <v>7</v>
      </c>
      <c r="B1483" s="121">
        <v>5644</v>
      </c>
      <c r="C1483" s="123" t="s">
        <v>1965</v>
      </c>
      <c r="D1483" s="121" t="s">
        <v>373</v>
      </c>
      <c r="E1483" s="124" t="s">
        <v>186</v>
      </c>
      <c r="F1483" s="122">
        <v>41726</v>
      </c>
      <c r="G1483" s="125" t="s">
        <v>439</v>
      </c>
      <c r="H1483" s="126" t="s">
        <v>626</v>
      </c>
      <c r="I1483" s="127">
        <v>1</v>
      </c>
      <c r="J1483" s="128">
        <v>42601</v>
      </c>
      <c r="K1483" s="128">
        <v>42601</v>
      </c>
      <c r="L1483" s="645"/>
      <c r="M1483" s="167" t="s">
        <v>41</v>
      </c>
      <c r="N1483" s="131"/>
      <c r="O1483" s="132"/>
      <c r="P1483" s="132"/>
      <c r="Q1483" s="132"/>
      <c r="R1483" s="132"/>
      <c r="S1483" s="132"/>
      <c r="T1483" s="132"/>
      <c r="U1483" s="132"/>
      <c r="V1483" s="132"/>
      <c r="W1483" s="132"/>
      <c r="X1483" s="132"/>
      <c r="Y1483" s="132"/>
      <c r="Z1483" s="132"/>
      <c r="AA1483" s="132"/>
      <c r="AB1483" s="132"/>
    </row>
    <row r="1484" spans="1:28" s="133" customFormat="1" ht="15" customHeight="1" outlineLevel="1" x14ac:dyDescent="0.2">
      <c r="A1484" s="121">
        <v>1</v>
      </c>
      <c r="B1484" s="121">
        <v>14895</v>
      </c>
      <c r="C1484" s="123" t="s">
        <v>1966</v>
      </c>
      <c r="D1484" s="121" t="s">
        <v>481</v>
      </c>
      <c r="E1484" s="124" t="s">
        <v>534</v>
      </c>
      <c r="F1484" s="122">
        <v>41759</v>
      </c>
      <c r="G1484" s="125" t="s">
        <v>524</v>
      </c>
      <c r="H1484" s="126" t="s">
        <v>551</v>
      </c>
      <c r="I1484" s="127">
        <v>1</v>
      </c>
      <c r="J1484" s="128">
        <v>30429</v>
      </c>
      <c r="K1484" s="128">
        <v>30429</v>
      </c>
      <c r="L1484" s="643" t="s">
        <v>597</v>
      </c>
      <c r="M1484" s="167" t="s">
        <v>41</v>
      </c>
      <c r="N1484" s="131"/>
      <c r="O1484" s="132"/>
      <c r="P1484" s="132"/>
      <c r="Q1484" s="132"/>
      <c r="R1484" s="132"/>
      <c r="S1484" s="132"/>
      <c r="T1484" s="132"/>
      <c r="U1484" s="132"/>
      <c r="V1484" s="132"/>
      <c r="W1484" s="132"/>
      <c r="X1484" s="132"/>
      <c r="Y1484" s="132"/>
      <c r="Z1484" s="132"/>
      <c r="AA1484" s="132"/>
      <c r="AB1484" s="132"/>
    </row>
    <row r="1485" spans="1:28" s="133" customFormat="1" ht="15" customHeight="1" outlineLevel="1" x14ac:dyDescent="0.2">
      <c r="A1485" s="121">
        <v>2</v>
      </c>
      <c r="B1485" s="121">
        <v>14059</v>
      </c>
      <c r="C1485" s="123" t="s">
        <v>1967</v>
      </c>
      <c r="D1485" s="121" t="s">
        <v>1937</v>
      </c>
      <c r="E1485" s="124" t="s">
        <v>190</v>
      </c>
      <c r="F1485" s="122">
        <v>41757</v>
      </c>
      <c r="G1485" s="125" t="s">
        <v>404</v>
      </c>
      <c r="H1485" s="126" t="s">
        <v>551</v>
      </c>
      <c r="I1485" s="127">
        <v>1</v>
      </c>
      <c r="J1485" s="128">
        <v>57960</v>
      </c>
      <c r="K1485" s="128">
        <v>57960</v>
      </c>
      <c r="L1485" s="644"/>
      <c r="M1485" s="167" t="s">
        <v>41</v>
      </c>
      <c r="N1485" s="131"/>
      <c r="O1485" s="132"/>
      <c r="P1485" s="132"/>
      <c r="Q1485" s="132"/>
      <c r="R1485" s="132"/>
      <c r="S1485" s="132"/>
      <c r="T1485" s="132"/>
      <c r="U1485" s="132"/>
      <c r="V1485" s="132"/>
      <c r="W1485" s="132"/>
      <c r="X1485" s="132"/>
      <c r="Y1485" s="132"/>
      <c r="Z1485" s="132"/>
      <c r="AA1485" s="132"/>
      <c r="AB1485" s="132"/>
    </row>
    <row r="1486" spans="1:28" s="133" customFormat="1" ht="15" customHeight="1" outlineLevel="1" x14ac:dyDescent="0.2">
      <c r="A1486" s="121">
        <v>3</v>
      </c>
      <c r="B1486" s="121">
        <v>10612</v>
      </c>
      <c r="C1486" s="123" t="s">
        <v>1968</v>
      </c>
      <c r="D1486" s="121" t="s">
        <v>1937</v>
      </c>
      <c r="E1486" s="124" t="s">
        <v>190</v>
      </c>
      <c r="F1486" s="122">
        <v>41745</v>
      </c>
      <c r="G1486" s="125" t="s">
        <v>404</v>
      </c>
      <c r="H1486" s="126" t="s">
        <v>1963</v>
      </c>
      <c r="I1486" s="127">
        <v>1</v>
      </c>
      <c r="J1486" s="128">
        <v>57960</v>
      </c>
      <c r="K1486" s="128">
        <v>57960</v>
      </c>
      <c r="L1486" s="644"/>
      <c r="M1486" s="167" t="s">
        <v>41</v>
      </c>
      <c r="N1486" s="131"/>
      <c r="O1486" s="132"/>
      <c r="P1486" s="132"/>
      <c r="Q1486" s="132"/>
      <c r="R1486" s="132"/>
      <c r="S1486" s="132"/>
      <c r="T1486" s="132"/>
      <c r="U1486" s="132"/>
      <c r="V1486" s="132"/>
      <c r="W1486" s="132"/>
      <c r="X1486" s="132"/>
      <c r="Y1486" s="132"/>
      <c r="Z1486" s="132"/>
      <c r="AA1486" s="132"/>
      <c r="AB1486" s="132"/>
    </row>
    <row r="1487" spans="1:28" s="133" customFormat="1" ht="15" customHeight="1" outlineLevel="1" x14ac:dyDescent="0.2">
      <c r="A1487" s="121">
        <v>4</v>
      </c>
      <c r="B1487" s="121">
        <v>14896</v>
      </c>
      <c r="C1487" s="123" t="s">
        <v>1969</v>
      </c>
      <c r="D1487" s="121" t="s">
        <v>481</v>
      </c>
      <c r="E1487" s="124" t="s">
        <v>534</v>
      </c>
      <c r="F1487" s="122">
        <v>41759</v>
      </c>
      <c r="G1487" s="125" t="s">
        <v>559</v>
      </c>
      <c r="H1487" s="126" t="s">
        <v>566</v>
      </c>
      <c r="I1487" s="127">
        <v>1</v>
      </c>
      <c r="J1487" s="128">
        <v>30429</v>
      </c>
      <c r="K1487" s="128">
        <v>30429</v>
      </c>
      <c r="L1487" s="645"/>
      <c r="M1487" s="167" t="s">
        <v>41</v>
      </c>
      <c r="N1487" s="131"/>
      <c r="O1487" s="132"/>
      <c r="P1487" s="132"/>
      <c r="Q1487" s="132"/>
      <c r="R1487" s="132"/>
      <c r="S1487" s="132"/>
      <c r="T1487" s="132"/>
      <c r="U1487" s="132"/>
      <c r="V1487" s="132"/>
      <c r="W1487" s="132"/>
      <c r="X1487" s="132"/>
      <c r="Y1487" s="132"/>
      <c r="Z1487" s="132"/>
      <c r="AA1487" s="132"/>
      <c r="AB1487" s="132"/>
    </row>
    <row r="1488" spans="1:28" s="133" customFormat="1" ht="16.5" customHeight="1" outlineLevel="1" x14ac:dyDescent="0.2">
      <c r="A1488" s="121">
        <v>1</v>
      </c>
      <c r="B1488" s="121">
        <v>30232</v>
      </c>
      <c r="C1488" s="123" t="s">
        <v>1970</v>
      </c>
      <c r="D1488" s="121" t="s">
        <v>481</v>
      </c>
      <c r="E1488" s="124" t="s">
        <v>190</v>
      </c>
      <c r="F1488" s="122">
        <v>41816</v>
      </c>
      <c r="G1488" s="125" t="s">
        <v>414</v>
      </c>
      <c r="H1488" s="126"/>
      <c r="I1488" s="127">
        <v>1</v>
      </c>
      <c r="J1488" s="128">
        <v>57960</v>
      </c>
      <c r="K1488" s="128">
        <v>57960</v>
      </c>
      <c r="L1488" s="129" t="s">
        <v>605</v>
      </c>
      <c r="M1488" s="130" t="s">
        <v>41</v>
      </c>
      <c r="N1488" s="131"/>
      <c r="O1488" s="132"/>
      <c r="P1488" s="132"/>
      <c r="Q1488" s="132"/>
      <c r="R1488" s="132"/>
      <c r="S1488" s="132"/>
      <c r="T1488" s="132"/>
      <c r="U1488" s="132"/>
      <c r="V1488" s="132"/>
      <c r="W1488" s="132"/>
      <c r="X1488" s="132"/>
      <c r="Y1488" s="132"/>
      <c r="Z1488" s="132"/>
      <c r="AA1488" s="132"/>
      <c r="AB1488" s="132"/>
    </row>
    <row r="1489" spans="1:28" s="144" customFormat="1" ht="15" customHeight="1" outlineLevel="1" x14ac:dyDescent="0.2">
      <c r="A1489" s="134">
        <v>1</v>
      </c>
      <c r="B1489" s="134">
        <v>89840</v>
      </c>
      <c r="C1489" s="136" t="s">
        <v>1971</v>
      </c>
      <c r="D1489" s="134" t="s">
        <v>1972</v>
      </c>
      <c r="E1489" s="137" t="s">
        <v>114</v>
      </c>
      <c r="F1489" s="135">
        <v>41657</v>
      </c>
      <c r="G1489" s="138" t="s">
        <v>428</v>
      </c>
      <c r="H1489" s="139" t="s">
        <v>1973</v>
      </c>
      <c r="I1489" s="140">
        <v>1</v>
      </c>
      <c r="J1489" s="141">
        <v>33370</v>
      </c>
      <c r="K1489" s="141">
        <v>33370</v>
      </c>
      <c r="L1489" s="646" t="s">
        <v>552</v>
      </c>
      <c r="M1489" s="649" t="s">
        <v>42</v>
      </c>
      <c r="N1489" s="142"/>
      <c r="O1489" s="143"/>
      <c r="P1489" s="143"/>
      <c r="Q1489" s="143"/>
      <c r="R1489" s="143"/>
      <c r="S1489" s="143"/>
      <c r="T1489" s="143"/>
      <c r="U1489" s="143"/>
      <c r="V1489" s="143"/>
      <c r="W1489" s="143"/>
      <c r="X1489" s="143"/>
      <c r="Y1489" s="143"/>
      <c r="Z1489" s="143"/>
      <c r="AA1489" s="143"/>
      <c r="AB1489" s="143"/>
    </row>
    <row r="1490" spans="1:28" s="144" customFormat="1" ht="15" customHeight="1" outlineLevel="1" x14ac:dyDescent="0.2">
      <c r="A1490" s="134">
        <v>2</v>
      </c>
      <c r="B1490" s="134">
        <v>80907</v>
      </c>
      <c r="C1490" s="136" t="s">
        <v>1974</v>
      </c>
      <c r="D1490" s="134" t="s">
        <v>1975</v>
      </c>
      <c r="E1490" s="137" t="s">
        <v>115</v>
      </c>
      <c r="F1490" s="135">
        <v>41621</v>
      </c>
      <c r="G1490" s="138" t="s">
        <v>1976</v>
      </c>
      <c r="H1490" s="139" t="s">
        <v>486</v>
      </c>
      <c r="I1490" s="140">
        <v>14</v>
      </c>
      <c r="J1490" s="141">
        <v>5274</v>
      </c>
      <c r="K1490" s="141">
        <v>73836</v>
      </c>
      <c r="L1490" s="647"/>
      <c r="M1490" s="650"/>
      <c r="N1490" s="142"/>
      <c r="O1490" s="143"/>
      <c r="P1490" s="143"/>
      <c r="Q1490" s="143"/>
      <c r="R1490" s="143"/>
      <c r="S1490" s="143"/>
      <c r="T1490" s="143"/>
      <c r="U1490" s="143"/>
      <c r="V1490" s="143"/>
      <c r="W1490" s="143"/>
      <c r="X1490" s="143"/>
      <c r="Y1490" s="143"/>
      <c r="Z1490" s="143"/>
      <c r="AA1490" s="143"/>
      <c r="AB1490" s="143"/>
    </row>
    <row r="1491" spans="1:28" s="144" customFormat="1" ht="15" customHeight="1" outlineLevel="1" x14ac:dyDescent="0.2">
      <c r="A1491" s="134">
        <v>3</v>
      </c>
      <c r="B1491" s="134">
        <v>87324</v>
      </c>
      <c r="C1491" s="136" t="s">
        <v>1977</v>
      </c>
      <c r="D1491" s="134" t="s">
        <v>1978</v>
      </c>
      <c r="E1491" s="137" t="s">
        <v>534</v>
      </c>
      <c r="F1491" s="135">
        <v>41650</v>
      </c>
      <c r="G1491" s="138" t="s">
        <v>414</v>
      </c>
      <c r="H1491" s="139" t="s">
        <v>1979</v>
      </c>
      <c r="I1491" s="140">
        <v>1</v>
      </c>
      <c r="J1491" s="141">
        <v>30429</v>
      </c>
      <c r="K1491" s="141">
        <v>30429</v>
      </c>
      <c r="L1491" s="647"/>
      <c r="M1491" s="650"/>
      <c r="N1491" s="142"/>
      <c r="O1491" s="143"/>
      <c r="P1491" s="143"/>
      <c r="Q1491" s="143"/>
      <c r="R1491" s="143"/>
      <c r="S1491" s="143"/>
      <c r="T1491" s="143"/>
      <c r="U1491" s="143"/>
      <c r="V1491" s="143"/>
      <c r="W1491" s="143"/>
      <c r="X1491" s="143"/>
      <c r="Y1491" s="143"/>
      <c r="Z1491" s="143"/>
      <c r="AA1491" s="143"/>
      <c r="AB1491" s="143"/>
    </row>
    <row r="1492" spans="1:28" s="144" customFormat="1" ht="15" customHeight="1" outlineLevel="1" x14ac:dyDescent="0.2">
      <c r="A1492" s="134">
        <v>4</v>
      </c>
      <c r="B1492" s="134">
        <v>93616</v>
      </c>
      <c r="C1492" s="136" t="s">
        <v>1980</v>
      </c>
      <c r="D1492" s="134" t="s">
        <v>1981</v>
      </c>
      <c r="E1492" s="137" t="s">
        <v>1982</v>
      </c>
      <c r="F1492" s="135">
        <v>41670</v>
      </c>
      <c r="G1492" s="138" t="s">
        <v>368</v>
      </c>
      <c r="H1492" s="139"/>
      <c r="I1492" s="140">
        <v>1</v>
      </c>
      <c r="J1492" s="141">
        <v>20396</v>
      </c>
      <c r="K1492" s="141">
        <v>20396</v>
      </c>
      <c r="L1492" s="647"/>
      <c r="M1492" s="650"/>
      <c r="N1492" s="142"/>
      <c r="O1492" s="143"/>
      <c r="P1492" s="143"/>
      <c r="Q1492" s="143"/>
      <c r="R1492" s="143"/>
      <c r="S1492" s="143"/>
      <c r="T1492" s="143"/>
      <c r="U1492" s="143"/>
      <c r="V1492" s="143"/>
      <c r="W1492" s="143"/>
      <c r="X1492" s="143"/>
      <c r="Y1492" s="143"/>
      <c r="Z1492" s="143"/>
      <c r="AA1492" s="143"/>
      <c r="AB1492" s="143"/>
    </row>
    <row r="1493" spans="1:28" s="144" customFormat="1" ht="15" customHeight="1" outlineLevel="1" x14ac:dyDescent="0.2">
      <c r="A1493" s="134">
        <v>5</v>
      </c>
      <c r="B1493" s="134">
        <v>86659</v>
      </c>
      <c r="C1493" s="136" t="s">
        <v>1983</v>
      </c>
      <c r="D1493" s="134" t="s">
        <v>1972</v>
      </c>
      <c r="E1493" s="137" t="s">
        <v>115</v>
      </c>
      <c r="F1493" s="135">
        <v>41647</v>
      </c>
      <c r="G1493" s="138" t="s">
        <v>559</v>
      </c>
      <c r="H1493" s="139" t="s">
        <v>551</v>
      </c>
      <c r="I1493" s="140">
        <v>1</v>
      </c>
      <c r="J1493" s="141">
        <v>5274</v>
      </c>
      <c r="K1493" s="141">
        <v>5274</v>
      </c>
      <c r="L1493" s="647"/>
      <c r="M1493" s="650"/>
      <c r="N1493" s="142"/>
      <c r="O1493" s="143"/>
      <c r="P1493" s="143"/>
      <c r="Q1493" s="143"/>
      <c r="R1493" s="143"/>
      <c r="S1493" s="143"/>
      <c r="T1493" s="143"/>
      <c r="U1493" s="143"/>
      <c r="V1493" s="143"/>
      <c r="W1493" s="143"/>
      <c r="X1493" s="143"/>
      <c r="Y1493" s="143"/>
      <c r="Z1493" s="143"/>
      <c r="AA1493" s="143"/>
      <c r="AB1493" s="143"/>
    </row>
    <row r="1494" spans="1:28" s="144" customFormat="1" ht="15" customHeight="1" outlineLevel="1" x14ac:dyDescent="0.2">
      <c r="A1494" s="134">
        <v>6</v>
      </c>
      <c r="B1494" s="134">
        <v>72201</v>
      </c>
      <c r="C1494" s="136" t="s">
        <v>1984</v>
      </c>
      <c r="D1494" s="134" t="s">
        <v>1985</v>
      </c>
      <c r="E1494" s="137" t="s">
        <v>577</v>
      </c>
      <c r="F1494" s="135">
        <v>41597</v>
      </c>
      <c r="G1494" s="138" t="s">
        <v>368</v>
      </c>
      <c r="H1494" s="139"/>
      <c r="I1494" s="140">
        <v>1</v>
      </c>
      <c r="J1494" s="141">
        <v>25800</v>
      </c>
      <c r="K1494" s="141">
        <v>25800</v>
      </c>
      <c r="L1494" s="647"/>
      <c r="M1494" s="650"/>
      <c r="N1494" s="142"/>
      <c r="O1494" s="143"/>
      <c r="P1494" s="143"/>
      <c r="Q1494" s="143"/>
      <c r="R1494" s="143"/>
      <c r="S1494" s="143"/>
      <c r="T1494" s="143"/>
      <c r="U1494" s="143"/>
      <c r="V1494" s="143"/>
      <c r="W1494" s="143"/>
      <c r="X1494" s="143"/>
      <c r="Y1494" s="143"/>
      <c r="Z1494" s="143"/>
      <c r="AA1494" s="143"/>
      <c r="AB1494" s="143"/>
    </row>
    <row r="1495" spans="1:28" s="144" customFormat="1" ht="15" customHeight="1" outlineLevel="1" x14ac:dyDescent="0.2">
      <c r="A1495" s="134">
        <v>7</v>
      </c>
      <c r="B1495" s="134">
        <v>87807</v>
      </c>
      <c r="C1495" s="136" t="s">
        <v>1986</v>
      </c>
      <c r="D1495" s="134" t="s">
        <v>1987</v>
      </c>
      <c r="E1495" s="137" t="s">
        <v>577</v>
      </c>
      <c r="F1495" s="135">
        <v>41652</v>
      </c>
      <c r="G1495" s="138" t="s">
        <v>368</v>
      </c>
      <c r="H1495" s="139"/>
      <c r="I1495" s="140">
        <v>1</v>
      </c>
      <c r="J1495" s="141">
        <v>25800</v>
      </c>
      <c r="K1495" s="141">
        <v>25800</v>
      </c>
      <c r="L1495" s="647"/>
      <c r="M1495" s="650"/>
      <c r="N1495" s="142"/>
      <c r="O1495" s="143"/>
      <c r="P1495" s="143"/>
      <c r="Q1495" s="143"/>
      <c r="R1495" s="143"/>
      <c r="S1495" s="143"/>
      <c r="T1495" s="143"/>
      <c r="U1495" s="143"/>
      <c r="V1495" s="143"/>
      <c r="W1495" s="143"/>
      <c r="X1495" s="143"/>
      <c r="Y1495" s="143"/>
      <c r="Z1495" s="143"/>
      <c r="AA1495" s="143"/>
      <c r="AB1495" s="143"/>
    </row>
    <row r="1496" spans="1:28" s="144" customFormat="1" ht="15" customHeight="1" outlineLevel="1" x14ac:dyDescent="0.2">
      <c r="A1496" s="134">
        <v>8</v>
      </c>
      <c r="B1496" s="134">
        <v>84376</v>
      </c>
      <c r="C1496" s="136" t="s">
        <v>1988</v>
      </c>
      <c r="D1496" s="134" t="s">
        <v>1985</v>
      </c>
      <c r="E1496" s="137" t="s">
        <v>186</v>
      </c>
      <c r="F1496" s="135">
        <v>41634</v>
      </c>
      <c r="G1496" s="138" t="s">
        <v>414</v>
      </c>
      <c r="H1496" s="139" t="s">
        <v>557</v>
      </c>
      <c r="I1496" s="140">
        <v>1</v>
      </c>
      <c r="J1496" s="141">
        <v>42601</v>
      </c>
      <c r="K1496" s="141">
        <v>42601</v>
      </c>
      <c r="L1496" s="647"/>
      <c r="M1496" s="650"/>
      <c r="N1496" s="142"/>
      <c r="O1496" s="143"/>
      <c r="P1496" s="143"/>
      <c r="Q1496" s="143"/>
      <c r="R1496" s="143"/>
      <c r="S1496" s="143"/>
      <c r="T1496" s="143"/>
      <c r="U1496" s="143"/>
      <c r="V1496" s="143"/>
      <c r="W1496" s="143"/>
      <c r="X1496" s="143"/>
      <c r="Y1496" s="143"/>
      <c r="Z1496" s="143"/>
      <c r="AA1496" s="143"/>
      <c r="AB1496" s="143"/>
    </row>
    <row r="1497" spans="1:28" s="144" customFormat="1" ht="15" customHeight="1" outlineLevel="1" x14ac:dyDescent="0.2">
      <c r="A1497" s="134">
        <v>9</v>
      </c>
      <c r="B1497" s="134">
        <v>85378</v>
      </c>
      <c r="C1497" s="136" t="s">
        <v>1989</v>
      </c>
      <c r="D1497" s="134" t="s">
        <v>1972</v>
      </c>
      <c r="E1497" s="137" t="s">
        <v>114</v>
      </c>
      <c r="F1497" s="135">
        <v>41638</v>
      </c>
      <c r="G1497" s="138" t="s">
        <v>414</v>
      </c>
      <c r="H1497" s="139" t="s">
        <v>639</v>
      </c>
      <c r="I1497" s="140">
        <v>1</v>
      </c>
      <c r="J1497" s="141">
        <v>33370</v>
      </c>
      <c r="K1497" s="141">
        <v>33370</v>
      </c>
      <c r="L1497" s="647"/>
      <c r="M1497" s="650"/>
      <c r="N1497" s="142"/>
      <c r="O1497" s="143"/>
      <c r="P1497" s="143"/>
      <c r="Q1497" s="143"/>
      <c r="R1497" s="143"/>
      <c r="S1497" s="143"/>
      <c r="T1497" s="143"/>
      <c r="U1497" s="143"/>
      <c r="V1497" s="143"/>
      <c r="W1497" s="143"/>
      <c r="X1497" s="143"/>
      <c r="Y1497" s="143"/>
      <c r="Z1497" s="143"/>
      <c r="AA1497" s="143"/>
      <c r="AB1497" s="143"/>
    </row>
    <row r="1498" spans="1:28" s="144" customFormat="1" ht="15" customHeight="1" outlineLevel="1" x14ac:dyDescent="0.2">
      <c r="A1498" s="134">
        <v>10</v>
      </c>
      <c r="B1498" s="134">
        <v>89884</v>
      </c>
      <c r="C1498" s="136" t="s">
        <v>1990</v>
      </c>
      <c r="D1498" s="134" t="s">
        <v>1972</v>
      </c>
      <c r="E1498" s="137" t="s">
        <v>114</v>
      </c>
      <c r="F1498" s="135">
        <v>41660</v>
      </c>
      <c r="G1498" s="138" t="s">
        <v>559</v>
      </c>
      <c r="H1498" s="139" t="s">
        <v>1991</v>
      </c>
      <c r="I1498" s="140">
        <v>1</v>
      </c>
      <c r="J1498" s="141">
        <v>33370</v>
      </c>
      <c r="K1498" s="141">
        <v>33370</v>
      </c>
      <c r="L1498" s="647"/>
      <c r="M1498" s="650"/>
      <c r="N1498" s="142"/>
      <c r="O1498" s="143"/>
      <c r="P1498" s="143"/>
      <c r="Q1498" s="143"/>
      <c r="R1498" s="143"/>
      <c r="S1498" s="143"/>
      <c r="T1498" s="143"/>
      <c r="U1498" s="143"/>
      <c r="V1498" s="143"/>
      <c r="W1498" s="143"/>
      <c r="X1498" s="143"/>
      <c r="Y1498" s="143"/>
      <c r="Z1498" s="143"/>
      <c r="AA1498" s="143"/>
      <c r="AB1498" s="143"/>
    </row>
    <row r="1499" spans="1:28" s="144" customFormat="1" ht="15" customHeight="1" outlineLevel="1" x14ac:dyDescent="0.2">
      <c r="A1499" s="134">
        <v>11</v>
      </c>
      <c r="B1499" s="134">
        <v>90472</v>
      </c>
      <c r="C1499" s="136" t="s">
        <v>1992</v>
      </c>
      <c r="D1499" s="134" t="s">
        <v>1985</v>
      </c>
      <c r="E1499" s="137" t="s">
        <v>190</v>
      </c>
      <c r="F1499" s="135">
        <v>41661</v>
      </c>
      <c r="G1499" s="138" t="s">
        <v>397</v>
      </c>
      <c r="H1499" s="139" t="s">
        <v>1993</v>
      </c>
      <c r="I1499" s="140">
        <v>2</v>
      </c>
      <c r="J1499" s="141">
        <v>57960</v>
      </c>
      <c r="K1499" s="141">
        <v>115920</v>
      </c>
      <c r="L1499" s="647"/>
      <c r="M1499" s="650"/>
      <c r="N1499" s="142"/>
      <c r="O1499" s="143"/>
      <c r="P1499" s="143"/>
      <c r="Q1499" s="143"/>
      <c r="R1499" s="143"/>
      <c r="S1499" s="143"/>
      <c r="T1499" s="143"/>
      <c r="U1499" s="143"/>
      <c r="V1499" s="143"/>
      <c r="W1499" s="143"/>
      <c r="X1499" s="143"/>
      <c r="Y1499" s="143"/>
      <c r="Z1499" s="143"/>
      <c r="AA1499" s="143"/>
      <c r="AB1499" s="143"/>
    </row>
    <row r="1500" spans="1:28" s="144" customFormat="1" ht="15" customHeight="1" outlineLevel="1" x14ac:dyDescent="0.2">
      <c r="A1500" s="134">
        <v>12</v>
      </c>
      <c r="B1500" s="134">
        <v>87566</v>
      </c>
      <c r="C1500" s="136" t="s">
        <v>1994</v>
      </c>
      <c r="D1500" s="134" t="s">
        <v>1995</v>
      </c>
      <c r="E1500" s="137" t="s">
        <v>577</v>
      </c>
      <c r="F1500" s="135">
        <v>41649</v>
      </c>
      <c r="G1500" s="138" t="s">
        <v>368</v>
      </c>
      <c r="H1500" s="139"/>
      <c r="I1500" s="140">
        <v>1</v>
      </c>
      <c r="J1500" s="141">
        <v>25800</v>
      </c>
      <c r="K1500" s="141">
        <v>25800</v>
      </c>
      <c r="L1500" s="647"/>
      <c r="M1500" s="650"/>
      <c r="N1500" s="142"/>
      <c r="O1500" s="143"/>
      <c r="P1500" s="143"/>
      <c r="Q1500" s="143"/>
      <c r="R1500" s="143"/>
      <c r="S1500" s="143"/>
      <c r="T1500" s="143"/>
      <c r="U1500" s="143"/>
      <c r="V1500" s="143"/>
      <c r="W1500" s="143"/>
      <c r="X1500" s="143"/>
      <c r="Y1500" s="143"/>
      <c r="Z1500" s="143"/>
      <c r="AA1500" s="143"/>
      <c r="AB1500" s="143"/>
    </row>
    <row r="1501" spans="1:28" s="144" customFormat="1" ht="15" customHeight="1" outlineLevel="1" x14ac:dyDescent="0.2">
      <c r="A1501" s="134">
        <v>13</v>
      </c>
      <c r="B1501" s="134">
        <v>76520</v>
      </c>
      <c r="C1501" s="136" t="s">
        <v>1996</v>
      </c>
      <c r="D1501" s="134" t="s">
        <v>1972</v>
      </c>
      <c r="E1501" s="137" t="s">
        <v>534</v>
      </c>
      <c r="F1501" s="135">
        <v>41610</v>
      </c>
      <c r="G1501" s="138" t="s">
        <v>559</v>
      </c>
      <c r="H1501" s="139" t="s">
        <v>566</v>
      </c>
      <c r="I1501" s="140">
        <v>1</v>
      </c>
      <c r="J1501" s="141">
        <v>30429</v>
      </c>
      <c r="K1501" s="141">
        <v>30429</v>
      </c>
      <c r="L1501" s="647"/>
      <c r="M1501" s="650"/>
      <c r="N1501" s="142"/>
      <c r="O1501" s="143"/>
      <c r="P1501" s="143"/>
      <c r="Q1501" s="143"/>
      <c r="R1501" s="143"/>
      <c r="S1501" s="143"/>
      <c r="T1501" s="143"/>
      <c r="U1501" s="143"/>
      <c r="V1501" s="143"/>
      <c r="W1501" s="143"/>
      <c r="X1501" s="143"/>
      <c r="Y1501" s="143"/>
      <c r="Z1501" s="143"/>
      <c r="AA1501" s="143"/>
      <c r="AB1501" s="143"/>
    </row>
    <row r="1502" spans="1:28" s="144" customFormat="1" ht="15" customHeight="1" outlineLevel="1" x14ac:dyDescent="0.2">
      <c r="A1502" s="134">
        <v>14</v>
      </c>
      <c r="B1502" s="134">
        <v>77134</v>
      </c>
      <c r="C1502" s="136" t="s">
        <v>1997</v>
      </c>
      <c r="D1502" s="134" t="s">
        <v>1972</v>
      </c>
      <c r="E1502" s="137" t="s">
        <v>186</v>
      </c>
      <c r="F1502" s="135">
        <v>41611</v>
      </c>
      <c r="G1502" s="138" t="s">
        <v>389</v>
      </c>
      <c r="H1502" s="139" t="s">
        <v>1250</v>
      </c>
      <c r="I1502" s="140">
        <v>1</v>
      </c>
      <c r="J1502" s="141">
        <v>42601</v>
      </c>
      <c r="K1502" s="141">
        <v>42601</v>
      </c>
      <c r="L1502" s="647"/>
      <c r="M1502" s="650"/>
      <c r="N1502" s="142"/>
      <c r="O1502" s="143"/>
      <c r="P1502" s="143"/>
      <c r="Q1502" s="143"/>
      <c r="R1502" s="143"/>
      <c r="S1502" s="143"/>
      <c r="T1502" s="143"/>
      <c r="U1502" s="143"/>
      <c r="V1502" s="143"/>
      <c r="W1502" s="143"/>
      <c r="X1502" s="143"/>
      <c r="Y1502" s="143"/>
      <c r="Z1502" s="143"/>
      <c r="AA1502" s="143"/>
      <c r="AB1502" s="143"/>
    </row>
    <row r="1503" spans="1:28" s="144" customFormat="1" ht="15" customHeight="1" outlineLevel="1" x14ac:dyDescent="0.2">
      <c r="A1503" s="134">
        <v>15</v>
      </c>
      <c r="B1503" s="134">
        <v>87136</v>
      </c>
      <c r="C1503" s="136" t="s">
        <v>1998</v>
      </c>
      <c r="D1503" s="134" t="s">
        <v>1972</v>
      </c>
      <c r="E1503" s="137" t="s">
        <v>115</v>
      </c>
      <c r="F1503" s="135">
        <v>41652</v>
      </c>
      <c r="G1503" s="138" t="s">
        <v>428</v>
      </c>
      <c r="H1503" s="139" t="s">
        <v>566</v>
      </c>
      <c r="I1503" s="140">
        <v>1</v>
      </c>
      <c r="J1503" s="141">
        <v>5274</v>
      </c>
      <c r="K1503" s="141">
        <v>5274</v>
      </c>
      <c r="L1503" s="647"/>
      <c r="M1503" s="650"/>
      <c r="N1503" s="142"/>
      <c r="O1503" s="143"/>
      <c r="P1503" s="143"/>
      <c r="Q1503" s="143"/>
      <c r="R1503" s="143"/>
      <c r="S1503" s="143"/>
      <c r="T1503" s="143"/>
      <c r="U1503" s="143"/>
      <c r="V1503" s="143"/>
      <c r="W1503" s="143"/>
      <c r="X1503" s="143"/>
      <c r="Y1503" s="143"/>
      <c r="Z1503" s="143"/>
      <c r="AA1503" s="143"/>
      <c r="AB1503" s="143"/>
    </row>
    <row r="1504" spans="1:28" s="144" customFormat="1" ht="15" customHeight="1" outlineLevel="1" x14ac:dyDescent="0.2">
      <c r="A1504" s="134">
        <v>16</v>
      </c>
      <c r="B1504" s="134">
        <v>91782</v>
      </c>
      <c r="C1504" s="136" t="s">
        <v>1999</v>
      </c>
      <c r="D1504" s="134" t="s">
        <v>1972</v>
      </c>
      <c r="E1504" s="137" t="s">
        <v>114</v>
      </c>
      <c r="F1504" s="135">
        <v>41666</v>
      </c>
      <c r="G1504" s="138" t="s">
        <v>414</v>
      </c>
      <c r="H1504" s="139" t="s">
        <v>626</v>
      </c>
      <c r="I1504" s="140">
        <v>1</v>
      </c>
      <c r="J1504" s="141">
        <v>33370</v>
      </c>
      <c r="K1504" s="141">
        <v>33370</v>
      </c>
      <c r="L1504" s="647"/>
      <c r="M1504" s="650"/>
      <c r="N1504" s="142"/>
      <c r="O1504" s="143"/>
      <c r="P1504" s="143"/>
      <c r="Q1504" s="143"/>
      <c r="R1504" s="143"/>
      <c r="S1504" s="143"/>
      <c r="T1504" s="143"/>
      <c r="U1504" s="143"/>
      <c r="V1504" s="143"/>
      <c r="W1504" s="143"/>
      <c r="X1504" s="143"/>
      <c r="Y1504" s="143"/>
      <c r="Z1504" s="143"/>
      <c r="AA1504" s="143"/>
      <c r="AB1504" s="143"/>
    </row>
    <row r="1505" spans="1:28" s="144" customFormat="1" ht="15" customHeight="1" outlineLevel="1" x14ac:dyDescent="0.2">
      <c r="A1505" s="134">
        <v>17</v>
      </c>
      <c r="B1505" s="134">
        <v>81291</v>
      </c>
      <c r="C1505" s="136" t="s">
        <v>2000</v>
      </c>
      <c r="D1505" s="134" t="s">
        <v>1972</v>
      </c>
      <c r="E1505" s="137" t="s">
        <v>534</v>
      </c>
      <c r="F1505" s="135">
        <v>41624</v>
      </c>
      <c r="G1505" s="138" t="s">
        <v>469</v>
      </c>
      <c r="H1505" s="139" t="s">
        <v>566</v>
      </c>
      <c r="I1505" s="140">
        <v>1</v>
      </c>
      <c r="J1505" s="141">
        <v>30429</v>
      </c>
      <c r="K1505" s="141">
        <v>30429</v>
      </c>
      <c r="L1505" s="647"/>
      <c r="M1505" s="650"/>
      <c r="N1505" s="142"/>
      <c r="O1505" s="143"/>
      <c r="P1505" s="143"/>
      <c r="Q1505" s="143"/>
      <c r="R1505" s="143"/>
      <c r="S1505" s="143"/>
      <c r="T1505" s="143"/>
      <c r="U1505" s="143"/>
      <c r="V1505" s="143"/>
      <c r="W1505" s="143"/>
      <c r="X1505" s="143"/>
      <c r="Y1505" s="143"/>
      <c r="Z1505" s="143"/>
      <c r="AA1505" s="143"/>
      <c r="AB1505" s="143"/>
    </row>
    <row r="1506" spans="1:28" s="144" customFormat="1" ht="15" customHeight="1" outlineLevel="1" x14ac:dyDescent="0.2">
      <c r="A1506" s="134">
        <v>18</v>
      </c>
      <c r="B1506" s="134">
        <v>85773</v>
      </c>
      <c r="C1506" s="136" t="s">
        <v>2001</v>
      </c>
      <c r="D1506" s="134" t="s">
        <v>1972</v>
      </c>
      <c r="E1506" s="137" t="s">
        <v>114</v>
      </c>
      <c r="F1506" s="135">
        <v>41643</v>
      </c>
      <c r="G1506" s="138" t="s">
        <v>389</v>
      </c>
      <c r="H1506" s="139" t="s">
        <v>1991</v>
      </c>
      <c r="I1506" s="140">
        <v>1</v>
      </c>
      <c r="J1506" s="141">
        <v>33370</v>
      </c>
      <c r="K1506" s="141">
        <v>33370</v>
      </c>
      <c r="L1506" s="647"/>
      <c r="M1506" s="650"/>
      <c r="N1506" s="142"/>
      <c r="O1506" s="143"/>
      <c r="P1506" s="143"/>
      <c r="Q1506" s="143"/>
      <c r="R1506" s="143"/>
      <c r="S1506" s="143"/>
      <c r="T1506" s="143"/>
      <c r="U1506" s="143"/>
      <c r="V1506" s="143"/>
      <c r="W1506" s="143"/>
      <c r="X1506" s="143"/>
      <c r="Y1506" s="143"/>
      <c r="Z1506" s="143"/>
      <c r="AA1506" s="143"/>
      <c r="AB1506" s="143"/>
    </row>
    <row r="1507" spans="1:28" s="144" customFormat="1" ht="15" customHeight="1" outlineLevel="1" x14ac:dyDescent="0.2">
      <c r="A1507" s="134">
        <v>19</v>
      </c>
      <c r="B1507" s="134">
        <v>83723</v>
      </c>
      <c r="C1507" s="136" t="s">
        <v>2002</v>
      </c>
      <c r="D1507" s="134" t="s">
        <v>1972</v>
      </c>
      <c r="E1507" s="137" t="s">
        <v>114</v>
      </c>
      <c r="F1507" s="135">
        <v>41631</v>
      </c>
      <c r="G1507" s="138" t="s">
        <v>401</v>
      </c>
      <c r="H1507" s="139" t="s">
        <v>1266</v>
      </c>
      <c r="I1507" s="140">
        <v>1</v>
      </c>
      <c r="J1507" s="141">
        <v>33370</v>
      </c>
      <c r="K1507" s="141">
        <v>33370</v>
      </c>
      <c r="L1507" s="648"/>
      <c r="M1507" s="651"/>
      <c r="N1507" s="142"/>
      <c r="O1507" s="143"/>
      <c r="P1507" s="143"/>
      <c r="Q1507" s="143"/>
      <c r="R1507" s="143"/>
      <c r="S1507" s="143"/>
      <c r="T1507" s="143"/>
      <c r="U1507" s="143"/>
      <c r="V1507" s="143"/>
      <c r="W1507" s="143"/>
      <c r="X1507" s="143"/>
      <c r="Y1507" s="143"/>
      <c r="Z1507" s="143"/>
      <c r="AA1507" s="143"/>
      <c r="AB1507" s="143"/>
    </row>
    <row r="1508" spans="1:28" s="144" customFormat="1" ht="15" customHeight="1" outlineLevel="1" x14ac:dyDescent="0.2">
      <c r="A1508" s="134">
        <v>13</v>
      </c>
      <c r="B1508" s="134">
        <v>96881</v>
      </c>
      <c r="C1508" s="136" t="s">
        <v>2003</v>
      </c>
      <c r="D1508" s="134" t="s">
        <v>569</v>
      </c>
      <c r="E1508" s="137" t="s">
        <v>115</v>
      </c>
      <c r="F1508" s="135">
        <v>41688</v>
      </c>
      <c r="G1508" s="138" t="s">
        <v>389</v>
      </c>
      <c r="H1508" s="139" t="s">
        <v>486</v>
      </c>
      <c r="I1508" s="140">
        <v>1</v>
      </c>
      <c r="J1508" s="141">
        <v>5274</v>
      </c>
      <c r="K1508" s="141">
        <v>5274</v>
      </c>
      <c r="L1508" s="643" t="s">
        <v>555</v>
      </c>
      <c r="M1508" s="658" t="s">
        <v>42</v>
      </c>
      <c r="N1508" s="142"/>
      <c r="O1508" s="143"/>
      <c r="P1508" s="143"/>
      <c r="Q1508" s="143"/>
      <c r="R1508" s="143"/>
      <c r="S1508" s="143"/>
      <c r="T1508" s="143"/>
      <c r="U1508" s="143"/>
      <c r="V1508" s="143"/>
      <c r="W1508" s="143"/>
      <c r="X1508" s="143"/>
      <c r="Y1508" s="143"/>
      <c r="Z1508" s="143"/>
      <c r="AA1508" s="143"/>
      <c r="AB1508" s="143"/>
    </row>
    <row r="1509" spans="1:28" s="144" customFormat="1" ht="15" customHeight="1" outlineLevel="1" x14ac:dyDescent="0.2">
      <c r="A1509" s="134">
        <v>14</v>
      </c>
      <c r="B1509" s="134">
        <v>93745</v>
      </c>
      <c r="C1509" s="136" t="s">
        <v>2004</v>
      </c>
      <c r="D1509" s="134" t="s">
        <v>569</v>
      </c>
      <c r="E1509" s="137" t="s">
        <v>115</v>
      </c>
      <c r="F1509" s="135">
        <v>41674</v>
      </c>
      <c r="G1509" s="138" t="s">
        <v>414</v>
      </c>
      <c r="H1509" s="139" t="s">
        <v>486</v>
      </c>
      <c r="I1509" s="140">
        <v>1</v>
      </c>
      <c r="J1509" s="141">
        <v>5274</v>
      </c>
      <c r="K1509" s="141">
        <v>5274</v>
      </c>
      <c r="L1509" s="644"/>
      <c r="M1509" s="659"/>
      <c r="N1509" s="142"/>
      <c r="O1509" s="143"/>
      <c r="P1509" s="143"/>
      <c r="Q1509" s="143"/>
      <c r="R1509" s="143"/>
      <c r="S1509" s="143"/>
      <c r="T1509" s="143"/>
      <c r="U1509" s="143"/>
      <c r="V1509" s="143"/>
      <c r="W1509" s="143"/>
      <c r="X1509" s="143"/>
      <c r="Y1509" s="143"/>
      <c r="Z1509" s="143"/>
      <c r="AA1509" s="143"/>
      <c r="AB1509" s="143"/>
    </row>
    <row r="1510" spans="1:28" s="144" customFormat="1" ht="15" customHeight="1" outlineLevel="1" x14ac:dyDescent="0.2">
      <c r="A1510" s="134">
        <v>15</v>
      </c>
      <c r="B1510" s="134">
        <v>97306</v>
      </c>
      <c r="C1510" s="136" t="s">
        <v>2005</v>
      </c>
      <c r="D1510" s="134" t="s">
        <v>569</v>
      </c>
      <c r="E1510" s="137" t="s">
        <v>115</v>
      </c>
      <c r="F1510" s="135">
        <v>41691</v>
      </c>
      <c r="G1510" s="138" t="s">
        <v>389</v>
      </c>
      <c r="H1510" s="139" t="s">
        <v>486</v>
      </c>
      <c r="I1510" s="140">
        <v>1</v>
      </c>
      <c r="J1510" s="141">
        <v>5274</v>
      </c>
      <c r="K1510" s="141">
        <v>5274</v>
      </c>
      <c r="L1510" s="644"/>
      <c r="M1510" s="659"/>
      <c r="N1510" s="142"/>
      <c r="O1510" s="143"/>
      <c r="P1510" s="143"/>
      <c r="Q1510" s="143"/>
      <c r="R1510" s="143"/>
      <c r="S1510" s="143"/>
      <c r="T1510" s="143"/>
      <c r="U1510" s="143"/>
      <c r="V1510" s="143"/>
      <c r="W1510" s="143"/>
      <c r="X1510" s="143"/>
      <c r="Y1510" s="143"/>
      <c r="Z1510" s="143"/>
      <c r="AA1510" s="143"/>
      <c r="AB1510" s="143"/>
    </row>
    <row r="1511" spans="1:28" s="144" customFormat="1" ht="15" customHeight="1" outlineLevel="1" x14ac:dyDescent="0.2">
      <c r="A1511" s="134">
        <v>16</v>
      </c>
      <c r="B1511" s="134">
        <v>97971</v>
      </c>
      <c r="C1511" s="136" t="s">
        <v>1974</v>
      </c>
      <c r="D1511" s="134" t="s">
        <v>1975</v>
      </c>
      <c r="E1511" s="137" t="s">
        <v>114</v>
      </c>
      <c r="F1511" s="135">
        <v>41694</v>
      </c>
      <c r="G1511" s="138" t="s">
        <v>416</v>
      </c>
      <c r="H1511" s="139" t="s">
        <v>560</v>
      </c>
      <c r="I1511" s="140">
        <v>1</v>
      </c>
      <c r="J1511" s="141">
        <v>33370</v>
      </c>
      <c r="K1511" s="141">
        <v>33370</v>
      </c>
      <c r="L1511" s="644"/>
      <c r="M1511" s="659"/>
      <c r="N1511" s="142"/>
      <c r="O1511" s="143"/>
      <c r="P1511" s="143"/>
      <c r="Q1511" s="143"/>
      <c r="R1511" s="143"/>
      <c r="S1511" s="143"/>
      <c r="T1511" s="143"/>
      <c r="U1511" s="143"/>
      <c r="V1511" s="143"/>
      <c r="W1511" s="143"/>
      <c r="X1511" s="143"/>
      <c r="Y1511" s="143"/>
      <c r="Z1511" s="143"/>
      <c r="AA1511" s="143"/>
      <c r="AB1511" s="143"/>
    </row>
    <row r="1512" spans="1:28" s="144" customFormat="1" ht="15" customHeight="1" outlineLevel="1" x14ac:dyDescent="0.2">
      <c r="A1512" s="134">
        <v>17</v>
      </c>
      <c r="B1512" s="134">
        <v>98658</v>
      </c>
      <c r="C1512" s="136" t="s">
        <v>2006</v>
      </c>
      <c r="D1512" s="134" t="s">
        <v>569</v>
      </c>
      <c r="E1512" s="137" t="s">
        <v>534</v>
      </c>
      <c r="F1512" s="135">
        <v>41696</v>
      </c>
      <c r="G1512" s="138" t="s">
        <v>524</v>
      </c>
      <c r="H1512" s="139" t="s">
        <v>580</v>
      </c>
      <c r="I1512" s="140">
        <v>1</v>
      </c>
      <c r="J1512" s="141">
        <v>30429</v>
      </c>
      <c r="K1512" s="141">
        <v>30429</v>
      </c>
      <c r="L1512" s="644"/>
      <c r="M1512" s="659"/>
      <c r="N1512" s="142"/>
      <c r="O1512" s="143"/>
      <c r="P1512" s="143"/>
      <c r="Q1512" s="143"/>
      <c r="R1512" s="143"/>
      <c r="S1512" s="143"/>
      <c r="T1512" s="143"/>
      <c r="U1512" s="143"/>
      <c r="V1512" s="143"/>
      <c r="W1512" s="143"/>
      <c r="X1512" s="143"/>
      <c r="Y1512" s="143"/>
      <c r="Z1512" s="143"/>
      <c r="AA1512" s="143"/>
      <c r="AB1512" s="143"/>
    </row>
    <row r="1513" spans="1:28" s="144" customFormat="1" ht="15" customHeight="1" outlineLevel="1" x14ac:dyDescent="0.2">
      <c r="A1513" s="134">
        <v>18</v>
      </c>
      <c r="B1513" s="134">
        <v>96906</v>
      </c>
      <c r="C1513" s="136" t="s">
        <v>2007</v>
      </c>
      <c r="D1513" s="134" t="s">
        <v>569</v>
      </c>
      <c r="E1513" s="137" t="s">
        <v>534</v>
      </c>
      <c r="F1513" s="135">
        <v>41691</v>
      </c>
      <c r="G1513" s="138" t="s">
        <v>524</v>
      </c>
      <c r="H1513" s="139" t="s">
        <v>580</v>
      </c>
      <c r="I1513" s="140">
        <v>1</v>
      </c>
      <c r="J1513" s="141">
        <v>30429</v>
      </c>
      <c r="K1513" s="141">
        <v>30429</v>
      </c>
      <c r="L1513" s="644"/>
      <c r="M1513" s="659"/>
      <c r="N1513" s="142"/>
      <c r="O1513" s="143"/>
      <c r="P1513" s="143"/>
      <c r="Q1513" s="143"/>
      <c r="R1513" s="143"/>
      <c r="S1513" s="143"/>
      <c r="T1513" s="143"/>
      <c r="U1513" s="143"/>
      <c r="V1513" s="143"/>
      <c r="W1513" s="143"/>
      <c r="X1513" s="143"/>
      <c r="Y1513" s="143"/>
      <c r="Z1513" s="143"/>
      <c r="AA1513" s="143"/>
      <c r="AB1513" s="143"/>
    </row>
    <row r="1514" spans="1:28" s="144" customFormat="1" ht="15" customHeight="1" outlineLevel="1" x14ac:dyDescent="0.2">
      <c r="A1514" s="134">
        <v>19</v>
      </c>
      <c r="B1514" s="134">
        <v>95626</v>
      </c>
      <c r="C1514" s="136" t="s">
        <v>2008</v>
      </c>
      <c r="D1514" s="134" t="s">
        <v>1978</v>
      </c>
      <c r="E1514" s="137" t="s">
        <v>534</v>
      </c>
      <c r="F1514" s="135">
        <v>41682</v>
      </c>
      <c r="G1514" s="138" t="s">
        <v>428</v>
      </c>
      <c r="H1514" s="139"/>
      <c r="I1514" s="140">
        <v>1</v>
      </c>
      <c r="J1514" s="141">
        <v>30429</v>
      </c>
      <c r="K1514" s="141">
        <v>30429</v>
      </c>
      <c r="L1514" s="644"/>
      <c r="M1514" s="659"/>
      <c r="N1514" s="142"/>
      <c r="O1514" s="143"/>
      <c r="P1514" s="143"/>
      <c r="Q1514" s="143"/>
      <c r="R1514" s="143"/>
      <c r="S1514" s="143"/>
      <c r="T1514" s="143"/>
      <c r="U1514" s="143"/>
      <c r="V1514" s="143"/>
      <c r="W1514" s="143"/>
      <c r="X1514" s="143"/>
      <c r="Y1514" s="143"/>
      <c r="Z1514" s="143"/>
      <c r="AA1514" s="143"/>
      <c r="AB1514" s="143"/>
    </row>
    <row r="1515" spans="1:28" s="144" customFormat="1" ht="15" customHeight="1" outlineLevel="1" x14ac:dyDescent="0.2">
      <c r="A1515" s="134">
        <v>20</v>
      </c>
      <c r="B1515" s="134">
        <v>99155</v>
      </c>
      <c r="C1515" s="136" t="s">
        <v>671</v>
      </c>
      <c r="D1515" s="134" t="s">
        <v>569</v>
      </c>
      <c r="E1515" s="137" t="s">
        <v>577</v>
      </c>
      <c r="F1515" s="135">
        <v>41698</v>
      </c>
      <c r="G1515" s="138" t="s">
        <v>368</v>
      </c>
      <c r="H1515" s="139"/>
      <c r="I1515" s="140">
        <v>1</v>
      </c>
      <c r="J1515" s="141">
        <v>25800</v>
      </c>
      <c r="K1515" s="141">
        <v>25800</v>
      </c>
      <c r="L1515" s="644"/>
      <c r="M1515" s="659"/>
      <c r="N1515" s="142"/>
      <c r="O1515" s="143"/>
      <c r="P1515" s="143"/>
      <c r="Q1515" s="143"/>
      <c r="R1515" s="143"/>
      <c r="S1515" s="143"/>
      <c r="T1515" s="143"/>
      <c r="U1515" s="143"/>
      <c r="V1515" s="143"/>
      <c r="W1515" s="143"/>
      <c r="X1515" s="143"/>
      <c r="Y1515" s="143"/>
      <c r="Z1515" s="143"/>
      <c r="AA1515" s="143"/>
      <c r="AB1515" s="143"/>
    </row>
    <row r="1516" spans="1:28" s="144" customFormat="1" ht="15" customHeight="1" outlineLevel="1" x14ac:dyDescent="0.2">
      <c r="A1516" s="134">
        <v>21</v>
      </c>
      <c r="B1516" s="134">
        <v>98634</v>
      </c>
      <c r="C1516" s="136" t="s">
        <v>2009</v>
      </c>
      <c r="D1516" s="134" t="s">
        <v>2010</v>
      </c>
      <c r="E1516" s="137" t="s">
        <v>577</v>
      </c>
      <c r="F1516" s="135">
        <v>41696</v>
      </c>
      <c r="G1516" s="138" t="s">
        <v>368</v>
      </c>
      <c r="H1516" s="139"/>
      <c r="I1516" s="140">
        <v>1</v>
      </c>
      <c r="J1516" s="141">
        <v>25800</v>
      </c>
      <c r="K1516" s="141">
        <v>25800</v>
      </c>
      <c r="L1516" s="644"/>
      <c r="M1516" s="659"/>
      <c r="N1516" s="142"/>
      <c r="O1516" s="143"/>
      <c r="P1516" s="143"/>
      <c r="Q1516" s="143"/>
      <c r="R1516" s="143"/>
      <c r="S1516" s="143"/>
      <c r="T1516" s="143"/>
      <c r="U1516" s="143"/>
      <c r="V1516" s="143"/>
      <c r="W1516" s="143"/>
      <c r="X1516" s="143"/>
      <c r="Y1516" s="143"/>
      <c r="Z1516" s="143"/>
      <c r="AA1516" s="143"/>
      <c r="AB1516" s="143"/>
    </row>
    <row r="1517" spans="1:28" s="144" customFormat="1" ht="15" customHeight="1" outlineLevel="1" x14ac:dyDescent="0.2">
      <c r="A1517" s="134">
        <v>22</v>
      </c>
      <c r="B1517" s="134">
        <v>96295</v>
      </c>
      <c r="C1517" s="136" t="s">
        <v>2011</v>
      </c>
      <c r="D1517" s="134" t="s">
        <v>1978</v>
      </c>
      <c r="E1517" s="137" t="s">
        <v>195</v>
      </c>
      <c r="F1517" s="135">
        <v>41684</v>
      </c>
      <c r="G1517" s="138" t="s">
        <v>2012</v>
      </c>
      <c r="H1517" s="139"/>
      <c r="I1517" s="140">
        <v>6</v>
      </c>
      <c r="J1517" s="141">
        <v>2739</v>
      </c>
      <c r="K1517" s="141">
        <v>16434</v>
      </c>
      <c r="L1517" s="644"/>
      <c r="M1517" s="659"/>
      <c r="N1517" s="142"/>
      <c r="O1517" s="143"/>
      <c r="P1517" s="143"/>
      <c r="Q1517" s="143"/>
      <c r="R1517" s="143"/>
      <c r="S1517" s="143"/>
      <c r="T1517" s="143"/>
      <c r="U1517" s="143"/>
      <c r="V1517" s="143"/>
      <c r="W1517" s="143"/>
      <c r="X1517" s="143"/>
      <c r="Y1517" s="143"/>
      <c r="Z1517" s="143"/>
      <c r="AA1517" s="143"/>
      <c r="AB1517" s="143"/>
    </row>
    <row r="1518" spans="1:28" s="144" customFormat="1" ht="15" customHeight="1" outlineLevel="1" x14ac:dyDescent="0.2">
      <c r="A1518" s="134">
        <v>23</v>
      </c>
      <c r="B1518" s="134">
        <v>97674</v>
      </c>
      <c r="C1518" s="136" t="s">
        <v>2013</v>
      </c>
      <c r="D1518" s="134" t="s">
        <v>569</v>
      </c>
      <c r="E1518" s="137" t="s">
        <v>116</v>
      </c>
      <c r="F1518" s="135">
        <v>41691</v>
      </c>
      <c r="G1518" s="138" t="s">
        <v>368</v>
      </c>
      <c r="H1518" s="139" t="s">
        <v>486</v>
      </c>
      <c r="I1518" s="140">
        <v>1</v>
      </c>
      <c r="J1518" s="141">
        <v>65930</v>
      </c>
      <c r="K1518" s="141">
        <v>65930</v>
      </c>
      <c r="L1518" s="644"/>
      <c r="M1518" s="659"/>
      <c r="N1518" s="142"/>
      <c r="O1518" s="143"/>
      <c r="P1518" s="143"/>
      <c r="Q1518" s="143"/>
      <c r="R1518" s="143"/>
      <c r="S1518" s="143"/>
      <c r="T1518" s="143"/>
      <c r="U1518" s="143"/>
      <c r="V1518" s="143"/>
      <c r="W1518" s="143"/>
      <c r="X1518" s="143"/>
      <c r="Y1518" s="143"/>
      <c r="Z1518" s="143"/>
      <c r="AA1518" s="143"/>
      <c r="AB1518" s="143"/>
    </row>
    <row r="1519" spans="1:28" s="144" customFormat="1" ht="15" customHeight="1" outlineLevel="1" x14ac:dyDescent="0.2">
      <c r="A1519" s="134">
        <v>24</v>
      </c>
      <c r="B1519" s="134">
        <v>96676</v>
      </c>
      <c r="C1519" s="136" t="s">
        <v>2014</v>
      </c>
      <c r="D1519" s="134" t="s">
        <v>569</v>
      </c>
      <c r="E1519" s="137" t="s">
        <v>115</v>
      </c>
      <c r="F1519" s="135">
        <v>41687</v>
      </c>
      <c r="G1519" s="138" t="s">
        <v>404</v>
      </c>
      <c r="H1519" s="139" t="s">
        <v>483</v>
      </c>
      <c r="I1519" s="140">
        <v>1</v>
      </c>
      <c r="J1519" s="141">
        <v>5274</v>
      </c>
      <c r="K1519" s="141">
        <v>5274</v>
      </c>
      <c r="L1519" s="644"/>
      <c r="M1519" s="659"/>
      <c r="N1519" s="142"/>
      <c r="O1519" s="143"/>
      <c r="P1519" s="143"/>
      <c r="Q1519" s="143"/>
      <c r="R1519" s="143"/>
      <c r="S1519" s="143"/>
      <c r="T1519" s="143"/>
      <c r="U1519" s="143"/>
      <c r="V1519" s="143"/>
      <c r="W1519" s="143"/>
      <c r="X1519" s="143"/>
      <c r="Y1519" s="143"/>
      <c r="Z1519" s="143"/>
      <c r="AA1519" s="143"/>
      <c r="AB1519" s="143"/>
    </row>
    <row r="1520" spans="1:28" s="144" customFormat="1" ht="15" customHeight="1" outlineLevel="1" x14ac:dyDescent="0.2">
      <c r="A1520" s="134">
        <v>25</v>
      </c>
      <c r="B1520" s="134">
        <v>96676</v>
      </c>
      <c r="C1520" s="136" t="s">
        <v>2014</v>
      </c>
      <c r="D1520" s="134" t="s">
        <v>569</v>
      </c>
      <c r="E1520" s="137" t="s">
        <v>534</v>
      </c>
      <c r="F1520" s="135">
        <v>41687</v>
      </c>
      <c r="G1520" s="138" t="s">
        <v>416</v>
      </c>
      <c r="H1520" s="139" t="s">
        <v>580</v>
      </c>
      <c r="I1520" s="140">
        <v>1</v>
      </c>
      <c r="J1520" s="141">
        <v>30429</v>
      </c>
      <c r="K1520" s="141">
        <v>30429</v>
      </c>
      <c r="L1520" s="644"/>
      <c r="M1520" s="659"/>
      <c r="N1520" s="142"/>
      <c r="O1520" s="143"/>
      <c r="P1520" s="143"/>
      <c r="Q1520" s="143"/>
      <c r="R1520" s="143"/>
      <c r="S1520" s="143"/>
      <c r="T1520" s="143"/>
      <c r="U1520" s="143"/>
      <c r="V1520" s="143"/>
      <c r="W1520" s="143"/>
      <c r="X1520" s="143"/>
      <c r="Y1520" s="143"/>
      <c r="Z1520" s="143"/>
      <c r="AA1520" s="143"/>
      <c r="AB1520" s="143"/>
    </row>
    <row r="1521" spans="1:28" s="144" customFormat="1" ht="15" customHeight="1" outlineLevel="1" x14ac:dyDescent="0.2">
      <c r="A1521" s="134">
        <v>26</v>
      </c>
      <c r="B1521" s="134">
        <v>94267</v>
      </c>
      <c r="C1521" s="136" t="s">
        <v>2015</v>
      </c>
      <c r="D1521" s="134" t="s">
        <v>1978</v>
      </c>
      <c r="E1521" s="137" t="s">
        <v>577</v>
      </c>
      <c r="F1521" s="135">
        <v>41675</v>
      </c>
      <c r="G1521" s="138" t="s">
        <v>368</v>
      </c>
      <c r="H1521" s="139"/>
      <c r="I1521" s="140">
        <v>1</v>
      </c>
      <c r="J1521" s="141">
        <v>25800</v>
      </c>
      <c r="K1521" s="141">
        <v>25800</v>
      </c>
      <c r="L1521" s="644"/>
      <c r="M1521" s="659"/>
      <c r="N1521" s="142"/>
      <c r="O1521" s="143"/>
      <c r="P1521" s="143"/>
      <c r="Q1521" s="143"/>
      <c r="R1521" s="143"/>
      <c r="S1521" s="143"/>
      <c r="T1521" s="143"/>
      <c r="U1521" s="143"/>
      <c r="V1521" s="143"/>
      <c r="W1521" s="143"/>
      <c r="X1521" s="143"/>
      <c r="Y1521" s="143"/>
      <c r="Z1521" s="143"/>
      <c r="AA1521" s="143"/>
      <c r="AB1521" s="143"/>
    </row>
    <row r="1522" spans="1:28" s="144" customFormat="1" ht="15" customHeight="1" outlineLevel="1" x14ac:dyDescent="0.2">
      <c r="A1522" s="134">
        <v>27</v>
      </c>
      <c r="B1522" s="134">
        <v>95610</v>
      </c>
      <c r="C1522" s="136" t="s">
        <v>2016</v>
      </c>
      <c r="D1522" s="134" t="s">
        <v>569</v>
      </c>
      <c r="E1522" s="137" t="s">
        <v>115</v>
      </c>
      <c r="F1522" s="135">
        <v>41684</v>
      </c>
      <c r="G1522" s="138" t="s">
        <v>1951</v>
      </c>
      <c r="H1522" s="139"/>
      <c r="I1522" s="140">
        <v>2</v>
      </c>
      <c r="J1522" s="141">
        <v>5274</v>
      </c>
      <c r="K1522" s="141">
        <v>10548</v>
      </c>
      <c r="L1522" s="644"/>
      <c r="M1522" s="659"/>
      <c r="N1522" s="142"/>
      <c r="O1522" s="143"/>
      <c r="P1522" s="143"/>
      <c r="Q1522" s="143"/>
      <c r="R1522" s="143"/>
      <c r="S1522" s="143"/>
      <c r="T1522" s="143"/>
      <c r="U1522" s="143"/>
      <c r="V1522" s="143"/>
      <c r="W1522" s="143"/>
      <c r="X1522" s="143"/>
      <c r="Y1522" s="143"/>
      <c r="Z1522" s="143"/>
      <c r="AA1522" s="143"/>
      <c r="AB1522" s="143"/>
    </row>
    <row r="1523" spans="1:28" s="144" customFormat="1" ht="15" customHeight="1" outlineLevel="1" x14ac:dyDescent="0.2">
      <c r="A1523" s="134">
        <v>28</v>
      </c>
      <c r="B1523" s="134">
        <v>86484</v>
      </c>
      <c r="C1523" s="136" t="s">
        <v>2017</v>
      </c>
      <c r="D1523" s="134" t="s">
        <v>1972</v>
      </c>
      <c r="E1523" s="137" t="s">
        <v>114</v>
      </c>
      <c r="F1523" s="135">
        <v>41646</v>
      </c>
      <c r="G1523" s="138" t="s">
        <v>401</v>
      </c>
      <c r="H1523" s="139" t="s">
        <v>2018</v>
      </c>
      <c r="I1523" s="140">
        <v>1</v>
      </c>
      <c r="J1523" s="141">
        <v>33370</v>
      </c>
      <c r="K1523" s="168">
        <v>33370</v>
      </c>
      <c r="L1523" s="644"/>
      <c r="M1523" s="659"/>
      <c r="N1523" s="142"/>
      <c r="O1523" s="143"/>
      <c r="P1523" s="143"/>
      <c r="Q1523" s="143"/>
      <c r="R1523" s="143"/>
      <c r="S1523" s="143"/>
      <c r="T1523" s="143"/>
      <c r="U1523" s="143"/>
      <c r="V1523" s="143"/>
      <c r="W1523" s="143"/>
      <c r="X1523" s="143"/>
      <c r="Y1523" s="143"/>
      <c r="Z1523" s="143"/>
      <c r="AA1523" s="143"/>
      <c r="AB1523" s="143"/>
    </row>
    <row r="1524" spans="1:28" s="144" customFormat="1" ht="15" customHeight="1" outlineLevel="1" x14ac:dyDescent="0.2">
      <c r="A1524" s="134">
        <v>29</v>
      </c>
      <c r="B1524" s="134">
        <v>97340</v>
      </c>
      <c r="C1524" s="136" t="s">
        <v>2019</v>
      </c>
      <c r="D1524" s="134" t="s">
        <v>569</v>
      </c>
      <c r="E1524" s="137" t="s">
        <v>115</v>
      </c>
      <c r="F1524" s="135">
        <v>41690</v>
      </c>
      <c r="G1524" s="138" t="s">
        <v>414</v>
      </c>
      <c r="H1524" s="139" t="s">
        <v>486</v>
      </c>
      <c r="I1524" s="140">
        <v>1</v>
      </c>
      <c r="J1524" s="141">
        <v>5274</v>
      </c>
      <c r="K1524" s="141">
        <v>5274</v>
      </c>
      <c r="L1524" s="644"/>
      <c r="M1524" s="659"/>
      <c r="N1524" s="142"/>
      <c r="O1524" s="143"/>
      <c r="P1524" s="143"/>
      <c r="Q1524" s="143"/>
      <c r="R1524" s="143"/>
      <c r="S1524" s="143"/>
      <c r="T1524" s="143"/>
      <c r="U1524" s="143"/>
      <c r="V1524" s="143"/>
      <c r="W1524" s="143"/>
      <c r="X1524" s="143"/>
      <c r="Y1524" s="143"/>
      <c r="Z1524" s="143"/>
      <c r="AA1524" s="143"/>
      <c r="AB1524" s="143"/>
    </row>
    <row r="1525" spans="1:28" s="144" customFormat="1" ht="15" customHeight="1" outlineLevel="1" x14ac:dyDescent="0.2">
      <c r="A1525" s="134">
        <v>30</v>
      </c>
      <c r="B1525" s="134">
        <v>97715</v>
      </c>
      <c r="C1525" s="136" t="s">
        <v>2020</v>
      </c>
      <c r="D1525" s="134" t="s">
        <v>569</v>
      </c>
      <c r="E1525" s="137" t="s">
        <v>115</v>
      </c>
      <c r="F1525" s="135">
        <v>41694</v>
      </c>
      <c r="G1525" s="138" t="s">
        <v>508</v>
      </c>
      <c r="H1525" s="139" t="s">
        <v>486</v>
      </c>
      <c r="I1525" s="140">
        <v>1</v>
      </c>
      <c r="J1525" s="141">
        <v>5274</v>
      </c>
      <c r="K1525" s="141">
        <v>5274</v>
      </c>
      <c r="L1525" s="644"/>
      <c r="M1525" s="659"/>
      <c r="N1525" s="142"/>
      <c r="O1525" s="143"/>
      <c r="P1525" s="143"/>
      <c r="Q1525" s="143"/>
      <c r="R1525" s="143"/>
      <c r="S1525" s="143"/>
      <c r="T1525" s="143"/>
      <c r="U1525" s="143"/>
      <c r="V1525" s="143"/>
      <c r="W1525" s="143"/>
      <c r="X1525" s="143"/>
      <c r="Y1525" s="143"/>
      <c r="Z1525" s="143"/>
      <c r="AA1525" s="143"/>
      <c r="AB1525" s="143"/>
    </row>
    <row r="1526" spans="1:28" s="144" customFormat="1" ht="15" customHeight="1" outlineLevel="1" x14ac:dyDescent="0.2">
      <c r="A1526" s="134">
        <v>31</v>
      </c>
      <c r="B1526" s="134">
        <v>96255</v>
      </c>
      <c r="C1526" s="136" t="s">
        <v>2021</v>
      </c>
      <c r="D1526" s="134" t="s">
        <v>569</v>
      </c>
      <c r="E1526" s="137" t="s">
        <v>534</v>
      </c>
      <c r="F1526" s="135">
        <v>41683</v>
      </c>
      <c r="G1526" s="138" t="s">
        <v>524</v>
      </c>
      <c r="H1526" s="139" t="s">
        <v>560</v>
      </c>
      <c r="I1526" s="140">
        <v>1</v>
      </c>
      <c r="J1526" s="141">
        <v>30429</v>
      </c>
      <c r="K1526" s="141">
        <v>30429</v>
      </c>
      <c r="L1526" s="644"/>
      <c r="M1526" s="659"/>
      <c r="N1526" s="142"/>
      <c r="O1526" s="143"/>
      <c r="P1526" s="143"/>
      <c r="Q1526" s="143"/>
      <c r="R1526" s="143"/>
      <c r="S1526" s="143"/>
      <c r="T1526" s="143"/>
      <c r="U1526" s="143"/>
      <c r="V1526" s="143"/>
      <c r="W1526" s="143"/>
      <c r="X1526" s="143"/>
      <c r="Y1526" s="143"/>
      <c r="Z1526" s="143"/>
      <c r="AA1526" s="143"/>
      <c r="AB1526" s="143"/>
    </row>
    <row r="1527" spans="1:28" s="144" customFormat="1" ht="15" customHeight="1" outlineLevel="1" x14ac:dyDescent="0.2">
      <c r="A1527" s="134">
        <v>32</v>
      </c>
      <c r="B1527" s="134">
        <v>95671</v>
      </c>
      <c r="C1527" s="136" t="s">
        <v>2022</v>
      </c>
      <c r="D1527" s="134" t="s">
        <v>569</v>
      </c>
      <c r="E1527" s="137" t="s">
        <v>534</v>
      </c>
      <c r="F1527" s="135">
        <v>41682</v>
      </c>
      <c r="G1527" s="138" t="s">
        <v>559</v>
      </c>
      <c r="H1527" s="139" t="s">
        <v>560</v>
      </c>
      <c r="I1527" s="140">
        <v>1</v>
      </c>
      <c r="J1527" s="141">
        <v>30429</v>
      </c>
      <c r="K1527" s="141">
        <v>30429</v>
      </c>
      <c r="L1527" s="644"/>
      <c r="M1527" s="659"/>
      <c r="N1527" s="142"/>
      <c r="O1527" s="143"/>
      <c r="P1527" s="143"/>
      <c r="Q1527" s="143"/>
      <c r="R1527" s="143"/>
      <c r="S1527" s="143"/>
      <c r="T1527" s="143"/>
      <c r="U1527" s="143"/>
      <c r="V1527" s="143"/>
      <c r="W1527" s="143"/>
      <c r="X1527" s="143"/>
      <c r="Y1527" s="143"/>
      <c r="Z1527" s="143"/>
      <c r="AA1527" s="143"/>
      <c r="AB1527" s="143"/>
    </row>
    <row r="1528" spans="1:28" s="144" customFormat="1" ht="15" customHeight="1" outlineLevel="1" x14ac:dyDescent="0.2">
      <c r="A1528" s="134">
        <v>33</v>
      </c>
      <c r="B1528" s="134">
        <v>96569</v>
      </c>
      <c r="C1528" s="136" t="s">
        <v>2023</v>
      </c>
      <c r="D1528" s="134" t="s">
        <v>1978</v>
      </c>
      <c r="E1528" s="137" t="s">
        <v>195</v>
      </c>
      <c r="F1528" s="135">
        <v>41684</v>
      </c>
      <c r="G1528" s="138" t="s">
        <v>2012</v>
      </c>
      <c r="H1528" s="139"/>
      <c r="I1528" s="140">
        <v>6</v>
      </c>
      <c r="J1528" s="141">
        <v>2739</v>
      </c>
      <c r="K1528" s="141">
        <v>16434</v>
      </c>
      <c r="L1528" s="644"/>
      <c r="M1528" s="659"/>
      <c r="N1528" s="142"/>
      <c r="O1528" s="143"/>
      <c r="P1528" s="143"/>
      <c r="Q1528" s="143"/>
      <c r="R1528" s="143"/>
      <c r="S1528" s="143"/>
      <c r="T1528" s="143"/>
      <c r="U1528" s="143"/>
      <c r="V1528" s="143"/>
      <c r="W1528" s="143"/>
      <c r="X1528" s="143"/>
      <c r="Y1528" s="143"/>
      <c r="Z1528" s="143"/>
      <c r="AA1528" s="143"/>
      <c r="AB1528" s="143"/>
    </row>
    <row r="1529" spans="1:28" s="144" customFormat="1" ht="15" customHeight="1" outlineLevel="1" x14ac:dyDescent="0.2">
      <c r="A1529" s="134">
        <v>34</v>
      </c>
      <c r="B1529" s="134">
        <v>96739</v>
      </c>
      <c r="C1529" s="136" t="s">
        <v>2024</v>
      </c>
      <c r="D1529" s="134" t="s">
        <v>569</v>
      </c>
      <c r="E1529" s="137" t="s">
        <v>115</v>
      </c>
      <c r="F1529" s="135">
        <v>41689</v>
      </c>
      <c r="G1529" s="138" t="s">
        <v>559</v>
      </c>
      <c r="H1529" s="139" t="s">
        <v>486</v>
      </c>
      <c r="I1529" s="140">
        <v>1</v>
      </c>
      <c r="J1529" s="141">
        <v>5274</v>
      </c>
      <c r="K1529" s="141">
        <v>5274</v>
      </c>
      <c r="L1529" s="645"/>
      <c r="M1529" s="660"/>
      <c r="N1529" s="142"/>
      <c r="O1529" s="143"/>
      <c r="P1529" s="143"/>
      <c r="Q1529" s="143"/>
      <c r="R1529" s="143"/>
      <c r="S1529" s="143"/>
      <c r="T1529" s="143"/>
      <c r="U1529" s="143"/>
      <c r="V1529" s="143"/>
      <c r="W1529" s="143"/>
      <c r="X1529" s="143"/>
      <c r="Y1529" s="143"/>
      <c r="Z1529" s="143"/>
      <c r="AA1529" s="143"/>
      <c r="AB1529" s="143"/>
    </row>
    <row r="1530" spans="1:28" s="133" customFormat="1" ht="15" customHeight="1" outlineLevel="1" x14ac:dyDescent="0.2">
      <c r="A1530" s="121">
        <v>0</v>
      </c>
      <c r="B1530" s="121">
        <v>98846</v>
      </c>
      <c r="C1530" s="123" t="s">
        <v>2025</v>
      </c>
      <c r="D1530" s="121" t="s">
        <v>1975</v>
      </c>
      <c r="E1530" s="124" t="s">
        <v>534</v>
      </c>
      <c r="F1530" s="122">
        <v>41695</v>
      </c>
      <c r="G1530" s="125" t="s">
        <v>524</v>
      </c>
      <c r="H1530" s="126" t="s">
        <v>551</v>
      </c>
      <c r="I1530" s="127">
        <v>1</v>
      </c>
      <c r="J1530" s="128">
        <v>30429</v>
      </c>
      <c r="K1530" s="206">
        <v>30429</v>
      </c>
      <c r="L1530" s="633" t="s">
        <v>578</v>
      </c>
      <c r="M1530" s="167" t="s">
        <v>42</v>
      </c>
      <c r="N1530" s="131"/>
      <c r="O1530" s="132"/>
      <c r="P1530" s="132"/>
      <c r="Q1530" s="132"/>
      <c r="R1530" s="132"/>
      <c r="S1530" s="132"/>
      <c r="T1530" s="132"/>
      <c r="U1530" s="132"/>
      <c r="V1530" s="132"/>
      <c r="W1530" s="132"/>
      <c r="X1530" s="132"/>
      <c r="Y1530" s="132"/>
      <c r="Z1530" s="132"/>
      <c r="AA1530" s="132"/>
      <c r="AB1530" s="132"/>
    </row>
    <row r="1531" spans="1:28" s="133" customFormat="1" ht="15" customHeight="1" outlineLevel="1" x14ac:dyDescent="0.2">
      <c r="A1531" s="121">
        <v>1</v>
      </c>
      <c r="B1531" s="121">
        <v>3454</v>
      </c>
      <c r="C1531" s="123" t="s">
        <v>2026</v>
      </c>
      <c r="D1531" s="121" t="s">
        <v>569</v>
      </c>
      <c r="E1531" s="124" t="s">
        <v>221</v>
      </c>
      <c r="F1531" s="122">
        <v>41717</v>
      </c>
      <c r="G1531" s="125" t="s">
        <v>368</v>
      </c>
      <c r="H1531" s="126" t="s">
        <v>486</v>
      </c>
      <c r="I1531" s="127">
        <v>1</v>
      </c>
      <c r="J1531" s="128">
        <v>40572</v>
      </c>
      <c r="K1531" s="128">
        <v>40572</v>
      </c>
      <c r="L1531" s="634"/>
      <c r="M1531" s="167" t="s">
        <v>42</v>
      </c>
      <c r="N1531" s="131"/>
      <c r="O1531" s="132"/>
      <c r="P1531" s="132"/>
      <c r="Q1531" s="132"/>
      <c r="R1531" s="132"/>
      <c r="S1531" s="132"/>
      <c r="T1531" s="132"/>
      <c r="U1531" s="132"/>
      <c r="V1531" s="132"/>
      <c r="W1531" s="132"/>
      <c r="X1531" s="132"/>
      <c r="Y1531" s="132"/>
      <c r="Z1531" s="132"/>
      <c r="AA1531" s="132"/>
      <c r="AB1531" s="132"/>
    </row>
    <row r="1532" spans="1:28" s="133" customFormat="1" ht="15" customHeight="1" outlineLevel="1" x14ac:dyDescent="0.2">
      <c r="A1532" s="121">
        <v>2</v>
      </c>
      <c r="B1532" s="121">
        <v>3875</v>
      </c>
      <c r="C1532" s="123" t="s">
        <v>2027</v>
      </c>
      <c r="D1532" s="121" t="s">
        <v>569</v>
      </c>
      <c r="E1532" s="124" t="s">
        <v>114</v>
      </c>
      <c r="F1532" s="122">
        <v>41718</v>
      </c>
      <c r="G1532" s="125" t="s">
        <v>442</v>
      </c>
      <c r="H1532" s="126" t="s">
        <v>560</v>
      </c>
      <c r="I1532" s="127">
        <v>1</v>
      </c>
      <c r="J1532" s="128">
        <v>33370</v>
      </c>
      <c r="K1532" s="128">
        <v>33370</v>
      </c>
      <c r="L1532" s="634"/>
      <c r="M1532" s="167" t="s">
        <v>42</v>
      </c>
      <c r="N1532" s="131"/>
      <c r="O1532" s="132"/>
      <c r="P1532" s="132"/>
      <c r="Q1532" s="132"/>
      <c r="R1532" s="132"/>
      <c r="S1532" s="132"/>
      <c r="T1532" s="132"/>
      <c r="U1532" s="132"/>
      <c r="V1532" s="132"/>
      <c r="W1532" s="132"/>
      <c r="X1532" s="132"/>
      <c r="Y1532" s="132"/>
      <c r="Z1532" s="132"/>
      <c r="AA1532" s="132"/>
      <c r="AB1532" s="132"/>
    </row>
    <row r="1533" spans="1:28" s="133" customFormat="1" ht="26.25" customHeight="1" outlineLevel="1" x14ac:dyDescent="0.2">
      <c r="A1533" s="121">
        <v>3</v>
      </c>
      <c r="B1533" s="121">
        <v>87257</v>
      </c>
      <c r="C1533" s="123" t="s">
        <v>2028</v>
      </c>
      <c r="D1533" s="121" t="s">
        <v>1985</v>
      </c>
      <c r="E1533" s="124" t="s">
        <v>190</v>
      </c>
      <c r="F1533" s="122">
        <v>41648</v>
      </c>
      <c r="G1533" s="125" t="s">
        <v>397</v>
      </c>
      <c r="H1533" s="126" t="s">
        <v>2029</v>
      </c>
      <c r="I1533" s="127">
        <v>2</v>
      </c>
      <c r="J1533" s="128">
        <v>57960</v>
      </c>
      <c r="K1533" s="215" t="s">
        <v>2030</v>
      </c>
      <c r="L1533" s="634"/>
      <c r="M1533" s="167" t="s">
        <v>42</v>
      </c>
      <c r="N1533" s="131"/>
      <c r="O1533" s="132"/>
      <c r="P1533" s="132"/>
      <c r="Q1533" s="132"/>
      <c r="R1533" s="132"/>
      <c r="S1533" s="132"/>
      <c r="T1533" s="132"/>
      <c r="U1533" s="132"/>
      <c r="V1533" s="132"/>
      <c r="W1533" s="132"/>
      <c r="X1533" s="132"/>
      <c r="Y1533" s="132"/>
      <c r="Z1533" s="132"/>
      <c r="AA1533" s="132"/>
      <c r="AB1533" s="132"/>
    </row>
    <row r="1534" spans="1:28" s="133" customFormat="1" ht="15" customHeight="1" outlineLevel="1" x14ac:dyDescent="0.2">
      <c r="A1534" s="121">
        <v>4</v>
      </c>
      <c r="B1534" s="121">
        <v>4496</v>
      </c>
      <c r="C1534" s="123" t="s">
        <v>2031</v>
      </c>
      <c r="D1534" s="121" t="s">
        <v>1972</v>
      </c>
      <c r="E1534" s="124" t="s">
        <v>679</v>
      </c>
      <c r="F1534" s="122">
        <v>41722</v>
      </c>
      <c r="G1534" s="125" t="s">
        <v>368</v>
      </c>
      <c r="H1534" s="126" t="s">
        <v>2032</v>
      </c>
      <c r="I1534" s="127">
        <v>1</v>
      </c>
      <c r="J1534" s="128">
        <v>55058</v>
      </c>
      <c r="K1534" s="128">
        <v>55058</v>
      </c>
      <c r="L1534" s="634"/>
      <c r="M1534" s="167" t="s">
        <v>42</v>
      </c>
      <c r="N1534" s="131"/>
      <c r="O1534" s="132"/>
      <c r="P1534" s="132"/>
      <c r="Q1534" s="132"/>
      <c r="R1534" s="132"/>
      <c r="S1534" s="132"/>
      <c r="T1534" s="132"/>
      <c r="U1534" s="132"/>
      <c r="V1534" s="132"/>
      <c r="W1534" s="132"/>
      <c r="X1534" s="132"/>
      <c r="Y1534" s="132"/>
      <c r="Z1534" s="132"/>
      <c r="AA1534" s="132"/>
      <c r="AB1534" s="132"/>
    </row>
    <row r="1535" spans="1:28" s="133" customFormat="1" ht="15" customHeight="1" outlineLevel="1" x14ac:dyDescent="0.2">
      <c r="A1535" s="121">
        <v>5</v>
      </c>
      <c r="B1535" s="121">
        <v>98204</v>
      </c>
      <c r="C1535" s="123" t="s">
        <v>2033</v>
      </c>
      <c r="D1535" s="121" t="s">
        <v>2010</v>
      </c>
      <c r="E1535" s="124" t="s">
        <v>577</v>
      </c>
      <c r="F1535" s="122">
        <v>41696</v>
      </c>
      <c r="G1535" s="125" t="s">
        <v>368</v>
      </c>
      <c r="H1535" s="126"/>
      <c r="I1535" s="127">
        <v>1</v>
      </c>
      <c r="J1535" s="128">
        <v>25800</v>
      </c>
      <c r="K1535" s="206">
        <v>25800</v>
      </c>
      <c r="L1535" s="634"/>
      <c r="M1535" s="167" t="s">
        <v>42</v>
      </c>
      <c r="N1535" s="131"/>
      <c r="O1535" s="132"/>
      <c r="P1535" s="132"/>
      <c r="Q1535" s="132"/>
      <c r="R1535" s="132"/>
      <c r="S1535" s="132"/>
      <c r="T1535" s="132"/>
      <c r="U1535" s="132"/>
      <c r="V1535" s="132"/>
      <c r="W1535" s="132"/>
      <c r="X1535" s="132"/>
      <c r="Y1535" s="132"/>
      <c r="Z1535" s="132"/>
      <c r="AA1535" s="132"/>
      <c r="AB1535" s="132"/>
    </row>
    <row r="1536" spans="1:28" s="133" customFormat="1" ht="15" customHeight="1" outlineLevel="1" x14ac:dyDescent="0.2">
      <c r="A1536" s="121">
        <v>6</v>
      </c>
      <c r="B1536" s="121">
        <v>1881</v>
      </c>
      <c r="C1536" s="123" t="s">
        <v>2034</v>
      </c>
      <c r="D1536" s="121" t="s">
        <v>1972</v>
      </c>
      <c r="E1536" s="124" t="s">
        <v>186</v>
      </c>
      <c r="F1536" s="122">
        <v>41715</v>
      </c>
      <c r="G1536" s="125" t="s">
        <v>1877</v>
      </c>
      <c r="H1536" s="126" t="s">
        <v>1991</v>
      </c>
      <c r="I1536" s="127">
        <v>4</v>
      </c>
      <c r="J1536" s="128">
        <v>42601</v>
      </c>
      <c r="K1536" s="128">
        <v>170404</v>
      </c>
      <c r="L1536" s="634"/>
      <c r="M1536" s="167" t="s">
        <v>42</v>
      </c>
      <c r="N1536" s="131"/>
      <c r="O1536" s="132"/>
      <c r="P1536" s="132"/>
      <c r="Q1536" s="132"/>
      <c r="R1536" s="132"/>
      <c r="S1536" s="132"/>
      <c r="T1536" s="132"/>
      <c r="U1536" s="132"/>
      <c r="V1536" s="132"/>
      <c r="W1536" s="132"/>
      <c r="X1536" s="132"/>
      <c r="Y1536" s="132"/>
      <c r="Z1536" s="132"/>
      <c r="AA1536" s="132"/>
      <c r="AB1536" s="132"/>
    </row>
    <row r="1537" spans="1:28" s="133" customFormat="1" ht="15" customHeight="1" outlineLevel="1" x14ac:dyDescent="0.2">
      <c r="A1537" s="121">
        <v>7</v>
      </c>
      <c r="B1537" s="121">
        <v>96410</v>
      </c>
      <c r="C1537" s="123" t="s">
        <v>2035</v>
      </c>
      <c r="D1537" s="121" t="s">
        <v>2036</v>
      </c>
      <c r="E1537" s="124" t="s">
        <v>577</v>
      </c>
      <c r="F1537" s="122">
        <v>41684</v>
      </c>
      <c r="G1537" s="125" t="s">
        <v>368</v>
      </c>
      <c r="H1537" s="126"/>
      <c r="I1537" s="127">
        <v>1</v>
      </c>
      <c r="J1537" s="128">
        <v>25800</v>
      </c>
      <c r="K1537" s="206">
        <v>25800</v>
      </c>
      <c r="L1537" s="634"/>
      <c r="M1537" s="167" t="s">
        <v>42</v>
      </c>
      <c r="N1537" s="131"/>
      <c r="O1537" s="132"/>
      <c r="P1537" s="132"/>
      <c r="Q1537" s="132"/>
      <c r="R1537" s="132"/>
      <c r="S1537" s="132"/>
      <c r="T1537" s="132"/>
      <c r="U1537" s="132"/>
      <c r="V1537" s="132"/>
      <c r="W1537" s="132"/>
      <c r="X1537" s="132"/>
      <c r="Y1537" s="132"/>
      <c r="Z1537" s="132"/>
      <c r="AA1537" s="132"/>
      <c r="AB1537" s="132"/>
    </row>
    <row r="1538" spans="1:28" s="133" customFormat="1" ht="15" customHeight="1" outlineLevel="1" x14ac:dyDescent="0.2">
      <c r="A1538" s="121">
        <v>8</v>
      </c>
      <c r="B1538" s="121">
        <v>70348</v>
      </c>
      <c r="C1538" s="123" t="s">
        <v>2037</v>
      </c>
      <c r="D1538" s="121" t="s">
        <v>859</v>
      </c>
      <c r="E1538" s="124" t="s">
        <v>208</v>
      </c>
      <c r="F1538" s="122">
        <v>41589</v>
      </c>
      <c r="G1538" s="125" t="s">
        <v>508</v>
      </c>
      <c r="H1538" s="126"/>
      <c r="I1538" s="127">
        <v>1</v>
      </c>
      <c r="J1538" s="128">
        <v>14099</v>
      </c>
      <c r="K1538" s="209" t="s">
        <v>1012</v>
      </c>
      <c r="L1538" s="634"/>
      <c r="M1538" s="167" t="s">
        <v>42</v>
      </c>
      <c r="N1538" s="131"/>
      <c r="O1538" s="132"/>
      <c r="P1538" s="132"/>
      <c r="Q1538" s="132"/>
      <c r="R1538" s="132"/>
      <c r="S1538" s="132"/>
      <c r="T1538" s="132"/>
      <c r="U1538" s="132"/>
      <c r="V1538" s="132"/>
      <c r="W1538" s="132"/>
      <c r="X1538" s="132"/>
      <c r="Y1538" s="132"/>
      <c r="Z1538" s="132"/>
      <c r="AA1538" s="132"/>
      <c r="AB1538" s="132"/>
    </row>
    <row r="1539" spans="1:28" s="133" customFormat="1" ht="15" customHeight="1" outlineLevel="1" x14ac:dyDescent="0.2">
      <c r="A1539" s="121">
        <v>9</v>
      </c>
      <c r="B1539" s="121">
        <v>97054</v>
      </c>
      <c r="C1539" s="123" t="s">
        <v>2038</v>
      </c>
      <c r="D1539" s="121" t="s">
        <v>569</v>
      </c>
      <c r="E1539" s="124" t="s">
        <v>114</v>
      </c>
      <c r="F1539" s="122">
        <v>41689</v>
      </c>
      <c r="G1539" s="125" t="s">
        <v>414</v>
      </c>
      <c r="H1539" s="126" t="s">
        <v>580</v>
      </c>
      <c r="I1539" s="127">
        <v>1</v>
      </c>
      <c r="J1539" s="128">
        <v>33370</v>
      </c>
      <c r="K1539" s="206">
        <v>33370</v>
      </c>
      <c r="L1539" s="634"/>
      <c r="M1539" s="167" t="s">
        <v>42</v>
      </c>
      <c r="N1539" s="131"/>
      <c r="O1539" s="132"/>
      <c r="P1539" s="132"/>
      <c r="Q1539" s="132"/>
      <c r="R1539" s="132"/>
      <c r="S1539" s="132"/>
      <c r="T1539" s="132"/>
      <c r="U1539" s="132"/>
      <c r="V1539" s="132"/>
      <c r="W1539" s="132"/>
      <c r="X1539" s="132"/>
      <c r="Y1539" s="132"/>
      <c r="Z1539" s="132"/>
      <c r="AA1539" s="132"/>
      <c r="AB1539" s="132"/>
    </row>
    <row r="1540" spans="1:28" s="133" customFormat="1" ht="15" customHeight="1" outlineLevel="1" x14ac:dyDescent="0.2">
      <c r="A1540" s="121">
        <v>10</v>
      </c>
      <c r="B1540" s="121">
        <v>83585</v>
      </c>
      <c r="C1540" s="123" t="s">
        <v>2039</v>
      </c>
      <c r="D1540" s="121" t="s">
        <v>1975</v>
      </c>
      <c r="E1540" s="124" t="s">
        <v>115</v>
      </c>
      <c r="F1540" s="122">
        <v>41632</v>
      </c>
      <c r="G1540" s="125" t="s">
        <v>559</v>
      </c>
      <c r="H1540" s="126" t="s">
        <v>486</v>
      </c>
      <c r="I1540" s="127">
        <v>1</v>
      </c>
      <c r="J1540" s="128">
        <v>5274</v>
      </c>
      <c r="K1540" s="209" t="s">
        <v>1012</v>
      </c>
      <c r="L1540" s="634"/>
      <c r="M1540" s="167" t="s">
        <v>42</v>
      </c>
      <c r="N1540" s="131"/>
      <c r="O1540" s="132"/>
      <c r="P1540" s="132"/>
      <c r="Q1540" s="132"/>
      <c r="R1540" s="132"/>
      <c r="S1540" s="132"/>
      <c r="T1540" s="132"/>
      <c r="U1540" s="132"/>
      <c r="V1540" s="132"/>
      <c r="W1540" s="132"/>
      <c r="X1540" s="132"/>
      <c r="Y1540" s="132"/>
      <c r="Z1540" s="132"/>
      <c r="AA1540" s="132"/>
      <c r="AB1540" s="132"/>
    </row>
    <row r="1541" spans="1:28" s="133" customFormat="1" ht="15" customHeight="1" outlineLevel="1" x14ac:dyDescent="0.2">
      <c r="A1541" s="121">
        <v>11</v>
      </c>
      <c r="B1541" s="121">
        <v>99097</v>
      </c>
      <c r="C1541" s="123" t="s">
        <v>804</v>
      </c>
      <c r="D1541" s="121" t="s">
        <v>569</v>
      </c>
      <c r="E1541" s="124" t="s">
        <v>114</v>
      </c>
      <c r="F1541" s="122">
        <v>41698</v>
      </c>
      <c r="G1541" s="125" t="s">
        <v>439</v>
      </c>
      <c r="H1541" s="126" t="s">
        <v>639</v>
      </c>
      <c r="I1541" s="127">
        <v>1</v>
      </c>
      <c r="J1541" s="128">
        <v>33370</v>
      </c>
      <c r="K1541" s="206">
        <v>33370</v>
      </c>
      <c r="L1541" s="634"/>
      <c r="M1541" s="167" t="s">
        <v>42</v>
      </c>
      <c r="N1541" s="131"/>
      <c r="O1541" s="132"/>
      <c r="P1541" s="132"/>
      <c r="Q1541" s="132"/>
      <c r="R1541" s="132"/>
      <c r="S1541" s="132"/>
      <c r="T1541" s="132"/>
      <c r="U1541" s="132"/>
      <c r="V1541" s="132"/>
      <c r="W1541" s="132"/>
      <c r="X1541" s="132"/>
      <c r="Y1541" s="132"/>
      <c r="Z1541" s="132"/>
      <c r="AA1541" s="132"/>
      <c r="AB1541" s="132"/>
    </row>
    <row r="1542" spans="1:28" s="133" customFormat="1" ht="15" customHeight="1" outlineLevel="1" x14ac:dyDescent="0.2">
      <c r="A1542" s="121">
        <v>12</v>
      </c>
      <c r="B1542" s="121">
        <v>97691</v>
      </c>
      <c r="C1542" s="123" t="s">
        <v>2040</v>
      </c>
      <c r="D1542" s="121" t="s">
        <v>569</v>
      </c>
      <c r="E1542" s="124" t="s">
        <v>115</v>
      </c>
      <c r="F1542" s="122">
        <v>41694</v>
      </c>
      <c r="G1542" s="125" t="s">
        <v>469</v>
      </c>
      <c r="H1542" s="126" t="s">
        <v>486</v>
      </c>
      <c r="I1542" s="127">
        <v>1</v>
      </c>
      <c r="J1542" s="128">
        <v>5274</v>
      </c>
      <c r="K1542" s="206">
        <v>5274</v>
      </c>
      <c r="L1542" s="634"/>
      <c r="M1542" s="167" t="s">
        <v>42</v>
      </c>
      <c r="N1542" s="131"/>
      <c r="O1542" s="132"/>
      <c r="P1542" s="132"/>
      <c r="Q1542" s="132"/>
      <c r="R1542" s="132"/>
      <c r="S1542" s="132"/>
      <c r="T1542" s="132"/>
      <c r="U1542" s="132"/>
      <c r="V1542" s="132"/>
      <c r="W1542" s="132"/>
      <c r="X1542" s="132"/>
      <c r="Y1542" s="132"/>
      <c r="Z1542" s="132"/>
      <c r="AA1542" s="132"/>
      <c r="AB1542" s="132"/>
    </row>
    <row r="1543" spans="1:28" s="133" customFormat="1" ht="15" customHeight="1" outlineLevel="1" x14ac:dyDescent="0.2">
      <c r="A1543" s="121">
        <v>13</v>
      </c>
      <c r="B1543" s="121">
        <v>82237</v>
      </c>
      <c r="C1543" s="123" t="s">
        <v>2041</v>
      </c>
      <c r="D1543" s="121" t="s">
        <v>1985</v>
      </c>
      <c r="E1543" s="124" t="s">
        <v>114</v>
      </c>
      <c r="F1543" s="122">
        <v>41667</v>
      </c>
      <c r="G1543" s="125" t="s">
        <v>1353</v>
      </c>
      <c r="H1543" s="126" t="s">
        <v>560</v>
      </c>
      <c r="I1543" s="127">
        <v>2</v>
      </c>
      <c r="J1543" s="128">
        <v>33370</v>
      </c>
      <c r="K1543" s="206">
        <v>66740</v>
      </c>
      <c r="L1543" s="634"/>
      <c r="M1543" s="167" t="s">
        <v>42</v>
      </c>
      <c r="N1543" s="131"/>
      <c r="O1543" s="132"/>
      <c r="P1543" s="132"/>
      <c r="Q1543" s="132"/>
      <c r="R1543" s="132"/>
      <c r="S1543" s="132"/>
      <c r="T1543" s="132"/>
      <c r="U1543" s="132"/>
      <c r="V1543" s="132"/>
      <c r="W1543" s="132"/>
      <c r="X1543" s="132"/>
      <c r="Y1543" s="132"/>
      <c r="Z1543" s="132"/>
      <c r="AA1543" s="132"/>
      <c r="AB1543" s="132"/>
    </row>
    <row r="1544" spans="1:28" s="133" customFormat="1" ht="15" customHeight="1" outlineLevel="1" x14ac:dyDescent="0.2">
      <c r="A1544" s="121">
        <v>14</v>
      </c>
      <c r="B1544" s="121">
        <v>96132</v>
      </c>
      <c r="C1544" s="123" t="s">
        <v>2042</v>
      </c>
      <c r="D1544" s="121" t="s">
        <v>1978</v>
      </c>
      <c r="E1544" s="124" t="s">
        <v>577</v>
      </c>
      <c r="F1544" s="122">
        <v>41684</v>
      </c>
      <c r="G1544" s="125" t="s">
        <v>368</v>
      </c>
      <c r="H1544" s="126"/>
      <c r="I1544" s="127">
        <v>1</v>
      </c>
      <c r="J1544" s="128">
        <v>25800</v>
      </c>
      <c r="K1544" s="209" t="s">
        <v>1567</v>
      </c>
      <c r="L1544" s="634"/>
      <c r="M1544" s="167" t="s">
        <v>42</v>
      </c>
      <c r="N1544" s="131"/>
      <c r="O1544" s="132"/>
      <c r="P1544" s="132"/>
      <c r="Q1544" s="132"/>
      <c r="R1544" s="132"/>
      <c r="S1544" s="132"/>
      <c r="T1544" s="132"/>
      <c r="U1544" s="132"/>
      <c r="V1544" s="132"/>
      <c r="W1544" s="132"/>
      <c r="X1544" s="132"/>
      <c r="Y1544" s="132"/>
      <c r="Z1544" s="132"/>
      <c r="AA1544" s="132"/>
      <c r="AB1544" s="132"/>
    </row>
    <row r="1545" spans="1:28" s="133" customFormat="1" ht="15" customHeight="1" outlineLevel="1" x14ac:dyDescent="0.2">
      <c r="A1545" s="121">
        <v>15</v>
      </c>
      <c r="B1545" s="121">
        <v>96065</v>
      </c>
      <c r="C1545" s="123" t="s">
        <v>2043</v>
      </c>
      <c r="D1545" s="121" t="s">
        <v>1995</v>
      </c>
      <c r="E1545" s="124" t="s">
        <v>577</v>
      </c>
      <c r="F1545" s="122">
        <v>41683</v>
      </c>
      <c r="G1545" s="125" t="s">
        <v>368</v>
      </c>
      <c r="H1545" s="126"/>
      <c r="I1545" s="127">
        <v>1</v>
      </c>
      <c r="J1545" s="128">
        <v>25800</v>
      </c>
      <c r="K1545" s="206">
        <v>25800</v>
      </c>
      <c r="L1545" s="635"/>
      <c r="M1545" s="167" t="s">
        <v>42</v>
      </c>
      <c r="N1545" s="131"/>
      <c r="O1545" s="132"/>
      <c r="P1545" s="132"/>
      <c r="Q1545" s="132"/>
      <c r="R1545" s="132"/>
      <c r="S1545" s="132"/>
      <c r="T1545" s="132"/>
      <c r="U1545" s="132"/>
      <c r="V1545" s="132"/>
      <c r="W1545" s="132"/>
      <c r="X1545" s="132"/>
      <c r="Y1545" s="132"/>
      <c r="Z1545" s="132"/>
      <c r="AA1545" s="132"/>
      <c r="AB1545" s="132"/>
    </row>
    <row r="1546" spans="1:28" s="133" customFormat="1" ht="69" customHeight="1" outlineLevel="1" x14ac:dyDescent="0.2">
      <c r="A1546" s="121">
        <v>1</v>
      </c>
      <c r="B1546" s="121">
        <v>31409</v>
      </c>
      <c r="C1546" s="123" t="s">
        <v>2031</v>
      </c>
      <c r="D1546" s="121" t="s">
        <v>1972</v>
      </c>
      <c r="E1546" s="124" t="s">
        <v>679</v>
      </c>
      <c r="F1546" s="122">
        <v>41820</v>
      </c>
      <c r="G1546" s="125" t="s">
        <v>366</v>
      </c>
      <c r="H1546" s="126"/>
      <c r="I1546" s="127">
        <v>1</v>
      </c>
      <c r="J1546" s="128">
        <v>55058</v>
      </c>
      <c r="K1546" s="128">
        <v>55058</v>
      </c>
      <c r="L1546" s="129" t="s">
        <v>605</v>
      </c>
      <c r="M1546" s="186" t="s">
        <v>42</v>
      </c>
      <c r="N1546" s="131"/>
      <c r="O1546" s="132"/>
      <c r="P1546" s="132"/>
      <c r="Q1546" s="132"/>
      <c r="R1546" s="132"/>
      <c r="S1546" s="132"/>
      <c r="T1546" s="132"/>
      <c r="U1546" s="132"/>
      <c r="V1546" s="132"/>
      <c r="W1546" s="132"/>
      <c r="X1546" s="132"/>
      <c r="Y1546" s="132"/>
      <c r="Z1546" s="132"/>
      <c r="AA1546" s="132"/>
      <c r="AB1546" s="132"/>
    </row>
    <row r="1547" spans="1:28" s="133" customFormat="1" ht="15" customHeight="1" outlineLevel="1" x14ac:dyDescent="0.2">
      <c r="A1547" s="121">
        <v>1</v>
      </c>
      <c r="B1547" s="121">
        <v>39147</v>
      </c>
      <c r="C1547" s="123" t="s">
        <v>2044</v>
      </c>
      <c r="D1547" s="121" t="s">
        <v>1975</v>
      </c>
      <c r="E1547" s="124" t="s">
        <v>186</v>
      </c>
      <c r="F1547" s="122">
        <v>41850</v>
      </c>
      <c r="G1547" s="125" t="s">
        <v>439</v>
      </c>
      <c r="H1547" s="126" t="s">
        <v>1900</v>
      </c>
      <c r="I1547" s="127">
        <v>1</v>
      </c>
      <c r="J1547" s="128">
        <v>42601</v>
      </c>
      <c r="K1547" s="128" t="s">
        <v>2045</v>
      </c>
      <c r="L1547" s="188" t="s">
        <v>757</v>
      </c>
      <c r="M1547" s="186" t="s">
        <v>42</v>
      </c>
      <c r="N1547" s="131"/>
      <c r="O1547" s="132"/>
      <c r="P1547" s="132"/>
      <c r="Q1547" s="132"/>
      <c r="R1547" s="132"/>
      <c r="S1547" s="132"/>
      <c r="T1547" s="132"/>
      <c r="U1547" s="132"/>
      <c r="V1547" s="132"/>
      <c r="W1547" s="132"/>
      <c r="X1547" s="132"/>
      <c r="Y1547" s="132"/>
      <c r="Z1547" s="132"/>
      <c r="AA1547" s="132"/>
      <c r="AB1547" s="132"/>
    </row>
    <row r="1548" spans="1:28" s="133" customFormat="1" ht="15" customHeight="1" outlineLevel="1" x14ac:dyDescent="0.2">
      <c r="A1548" s="121">
        <v>1</v>
      </c>
      <c r="B1548" s="121">
        <v>42117</v>
      </c>
      <c r="C1548" s="123" t="s">
        <v>2046</v>
      </c>
      <c r="D1548" s="121" t="s">
        <v>1972</v>
      </c>
      <c r="E1548" s="124" t="s">
        <v>679</v>
      </c>
      <c r="F1548" s="122">
        <v>41862</v>
      </c>
      <c r="G1548" s="125" t="s">
        <v>368</v>
      </c>
      <c r="H1548" s="126"/>
      <c r="I1548" s="127">
        <v>1</v>
      </c>
      <c r="J1548" s="128">
        <v>55058</v>
      </c>
      <c r="K1548" s="128">
        <v>55058</v>
      </c>
      <c r="L1548" s="188" t="s">
        <v>785</v>
      </c>
      <c r="M1548" s="186" t="s">
        <v>42</v>
      </c>
      <c r="N1548" s="131"/>
      <c r="O1548" s="132"/>
      <c r="P1548" s="132"/>
      <c r="Q1548" s="132"/>
      <c r="R1548" s="132"/>
      <c r="S1548" s="132"/>
      <c r="T1548" s="132"/>
      <c r="U1548" s="132"/>
      <c r="V1548" s="132"/>
      <c r="W1548" s="132"/>
      <c r="X1548" s="132"/>
      <c r="Y1548" s="132"/>
      <c r="Z1548" s="132"/>
      <c r="AA1548" s="132"/>
      <c r="AB1548" s="132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L853:L878"/>
    <mergeCell ref="L889:L911"/>
    <mergeCell ref="L784:L810"/>
    <mergeCell ref="L811:L852"/>
    <mergeCell ref="M811:M852"/>
    <mergeCell ref="M889:M911"/>
    <mergeCell ref="K422:K423"/>
    <mergeCell ref="L425:L450"/>
    <mergeCell ref="L502:L542"/>
    <mergeCell ref="L750:L783"/>
    <mergeCell ref="M750:M783"/>
    <mergeCell ref="L649:L676"/>
    <mergeCell ref="M649:M676"/>
    <mergeCell ref="L677:L704"/>
    <mergeCell ref="M677:M704"/>
    <mergeCell ref="L705:L749"/>
    <mergeCell ref="M705:M749"/>
    <mergeCell ref="M502:M542"/>
    <mergeCell ref="L592:L648"/>
    <mergeCell ref="M592:M648"/>
    <mergeCell ref="L946:L969"/>
    <mergeCell ref="M946:M969"/>
    <mergeCell ref="L995:L1001"/>
    <mergeCell ref="L1200:L1206"/>
    <mergeCell ref="L1017:L1033"/>
    <mergeCell ref="L1055:L1096"/>
    <mergeCell ref="L1002:L1016"/>
    <mergeCell ref="L1243:L1259"/>
    <mergeCell ref="L1289:L1313"/>
    <mergeCell ref="L1508:L1529"/>
    <mergeCell ref="M1508:M1529"/>
    <mergeCell ref="L1314:L1353"/>
    <mergeCell ref="L1461:L1474"/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53" workbookViewId="0">
      <selection activeCell="C53" sqref="C53"/>
    </sheetView>
  </sheetViews>
  <sheetFormatPr baseColWidth="10" defaultRowHeight="12.75" outlineLevelRow="1" x14ac:dyDescent="0.25"/>
  <cols>
    <col min="1" max="1" width="5" style="216" customWidth="1"/>
    <col min="2" max="2" width="7.85546875" style="216" customWidth="1"/>
    <col min="3" max="3" width="22.42578125" style="216" customWidth="1"/>
    <col min="4" max="4" width="11.28515625" style="216" customWidth="1"/>
    <col min="5" max="5" width="24" style="216" customWidth="1"/>
    <col min="6" max="6" width="10.85546875" style="216" customWidth="1"/>
    <col min="7" max="7" width="9" style="216" customWidth="1"/>
    <col min="8" max="8" width="13" style="216" customWidth="1"/>
    <col min="9" max="9" width="5.28515625" style="216" customWidth="1"/>
    <col min="10" max="10" width="11.7109375" style="216" customWidth="1"/>
    <col min="11" max="11" width="13.5703125" style="216" customWidth="1"/>
    <col min="12" max="12" width="13.5703125" style="315" customWidth="1"/>
    <col min="13" max="13" width="23" style="315" customWidth="1"/>
    <col min="14" max="16384" width="11.42578125" style="216"/>
  </cols>
  <sheetData>
    <row r="1" spans="1:13" ht="15" customHeight="1" collapsed="1" x14ac:dyDescent="0.2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20"/>
      <c r="L1" s="220"/>
      <c r="M1" s="221"/>
    </row>
    <row r="2" spans="1:13" ht="28.5" customHeight="1" x14ac:dyDescent="0.25">
      <c r="A2" s="685" t="s">
        <v>2047</v>
      </c>
      <c r="B2" s="685"/>
      <c r="C2" s="685"/>
      <c r="D2" s="685"/>
      <c r="E2" s="685"/>
      <c r="F2" s="685"/>
      <c r="G2" s="685"/>
      <c r="H2" s="685"/>
      <c r="I2" s="685"/>
      <c r="J2" s="685"/>
      <c r="K2" s="685"/>
      <c r="L2" s="685"/>
      <c r="M2" s="685"/>
    </row>
    <row r="3" spans="1:13" ht="18.75" customHeight="1" x14ac:dyDescent="0.25">
      <c r="A3" s="222" t="s">
        <v>2048</v>
      </c>
      <c r="B3" s="222" t="s">
        <v>97</v>
      </c>
      <c r="C3" s="222" t="s">
        <v>2049</v>
      </c>
      <c r="D3" s="222" t="s">
        <v>2050</v>
      </c>
      <c r="E3" s="222" t="s">
        <v>2051</v>
      </c>
      <c r="F3" s="222" t="s">
        <v>2052</v>
      </c>
      <c r="G3" s="222" t="s">
        <v>2053</v>
      </c>
      <c r="H3" s="223" t="s">
        <v>2054</v>
      </c>
      <c r="I3" s="222" t="s">
        <v>2055</v>
      </c>
      <c r="J3" s="222" t="s">
        <v>2056</v>
      </c>
      <c r="K3" s="222" t="s">
        <v>2057</v>
      </c>
      <c r="L3" s="222" t="s">
        <v>2058</v>
      </c>
      <c r="M3" s="222" t="s">
        <v>0</v>
      </c>
    </row>
    <row r="4" spans="1:13" s="226" customFormat="1" ht="15" customHeight="1" x14ac:dyDescent="0.25">
      <c r="A4" s="173">
        <v>1</v>
      </c>
      <c r="B4" s="173">
        <v>33782</v>
      </c>
      <c r="C4" s="171" t="s">
        <v>2059</v>
      </c>
      <c r="D4" s="173" t="s">
        <v>721</v>
      </c>
      <c r="E4" s="171" t="s">
        <v>195</v>
      </c>
      <c r="F4" s="176" t="s">
        <v>2060</v>
      </c>
      <c r="G4" s="176"/>
      <c r="H4" s="174">
        <v>41437</v>
      </c>
      <c r="I4" s="173">
        <v>13</v>
      </c>
      <c r="J4" s="224">
        <v>2739</v>
      </c>
      <c r="K4" s="224">
        <v>35607</v>
      </c>
      <c r="L4" s="225" t="s">
        <v>605</v>
      </c>
      <c r="M4" s="129" t="s">
        <v>21</v>
      </c>
    </row>
    <row r="5" spans="1:13" s="226" customFormat="1" ht="15" customHeight="1" x14ac:dyDescent="0.25">
      <c r="A5" s="173">
        <v>2</v>
      </c>
      <c r="B5" s="173">
        <v>35353</v>
      </c>
      <c r="C5" s="171" t="s">
        <v>2061</v>
      </c>
      <c r="D5" s="173" t="s">
        <v>721</v>
      </c>
      <c r="E5" s="171" t="s">
        <v>534</v>
      </c>
      <c r="F5" s="176" t="s">
        <v>2062</v>
      </c>
      <c r="G5" s="176" t="s">
        <v>551</v>
      </c>
      <c r="H5" s="174">
        <v>41445</v>
      </c>
      <c r="I5" s="173">
        <v>2</v>
      </c>
      <c r="J5" s="224">
        <v>30429</v>
      </c>
      <c r="K5" s="224">
        <v>60858</v>
      </c>
      <c r="L5" s="225" t="s">
        <v>605</v>
      </c>
      <c r="M5" s="129" t="s">
        <v>21</v>
      </c>
    </row>
    <row r="6" spans="1:13" s="226" customFormat="1" ht="15" customHeight="1" x14ac:dyDescent="0.25">
      <c r="A6" s="173">
        <v>3</v>
      </c>
      <c r="B6" s="173">
        <v>35851</v>
      </c>
      <c r="C6" s="171" t="s">
        <v>2061</v>
      </c>
      <c r="D6" s="173" t="s">
        <v>721</v>
      </c>
      <c r="E6" s="171" t="s">
        <v>534</v>
      </c>
      <c r="F6" s="176" t="s">
        <v>416</v>
      </c>
      <c r="G6" s="176" t="s">
        <v>551</v>
      </c>
      <c r="H6" s="174">
        <v>41449</v>
      </c>
      <c r="I6" s="173">
        <v>1</v>
      </c>
      <c r="J6" s="224">
        <v>30429</v>
      </c>
      <c r="K6" s="224">
        <v>30429</v>
      </c>
      <c r="L6" s="225" t="s">
        <v>605</v>
      </c>
      <c r="M6" s="129" t="s">
        <v>21</v>
      </c>
    </row>
    <row r="7" spans="1:13" s="226" customFormat="1" ht="15" customHeight="1" thickBot="1" x14ac:dyDescent="0.3">
      <c r="A7" s="227">
        <v>4</v>
      </c>
      <c r="B7" s="227">
        <v>36980</v>
      </c>
      <c r="C7" s="228" t="s">
        <v>2063</v>
      </c>
      <c r="D7" s="227" t="s">
        <v>721</v>
      </c>
      <c r="E7" s="228" t="s">
        <v>115</v>
      </c>
      <c r="F7" s="229" t="s">
        <v>414</v>
      </c>
      <c r="G7" s="229" t="s">
        <v>2064</v>
      </c>
      <c r="H7" s="230">
        <v>41452</v>
      </c>
      <c r="I7" s="227">
        <v>1</v>
      </c>
      <c r="J7" s="231">
        <v>5274</v>
      </c>
      <c r="K7" s="231">
        <v>5274</v>
      </c>
      <c r="L7" s="225" t="s">
        <v>605</v>
      </c>
      <c r="M7" s="129" t="s">
        <v>21</v>
      </c>
    </row>
    <row r="8" spans="1:13" s="239" customFormat="1" ht="15" customHeight="1" thickTop="1" x14ac:dyDescent="0.25">
      <c r="A8" s="232">
        <v>5</v>
      </c>
      <c r="B8" s="232">
        <v>41153</v>
      </c>
      <c r="C8" s="233" t="s">
        <v>2065</v>
      </c>
      <c r="D8" s="232" t="s">
        <v>721</v>
      </c>
      <c r="E8" s="234" t="s">
        <v>534</v>
      </c>
      <c r="F8" s="235" t="s">
        <v>2066</v>
      </c>
      <c r="G8" s="236" t="s">
        <v>2067</v>
      </c>
      <c r="H8" s="237">
        <v>41470</v>
      </c>
      <c r="I8" s="232">
        <v>3</v>
      </c>
      <c r="J8" s="238">
        <v>30429</v>
      </c>
      <c r="K8" s="238">
        <v>91287</v>
      </c>
      <c r="L8" s="225" t="s">
        <v>757</v>
      </c>
      <c r="M8" s="129" t="s">
        <v>21</v>
      </c>
    </row>
    <row r="9" spans="1:13" s="239" customFormat="1" ht="15" customHeight="1" x14ac:dyDescent="0.25">
      <c r="A9" s="134">
        <v>6</v>
      </c>
      <c r="B9" s="134">
        <v>43232</v>
      </c>
      <c r="C9" s="136" t="s">
        <v>2068</v>
      </c>
      <c r="D9" s="134" t="s">
        <v>721</v>
      </c>
      <c r="E9" s="171" t="s">
        <v>190</v>
      </c>
      <c r="F9" s="138" t="s">
        <v>397</v>
      </c>
      <c r="G9" s="176" t="s">
        <v>2069</v>
      </c>
      <c r="H9" s="135">
        <v>41479</v>
      </c>
      <c r="I9" s="134">
        <v>2</v>
      </c>
      <c r="J9" s="224">
        <v>57960</v>
      </c>
      <c r="K9" s="224">
        <v>115920</v>
      </c>
      <c r="L9" s="225" t="s">
        <v>757</v>
      </c>
      <c r="M9" s="129" t="s">
        <v>21</v>
      </c>
    </row>
    <row r="10" spans="1:13" s="239" customFormat="1" ht="15" customHeight="1" x14ac:dyDescent="0.25">
      <c r="A10" s="134">
        <v>7</v>
      </c>
      <c r="B10" s="134">
        <v>38969</v>
      </c>
      <c r="C10" s="136" t="s">
        <v>2070</v>
      </c>
      <c r="D10" s="134" t="s">
        <v>721</v>
      </c>
      <c r="E10" s="171" t="s">
        <v>534</v>
      </c>
      <c r="F10" s="138" t="s">
        <v>2071</v>
      </c>
      <c r="G10" s="176" t="s">
        <v>2072</v>
      </c>
      <c r="H10" s="135">
        <v>41460</v>
      </c>
      <c r="I10" s="134">
        <v>2</v>
      </c>
      <c r="J10" s="224">
        <v>30429</v>
      </c>
      <c r="K10" s="224">
        <v>60858</v>
      </c>
      <c r="L10" s="225" t="s">
        <v>757</v>
      </c>
      <c r="M10" s="129" t="s">
        <v>21</v>
      </c>
    </row>
    <row r="11" spans="1:13" s="239" customFormat="1" ht="15" customHeight="1" x14ac:dyDescent="0.25">
      <c r="A11" s="134">
        <v>8</v>
      </c>
      <c r="B11" s="134">
        <v>44241</v>
      </c>
      <c r="C11" s="136" t="s">
        <v>2063</v>
      </c>
      <c r="D11" s="134" t="s">
        <v>721</v>
      </c>
      <c r="E11" s="171" t="s">
        <v>114</v>
      </c>
      <c r="F11" s="138" t="s">
        <v>414</v>
      </c>
      <c r="G11" s="176" t="s">
        <v>560</v>
      </c>
      <c r="H11" s="135">
        <v>41484</v>
      </c>
      <c r="I11" s="134">
        <v>1</v>
      </c>
      <c r="J11" s="224">
        <v>33370</v>
      </c>
      <c r="K11" s="224">
        <v>33370</v>
      </c>
      <c r="L11" s="225" t="s">
        <v>757</v>
      </c>
      <c r="M11" s="129" t="s">
        <v>21</v>
      </c>
    </row>
    <row r="12" spans="1:13" s="239" customFormat="1" ht="15" customHeight="1" x14ac:dyDescent="0.25">
      <c r="A12" s="134">
        <v>9</v>
      </c>
      <c r="B12" s="134">
        <v>44314</v>
      </c>
      <c r="C12" s="136" t="s">
        <v>2073</v>
      </c>
      <c r="D12" s="134" t="s">
        <v>721</v>
      </c>
      <c r="E12" s="171" t="s">
        <v>534</v>
      </c>
      <c r="F12" s="138" t="s">
        <v>524</v>
      </c>
      <c r="G12" s="176" t="s">
        <v>557</v>
      </c>
      <c r="H12" s="135">
        <v>41484</v>
      </c>
      <c r="I12" s="134">
        <v>1</v>
      </c>
      <c r="J12" s="224">
        <v>30429</v>
      </c>
      <c r="K12" s="224">
        <v>30429</v>
      </c>
      <c r="L12" s="225" t="s">
        <v>757</v>
      </c>
      <c r="M12" s="129" t="s">
        <v>21</v>
      </c>
    </row>
    <row r="13" spans="1:13" s="239" customFormat="1" ht="15" customHeight="1" x14ac:dyDescent="0.25">
      <c r="A13" s="134">
        <v>10</v>
      </c>
      <c r="B13" s="134">
        <v>44242</v>
      </c>
      <c r="C13" s="136" t="s">
        <v>2074</v>
      </c>
      <c r="D13" s="134" t="s">
        <v>721</v>
      </c>
      <c r="E13" s="171" t="s">
        <v>534</v>
      </c>
      <c r="F13" s="138" t="s">
        <v>439</v>
      </c>
      <c r="G13" s="176" t="s">
        <v>563</v>
      </c>
      <c r="H13" s="135">
        <v>41484</v>
      </c>
      <c r="I13" s="134">
        <v>1</v>
      </c>
      <c r="J13" s="224">
        <v>30429</v>
      </c>
      <c r="K13" s="224">
        <v>30429</v>
      </c>
      <c r="L13" s="225" t="s">
        <v>757</v>
      </c>
      <c r="M13" s="129" t="s">
        <v>21</v>
      </c>
    </row>
    <row r="14" spans="1:13" s="239" customFormat="1" ht="15" customHeight="1" x14ac:dyDescent="0.25">
      <c r="A14" s="134">
        <v>11</v>
      </c>
      <c r="B14" s="134">
        <v>38046</v>
      </c>
      <c r="C14" s="136" t="s">
        <v>2075</v>
      </c>
      <c r="D14" s="134" t="s">
        <v>721</v>
      </c>
      <c r="E14" s="171" t="s">
        <v>534</v>
      </c>
      <c r="F14" s="138" t="s">
        <v>414</v>
      </c>
      <c r="G14" s="176" t="s">
        <v>2076</v>
      </c>
      <c r="H14" s="135">
        <v>41457</v>
      </c>
      <c r="I14" s="134">
        <v>1</v>
      </c>
      <c r="J14" s="224">
        <v>30429</v>
      </c>
      <c r="K14" s="224">
        <v>30429</v>
      </c>
      <c r="L14" s="225" t="s">
        <v>757</v>
      </c>
      <c r="M14" s="129" t="s">
        <v>21</v>
      </c>
    </row>
    <row r="15" spans="1:13" s="239" customFormat="1" ht="15" customHeight="1" x14ac:dyDescent="0.25">
      <c r="A15" s="134">
        <v>12</v>
      </c>
      <c r="B15" s="134">
        <v>41989</v>
      </c>
      <c r="C15" s="136" t="s">
        <v>2075</v>
      </c>
      <c r="D15" s="134" t="s">
        <v>721</v>
      </c>
      <c r="E15" s="171" t="s">
        <v>534</v>
      </c>
      <c r="F15" s="138" t="s">
        <v>416</v>
      </c>
      <c r="G15" s="176" t="s">
        <v>2076</v>
      </c>
      <c r="H15" s="135">
        <v>41473</v>
      </c>
      <c r="I15" s="134">
        <v>1</v>
      </c>
      <c r="J15" s="224">
        <v>30429</v>
      </c>
      <c r="K15" s="224">
        <v>30429</v>
      </c>
      <c r="L15" s="225" t="s">
        <v>757</v>
      </c>
      <c r="M15" s="129" t="s">
        <v>21</v>
      </c>
    </row>
    <row r="16" spans="1:13" s="239" customFormat="1" ht="15" customHeight="1" x14ac:dyDescent="0.25">
      <c r="A16" s="134">
        <v>13</v>
      </c>
      <c r="B16" s="134">
        <v>40597</v>
      </c>
      <c r="C16" s="136" t="s">
        <v>2077</v>
      </c>
      <c r="D16" s="134" t="s">
        <v>721</v>
      </c>
      <c r="E16" s="171" t="s">
        <v>114</v>
      </c>
      <c r="F16" s="138" t="s">
        <v>524</v>
      </c>
      <c r="G16" s="176" t="s">
        <v>2078</v>
      </c>
      <c r="H16" s="135">
        <v>41466</v>
      </c>
      <c r="I16" s="134">
        <v>1</v>
      </c>
      <c r="J16" s="224">
        <v>33370</v>
      </c>
      <c r="K16" s="224">
        <v>33370</v>
      </c>
      <c r="L16" s="225" t="s">
        <v>757</v>
      </c>
      <c r="M16" s="129" t="s">
        <v>21</v>
      </c>
    </row>
    <row r="17" spans="1:13" s="239" customFormat="1" ht="15" customHeight="1" x14ac:dyDescent="0.25">
      <c r="A17" s="134">
        <v>14</v>
      </c>
      <c r="B17" s="134">
        <v>38040</v>
      </c>
      <c r="C17" s="136" t="s">
        <v>2059</v>
      </c>
      <c r="D17" s="134" t="s">
        <v>721</v>
      </c>
      <c r="E17" s="171" t="s">
        <v>115</v>
      </c>
      <c r="F17" s="138" t="s">
        <v>591</v>
      </c>
      <c r="G17" s="176" t="s">
        <v>2064</v>
      </c>
      <c r="H17" s="135">
        <v>41457</v>
      </c>
      <c r="I17" s="134">
        <v>1</v>
      </c>
      <c r="J17" s="224">
        <v>5274</v>
      </c>
      <c r="K17" s="224">
        <v>5274</v>
      </c>
      <c r="L17" s="225" t="s">
        <v>757</v>
      </c>
      <c r="M17" s="129" t="s">
        <v>21</v>
      </c>
    </row>
    <row r="18" spans="1:13" s="239" customFormat="1" ht="15" customHeight="1" x14ac:dyDescent="0.25">
      <c r="A18" s="134">
        <v>15</v>
      </c>
      <c r="B18" s="134">
        <v>42898</v>
      </c>
      <c r="C18" s="136" t="s">
        <v>2059</v>
      </c>
      <c r="D18" s="134" t="s">
        <v>721</v>
      </c>
      <c r="E18" s="171" t="s">
        <v>114</v>
      </c>
      <c r="F18" s="138" t="s">
        <v>591</v>
      </c>
      <c r="G18" s="176" t="s">
        <v>2078</v>
      </c>
      <c r="H18" s="135">
        <v>41479</v>
      </c>
      <c r="I18" s="134">
        <v>1</v>
      </c>
      <c r="J18" s="224">
        <v>33370</v>
      </c>
      <c r="K18" s="224">
        <v>33370</v>
      </c>
      <c r="L18" s="225" t="s">
        <v>757</v>
      </c>
      <c r="M18" s="129" t="s">
        <v>21</v>
      </c>
    </row>
    <row r="19" spans="1:13" s="239" customFormat="1" ht="15" customHeight="1" x14ac:dyDescent="0.25">
      <c r="A19" s="134">
        <v>16</v>
      </c>
      <c r="B19" s="134">
        <v>41672</v>
      </c>
      <c r="C19" s="136" t="s">
        <v>2079</v>
      </c>
      <c r="D19" s="134" t="s">
        <v>721</v>
      </c>
      <c r="E19" s="171" t="s">
        <v>202</v>
      </c>
      <c r="F19" s="138" t="s">
        <v>412</v>
      </c>
      <c r="G19" s="176"/>
      <c r="H19" s="135">
        <v>41472</v>
      </c>
      <c r="I19" s="134">
        <v>1</v>
      </c>
      <c r="J19" s="224">
        <v>17244</v>
      </c>
      <c r="K19" s="224">
        <v>17244</v>
      </c>
      <c r="L19" s="225" t="s">
        <v>757</v>
      </c>
      <c r="M19" s="129" t="s">
        <v>21</v>
      </c>
    </row>
    <row r="20" spans="1:13" s="239" customFormat="1" ht="15" customHeight="1" x14ac:dyDescent="0.25">
      <c r="A20" s="134">
        <v>17</v>
      </c>
      <c r="B20" s="134">
        <v>43600</v>
      </c>
      <c r="C20" s="136" t="s">
        <v>720</v>
      </c>
      <c r="D20" s="134" t="s">
        <v>721</v>
      </c>
      <c r="E20" s="171" t="s">
        <v>115</v>
      </c>
      <c r="F20" s="138" t="s">
        <v>722</v>
      </c>
      <c r="G20" s="176" t="s">
        <v>551</v>
      </c>
      <c r="H20" s="135">
        <v>41484</v>
      </c>
      <c r="I20" s="134">
        <v>3</v>
      </c>
      <c r="J20" s="224">
        <v>5274</v>
      </c>
      <c r="K20" s="224">
        <v>15822</v>
      </c>
      <c r="L20" s="225" t="s">
        <v>757</v>
      </c>
      <c r="M20" s="129" t="s">
        <v>21</v>
      </c>
    </row>
    <row r="21" spans="1:13" s="239" customFormat="1" ht="15" customHeight="1" x14ac:dyDescent="0.25">
      <c r="A21" s="134">
        <v>18</v>
      </c>
      <c r="B21" s="134">
        <v>43563</v>
      </c>
      <c r="C21" s="136" t="s">
        <v>2080</v>
      </c>
      <c r="D21" s="134" t="s">
        <v>721</v>
      </c>
      <c r="E21" s="171" t="s">
        <v>534</v>
      </c>
      <c r="F21" s="138" t="s">
        <v>559</v>
      </c>
      <c r="G21" s="176" t="s">
        <v>2081</v>
      </c>
      <c r="H21" s="135">
        <v>41480</v>
      </c>
      <c r="I21" s="134">
        <v>1</v>
      </c>
      <c r="J21" s="224">
        <v>30429</v>
      </c>
      <c r="K21" s="224">
        <v>30429</v>
      </c>
      <c r="L21" s="225" t="s">
        <v>757</v>
      </c>
      <c r="M21" s="129" t="s">
        <v>21</v>
      </c>
    </row>
    <row r="22" spans="1:13" s="239" customFormat="1" ht="15" customHeight="1" x14ac:dyDescent="0.25">
      <c r="A22" s="134">
        <v>19</v>
      </c>
      <c r="B22" s="134">
        <v>43128</v>
      </c>
      <c r="C22" s="136" t="s">
        <v>2082</v>
      </c>
      <c r="D22" s="134" t="s">
        <v>721</v>
      </c>
      <c r="E22" s="171" t="s">
        <v>534</v>
      </c>
      <c r="F22" s="138" t="s">
        <v>414</v>
      </c>
      <c r="G22" s="176" t="s">
        <v>557</v>
      </c>
      <c r="H22" s="135">
        <v>41479</v>
      </c>
      <c r="I22" s="134">
        <v>1</v>
      </c>
      <c r="J22" s="224">
        <v>30429</v>
      </c>
      <c r="K22" s="224">
        <v>30429</v>
      </c>
      <c r="L22" s="225" t="s">
        <v>757</v>
      </c>
      <c r="M22" s="129" t="s">
        <v>21</v>
      </c>
    </row>
    <row r="23" spans="1:13" s="239" customFormat="1" ht="15" customHeight="1" x14ac:dyDescent="0.25">
      <c r="A23" s="134">
        <v>20</v>
      </c>
      <c r="B23" s="134">
        <v>43790</v>
      </c>
      <c r="C23" s="136" t="s">
        <v>2083</v>
      </c>
      <c r="D23" s="134" t="s">
        <v>721</v>
      </c>
      <c r="E23" s="171" t="s">
        <v>115</v>
      </c>
      <c r="F23" s="138" t="s">
        <v>2084</v>
      </c>
      <c r="G23" s="176" t="s">
        <v>1056</v>
      </c>
      <c r="H23" s="135">
        <v>41484</v>
      </c>
      <c r="I23" s="134">
        <v>8</v>
      </c>
      <c r="J23" s="224">
        <v>5274</v>
      </c>
      <c r="K23" s="224">
        <v>42192</v>
      </c>
      <c r="L23" s="225" t="s">
        <v>757</v>
      </c>
      <c r="M23" s="129" t="s">
        <v>21</v>
      </c>
    </row>
    <row r="24" spans="1:13" s="239" customFormat="1" ht="15" customHeight="1" x14ac:dyDescent="0.25">
      <c r="A24" s="134">
        <v>21</v>
      </c>
      <c r="B24" s="134">
        <v>39816</v>
      </c>
      <c r="C24" s="136" t="s">
        <v>2085</v>
      </c>
      <c r="D24" s="134" t="s">
        <v>721</v>
      </c>
      <c r="E24" s="171" t="s">
        <v>235</v>
      </c>
      <c r="F24" s="138" t="s">
        <v>366</v>
      </c>
      <c r="G24" s="176"/>
      <c r="H24" s="135">
        <v>41464</v>
      </c>
      <c r="I24" s="134">
        <v>1</v>
      </c>
      <c r="J24" s="224">
        <v>10401</v>
      </c>
      <c r="K24" s="224">
        <v>10401</v>
      </c>
      <c r="L24" s="225" t="s">
        <v>757</v>
      </c>
      <c r="M24" s="129" t="s">
        <v>21</v>
      </c>
    </row>
    <row r="25" spans="1:13" s="239" customFormat="1" ht="15" customHeight="1" thickBot="1" x14ac:dyDescent="0.3">
      <c r="A25" s="240">
        <v>22</v>
      </c>
      <c r="B25" s="240">
        <v>41610</v>
      </c>
      <c r="C25" s="241" t="s">
        <v>2086</v>
      </c>
      <c r="D25" s="240" t="s">
        <v>721</v>
      </c>
      <c r="E25" s="228" t="s">
        <v>115</v>
      </c>
      <c r="F25" s="242" t="s">
        <v>2087</v>
      </c>
      <c r="G25" s="229" t="s">
        <v>1056</v>
      </c>
      <c r="H25" s="243">
        <v>41473</v>
      </c>
      <c r="I25" s="240">
        <v>4</v>
      </c>
      <c r="J25" s="231">
        <v>5274</v>
      </c>
      <c r="K25" s="231">
        <v>21096</v>
      </c>
      <c r="L25" s="225" t="s">
        <v>757</v>
      </c>
      <c r="M25" s="129" t="s">
        <v>21</v>
      </c>
    </row>
    <row r="26" spans="1:13" s="144" customFormat="1" ht="15" customHeight="1" thickTop="1" x14ac:dyDescent="0.25">
      <c r="A26" s="134">
        <v>23</v>
      </c>
      <c r="B26" s="134">
        <v>44970</v>
      </c>
      <c r="C26" s="136" t="s">
        <v>2088</v>
      </c>
      <c r="D26" s="134" t="s">
        <v>721</v>
      </c>
      <c r="E26" s="171" t="s">
        <v>679</v>
      </c>
      <c r="F26" s="138" t="s">
        <v>384</v>
      </c>
      <c r="G26" s="176"/>
      <c r="H26" s="135">
        <v>41486</v>
      </c>
      <c r="I26" s="134">
        <v>2</v>
      </c>
      <c r="J26" s="224">
        <v>55058</v>
      </c>
      <c r="K26" s="224">
        <v>110116</v>
      </c>
      <c r="L26" s="225" t="s">
        <v>785</v>
      </c>
      <c r="M26" s="129" t="s">
        <v>21</v>
      </c>
    </row>
    <row r="27" spans="1:13" s="144" customFormat="1" ht="15" customHeight="1" x14ac:dyDescent="0.25">
      <c r="A27" s="134">
        <v>24</v>
      </c>
      <c r="B27" s="134">
        <v>46175</v>
      </c>
      <c r="C27" s="136" t="s">
        <v>2089</v>
      </c>
      <c r="D27" s="134" t="s">
        <v>721</v>
      </c>
      <c r="E27" s="171" t="s">
        <v>215</v>
      </c>
      <c r="F27" s="138" t="s">
        <v>366</v>
      </c>
      <c r="G27" s="176" t="s">
        <v>1061</v>
      </c>
      <c r="H27" s="135">
        <v>41492</v>
      </c>
      <c r="I27" s="134">
        <v>1</v>
      </c>
      <c r="J27" s="224">
        <v>44597</v>
      </c>
      <c r="K27" s="224">
        <v>44597</v>
      </c>
      <c r="L27" s="225" t="s">
        <v>785</v>
      </c>
      <c r="M27" s="129" t="s">
        <v>21</v>
      </c>
    </row>
    <row r="28" spans="1:13" s="144" customFormat="1" ht="15" customHeight="1" x14ac:dyDescent="0.25">
      <c r="A28" s="134">
        <v>25</v>
      </c>
      <c r="B28" s="134">
        <v>45680</v>
      </c>
      <c r="C28" s="136" t="s">
        <v>2090</v>
      </c>
      <c r="D28" s="134" t="s">
        <v>721</v>
      </c>
      <c r="E28" s="171" t="s">
        <v>205</v>
      </c>
      <c r="F28" s="138" t="s">
        <v>469</v>
      </c>
      <c r="G28" s="176" t="s">
        <v>2091</v>
      </c>
      <c r="H28" s="135">
        <v>41491</v>
      </c>
      <c r="I28" s="134">
        <v>1</v>
      </c>
      <c r="J28" s="224">
        <v>55062</v>
      </c>
      <c r="K28" s="224">
        <v>55062</v>
      </c>
      <c r="L28" s="225" t="s">
        <v>785</v>
      </c>
      <c r="M28" s="129" t="s">
        <v>21</v>
      </c>
    </row>
    <row r="29" spans="1:13" s="144" customFormat="1" ht="15" customHeight="1" x14ac:dyDescent="0.25">
      <c r="A29" s="134">
        <v>26</v>
      </c>
      <c r="B29" s="134">
        <v>45661</v>
      </c>
      <c r="C29" s="136" t="s">
        <v>2092</v>
      </c>
      <c r="D29" s="134" t="s">
        <v>721</v>
      </c>
      <c r="E29" s="171" t="s">
        <v>534</v>
      </c>
      <c r="F29" s="138" t="s">
        <v>428</v>
      </c>
      <c r="G29" s="176" t="s">
        <v>557</v>
      </c>
      <c r="H29" s="135">
        <v>41491</v>
      </c>
      <c r="I29" s="134">
        <v>1</v>
      </c>
      <c r="J29" s="224">
        <v>30429</v>
      </c>
      <c r="K29" s="224">
        <v>30429</v>
      </c>
      <c r="L29" s="225" t="s">
        <v>785</v>
      </c>
      <c r="M29" s="129" t="s">
        <v>21</v>
      </c>
    </row>
    <row r="30" spans="1:13" s="144" customFormat="1" ht="15" customHeight="1" x14ac:dyDescent="0.25">
      <c r="A30" s="134">
        <v>27</v>
      </c>
      <c r="B30" s="134">
        <v>45834</v>
      </c>
      <c r="C30" s="136" t="s">
        <v>2093</v>
      </c>
      <c r="D30" s="134" t="s">
        <v>721</v>
      </c>
      <c r="E30" s="171" t="s">
        <v>577</v>
      </c>
      <c r="F30" s="138" t="s">
        <v>368</v>
      </c>
      <c r="G30" s="176"/>
      <c r="H30" s="135">
        <v>41491</v>
      </c>
      <c r="I30" s="134">
        <v>1</v>
      </c>
      <c r="J30" s="224">
        <v>25800</v>
      </c>
      <c r="K30" s="224">
        <v>25800</v>
      </c>
      <c r="L30" s="225" t="s">
        <v>785</v>
      </c>
      <c r="M30" s="129" t="s">
        <v>21</v>
      </c>
    </row>
    <row r="31" spans="1:13" s="144" customFormat="1" ht="15" customHeight="1" x14ac:dyDescent="0.25">
      <c r="A31" s="134">
        <v>28</v>
      </c>
      <c r="B31" s="134">
        <v>46659</v>
      </c>
      <c r="C31" s="136" t="s">
        <v>698</v>
      </c>
      <c r="D31" s="134" t="s">
        <v>721</v>
      </c>
      <c r="E31" s="171" t="s">
        <v>215</v>
      </c>
      <c r="F31" s="138" t="s">
        <v>368</v>
      </c>
      <c r="G31" s="176" t="s">
        <v>2094</v>
      </c>
      <c r="H31" s="135">
        <v>41493</v>
      </c>
      <c r="I31" s="134">
        <v>1</v>
      </c>
      <c r="J31" s="224">
        <v>44597</v>
      </c>
      <c r="K31" s="224">
        <v>44597</v>
      </c>
      <c r="L31" s="225" t="s">
        <v>785</v>
      </c>
      <c r="M31" s="129" t="s">
        <v>21</v>
      </c>
    </row>
    <row r="32" spans="1:13" s="144" customFormat="1" ht="15" customHeight="1" x14ac:dyDescent="0.25">
      <c r="A32" s="134">
        <v>29</v>
      </c>
      <c r="B32" s="134">
        <v>46669</v>
      </c>
      <c r="C32" s="136" t="s">
        <v>2095</v>
      </c>
      <c r="D32" s="134" t="s">
        <v>721</v>
      </c>
      <c r="E32" s="171" t="s">
        <v>235</v>
      </c>
      <c r="F32" s="138" t="s">
        <v>366</v>
      </c>
      <c r="G32" s="176"/>
      <c r="H32" s="135">
        <v>41494</v>
      </c>
      <c r="I32" s="134">
        <v>1</v>
      </c>
      <c r="J32" s="224">
        <v>10401</v>
      </c>
      <c r="K32" s="224">
        <v>10401</v>
      </c>
      <c r="L32" s="225" t="s">
        <v>785</v>
      </c>
      <c r="M32" s="129" t="s">
        <v>21</v>
      </c>
    </row>
    <row r="33" spans="1:13" s="144" customFormat="1" ht="15" customHeight="1" x14ac:dyDescent="0.25">
      <c r="A33" s="134">
        <v>30</v>
      </c>
      <c r="B33" s="134">
        <v>46377</v>
      </c>
      <c r="C33" s="136" t="s">
        <v>807</v>
      </c>
      <c r="D33" s="134" t="s">
        <v>721</v>
      </c>
      <c r="E33" s="171" t="s">
        <v>215</v>
      </c>
      <c r="F33" s="138" t="s">
        <v>366</v>
      </c>
      <c r="G33" s="176" t="s">
        <v>2064</v>
      </c>
      <c r="H33" s="135">
        <v>41492</v>
      </c>
      <c r="I33" s="134">
        <v>1</v>
      </c>
      <c r="J33" s="224">
        <v>44597</v>
      </c>
      <c r="K33" s="224">
        <v>44597</v>
      </c>
      <c r="L33" s="225" t="s">
        <v>785</v>
      </c>
      <c r="M33" s="129" t="s">
        <v>21</v>
      </c>
    </row>
    <row r="34" spans="1:13" s="144" customFormat="1" ht="15" customHeight="1" x14ac:dyDescent="0.25">
      <c r="A34" s="134">
        <v>31</v>
      </c>
      <c r="B34" s="134">
        <v>47565</v>
      </c>
      <c r="C34" s="136" t="s">
        <v>2096</v>
      </c>
      <c r="D34" s="134" t="s">
        <v>721</v>
      </c>
      <c r="E34" s="171" t="s">
        <v>115</v>
      </c>
      <c r="F34" s="138" t="s">
        <v>2097</v>
      </c>
      <c r="G34" s="176" t="s">
        <v>2098</v>
      </c>
      <c r="H34" s="135">
        <v>41498</v>
      </c>
      <c r="I34" s="134">
        <v>4</v>
      </c>
      <c r="J34" s="224">
        <v>5274</v>
      </c>
      <c r="K34" s="224">
        <v>21096</v>
      </c>
      <c r="L34" s="225" t="s">
        <v>785</v>
      </c>
      <c r="M34" s="129" t="s">
        <v>21</v>
      </c>
    </row>
    <row r="35" spans="1:13" s="144" customFormat="1" ht="15" customHeight="1" x14ac:dyDescent="0.25">
      <c r="A35" s="134">
        <v>32</v>
      </c>
      <c r="B35" s="134">
        <v>47554</v>
      </c>
      <c r="C35" s="136" t="s">
        <v>2099</v>
      </c>
      <c r="D35" s="134" t="s">
        <v>721</v>
      </c>
      <c r="E35" s="171" t="s">
        <v>115</v>
      </c>
      <c r="F35" s="138" t="s">
        <v>469</v>
      </c>
      <c r="G35" s="176" t="s">
        <v>2098</v>
      </c>
      <c r="H35" s="135">
        <v>41498</v>
      </c>
      <c r="I35" s="134">
        <v>1</v>
      </c>
      <c r="J35" s="224">
        <v>5274</v>
      </c>
      <c r="K35" s="224">
        <v>5274</v>
      </c>
      <c r="L35" s="225" t="s">
        <v>785</v>
      </c>
      <c r="M35" s="129" t="s">
        <v>21</v>
      </c>
    </row>
    <row r="36" spans="1:13" s="144" customFormat="1" ht="15" customHeight="1" x14ac:dyDescent="0.25">
      <c r="A36" s="134">
        <v>33</v>
      </c>
      <c r="B36" s="134">
        <v>47886</v>
      </c>
      <c r="C36" s="136" t="s">
        <v>2100</v>
      </c>
      <c r="D36" s="134" t="s">
        <v>721</v>
      </c>
      <c r="E36" s="171" t="s">
        <v>534</v>
      </c>
      <c r="F36" s="138" t="s">
        <v>428</v>
      </c>
      <c r="G36" s="176" t="s">
        <v>594</v>
      </c>
      <c r="H36" s="135">
        <v>41498</v>
      </c>
      <c r="I36" s="134">
        <v>1</v>
      </c>
      <c r="J36" s="224">
        <v>30429</v>
      </c>
      <c r="K36" s="224">
        <v>30429</v>
      </c>
      <c r="L36" s="225" t="s">
        <v>785</v>
      </c>
      <c r="M36" s="129" t="s">
        <v>21</v>
      </c>
    </row>
    <row r="37" spans="1:13" s="144" customFormat="1" ht="15" customHeight="1" x14ac:dyDescent="0.25">
      <c r="A37" s="134">
        <v>34</v>
      </c>
      <c r="B37" s="134">
        <v>47803</v>
      </c>
      <c r="C37" s="136" t="s">
        <v>2101</v>
      </c>
      <c r="D37" s="134" t="s">
        <v>721</v>
      </c>
      <c r="E37" s="171" t="s">
        <v>1008</v>
      </c>
      <c r="F37" s="138" t="s">
        <v>384</v>
      </c>
      <c r="G37" s="176"/>
      <c r="H37" s="135">
        <v>41498</v>
      </c>
      <c r="I37" s="134">
        <v>2</v>
      </c>
      <c r="J37" s="224">
        <v>9129</v>
      </c>
      <c r="K37" s="224">
        <v>18258</v>
      </c>
      <c r="L37" s="225" t="s">
        <v>785</v>
      </c>
      <c r="M37" s="129" t="s">
        <v>21</v>
      </c>
    </row>
    <row r="38" spans="1:13" s="144" customFormat="1" ht="15" customHeight="1" x14ac:dyDescent="0.25">
      <c r="A38" s="134">
        <v>35</v>
      </c>
      <c r="B38" s="134">
        <v>47743</v>
      </c>
      <c r="C38" s="136" t="s">
        <v>2102</v>
      </c>
      <c r="D38" s="134" t="s">
        <v>721</v>
      </c>
      <c r="E38" s="171" t="s">
        <v>679</v>
      </c>
      <c r="F38" s="138" t="s">
        <v>368</v>
      </c>
      <c r="G38" s="176"/>
      <c r="H38" s="135">
        <v>41498</v>
      </c>
      <c r="I38" s="134">
        <v>1</v>
      </c>
      <c r="J38" s="224">
        <v>55058</v>
      </c>
      <c r="K38" s="224">
        <v>55058</v>
      </c>
      <c r="L38" s="225" t="s">
        <v>785</v>
      </c>
      <c r="M38" s="129" t="s">
        <v>21</v>
      </c>
    </row>
    <row r="39" spans="1:13" s="144" customFormat="1" ht="15" customHeight="1" x14ac:dyDescent="0.25">
      <c r="A39" s="134">
        <v>36</v>
      </c>
      <c r="B39" s="134">
        <v>49303</v>
      </c>
      <c r="C39" s="136" t="s">
        <v>2103</v>
      </c>
      <c r="D39" s="134" t="s">
        <v>475</v>
      </c>
      <c r="E39" s="171" t="s">
        <v>115</v>
      </c>
      <c r="F39" s="138" t="s">
        <v>559</v>
      </c>
      <c r="G39" s="176" t="s">
        <v>2104</v>
      </c>
      <c r="H39" s="135">
        <v>41506</v>
      </c>
      <c r="I39" s="134">
        <v>1</v>
      </c>
      <c r="J39" s="224">
        <v>5274</v>
      </c>
      <c r="K39" s="224">
        <v>5274</v>
      </c>
      <c r="L39" s="225" t="s">
        <v>785</v>
      </c>
      <c r="M39" s="129" t="s">
        <v>21</v>
      </c>
    </row>
    <row r="40" spans="1:13" s="144" customFormat="1" ht="15" customHeight="1" x14ac:dyDescent="0.25">
      <c r="A40" s="134">
        <v>37</v>
      </c>
      <c r="B40" s="134">
        <v>49325</v>
      </c>
      <c r="C40" s="136" t="s">
        <v>2105</v>
      </c>
      <c r="D40" s="134" t="s">
        <v>721</v>
      </c>
      <c r="E40" s="171" t="s">
        <v>215</v>
      </c>
      <c r="F40" s="138" t="s">
        <v>368</v>
      </c>
      <c r="G40" s="176" t="s">
        <v>2098</v>
      </c>
      <c r="H40" s="135">
        <v>41505</v>
      </c>
      <c r="I40" s="134">
        <v>1</v>
      </c>
      <c r="J40" s="224">
        <v>44597</v>
      </c>
      <c r="K40" s="224">
        <v>44597</v>
      </c>
      <c r="L40" s="225" t="s">
        <v>785</v>
      </c>
      <c r="M40" s="129" t="s">
        <v>21</v>
      </c>
    </row>
    <row r="41" spans="1:13" s="144" customFormat="1" ht="15" customHeight="1" x14ac:dyDescent="0.25">
      <c r="A41" s="134">
        <v>38</v>
      </c>
      <c r="B41" s="134">
        <v>49458</v>
      </c>
      <c r="C41" s="136" t="s">
        <v>2106</v>
      </c>
      <c r="D41" s="134" t="s">
        <v>721</v>
      </c>
      <c r="E41" s="171" t="s">
        <v>215</v>
      </c>
      <c r="F41" s="138" t="s">
        <v>368</v>
      </c>
      <c r="G41" s="176" t="s">
        <v>2107</v>
      </c>
      <c r="H41" s="135">
        <v>41505</v>
      </c>
      <c r="I41" s="134">
        <v>1</v>
      </c>
      <c r="J41" s="224">
        <v>44597</v>
      </c>
      <c r="K41" s="224">
        <v>44597</v>
      </c>
      <c r="L41" s="225" t="s">
        <v>785</v>
      </c>
      <c r="M41" s="129" t="s">
        <v>21</v>
      </c>
    </row>
    <row r="42" spans="1:13" s="144" customFormat="1" ht="15" customHeight="1" x14ac:dyDescent="0.25">
      <c r="A42" s="134">
        <v>39</v>
      </c>
      <c r="B42" s="134">
        <v>49435</v>
      </c>
      <c r="C42" s="136" t="s">
        <v>2108</v>
      </c>
      <c r="D42" s="134" t="s">
        <v>721</v>
      </c>
      <c r="E42" s="171" t="s">
        <v>534</v>
      </c>
      <c r="F42" s="138" t="s">
        <v>508</v>
      </c>
      <c r="G42" s="176" t="s">
        <v>2109</v>
      </c>
      <c r="H42" s="135">
        <v>41505</v>
      </c>
      <c r="I42" s="134">
        <v>1</v>
      </c>
      <c r="J42" s="224">
        <v>30429</v>
      </c>
      <c r="K42" s="224">
        <v>30429</v>
      </c>
      <c r="L42" s="225" t="s">
        <v>785</v>
      </c>
      <c r="M42" s="129" t="s">
        <v>21</v>
      </c>
    </row>
    <row r="43" spans="1:13" s="144" customFormat="1" ht="15" customHeight="1" x14ac:dyDescent="0.25">
      <c r="A43" s="134">
        <v>40</v>
      </c>
      <c r="B43" s="134">
        <v>50946</v>
      </c>
      <c r="C43" s="136" t="s">
        <v>2110</v>
      </c>
      <c r="D43" s="134" t="s">
        <v>721</v>
      </c>
      <c r="E43" s="171" t="s">
        <v>115</v>
      </c>
      <c r="F43" s="138" t="s">
        <v>2111</v>
      </c>
      <c r="G43" s="176" t="s">
        <v>2064</v>
      </c>
      <c r="H43" s="135">
        <v>41510</v>
      </c>
      <c r="I43" s="134">
        <v>1</v>
      </c>
      <c r="J43" s="224">
        <v>5274</v>
      </c>
      <c r="K43" s="224">
        <v>5274</v>
      </c>
      <c r="L43" s="225" t="s">
        <v>785</v>
      </c>
      <c r="M43" s="129" t="s">
        <v>21</v>
      </c>
    </row>
    <row r="44" spans="1:13" s="144" customFormat="1" ht="15" customHeight="1" x14ac:dyDescent="0.25">
      <c r="A44" s="134">
        <v>41</v>
      </c>
      <c r="B44" s="134">
        <v>51486</v>
      </c>
      <c r="C44" s="136" t="s">
        <v>2112</v>
      </c>
      <c r="D44" s="134" t="s">
        <v>542</v>
      </c>
      <c r="E44" s="171" t="s">
        <v>215</v>
      </c>
      <c r="F44" s="138" t="s">
        <v>368</v>
      </c>
      <c r="G44" s="176" t="s">
        <v>2064</v>
      </c>
      <c r="H44" s="135">
        <v>41513</v>
      </c>
      <c r="I44" s="134">
        <v>1</v>
      </c>
      <c r="J44" s="224">
        <v>44597</v>
      </c>
      <c r="K44" s="224">
        <v>44597</v>
      </c>
      <c r="L44" s="225" t="s">
        <v>785</v>
      </c>
      <c r="M44" s="129" t="s">
        <v>21</v>
      </c>
    </row>
    <row r="45" spans="1:13" s="144" customFormat="1" ht="15" customHeight="1" x14ac:dyDescent="0.25">
      <c r="A45" s="134">
        <v>42</v>
      </c>
      <c r="B45" s="134">
        <v>51590</v>
      </c>
      <c r="C45" s="136" t="s">
        <v>2113</v>
      </c>
      <c r="D45" s="134" t="s">
        <v>721</v>
      </c>
      <c r="E45" s="171" t="s">
        <v>115</v>
      </c>
      <c r="F45" s="138" t="s">
        <v>524</v>
      </c>
      <c r="G45" s="176" t="s">
        <v>2114</v>
      </c>
      <c r="H45" s="135">
        <v>41514</v>
      </c>
      <c r="I45" s="134">
        <v>1</v>
      </c>
      <c r="J45" s="224">
        <v>5274</v>
      </c>
      <c r="K45" s="224">
        <v>5274</v>
      </c>
      <c r="L45" s="225" t="s">
        <v>785</v>
      </c>
      <c r="M45" s="129" t="s">
        <v>21</v>
      </c>
    </row>
    <row r="46" spans="1:13" s="144" customFormat="1" ht="15" customHeight="1" x14ac:dyDescent="0.25">
      <c r="A46" s="134">
        <v>43</v>
      </c>
      <c r="B46" s="134">
        <v>51661</v>
      </c>
      <c r="C46" s="136" t="s">
        <v>2115</v>
      </c>
      <c r="D46" s="134" t="s">
        <v>386</v>
      </c>
      <c r="E46" s="171" t="s">
        <v>577</v>
      </c>
      <c r="F46" s="138" t="s">
        <v>368</v>
      </c>
      <c r="G46" s="176"/>
      <c r="H46" s="135">
        <v>41513</v>
      </c>
      <c r="I46" s="134">
        <v>1</v>
      </c>
      <c r="J46" s="224">
        <v>25800</v>
      </c>
      <c r="K46" s="224">
        <v>25800</v>
      </c>
      <c r="L46" s="225" t="s">
        <v>785</v>
      </c>
      <c r="M46" s="129" t="s">
        <v>21</v>
      </c>
    </row>
    <row r="47" spans="1:13" s="144" customFormat="1" ht="15" customHeight="1" x14ac:dyDescent="0.25">
      <c r="A47" s="134">
        <v>44</v>
      </c>
      <c r="B47" s="134">
        <v>51756</v>
      </c>
      <c r="C47" s="136" t="s">
        <v>2086</v>
      </c>
      <c r="D47" s="134" t="s">
        <v>721</v>
      </c>
      <c r="E47" s="171" t="s">
        <v>208</v>
      </c>
      <c r="F47" s="138" t="s">
        <v>416</v>
      </c>
      <c r="G47" s="176"/>
      <c r="H47" s="135">
        <v>41513</v>
      </c>
      <c r="I47" s="134">
        <v>1</v>
      </c>
      <c r="J47" s="224">
        <v>14099</v>
      </c>
      <c r="K47" s="224">
        <v>14099</v>
      </c>
      <c r="L47" s="225" t="s">
        <v>785</v>
      </c>
      <c r="M47" s="129" t="s">
        <v>21</v>
      </c>
    </row>
    <row r="48" spans="1:13" s="144" customFormat="1" ht="15" customHeight="1" thickBot="1" x14ac:dyDescent="0.3">
      <c r="A48" s="134">
        <v>45</v>
      </c>
      <c r="B48" s="244">
        <v>52236</v>
      </c>
      <c r="C48" s="245" t="s">
        <v>2116</v>
      </c>
      <c r="D48" s="244" t="s">
        <v>475</v>
      </c>
      <c r="E48" s="246" t="s">
        <v>215</v>
      </c>
      <c r="F48" s="247" t="s">
        <v>2117</v>
      </c>
      <c r="G48" s="248" t="s">
        <v>2114</v>
      </c>
      <c r="H48" s="249">
        <v>41515</v>
      </c>
      <c r="I48" s="244">
        <v>1</v>
      </c>
      <c r="J48" s="250">
        <v>44597</v>
      </c>
      <c r="K48" s="250">
        <v>44597</v>
      </c>
      <c r="L48" s="225" t="s">
        <v>785</v>
      </c>
      <c r="M48" s="129" t="s">
        <v>21</v>
      </c>
    </row>
    <row r="49" spans="1:13" s="133" customFormat="1" ht="15" customHeight="1" x14ac:dyDescent="0.25">
      <c r="A49" s="251">
        <v>46</v>
      </c>
      <c r="B49" s="251">
        <v>51602</v>
      </c>
      <c r="C49" s="136" t="s">
        <v>2118</v>
      </c>
      <c r="D49" s="134" t="s">
        <v>721</v>
      </c>
      <c r="E49" s="171" t="s">
        <v>115</v>
      </c>
      <c r="F49" s="138" t="s">
        <v>401</v>
      </c>
      <c r="G49" s="176" t="s">
        <v>2064</v>
      </c>
      <c r="H49" s="135">
        <v>41514</v>
      </c>
      <c r="I49" s="134">
        <v>1</v>
      </c>
      <c r="J49" s="224">
        <v>5274</v>
      </c>
      <c r="K49" s="224">
        <v>5274</v>
      </c>
      <c r="L49" s="225" t="s">
        <v>614</v>
      </c>
      <c r="M49" s="129" t="s">
        <v>21</v>
      </c>
    </row>
    <row r="50" spans="1:13" s="133" customFormat="1" ht="15" customHeight="1" x14ac:dyDescent="0.25">
      <c r="A50" s="251">
        <v>47</v>
      </c>
      <c r="B50" s="251">
        <v>56109</v>
      </c>
      <c r="C50" s="136" t="s">
        <v>2118</v>
      </c>
      <c r="D50" s="134" t="s">
        <v>721</v>
      </c>
      <c r="E50" s="171" t="s">
        <v>114</v>
      </c>
      <c r="F50" s="138" t="s">
        <v>401</v>
      </c>
      <c r="G50" s="176" t="s">
        <v>594</v>
      </c>
      <c r="H50" s="135">
        <v>41529</v>
      </c>
      <c r="I50" s="134">
        <v>1</v>
      </c>
      <c r="J50" s="224">
        <v>33370</v>
      </c>
      <c r="K50" s="224">
        <v>33370</v>
      </c>
      <c r="L50" s="225" t="s">
        <v>614</v>
      </c>
      <c r="M50" s="129" t="s">
        <v>21</v>
      </c>
    </row>
    <row r="51" spans="1:13" s="133" customFormat="1" ht="15" customHeight="1" x14ac:dyDescent="0.25">
      <c r="A51" s="251">
        <v>48</v>
      </c>
      <c r="B51" s="251">
        <v>55544</v>
      </c>
      <c r="C51" s="136" t="s">
        <v>2119</v>
      </c>
      <c r="D51" s="134" t="s">
        <v>542</v>
      </c>
      <c r="E51" s="171" t="s">
        <v>215</v>
      </c>
      <c r="F51" s="138" t="s">
        <v>368</v>
      </c>
      <c r="G51" s="176" t="s">
        <v>740</v>
      </c>
      <c r="H51" s="135">
        <v>41528</v>
      </c>
      <c r="I51" s="134">
        <v>1</v>
      </c>
      <c r="J51" s="224">
        <v>44597</v>
      </c>
      <c r="K51" s="224">
        <v>44597</v>
      </c>
      <c r="L51" s="225" t="s">
        <v>614</v>
      </c>
      <c r="M51" s="129" t="s">
        <v>21</v>
      </c>
    </row>
    <row r="52" spans="1:13" s="133" customFormat="1" ht="15" customHeight="1" x14ac:dyDescent="0.25">
      <c r="A52" s="251">
        <v>49</v>
      </c>
      <c r="B52" s="251">
        <v>56110</v>
      </c>
      <c r="C52" s="136" t="s">
        <v>2120</v>
      </c>
      <c r="D52" s="134" t="s">
        <v>721</v>
      </c>
      <c r="E52" s="171" t="s">
        <v>534</v>
      </c>
      <c r="F52" s="138" t="s">
        <v>469</v>
      </c>
      <c r="G52" s="176" t="s">
        <v>726</v>
      </c>
      <c r="H52" s="135">
        <v>41529</v>
      </c>
      <c r="I52" s="134">
        <v>1</v>
      </c>
      <c r="J52" s="224">
        <v>30429</v>
      </c>
      <c r="K52" s="224">
        <v>30429</v>
      </c>
      <c r="L52" s="225" t="s">
        <v>614</v>
      </c>
      <c r="M52" s="129" t="s">
        <v>21</v>
      </c>
    </row>
    <row r="53" spans="1:13" s="133" customFormat="1" ht="15" customHeight="1" x14ac:dyDescent="0.25">
      <c r="A53" s="251">
        <v>50</v>
      </c>
      <c r="B53" s="251">
        <v>58856</v>
      </c>
      <c r="C53" s="136" t="s">
        <v>2121</v>
      </c>
      <c r="D53" s="134" t="s">
        <v>542</v>
      </c>
      <c r="E53" s="171" t="s">
        <v>534</v>
      </c>
      <c r="F53" s="138" t="s">
        <v>508</v>
      </c>
      <c r="G53" s="176" t="s">
        <v>560</v>
      </c>
      <c r="H53" s="135">
        <v>41547</v>
      </c>
      <c r="I53" s="134">
        <v>1</v>
      </c>
      <c r="J53" s="224">
        <v>30429</v>
      </c>
      <c r="K53" s="224">
        <v>30429</v>
      </c>
      <c r="L53" s="225" t="s">
        <v>614</v>
      </c>
      <c r="M53" s="129" t="s">
        <v>21</v>
      </c>
    </row>
    <row r="54" spans="1:13" s="133" customFormat="1" ht="15" customHeight="1" x14ac:dyDescent="0.25">
      <c r="A54" s="251">
        <v>51</v>
      </c>
      <c r="B54" s="251">
        <v>57143</v>
      </c>
      <c r="C54" s="136" t="s">
        <v>2096</v>
      </c>
      <c r="D54" s="134" t="s">
        <v>721</v>
      </c>
      <c r="E54" s="171" t="s">
        <v>190</v>
      </c>
      <c r="F54" s="138" t="s">
        <v>2097</v>
      </c>
      <c r="G54" s="176" t="s">
        <v>2094</v>
      </c>
      <c r="H54" s="135">
        <v>41533</v>
      </c>
      <c r="I54" s="134">
        <v>4</v>
      </c>
      <c r="J54" s="224">
        <v>57960</v>
      </c>
      <c r="K54" s="224">
        <v>231840</v>
      </c>
      <c r="L54" s="225" t="s">
        <v>614</v>
      </c>
      <c r="M54" s="129" t="s">
        <v>21</v>
      </c>
    </row>
    <row r="55" spans="1:13" s="133" customFormat="1" ht="15" customHeight="1" x14ac:dyDescent="0.25">
      <c r="A55" s="251">
        <v>52</v>
      </c>
      <c r="B55" s="251">
        <v>44138</v>
      </c>
      <c r="C55" s="136" t="s">
        <v>630</v>
      </c>
      <c r="D55" s="134" t="s">
        <v>721</v>
      </c>
      <c r="E55" s="171" t="s">
        <v>115</v>
      </c>
      <c r="F55" s="138" t="s">
        <v>2122</v>
      </c>
      <c r="G55" s="176" t="s">
        <v>2104</v>
      </c>
      <c r="H55" s="135">
        <v>41486</v>
      </c>
      <c r="I55" s="134">
        <v>2</v>
      </c>
      <c r="J55" s="224">
        <v>5274</v>
      </c>
      <c r="K55" s="224">
        <v>10548</v>
      </c>
      <c r="L55" s="225" t="s">
        <v>614</v>
      </c>
      <c r="M55" s="129" t="s">
        <v>21</v>
      </c>
    </row>
    <row r="56" spans="1:13" s="133" customFormat="1" ht="15" customHeight="1" x14ac:dyDescent="0.25">
      <c r="A56" s="251">
        <v>53</v>
      </c>
      <c r="B56" s="251">
        <v>57816</v>
      </c>
      <c r="C56" s="136" t="s">
        <v>2123</v>
      </c>
      <c r="D56" s="134" t="s">
        <v>721</v>
      </c>
      <c r="E56" s="171" t="s">
        <v>534</v>
      </c>
      <c r="F56" s="138" t="s">
        <v>428</v>
      </c>
      <c r="G56" s="176" t="s">
        <v>2124</v>
      </c>
      <c r="H56" s="135">
        <v>41541</v>
      </c>
      <c r="I56" s="134">
        <v>1</v>
      </c>
      <c r="J56" s="224">
        <v>30429</v>
      </c>
      <c r="K56" s="224">
        <v>30429</v>
      </c>
      <c r="L56" s="225" t="s">
        <v>614</v>
      </c>
      <c r="M56" s="129" t="s">
        <v>21</v>
      </c>
    </row>
    <row r="57" spans="1:13" s="133" customFormat="1" ht="15" customHeight="1" x14ac:dyDescent="0.25">
      <c r="A57" s="251">
        <v>54</v>
      </c>
      <c r="B57" s="251">
        <v>53900</v>
      </c>
      <c r="C57" s="136" t="s">
        <v>2063</v>
      </c>
      <c r="D57" s="134" t="s">
        <v>721</v>
      </c>
      <c r="E57" s="171" t="s">
        <v>534</v>
      </c>
      <c r="F57" s="138" t="s">
        <v>389</v>
      </c>
      <c r="G57" s="176" t="s">
        <v>557</v>
      </c>
      <c r="H57" s="135">
        <v>41521</v>
      </c>
      <c r="I57" s="134">
        <v>1</v>
      </c>
      <c r="J57" s="224">
        <v>30429</v>
      </c>
      <c r="K57" s="224">
        <v>30429</v>
      </c>
      <c r="L57" s="225" t="s">
        <v>614</v>
      </c>
      <c r="M57" s="129" t="s">
        <v>21</v>
      </c>
    </row>
    <row r="58" spans="1:13" s="133" customFormat="1" ht="15" customHeight="1" x14ac:dyDescent="0.25">
      <c r="A58" s="251">
        <v>55</v>
      </c>
      <c r="B58" s="251">
        <v>53280</v>
      </c>
      <c r="C58" s="136" t="s">
        <v>2125</v>
      </c>
      <c r="D58" s="134" t="s">
        <v>542</v>
      </c>
      <c r="E58" s="171" t="s">
        <v>534</v>
      </c>
      <c r="F58" s="138" t="s">
        <v>469</v>
      </c>
      <c r="G58" s="176" t="s">
        <v>639</v>
      </c>
      <c r="H58" s="135">
        <v>41520</v>
      </c>
      <c r="I58" s="134">
        <v>1</v>
      </c>
      <c r="J58" s="224">
        <v>30429</v>
      </c>
      <c r="K58" s="224">
        <v>30429</v>
      </c>
      <c r="L58" s="225" t="s">
        <v>614</v>
      </c>
      <c r="M58" s="129" t="s">
        <v>21</v>
      </c>
    </row>
    <row r="59" spans="1:13" s="133" customFormat="1" ht="15" customHeight="1" x14ac:dyDescent="0.25">
      <c r="A59" s="251">
        <v>56</v>
      </c>
      <c r="B59" s="251">
        <v>57672</v>
      </c>
      <c r="C59" s="136" t="s">
        <v>2126</v>
      </c>
      <c r="D59" s="134" t="s">
        <v>542</v>
      </c>
      <c r="E59" s="171" t="s">
        <v>534</v>
      </c>
      <c r="F59" s="138" t="s">
        <v>439</v>
      </c>
      <c r="G59" s="176" t="s">
        <v>560</v>
      </c>
      <c r="H59" s="135">
        <v>41540</v>
      </c>
      <c r="I59" s="134">
        <v>1</v>
      </c>
      <c r="J59" s="224">
        <v>30429</v>
      </c>
      <c r="K59" s="224">
        <v>30429</v>
      </c>
      <c r="L59" s="225" t="s">
        <v>614</v>
      </c>
      <c r="M59" s="129" t="s">
        <v>21</v>
      </c>
    </row>
    <row r="60" spans="1:13" s="133" customFormat="1" ht="15" customHeight="1" x14ac:dyDescent="0.25">
      <c r="A60" s="251">
        <v>57</v>
      </c>
      <c r="B60" s="251">
        <v>53769</v>
      </c>
      <c r="C60" s="136" t="s">
        <v>2127</v>
      </c>
      <c r="D60" s="134" t="s">
        <v>721</v>
      </c>
      <c r="E60" s="171" t="s">
        <v>534</v>
      </c>
      <c r="F60" s="138" t="s">
        <v>559</v>
      </c>
      <c r="G60" s="176"/>
      <c r="H60" s="135">
        <v>41521</v>
      </c>
      <c r="I60" s="134">
        <v>1</v>
      </c>
      <c r="J60" s="224">
        <v>30429</v>
      </c>
      <c r="K60" s="224">
        <v>30429</v>
      </c>
      <c r="L60" s="225" t="s">
        <v>614</v>
      </c>
      <c r="M60" s="129" t="s">
        <v>21</v>
      </c>
    </row>
    <row r="61" spans="1:13" s="133" customFormat="1" ht="15" customHeight="1" x14ac:dyDescent="0.25">
      <c r="A61" s="251">
        <v>58</v>
      </c>
      <c r="B61" s="251">
        <v>52954</v>
      </c>
      <c r="C61" s="136" t="s">
        <v>2128</v>
      </c>
      <c r="D61" s="134" t="s">
        <v>721</v>
      </c>
      <c r="E61" s="171" t="s">
        <v>235</v>
      </c>
      <c r="F61" s="138" t="s">
        <v>366</v>
      </c>
      <c r="G61" s="176"/>
      <c r="H61" s="135">
        <v>41519</v>
      </c>
      <c r="I61" s="134">
        <v>1</v>
      </c>
      <c r="J61" s="224">
        <v>10401</v>
      </c>
      <c r="K61" s="224">
        <v>10401</v>
      </c>
      <c r="L61" s="225" t="s">
        <v>614</v>
      </c>
      <c r="M61" s="129" t="s">
        <v>21</v>
      </c>
    </row>
    <row r="62" spans="1:13" s="133" customFormat="1" ht="15" customHeight="1" x14ac:dyDescent="0.25">
      <c r="A62" s="251">
        <v>59</v>
      </c>
      <c r="B62" s="251">
        <v>58657</v>
      </c>
      <c r="C62" s="136" t="s">
        <v>2129</v>
      </c>
      <c r="D62" s="134" t="s">
        <v>475</v>
      </c>
      <c r="E62" s="171" t="s">
        <v>215</v>
      </c>
      <c r="F62" s="138" t="s">
        <v>368</v>
      </c>
      <c r="G62" s="176" t="s">
        <v>2130</v>
      </c>
      <c r="H62" s="135">
        <v>41547</v>
      </c>
      <c r="I62" s="134">
        <v>1</v>
      </c>
      <c r="J62" s="224">
        <v>44597</v>
      </c>
      <c r="K62" s="224">
        <v>44597</v>
      </c>
      <c r="L62" s="225" t="s">
        <v>614</v>
      </c>
      <c r="M62" s="129" t="s">
        <v>21</v>
      </c>
    </row>
    <row r="63" spans="1:13" s="133" customFormat="1" ht="15" customHeight="1" x14ac:dyDescent="0.25">
      <c r="A63" s="251">
        <v>60</v>
      </c>
      <c r="B63" s="251">
        <v>53627</v>
      </c>
      <c r="C63" s="136" t="s">
        <v>2131</v>
      </c>
      <c r="D63" s="134" t="s">
        <v>542</v>
      </c>
      <c r="E63" s="171" t="s">
        <v>115</v>
      </c>
      <c r="F63" s="138" t="s">
        <v>416</v>
      </c>
      <c r="G63" s="176" t="s">
        <v>2132</v>
      </c>
      <c r="H63" s="135">
        <v>41520</v>
      </c>
      <c r="I63" s="134">
        <v>1</v>
      </c>
      <c r="J63" s="224">
        <v>5274</v>
      </c>
      <c r="K63" s="224">
        <v>5274</v>
      </c>
      <c r="L63" s="225" t="s">
        <v>614</v>
      </c>
      <c r="M63" s="129" t="s">
        <v>21</v>
      </c>
    </row>
    <row r="64" spans="1:13" s="133" customFormat="1" ht="15" customHeight="1" x14ac:dyDescent="0.25">
      <c r="A64" s="251">
        <v>61</v>
      </c>
      <c r="B64" s="251">
        <v>53627</v>
      </c>
      <c r="C64" s="136" t="s">
        <v>2131</v>
      </c>
      <c r="D64" s="134" t="s">
        <v>542</v>
      </c>
      <c r="E64" s="171" t="s">
        <v>208</v>
      </c>
      <c r="F64" s="138" t="s">
        <v>416</v>
      </c>
      <c r="G64" s="176"/>
      <c r="H64" s="135">
        <v>41520</v>
      </c>
      <c r="I64" s="134">
        <v>1</v>
      </c>
      <c r="J64" s="224">
        <v>14099</v>
      </c>
      <c r="K64" s="224">
        <v>14099</v>
      </c>
      <c r="L64" s="225" t="s">
        <v>614</v>
      </c>
      <c r="M64" s="129" t="s">
        <v>21</v>
      </c>
    </row>
    <row r="65" spans="1:13" s="133" customFormat="1" ht="15" customHeight="1" x14ac:dyDescent="0.25">
      <c r="A65" s="251">
        <v>62</v>
      </c>
      <c r="B65" s="251">
        <v>59091</v>
      </c>
      <c r="C65" s="136" t="s">
        <v>2131</v>
      </c>
      <c r="D65" s="134" t="s">
        <v>542</v>
      </c>
      <c r="E65" s="171" t="s">
        <v>114</v>
      </c>
      <c r="F65" s="138" t="s">
        <v>416</v>
      </c>
      <c r="G65" s="176" t="s">
        <v>2133</v>
      </c>
      <c r="H65" s="135">
        <v>41547</v>
      </c>
      <c r="I65" s="134">
        <v>1</v>
      </c>
      <c r="J65" s="224">
        <v>33370</v>
      </c>
      <c r="K65" s="224">
        <v>33370</v>
      </c>
      <c r="L65" s="225" t="s">
        <v>614</v>
      </c>
      <c r="M65" s="129" t="s">
        <v>21</v>
      </c>
    </row>
    <row r="66" spans="1:13" s="133" customFormat="1" ht="15" customHeight="1" x14ac:dyDescent="0.25">
      <c r="A66" s="251">
        <v>63</v>
      </c>
      <c r="B66" s="251">
        <v>52889</v>
      </c>
      <c r="C66" s="136" t="s">
        <v>2134</v>
      </c>
      <c r="D66" s="134" t="s">
        <v>542</v>
      </c>
      <c r="E66" s="171" t="s">
        <v>115</v>
      </c>
      <c r="F66" s="138" t="s">
        <v>469</v>
      </c>
      <c r="G66" s="176" t="s">
        <v>2064</v>
      </c>
      <c r="H66" s="135">
        <v>41516</v>
      </c>
      <c r="I66" s="134">
        <v>1</v>
      </c>
      <c r="J66" s="224">
        <v>5274</v>
      </c>
      <c r="K66" s="224">
        <v>5274</v>
      </c>
      <c r="L66" s="225" t="s">
        <v>614</v>
      </c>
      <c r="M66" s="129" t="s">
        <v>21</v>
      </c>
    </row>
    <row r="67" spans="1:13" s="133" customFormat="1" ht="15" customHeight="1" x14ac:dyDescent="0.25">
      <c r="A67" s="251">
        <v>64</v>
      </c>
      <c r="B67" s="251">
        <v>52889</v>
      </c>
      <c r="C67" s="136" t="s">
        <v>2134</v>
      </c>
      <c r="D67" s="134" t="s">
        <v>542</v>
      </c>
      <c r="E67" s="171" t="s">
        <v>208</v>
      </c>
      <c r="F67" s="138" t="s">
        <v>469</v>
      </c>
      <c r="G67" s="176"/>
      <c r="H67" s="135">
        <v>41547</v>
      </c>
      <c r="I67" s="134">
        <v>1</v>
      </c>
      <c r="J67" s="224">
        <v>14099</v>
      </c>
      <c r="K67" s="224">
        <v>14099</v>
      </c>
      <c r="L67" s="225" t="s">
        <v>614</v>
      </c>
      <c r="M67" s="129" t="s">
        <v>21</v>
      </c>
    </row>
    <row r="68" spans="1:13" s="133" customFormat="1" ht="15" customHeight="1" x14ac:dyDescent="0.25">
      <c r="A68" s="251">
        <v>65</v>
      </c>
      <c r="B68" s="251">
        <v>53549</v>
      </c>
      <c r="C68" s="136" t="s">
        <v>2135</v>
      </c>
      <c r="D68" s="134" t="s">
        <v>542</v>
      </c>
      <c r="E68" s="171" t="s">
        <v>115</v>
      </c>
      <c r="F68" s="138" t="s">
        <v>591</v>
      </c>
      <c r="G68" s="176" t="s">
        <v>2132</v>
      </c>
      <c r="H68" s="135">
        <v>41520</v>
      </c>
      <c r="I68" s="134">
        <v>1</v>
      </c>
      <c r="J68" s="224">
        <v>5274</v>
      </c>
      <c r="K68" s="224">
        <v>5274</v>
      </c>
      <c r="L68" s="225" t="s">
        <v>614</v>
      </c>
      <c r="M68" s="129" t="s">
        <v>21</v>
      </c>
    </row>
    <row r="69" spans="1:13" s="133" customFormat="1" ht="15" customHeight="1" x14ac:dyDescent="0.25">
      <c r="A69" s="251">
        <v>66</v>
      </c>
      <c r="B69" s="251">
        <v>50853</v>
      </c>
      <c r="C69" s="136" t="s">
        <v>2136</v>
      </c>
      <c r="D69" s="134" t="s">
        <v>721</v>
      </c>
      <c r="E69" s="171" t="s">
        <v>215</v>
      </c>
      <c r="F69" s="138" t="s">
        <v>368</v>
      </c>
      <c r="G69" s="176" t="s">
        <v>2064</v>
      </c>
      <c r="H69" s="135">
        <v>41514</v>
      </c>
      <c r="I69" s="134">
        <v>1</v>
      </c>
      <c r="J69" s="224">
        <v>44597</v>
      </c>
      <c r="K69" s="224">
        <v>44597</v>
      </c>
      <c r="L69" s="225" t="s">
        <v>614</v>
      </c>
      <c r="M69" s="129" t="s">
        <v>21</v>
      </c>
    </row>
    <row r="70" spans="1:13" s="133" customFormat="1" ht="15" customHeight="1" x14ac:dyDescent="0.25">
      <c r="A70" s="251">
        <v>67</v>
      </c>
      <c r="B70" s="251">
        <v>52470</v>
      </c>
      <c r="C70" s="136" t="s">
        <v>2137</v>
      </c>
      <c r="D70" s="134" t="s">
        <v>721</v>
      </c>
      <c r="E70" s="171" t="s">
        <v>534</v>
      </c>
      <c r="F70" s="138" t="s">
        <v>524</v>
      </c>
      <c r="G70" s="176" t="s">
        <v>2138</v>
      </c>
      <c r="H70" s="135">
        <v>41515</v>
      </c>
      <c r="I70" s="134">
        <v>1</v>
      </c>
      <c r="J70" s="224">
        <v>30429</v>
      </c>
      <c r="K70" s="224">
        <v>30429</v>
      </c>
      <c r="L70" s="225" t="s">
        <v>614</v>
      </c>
      <c r="M70" s="129" t="s">
        <v>21</v>
      </c>
    </row>
    <row r="71" spans="1:13" s="133" customFormat="1" ht="15" customHeight="1" x14ac:dyDescent="0.25">
      <c r="A71" s="251">
        <v>68</v>
      </c>
      <c r="B71" s="251">
        <v>50944</v>
      </c>
      <c r="C71" s="136" t="s">
        <v>2139</v>
      </c>
      <c r="D71" s="134" t="s">
        <v>721</v>
      </c>
      <c r="E71" s="171" t="s">
        <v>534</v>
      </c>
      <c r="F71" s="138" t="s">
        <v>524</v>
      </c>
      <c r="G71" s="176" t="s">
        <v>2140</v>
      </c>
      <c r="H71" s="135">
        <v>41512</v>
      </c>
      <c r="I71" s="134">
        <v>1</v>
      </c>
      <c r="J71" s="224">
        <v>30429</v>
      </c>
      <c r="K71" s="224">
        <v>30429</v>
      </c>
      <c r="L71" s="225" t="s">
        <v>614</v>
      </c>
      <c r="M71" s="129" t="s">
        <v>21</v>
      </c>
    </row>
    <row r="72" spans="1:13" s="133" customFormat="1" ht="15" customHeight="1" x14ac:dyDescent="0.25">
      <c r="A72" s="251">
        <v>69</v>
      </c>
      <c r="B72" s="251">
        <v>59030</v>
      </c>
      <c r="C72" s="136" t="s">
        <v>2141</v>
      </c>
      <c r="D72" s="134" t="s">
        <v>542</v>
      </c>
      <c r="E72" s="171" t="s">
        <v>115</v>
      </c>
      <c r="F72" s="138" t="s">
        <v>1001</v>
      </c>
      <c r="G72" s="176" t="s">
        <v>2132</v>
      </c>
      <c r="H72" s="135">
        <v>41547</v>
      </c>
      <c r="I72" s="134">
        <v>4</v>
      </c>
      <c r="J72" s="224">
        <v>5274</v>
      </c>
      <c r="K72" s="224">
        <v>21096</v>
      </c>
      <c r="L72" s="225" t="s">
        <v>614</v>
      </c>
      <c r="M72" s="129" t="s">
        <v>21</v>
      </c>
    </row>
    <row r="73" spans="1:13" s="133" customFormat="1" ht="15" customHeight="1" x14ac:dyDescent="0.25">
      <c r="A73" s="251">
        <v>70</v>
      </c>
      <c r="B73" s="251">
        <v>51078</v>
      </c>
      <c r="C73" s="136" t="s">
        <v>2142</v>
      </c>
      <c r="D73" s="134" t="s">
        <v>721</v>
      </c>
      <c r="E73" s="171" t="s">
        <v>115</v>
      </c>
      <c r="F73" s="138" t="s">
        <v>414</v>
      </c>
      <c r="G73" s="176" t="s">
        <v>2064</v>
      </c>
      <c r="H73" s="135">
        <v>41513</v>
      </c>
      <c r="I73" s="134">
        <v>1</v>
      </c>
      <c r="J73" s="224">
        <v>5274</v>
      </c>
      <c r="K73" s="224">
        <v>5274</v>
      </c>
      <c r="L73" s="225" t="s">
        <v>614</v>
      </c>
      <c r="M73" s="129" t="s">
        <v>21</v>
      </c>
    </row>
    <row r="74" spans="1:13" s="133" customFormat="1" ht="15" customHeight="1" x14ac:dyDescent="0.25">
      <c r="A74" s="251">
        <v>71</v>
      </c>
      <c r="B74" s="251">
        <v>38040</v>
      </c>
      <c r="C74" s="136" t="s">
        <v>2059</v>
      </c>
      <c r="D74" s="134" t="s">
        <v>721</v>
      </c>
      <c r="E74" s="171" t="s">
        <v>190</v>
      </c>
      <c r="F74" s="138" t="s">
        <v>389</v>
      </c>
      <c r="G74" s="176" t="s">
        <v>2143</v>
      </c>
      <c r="H74" s="135">
        <v>41457</v>
      </c>
      <c r="I74" s="134">
        <v>1</v>
      </c>
      <c r="J74" s="224">
        <v>57960</v>
      </c>
      <c r="K74" s="224">
        <v>57960</v>
      </c>
      <c r="L74" s="225" t="s">
        <v>614</v>
      </c>
      <c r="M74" s="129" t="s">
        <v>21</v>
      </c>
    </row>
    <row r="75" spans="1:13" s="133" customFormat="1" ht="15" customHeight="1" x14ac:dyDescent="0.25">
      <c r="A75" s="251">
        <v>72</v>
      </c>
      <c r="B75" s="251">
        <v>51624</v>
      </c>
      <c r="C75" s="136" t="s">
        <v>2144</v>
      </c>
      <c r="D75" s="134" t="s">
        <v>721</v>
      </c>
      <c r="E75" s="171" t="s">
        <v>115</v>
      </c>
      <c r="F75" s="138" t="s">
        <v>428</v>
      </c>
      <c r="G75" s="176" t="s">
        <v>2104</v>
      </c>
      <c r="H75" s="135">
        <v>41516</v>
      </c>
      <c r="I75" s="134">
        <v>1</v>
      </c>
      <c r="J75" s="224">
        <v>5274</v>
      </c>
      <c r="K75" s="224">
        <v>5274</v>
      </c>
      <c r="L75" s="225" t="s">
        <v>614</v>
      </c>
      <c r="M75" s="129" t="s">
        <v>21</v>
      </c>
    </row>
    <row r="76" spans="1:13" s="133" customFormat="1" ht="15" customHeight="1" x14ac:dyDescent="0.25">
      <c r="A76" s="251">
        <v>73</v>
      </c>
      <c r="B76" s="251">
        <v>58098</v>
      </c>
      <c r="C76" s="136" t="s">
        <v>2145</v>
      </c>
      <c r="D76" s="134" t="s">
        <v>721</v>
      </c>
      <c r="E76" s="171" t="s">
        <v>114</v>
      </c>
      <c r="F76" s="138" t="s">
        <v>428</v>
      </c>
      <c r="G76" s="176" t="s">
        <v>557</v>
      </c>
      <c r="H76" s="135">
        <v>41542</v>
      </c>
      <c r="I76" s="134">
        <v>1</v>
      </c>
      <c r="J76" s="224">
        <v>33370</v>
      </c>
      <c r="K76" s="224">
        <v>33370</v>
      </c>
      <c r="L76" s="225" t="s">
        <v>614</v>
      </c>
      <c r="M76" s="129" t="s">
        <v>21</v>
      </c>
    </row>
    <row r="77" spans="1:13" s="133" customFormat="1" ht="15" customHeight="1" x14ac:dyDescent="0.25">
      <c r="A77" s="251">
        <v>74</v>
      </c>
      <c r="B77" s="251">
        <v>56740</v>
      </c>
      <c r="C77" s="136" t="s">
        <v>2146</v>
      </c>
      <c r="D77" s="134" t="s">
        <v>721</v>
      </c>
      <c r="E77" s="171" t="s">
        <v>235</v>
      </c>
      <c r="F77" s="138" t="s">
        <v>366</v>
      </c>
      <c r="G77" s="176"/>
      <c r="H77" s="135">
        <v>41530</v>
      </c>
      <c r="I77" s="134">
        <v>1</v>
      </c>
      <c r="J77" s="224">
        <v>10401</v>
      </c>
      <c r="K77" s="224">
        <v>10401</v>
      </c>
      <c r="L77" s="225" t="s">
        <v>614</v>
      </c>
      <c r="M77" s="129" t="s">
        <v>21</v>
      </c>
    </row>
    <row r="78" spans="1:13" s="133" customFormat="1" ht="15" customHeight="1" x14ac:dyDescent="0.25">
      <c r="A78" s="251">
        <v>75</v>
      </c>
      <c r="B78" s="251">
        <v>57573</v>
      </c>
      <c r="C78" s="136" t="s">
        <v>2147</v>
      </c>
      <c r="D78" s="134" t="s">
        <v>721</v>
      </c>
      <c r="E78" s="171" t="s">
        <v>114</v>
      </c>
      <c r="F78" s="138" t="s">
        <v>524</v>
      </c>
      <c r="G78" s="176" t="s">
        <v>2148</v>
      </c>
      <c r="H78" s="135">
        <v>41541</v>
      </c>
      <c r="I78" s="134">
        <v>1</v>
      </c>
      <c r="J78" s="224">
        <v>33370</v>
      </c>
      <c r="K78" s="224">
        <v>33370</v>
      </c>
      <c r="L78" s="225" t="s">
        <v>614</v>
      </c>
      <c r="M78" s="129" t="s">
        <v>21</v>
      </c>
    </row>
    <row r="79" spans="1:13" s="133" customFormat="1" ht="15" customHeight="1" x14ac:dyDescent="0.25">
      <c r="A79" s="251">
        <v>76</v>
      </c>
      <c r="B79" s="251">
        <v>56146</v>
      </c>
      <c r="C79" s="136" t="s">
        <v>720</v>
      </c>
      <c r="D79" s="134" t="s">
        <v>721</v>
      </c>
      <c r="E79" s="171" t="s">
        <v>1008</v>
      </c>
      <c r="F79" s="138" t="s">
        <v>384</v>
      </c>
      <c r="G79" s="176"/>
      <c r="H79" s="135">
        <v>41529</v>
      </c>
      <c r="I79" s="134">
        <v>2</v>
      </c>
      <c r="J79" s="224">
        <v>9129</v>
      </c>
      <c r="K79" s="224">
        <v>18258</v>
      </c>
      <c r="L79" s="225" t="s">
        <v>614</v>
      </c>
      <c r="M79" s="129" t="s">
        <v>21</v>
      </c>
    </row>
    <row r="80" spans="1:13" s="133" customFormat="1" ht="15" customHeight="1" x14ac:dyDescent="0.25">
      <c r="A80" s="251">
        <v>77</v>
      </c>
      <c r="B80" s="251">
        <v>53286</v>
      </c>
      <c r="C80" s="136" t="s">
        <v>2149</v>
      </c>
      <c r="D80" s="134" t="s">
        <v>721</v>
      </c>
      <c r="E80" s="171" t="s">
        <v>574</v>
      </c>
      <c r="F80" s="138" t="s">
        <v>524</v>
      </c>
      <c r="G80" s="176" t="s">
        <v>557</v>
      </c>
      <c r="H80" s="135">
        <v>41520</v>
      </c>
      <c r="I80" s="134">
        <v>1</v>
      </c>
      <c r="J80" s="224">
        <v>49701</v>
      </c>
      <c r="K80" s="224">
        <v>49701</v>
      </c>
      <c r="L80" s="225" t="s">
        <v>614</v>
      </c>
      <c r="M80" s="129" t="s">
        <v>21</v>
      </c>
    </row>
    <row r="81" spans="1:13" s="133" customFormat="1" ht="15" customHeight="1" x14ac:dyDescent="0.25">
      <c r="A81" s="251">
        <v>78</v>
      </c>
      <c r="B81" s="251">
        <v>54553</v>
      </c>
      <c r="C81" s="136" t="s">
        <v>2150</v>
      </c>
      <c r="D81" s="134" t="s">
        <v>542</v>
      </c>
      <c r="E81" s="171" t="s">
        <v>534</v>
      </c>
      <c r="F81" s="138" t="s">
        <v>565</v>
      </c>
      <c r="G81" s="176" t="s">
        <v>560</v>
      </c>
      <c r="H81" s="135">
        <v>41523</v>
      </c>
      <c r="I81" s="134">
        <v>1</v>
      </c>
      <c r="J81" s="224">
        <v>30429</v>
      </c>
      <c r="K81" s="224">
        <v>30429</v>
      </c>
      <c r="L81" s="225" t="s">
        <v>614</v>
      </c>
      <c r="M81" s="129" t="s">
        <v>21</v>
      </c>
    </row>
    <row r="82" spans="1:13" s="133" customFormat="1" ht="15" customHeight="1" x14ac:dyDescent="0.25">
      <c r="A82" s="251">
        <v>79</v>
      </c>
      <c r="B82" s="251">
        <v>55187</v>
      </c>
      <c r="C82" s="136" t="s">
        <v>2151</v>
      </c>
      <c r="D82" s="134" t="s">
        <v>542</v>
      </c>
      <c r="E82" s="171" t="s">
        <v>115</v>
      </c>
      <c r="F82" s="138" t="s">
        <v>2152</v>
      </c>
      <c r="G82" s="176" t="s">
        <v>1247</v>
      </c>
      <c r="H82" s="135">
        <v>41529</v>
      </c>
      <c r="I82" s="134">
        <v>5</v>
      </c>
      <c r="J82" s="224">
        <v>5274</v>
      </c>
      <c r="K82" s="224">
        <v>26370</v>
      </c>
      <c r="L82" s="225" t="s">
        <v>614</v>
      </c>
      <c r="M82" s="129" t="s">
        <v>21</v>
      </c>
    </row>
    <row r="83" spans="1:13" s="133" customFormat="1" ht="15" customHeight="1" x14ac:dyDescent="0.25">
      <c r="A83" s="251">
        <v>80</v>
      </c>
      <c r="B83" s="251">
        <v>54616</v>
      </c>
      <c r="C83" s="136" t="s">
        <v>2153</v>
      </c>
      <c r="D83" s="134" t="s">
        <v>542</v>
      </c>
      <c r="E83" s="171" t="s">
        <v>534</v>
      </c>
      <c r="F83" s="138" t="s">
        <v>416</v>
      </c>
      <c r="G83" s="176" t="s">
        <v>580</v>
      </c>
      <c r="H83" s="135">
        <v>41523</v>
      </c>
      <c r="I83" s="134">
        <v>1</v>
      </c>
      <c r="J83" s="224">
        <v>30429</v>
      </c>
      <c r="K83" s="224">
        <v>30429</v>
      </c>
      <c r="L83" s="225" t="s">
        <v>614</v>
      </c>
      <c r="M83" s="129" t="s">
        <v>21</v>
      </c>
    </row>
    <row r="84" spans="1:13" s="133" customFormat="1" ht="15" customHeight="1" x14ac:dyDescent="0.25">
      <c r="A84" s="251">
        <v>81</v>
      </c>
      <c r="B84" s="251">
        <v>53688</v>
      </c>
      <c r="C84" s="136" t="s">
        <v>2154</v>
      </c>
      <c r="D84" s="134" t="s">
        <v>542</v>
      </c>
      <c r="E84" s="171" t="s">
        <v>534</v>
      </c>
      <c r="F84" s="138" t="s">
        <v>524</v>
      </c>
      <c r="G84" s="176" t="s">
        <v>560</v>
      </c>
      <c r="H84" s="135">
        <v>41520</v>
      </c>
      <c r="I84" s="134">
        <v>1</v>
      </c>
      <c r="J84" s="224">
        <v>30429</v>
      </c>
      <c r="K84" s="224">
        <v>30429</v>
      </c>
      <c r="L84" s="225" t="s">
        <v>614</v>
      </c>
      <c r="M84" s="129" t="s">
        <v>21</v>
      </c>
    </row>
    <row r="85" spans="1:13" s="133" customFormat="1" ht="15" customHeight="1" x14ac:dyDescent="0.25">
      <c r="A85" s="251">
        <v>82</v>
      </c>
      <c r="B85" s="251">
        <v>51099</v>
      </c>
      <c r="C85" s="136" t="s">
        <v>2155</v>
      </c>
      <c r="D85" s="134" t="s">
        <v>475</v>
      </c>
      <c r="E85" s="171" t="s">
        <v>115</v>
      </c>
      <c r="F85" s="138" t="s">
        <v>407</v>
      </c>
      <c r="G85" s="176" t="s">
        <v>2064</v>
      </c>
      <c r="H85" s="135">
        <v>41513</v>
      </c>
      <c r="I85" s="134">
        <v>1</v>
      </c>
      <c r="J85" s="224">
        <v>5274</v>
      </c>
      <c r="K85" s="224">
        <v>5274</v>
      </c>
      <c r="L85" s="225" t="s">
        <v>614</v>
      </c>
      <c r="M85" s="129" t="s">
        <v>21</v>
      </c>
    </row>
    <row r="86" spans="1:13" s="133" customFormat="1" ht="15" customHeight="1" x14ac:dyDescent="0.25">
      <c r="A86" s="251">
        <v>83</v>
      </c>
      <c r="B86" s="251">
        <v>57076</v>
      </c>
      <c r="C86" s="136" t="s">
        <v>2156</v>
      </c>
      <c r="D86" s="134" t="s">
        <v>542</v>
      </c>
      <c r="E86" s="171" t="s">
        <v>534</v>
      </c>
      <c r="F86" s="138" t="s">
        <v>469</v>
      </c>
      <c r="G86" s="176" t="s">
        <v>580</v>
      </c>
      <c r="H86" s="135">
        <v>41533</v>
      </c>
      <c r="I86" s="134">
        <v>1</v>
      </c>
      <c r="J86" s="224">
        <v>30429</v>
      </c>
      <c r="K86" s="224">
        <v>30429</v>
      </c>
      <c r="L86" s="225" t="s">
        <v>614</v>
      </c>
      <c r="M86" s="129" t="s">
        <v>21</v>
      </c>
    </row>
    <row r="87" spans="1:13" s="133" customFormat="1" ht="15" customHeight="1" x14ac:dyDescent="0.25">
      <c r="A87" s="251">
        <v>84</v>
      </c>
      <c r="B87" s="251">
        <v>57689</v>
      </c>
      <c r="C87" s="136" t="s">
        <v>2083</v>
      </c>
      <c r="D87" s="134" t="s">
        <v>721</v>
      </c>
      <c r="E87" s="171" t="s">
        <v>114</v>
      </c>
      <c r="F87" s="138" t="s">
        <v>2157</v>
      </c>
      <c r="G87" s="176" t="s">
        <v>2091</v>
      </c>
      <c r="H87" s="135">
        <v>41541</v>
      </c>
      <c r="I87" s="134">
        <v>8</v>
      </c>
      <c r="J87" s="224">
        <v>33370</v>
      </c>
      <c r="K87" s="224">
        <v>266960</v>
      </c>
      <c r="L87" s="225" t="s">
        <v>614</v>
      </c>
      <c r="M87" s="129" t="s">
        <v>21</v>
      </c>
    </row>
    <row r="88" spans="1:13" s="133" customFormat="1" ht="15" customHeight="1" x14ac:dyDescent="0.25">
      <c r="A88" s="251">
        <v>85</v>
      </c>
      <c r="B88" s="251">
        <v>56821</v>
      </c>
      <c r="C88" s="136" t="s">
        <v>2158</v>
      </c>
      <c r="D88" s="134" t="s">
        <v>542</v>
      </c>
      <c r="E88" s="171" t="s">
        <v>534</v>
      </c>
      <c r="F88" s="138" t="s">
        <v>591</v>
      </c>
      <c r="G88" s="176" t="s">
        <v>560</v>
      </c>
      <c r="H88" s="135">
        <v>41533</v>
      </c>
      <c r="I88" s="134">
        <v>1</v>
      </c>
      <c r="J88" s="224">
        <v>30429</v>
      </c>
      <c r="K88" s="224">
        <v>30429</v>
      </c>
      <c r="L88" s="225" t="s">
        <v>614</v>
      </c>
      <c r="M88" s="129" t="s">
        <v>21</v>
      </c>
    </row>
    <row r="89" spans="1:13" s="133" customFormat="1" ht="15" customHeight="1" x14ac:dyDescent="0.25">
      <c r="A89" s="251">
        <v>86</v>
      </c>
      <c r="B89" s="251">
        <v>59072</v>
      </c>
      <c r="C89" s="136" t="s">
        <v>2158</v>
      </c>
      <c r="D89" s="134" t="s">
        <v>542</v>
      </c>
      <c r="E89" s="171" t="s">
        <v>534</v>
      </c>
      <c r="F89" s="138" t="s">
        <v>412</v>
      </c>
      <c r="G89" s="176" t="s">
        <v>626</v>
      </c>
      <c r="H89" s="135">
        <v>41547</v>
      </c>
      <c r="I89" s="134">
        <v>1</v>
      </c>
      <c r="J89" s="224">
        <v>30429</v>
      </c>
      <c r="K89" s="224">
        <v>30429</v>
      </c>
      <c r="L89" s="225" t="s">
        <v>614</v>
      </c>
      <c r="M89" s="129" t="s">
        <v>21</v>
      </c>
    </row>
    <row r="90" spans="1:13" s="133" customFormat="1" ht="15" customHeight="1" x14ac:dyDescent="0.25">
      <c r="A90" s="251">
        <v>87</v>
      </c>
      <c r="B90" s="251">
        <v>57940</v>
      </c>
      <c r="C90" s="136" t="s">
        <v>2159</v>
      </c>
      <c r="D90" s="134" t="s">
        <v>386</v>
      </c>
      <c r="E90" s="171" t="s">
        <v>534</v>
      </c>
      <c r="F90" s="138" t="s">
        <v>428</v>
      </c>
      <c r="G90" s="176" t="s">
        <v>2081</v>
      </c>
      <c r="H90" s="135">
        <v>41541</v>
      </c>
      <c r="I90" s="134">
        <v>1</v>
      </c>
      <c r="J90" s="224">
        <v>30429</v>
      </c>
      <c r="K90" s="224">
        <v>30429</v>
      </c>
      <c r="L90" s="225" t="s">
        <v>614</v>
      </c>
      <c r="M90" s="129" t="s">
        <v>21</v>
      </c>
    </row>
    <row r="91" spans="1:13" s="133" customFormat="1" ht="15" customHeight="1" x14ac:dyDescent="0.25">
      <c r="A91" s="251">
        <v>88</v>
      </c>
      <c r="B91" s="251">
        <v>52692</v>
      </c>
      <c r="C91" s="136" t="s">
        <v>2160</v>
      </c>
      <c r="D91" s="134" t="s">
        <v>542</v>
      </c>
      <c r="E91" s="171" t="s">
        <v>534</v>
      </c>
      <c r="F91" s="138" t="s">
        <v>416</v>
      </c>
      <c r="G91" s="176" t="s">
        <v>639</v>
      </c>
      <c r="H91" s="135">
        <v>41516</v>
      </c>
      <c r="I91" s="134">
        <v>1</v>
      </c>
      <c r="J91" s="224">
        <v>30429</v>
      </c>
      <c r="K91" s="224">
        <v>30429</v>
      </c>
      <c r="L91" s="225" t="s">
        <v>614</v>
      </c>
      <c r="M91" s="129" t="s">
        <v>21</v>
      </c>
    </row>
    <row r="92" spans="1:13" s="133" customFormat="1" ht="15" customHeight="1" x14ac:dyDescent="0.25">
      <c r="A92" s="251">
        <v>89</v>
      </c>
      <c r="B92" s="251">
        <v>52710</v>
      </c>
      <c r="C92" s="136" t="s">
        <v>2161</v>
      </c>
      <c r="D92" s="134" t="s">
        <v>542</v>
      </c>
      <c r="E92" s="171" t="s">
        <v>534</v>
      </c>
      <c r="F92" s="138" t="s">
        <v>524</v>
      </c>
      <c r="G92" s="176" t="s">
        <v>639</v>
      </c>
      <c r="H92" s="135">
        <v>41516</v>
      </c>
      <c r="I92" s="134">
        <v>1</v>
      </c>
      <c r="J92" s="224">
        <v>30429</v>
      </c>
      <c r="K92" s="224">
        <v>30429</v>
      </c>
      <c r="L92" s="225" t="s">
        <v>614</v>
      </c>
      <c r="M92" s="129" t="s">
        <v>21</v>
      </c>
    </row>
    <row r="93" spans="1:13" s="133" customFormat="1" ht="15" customHeight="1" x14ac:dyDescent="0.25">
      <c r="A93" s="251">
        <v>90</v>
      </c>
      <c r="B93" s="251">
        <v>54808</v>
      </c>
      <c r="C93" s="136" t="s">
        <v>2086</v>
      </c>
      <c r="D93" s="134" t="s">
        <v>721</v>
      </c>
      <c r="E93" s="171" t="s">
        <v>190</v>
      </c>
      <c r="F93" s="138" t="s">
        <v>1063</v>
      </c>
      <c r="G93" s="176" t="s">
        <v>1337</v>
      </c>
      <c r="H93" s="135">
        <v>41523</v>
      </c>
      <c r="I93" s="134">
        <v>3</v>
      </c>
      <c r="J93" s="224">
        <v>57960</v>
      </c>
      <c r="K93" s="224">
        <v>173880</v>
      </c>
      <c r="L93" s="225" t="s">
        <v>614</v>
      </c>
      <c r="M93" s="129" t="s">
        <v>21</v>
      </c>
    </row>
    <row r="94" spans="1:13" s="133" customFormat="1" ht="15" customHeight="1" thickBot="1" x14ac:dyDescent="0.3">
      <c r="A94" s="251">
        <v>91</v>
      </c>
      <c r="B94" s="252">
        <v>54808</v>
      </c>
      <c r="C94" s="253" t="s">
        <v>2086</v>
      </c>
      <c r="D94" s="254" t="s">
        <v>721</v>
      </c>
      <c r="E94" s="255" t="s">
        <v>114</v>
      </c>
      <c r="F94" s="256" t="s">
        <v>416</v>
      </c>
      <c r="G94" s="257" t="s">
        <v>2162</v>
      </c>
      <c r="H94" s="258">
        <v>41523</v>
      </c>
      <c r="I94" s="254">
        <v>1</v>
      </c>
      <c r="J94" s="259">
        <v>33370</v>
      </c>
      <c r="K94" s="259">
        <v>33370</v>
      </c>
      <c r="L94" s="260" t="s">
        <v>614</v>
      </c>
      <c r="M94" s="129" t="s">
        <v>21</v>
      </c>
    </row>
    <row r="95" spans="1:13" s="133" customFormat="1" ht="15" customHeight="1" thickTop="1" x14ac:dyDescent="0.25">
      <c r="A95" s="121">
        <v>92</v>
      </c>
      <c r="B95" s="261">
        <v>65454</v>
      </c>
      <c r="C95" s="262" t="s">
        <v>2163</v>
      </c>
      <c r="D95" s="261" t="s">
        <v>542</v>
      </c>
      <c r="E95" s="263" t="s">
        <v>215</v>
      </c>
      <c r="F95" s="264" t="s">
        <v>368</v>
      </c>
      <c r="G95" s="265" t="s">
        <v>486</v>
      </c>
      <c r="H95" s="266">
        <v>41569</v>
      </c>
      <c r="I95" s="261">
        <v>1</v>
      </c>
      <c r="J95" s="267">
        <v>44597</v>
      </c>
      <c r="K95" s="268">
        <v>44597</v>
      </c>
      <c r="L95" s="269" t="s">
        <v>617</v>
      </c>
      <c r="M95" s="129" t="s">
        <v>21</v>
      </c>
    </row>
    <row r="96" spans="1:13" s="133" customFormat="1" ht="15" customHeight="1" x14ac:dyDescent="0.25">
      <c r="A96" s="121">
        <v>93</v>
      </c>
      <c r="B96" s="121">
        <v>66830</v>
      </c>
      <c r="C96" s="123" t="s">
        <v>2164</v>
      </c>
      <c r="D96" s="121" t="s">
        <v>373</v>
      </c>
      <c r="E96" s="149" t="s">
        <v>215</v>
      </c>
      <c r="F96" s="125" t="s">
        <v>368</v>
      </c>
      <c r="G96" s="270" t="s">
        <v>1233</v>
      </c>
      <c r="H96" s="122">
        <v>41572</v>
      </c>
      <c r="I96" s="121">
        <v>1</v>
      </c>
      <c r="J96" s="271">
        <v>44597</v>
      </c>
      <c r="K96" s="272">
        <v>44597</v>
      </c>
      <c r="L96" s="269" t="s">
        <v>617</v>
      </c>
      <c r="M96" s="129" t="s">
        <v>21</v>
      </c>
    </row>
    <row r="97" spans="1:13" s="133" customFormat="1" ht="15" customHeight="1" x14ac:dyDescent="0.25">
      <c r="A97" s="121">
        <v>94</v>
      </c>
      <c r="B97" s="121">
        <v>67187</v>
      </c>
      <c r="C97" s="123" t="s">
        <v>2165</v>
      </c>
      <c r="D97" s="121" t="s">
        <v>662</v>
      </c>
      <c r="E97" s="149" t="s">
        <v>195</v>
      </c>
      <c r="F97" s="125" t="s">
        <v>1001</v>
      </c>
      <c r="G97" s="270"/>
      <c r="H97" s="122">
        <v>41575</v>
      </c>
      <c r="I97" s="121">
        <v>4</v>
      </c>
      <c r="J97" s="271">
        <v>2739</v>
      </c>
      <c r="K97" s="272">
        <v>10956</v>
      </c>
      <c r="L97" s="269" t="s">
        <v>617</v>
      </c>
      <c r="M97" s="129" t="s">
        <v>21</v>
      </c>
    </row>
    <row r="98" spans="1:13" s="133" customFormat="1" ht="15" customHeight="1" x14ac:dyDescent="0.25">
      <c r="A98" s="121">
        <v>95</v>
      </c>
      <c r="B98" s="121">
        <v>65051</v>
      </c>
      <c r="C98" s="123" t="s">
        <v>2166</v>
      </c>
      <c r="D98" s="121" t="s">
        <v>542</v>
      </c>
      <c r="E98" s="149" t="s">
        <v>115</v>
      </c>
      <c r="F98" s="125" t="s">
        <v>809</v>
      </c>
      <c r="G98" s="270"/>
      <c r="H98" s="122">
        <v>41568</v>
      </c>
      <c r="I98" s="121">
        <v>3</v>
      </c>
      <c r="J98" s="271">
        <v>5274</v>
      </c>
      <c r="K98" s="272">
        <v>15822</v>
      </c>
      <c r="L98" s="269" t="s">
        <v>617</v>
      </c>
      <c r="M98" s="129" t="s">
        <v>21</v>
      </c>
    </row>
    <row r="99" spans="1:13" s="133" customFormat="1" ht="15" customHeight="1" x14ac:dyDescent="0.25">
      <c r="A99" s="121">
        <v>96</v>
      </c>
      <c r="B99" s="121">
        <v>60225</v>
      </c>
      <c r="C99" s="123" t="s">
        <v>2167</v>
      </c>
      <c r="D99" s="121" t="s">
        <v>721</v>
      </c>
      <c r="E99" s="149" t="s">
        <v>577</v>
      </c>
      <c r="F99" s="125" t="s">
        <v>368</v>
      </c>
      <c r="G99" s="270" t="s">
        <v>2168</v>
      </c>
      <c r="H99" s="122">
        <v>41551</v>
      </c>
      <c r="I99" s="121">
        <v>1</v>
      </c>
      <c r="J99" s="271">
        <v>25800</v>
      </c>
      <c r="K99" s="272">
        <v>25800</v>
      </c>
      <c r="L99" s="269" t="s">
        <v>617</v>
      </c>
      <c r="M99" s="129" t="s">
        <v>21</v>
      </c>
    </row>
    <row r="100" spans="1:13" s="133" customFormat="1" ht="15" customHeight="1" x14ac:dyDescent="0.25">
      <c r="A100" s="121">
        <v>97</v>
      </c>
      <c r="B100" s="121">
        <v>63930</v>
      </c>
      <c r="C100" s="123" t="s">
        <v>2169</v>
      </c>
      <c r="D100" s="121" t="s">
        <v>542</v>
      </c>
      <c r="E100" s="149" t="s">
        <v>534</v>
      </c>
      <c r="F100" s="125" t="s">
        <v>389</v>
      </c>
      <c r="G100" s="270" t="s">
        <v>626</v>
      </c>
      <c r="H100" s="122">
        <v>41563</v>
      </c>
      <c r="I100" s="121">
        <v>1</v>
      </c>
      <c r="J100" s="271">
        <v>30429</v>
      </c>
      <c r="K100" s="272">
        <v>30429</v>
      </c>
      <c r="L100" s="269" t="s">
        <v>617</v>
      </c>
      <c r="M100" s="129" t="s">
        <v>21</v>
      </c>
    </row>
    <row r="101" spans="1:13" s="133" customFormat="1" ht="15" customHeight="1" x14ac:dyDescent="0.25">
      <c r="A101" s="121">
        <v>98</v>
      </c>
      <c r="B101" s="121">
        <v>63878</v>
      </c>
      <c r="C101" s="123" t="s">
        <v>630</v>
      </c>
      <c r="D101" s="121" t="s">
        <v>721</v>
      </c>
      <c r="E101" s="149" t="s">
        <v>114</v>
      </c>
      <c r="F101" s="125" t="s">
        <v>439</v>
      </c>
      <c r="G101" s="270" t="s">
        <v>2170</v>
      </c>
      <c r="H101" s="122">
        <v>41563</v>
      </c>
      <c r="I101" s="121">
        <v>1</v>
      </c>
      <c r="J101" s="271">
        <v>33370</v>
      </c>
      <c r="K101" s="272">
        <v>33370</v>
      </c>
      <c r="L101" s="269" t="s">
        <v>617</v>
      </c>
      <c r="M101" s="129" t="s">
        <v>21</v>
      </c>
    </row>
    <row r="102" spans="1:13" s="133" customFormat="1" ht="15" customHeight="1" x14ac:dyDescent="0.25">
      <c r="A102" s="121">
        <v>99</v>
      </c>
      <c r="B102" s="273">
        <v>63553</v>
      </c>
      <c r="C102" s="274" t="s">
        <v>2171</v>
      </c>
      <c r="D102" s="273" t="s">
        <v>542</v>
      </c>
      <c r="E102" s="275" t="s">
        <v>679</v>
      </c>
      <c r="F102" s="276" t="s">
        <v>384</v>
      </c>
      <c r="G102" s="277" t="s">
        <v>2064</v>
      </c>
      <c r="H102" s="278">
        <v>41562</v>
      </c>
      <c r="I102" s="273">
        <v>2</v>
      </c>
      <c r="J102" s="279">
        <v>55058</v>
      </c>
      <c r="K102" s="280">
        <v>110116</v>
      </c>
      <c r="L102" s="269" t="s">
        <v>617</v>
      </c>
      <c r="M102" s="129" t="s">
        <v>21</v>
      </c>
    </row>
    <row r="103" spans="1:13" s="133" customFormat="1" ht="15" customHeight="1" x14ac:dyDescent="0.25">
      <c r="A103" s="121">
        <v>100</v>
      </c>
      <c r="B103" s="273">
        <v>61495</v>
      </c>
      <c r="C103" s="274" t="s">
        <v>2134</v>
      </c>
      <c r="D103" s="273" t="s">
        <v>542</v>
      </c>
      <c r="E103" s="275" t="s">
        <v>114</v>
      </c>
      <c r="F103" s="276" t="s">
        <v>469</v>
      </c>
      <c r="G103" s="277" t="s">
        <v>626</v>
      </c>
      <c r="H103" s="278">
        <v>41555</v>
      </c>
      <c r="I103" s="273">
        <v>1</v>
      </c>
      <c r="J103" s="279">
        <v>33370</v>
      </c>
      <c r="K103" s="280">
        <v>33370</v>
      </c>
      <c r="L103" s="269" t="s">
        <v>617</v>
      </c>
      <c r="M103" s="129" t="s">
        <v>21</v>
      </c>
    </row>
    <row r="104" spans="1:13" s="133" customFormat="1" ht="15" customHeight="1" x14ac:dyDescent="0.25">
      <c r="A104" s="121">
        <v>101</v>
      </c>
      <c r="B104" s="273">
        <v>60526</v>
      </c>
      <c r="C104" s="274" t="s">
        <v>2172</v>
      </c>
      <c r="D104" s="273" t="s">
        <v>542</v>
      </c>
      <c r="E104" s="275" t="s">
        <v>115</v>
      </c>
      <c r="F104" s="276" t="s">
        <v>508</v>
      </c>
      <c r="G104" s="277" t="s">
        <v>2064</v>
      </c>
      <c r="H104" s="278">
        <v>41554</v>
      </c>
      <c r="I104" s="273">
        <v>1</v>
      </c>
      <c r="J104" s="279">
        <v>5274</v>
      </c>
      <c r="K104" s="280">
        <v>5274</v>
      </c>
      <c r="L104" s="269" t="s">
        <v>617</v>
      </c>
      <c r="M104" s="129" t="s">
        <v>21</v>
      </c>
    </row>
    <row r="105" spans="1:13" s="133" customFormat="1" ht="15" customHeight="1" x14ac:dyDescent="0.25">
      <c r="A105" s="121">
        <v>102</v>
      </c>
      <c r="B105" s="273">
        <v>60526</v>
      </c>
      <c r="C105" s="274" t="s">
        <v>2172</v>
      </c>
      <c r="D105" s="273" t="s">
        <v>542</v>
      </c>
      <c r="E105" s="275" t="s">
        <v>208</v>
      </c>
      <c r="F105" s="276" t="s">
        <v>508</v>
      </c>
      <c r="G105" s="277"/>
      <c r="H105" s="278">
        <v>41554</v>
      </c>
      <c r="I105" s="273">
        <v>1</v>
      </c>
      <c r="J105" s="279">
        <v>14099</v>
      </c>
      <c r="K105" s="280">
        <v>14099</v>
      </c>
      <c r="L105" s="269" t="s">
        <v>617</v>
      </c>
      <c r="M105" s="129" t="s">
        <v>21</v>
      </c>
    </row>
    <row r="106" spans="1:13" s="133" customFormat="1" ht="15" customHeight="1" x14ac:dyDescent="0.25">
      <c r="A106" s="121">
        <v>103</v>
      </c>
      <c r="B106" s="273">
        <v>53549</v>
      </c>
      <c r="C106" s="274" t="s">
        <v>2135</v>
      </c>
      <c r="D106" s="273" t="s">
        <v>542</v>
      </c>
      <c r="E106" s="275" t="s">
        <v>208</v>
      </c>
      <c r="F106" s="276" t="s">
        <v>591</v>
      </c>
      <c r="G106" s="277"/>
      <c r="H106" s="278">
        <v>41520</v>
      </c>
      <c r="I106" s="273">
        <v>1</v>
      </c>
      <c r="J106" s="279">
        <v>14099</v>
      </c>
      <c r="K106" s="280">
        <v>14099</v>
      </c>
      <c r="L106" s="269" t="s">
        <v>617</v>
      </c>
      <c r="M106" s="129" t="s">
        <v>21</v>
      </c>
    </row>
    <row r="107" spans="1:13" s="133" customFormat="1" ht="15" customHeight="1" x14ac:dyDescent="0.25">
      <c r="A107" s="121">
        <v>104</v>
      </c>
      <c r="B107" s="273">
        <v>58099</v>
      </c>
      <c r="C107" s="274" t="s">
        <v>2135</v>
      </c>
      <c r="D107" s="273" t="s">
        <v>542</v>
      </c>
      <c r="E107" s="275" t="s">
        <v>114</v>
      </c>
      <c r="F107" s="276" t="s">
        <v>591</v>
      </c>
      <c r="G107" s="277" t="s">
        <v>560</v>
      </c>
      <c r="H107" s="278">
        <v>41542</v>
      </c>
      <c r="I107" s="273">
        <v>1</v>
      </c>
      <c r="J107" s="279">
        <v>33370</v>
      </c>
      <c r="K107" s="280">
        <v>33370</v>
      </c>
      <c r="L107" s="269" t="s">
        <v>617</v>
      </c>
      <c r="M107" s="129" t="s">
        <v>21</v>
      </c>
    </row>
    <row r="108" spans="1:13" s="133" customFormat="1" ht="15" customHeight="1" x14ac:dyDescent="0.25">
      <c r="A108" s="121">
        <v>105</v>
      </c>
      <c r="B108" s="273">
        <v>57491</v>
      </c>
      <c r="C108" s="274" t="s">
        <v>2173</v>
      </c>
      <c r="D108" s="273" t="s">
        <v>542</v>
      </c>
      <c r="E108" s="275" t="s">
        <v>215</v>
      </c>
      <c r="F108" s="276" t="s">
        <v>368</v>
      </c>
      <c r="G108" s="277" t="s">
        <v>2064</v>
      </c>
      <c r="H108" s="278">
        <v>41540</v>
      </c>
      <c r="I108" s="273">
        <v>1</v>
      </c>
      <c r="J108" s="279">
        <v>44597</v>
      </c>
      <c r="K108" s="280">
        <v>44597</v>
      </c>
      <c r="L108" s="269" t="s">
        <v>617</v>
      </c>
      <c r="M108" s="129" t="s">
        <v>21</v>
      </c>
    </row>
    <row r="109" spans="1:13" s="133" customFormat="1" ht="15" customHeight="1" x14ac:dyDescent="0.25">
      <c r="A109" s="121">
        <v>106</v>
      </c>
      <c r="B109" s="273">
        <v>61060</v>
      </c>
      <c r="C109" s="274" t="s">
        <v>2174</v>
      </c>
      <c r="D109" s="273" t="s">
        <v>721</v>
      </c>
      <c r="E109" s="275" t="s">
        <v>215</v>
      </c>
      <c r="F109" s="276" t="s">
        <v>384</v>
      </c>
      <c r="G109" s="277" t="s">
        <v>2064</v>
      </c>
      <c r="H109" s="278">
        <v>41554</v>
      </c>
      <c r="I109" s="273">
        <v>2</v>
      </c>
      <c r="J109" s="279">
        <v>44597</v>
      </c>
      <c r="K109" s="280">
        <v>89194</v>
      </c>
      <c r="L109" s="269" t="s">
        <v>617</v>
      </c>
      <c r="M109" s="129" t="s">
        <v>21</v>
      </c>
    </row>
    <row r="110" spans="1:13" s="133" customFormat="1" ht="15" customHeight="1" x14ac:dyDescent="0.25">
      <c r="A110" s="121">
        <v>107</v>
      </c>
      <c r="B110" s="273">
        <v>60126</v>
      </c>
      <c r="C110" s="274" t="s">
        <v>2175</v>
      </c>
      <c r="D110" s="273" t="s">
        <v>721</v>
      </c>
      <c r="E110" s="275" t="s">
        <v>215</v>
      </c>
      <c r="F110" s="276" t="s">
        <v>384</v>
      </c>
      <c r="G110" s="277" t="s">
        <v>2064</v>
      </c>
      <c r="H110" s="278">
        <v>41549</v>
      </c>
      <c r="I110" s="273">
        <v>2</v>
      </c>
      <c r="J110" s="279">
        <v>44597</v>
      </c>
      <c r="K110" s="280">
        <v>89194</v>
      </c>
      <c r="L110" s="269" t="s">
        <v>617</v>
      </c>
      <c r="M110" s="129" t="s">
        <v>21</v>
      </c>
    </row>
    <row r="111" spans="1:13" s="133" customFormat="1" ht="15" customHeight="1" x14ac:dyDescent="0.25">
      <c r="A111" s="121">
        <v>108</v>
      </c>
      <c r="B111" s="273">
        <v>58812</v>
      </c>
      <c r="C111" s="274" t="s">
        <v>2176</v>
      </c>
      <c r="D111" s="273" t="s">
        <v>721</v>
      </c>
      <c r="E111" s="275" t="s">
        <v>115</v>
      </c>
      <c r="F111" s="276" t="s">
        <v>428</v>
      </c>
      <c r="G111" s="277" t="s">
        <v>2132</v>
      </c>
      <c r="H111" s="278">
        <v>41547</v>
      </c>
      <c r="I111" s="273">
        <v>1</v>
      </c>
      <c r="J111" s="279">
        <v>5274</v>
      </c>
      <c r="K111" s="280">
        <v>5274</v>
      </c>
      <c r="L111" s="269" t="s">
        <v>617</v>
      </c>
      <c r="M111" s="129" t="s">
        <v>21</v>
      </c>
    </row>
    <row r="112" spans="1:13" s="133" customFormat="1" ht="15" customHeight="1" x14ac:dyDescent="0.25">
      <c r="A112" s="121">
        <v>109</v>
      </c>
      <c r="B112" s="273">
        <v>53263</v>
      </c>
      <c r="C112" s="274" t="s">
        <v>2103</v>
      </c>
      <c r="D112" s="273" t="s">
        <v>721</v>
      </c>
      <c r="E112" s="275" t="s">
        <v>534</v>
      </c>
      <c r="F112" s="276" t="s">
        <v>524</v>
      </c>
      <c r="G112" s="277" t="s">
        <v>726</v>
      </c>
      <c r="H112" s="278">
        <v>41530</v>
      </c>
      <c r="I112" s="273">
        <v>1</v>
      </c>
      <c r="J112" s="279">
        <v>30429</v>
      </c>
      <c r="K112" s="280">
        <v>30429</v>
      </c>
      <c r="L112" s="269" t="s">
        <v>617</v>
      </c>
      <c r="M112" s="129" t="s">
        <v>21</v>
      </c>
    </row>
    <row r="113" spans="1:13" s="133" customFormat="1" ht="15" customHeight="1" x14ac:dyDescent="0.25">
      <c r="A113" s="121">
        <v>110</v>
      </c>
      <c r="B113" s="273">
        <v>53263</v>
      </c>
      <c r="C113" s="274" t="s">
        <v>2103</v>
      </c>
      <c r="D113" s="273" t="s">
        <v>721</v>
      </c>
      <c r="E113" s="275" t="s">
        <v>115</v>
      </c>
      <c r="F113" s="276" t="s">
        <v>439</v>
      </c>
      <c r="G113" s="277" t="s">
        <v>726</v>
      </c>
      <c r="H113" s="278">
        <v>41530</v>
      </c>
      <c r="I113" s="273">
        <v>1</v>
      </c>
      <c r="J113" s="279">
        <v>5274</v>
      </c>
      <c r="K113" s="280">
        <v>5274</v>
      </c>
      <c r="L113" s="269" t="s">
        <v>617</v>
      </c>
      <c r="M113" s="129" t="s">
        <v>21</v>
      </c>
    </row>
    <row r="114" spans="1:13" s="133" customFormat="1" ht="15" customHeight="1" x14ac:dyDescent="0.25">
      <c r="A114" s="121">
        <v>111</v>
      </c>
      <c r="B114" s="273">
        <v>59503</v>
      </c>
      <c r="C114" s="274" t="s">
        <v>2177</v>
      </c>
      <c r="D114" s="273" t="s">
        <v>542</v>
      </c>
      <c r="E114" s="275" t="s">
        <v>534</v>
      </c>
      <c r="F114" s="276" t="s">
        <v>439</v>
      </c>
      <c r="G114" s="277" t="s">
        <v>560</v>
      </c>
      <c r="H114" s="278">
        <v>41548</v>
      </c>
      <c r="I114" s="273">
        <v>1</v>
      </c>
      <c r="J114" s="279">
        <v>30429</v>
      </c>
      <c r="K114" s="280">
        <v>30429</v>
      </c>
      <c r="L114" s="269" t="s">
        <v>617</v>
      </c>
      <c r="M114" s="129" t="s">
        <v>21</v>
      </c>
    </row>
    <row r="115" spans="1:13" s="133" customFormat="1" ht="15" customHeight="1" x14ac:dyDescent="0.25">
      <c r="A115" s="121">
        <v>112</v>
      </c>
      <c r="B115" s="273">
        <v>66016</v>
      </c>
      <c r="C115" s="274" t="s">
        <v>2141</v>
      </c>
      <c r="D115" s="273" t="s">
        <v>542</v>
      </c>
      <c r="E115" s="275" t="s">
        <v>1050</v>
      </c>
      <c r="F115" s="276" t="s">
        <v>1001</v>
      </c>
      <c r="G115" s="277" t="s">
        <v>486</v>
      </c>
      <c r="H115" s="278">
        <v>41570</v>
      </c>
      <c r="I115" s="273">
        <v>4</v>
      </c>
      <c r="J115" s="279">
        <v>57960</v>
      </c>
      <c r="K115" s="280">
        <v>231840</v>
      </c>
      <c r="L115" s="269" t="s">
        <v>617</v>
      </c>
      <c r="M115" s="129" t="s">
        <v>21</v>
      </c>
    </row>
    <row r="116" spans="1:13" s="133" customFormat="1" ht="15" customHeight="1" x14ac:dyDescent="0.25">
      <c r="A116" s="121">
        <v>113</v>
      </c>
      <c r="B116" s="273">
        <v>65288</v>
      </c>
      <c r="C116" s="274" t="s">
        <v>2178</v>
      </c>
      <c r="D116" s="273" t="s">
        <v>542</v>
      </c>
      <c r="E116" s="275" t="s">
        <v>534</v>
      </c>
      <c r="F116" s="276" t="s">
        <v>428</v>
      </c>
      <c r="G116" s="277" t="s">
        <v>551</v>
      </c>
      <c r="H116" s="278">
        <v>41570</v>
      </c>
      <c r="I116" s="273">
        <v>1</v>
      </c>
      <c r="J116" s="279">
        <v>30429</v>
      </c>
      <c r="K116" s="280">
        <v>30429</v>
      </c>
      <c r="L116" s="269" t="s">
        <v>617</v>
      </c>
      <c r="M116" s="129" t="s">
        <v>21</v>
      </c>
    </row>
    <row r="117" spans="1:13" s="133" customFormat="1" ht="15" customHeight="1" x14ac:dyDescent="0.25">
      <c r="A117" s="121">
        <v>114</v>
      </c>
      <c r="B117" s="273">
        <v>65515</v>
      </c>
      <c r="C117" s="274" t="s">
        <v>2179</v>
      </c>
      <c r="D117" s="273" t="s">
        <v>542</v>
      </c>
      <c r="E117" s="275" t="s">
        <v>115</v>
      </c>
      <c r="F117" s="276" t="s">
        <v>407</v>
      </c>
      <c r="G117" s="277" t="s">
        <v>483</v>
      </c>
      <c r="H117" s="278">
        <v>41570</v>
      </c>
      <c r="I117" s="273">
        <v>1</v>
      </c>
      <c r="J117" s="279">
        <v>5274</v>
      </c>
      <c r="K117" s="280">
        <v>5274</v>
      </c>
      <c r="L117" s="269" t="s">
        <v>617</v>
      </c>
      <c r="M117" s="129" t="s">
        <v>21</v>
      </c>
    </row>
    <row r="118" spans="1:13" s="133" customFormat="1" ht="15" customHeight="1" x14ac:dyDescent="0.25">
      <c r="A118" s="121">
        <v>115</v>
      </c>
      <c r="B118" s="273">
        <v>59071</v>
      </c>
      <c r="C118" s="274" t="s">
        <v>2147</v>
      </c>
      <c r="D118" s="273" t="s">
        <v>721</v>
      </c>
      <c r="E118" s="275" t="s">
        <v>534</v>
      </c>
      <c r="F118" s="276" t="s">
        <v>428</v>
      </c>
      <c r="G118" s="277" t="s">
        <v>2076</v>
      </c>
      <c r="H118" s="278">
        <v>41547</v>
      </c>
      <c r="I118" s="273">
        <v>1</v>
      </c>
      <c r="J118" s="279">
        <v>30429</v>
      </c>
      <c r="K118" s="280">
        <v>30429</v>
      </c>
      <c r="L118" s="269" t="s">
        <v>617</v>
      </c>
      <c r="M118" s="129" t="s">
        <v>21</v>
      </c>
    </row>
    <row r="119" spans="1:13" s="133" customFormat="1" ht="15" customHeight="1" x14ac:dyDescent="0.25">
      <c r="A119" s="121">
        <v>116</v>
      </c>
      <c r="B119" s="273">
        <v>64219</v>
      </c>
      <c r="C119" s="274" t="s">
        <v>2180</v>
      </c>
      <c r="D119" s="273" t="s">
        <v>386</v>
      </c>
      <c r="E119" s="275" t="s">
        <v>534</v>
      </c>
      <c r="F119" s="276" t="s">
        <v>559</v>
      </c>
      <c r="G119" s="277" t="s">
        <v>2181</v>
      </c>
      <c r="H119" s="278">
        <v>41564</v>
      </c>
      <c r="I119" s="273">
        <v>1</v>
      </c>
      <c r="J119" s="279">
        <v>30429</v>
      </c>
      <c r="K119" s="280">
        <v>30429</v>
      </c>
      <c r="L119" s="269" t="s">
        <v>617</v>
      </c>
      <c r="M119" s="129" t="s">
        <v>21</v>
      </c>
    </row>
    <row r="120" spans="1:13" s="133" customFormat="1" ht="15" customHeight="1" x14ac:dyDescent="0.25">
      <c r="A120" s="121">
        <v>117</v>
      </c>
      <c r="B120" s="273">
        <v>61747</v>
      </c>
      <c r="C120" s="274" t="s">
        <v>2151</v>
      </c>
      <c r="D120" s="273" t="s">
        <v>542</v>
      </c>
      <c r="E120" s="275" t="s">
        <v>2182</v>
      </c>
      <c r="F120" s="276" t="s">
        <v>2152</v>
      </c>
      <c r="G120" s="277" t="s">
        <v>626</v>
      </c>
      <c r="H120" s="278">
        <v>41555</v>
      </c>
      <c r="I120" s="273">
        <v>5</v>
      </c>
      <c r="J120" s="279">
        <v>57959.999999999993</v>
      </c>
      <c r="K120" s="280">
        <v>289799.99999999994</v>
      </c>
      <c r="L120" s="269" t="s">
        <v>617</v>
      </c>
      <c r="M120" s="129" t="s">
        <v>21</v>
      </c>
    </row>
    <row r="121" spans="1:13" s="133" customFormat="1" ht="15" customHeight="1" x14ac:dyDescent="0.25">
      <c r="A121" s="121">
        <v>118</v>
      </c>
      <c r="B121" s="273">
        <v>67653</v>
      </c>
      <c r="C121" s="274" t="s">
        <v>2183</v>
      </c>
      <c r="D121" s="273" t="s">
        <v>542</v>
      </c>
      <c r="E121" s="275" t="s">
        <v>115</v>
      </c>
      <c r="F121" s="276" t="s">
        <v>1848</v>
      </c>
      <c r="G121" s="277" t="s">
        <v>570</v>
      </c>
      <c r="H121" s="278">
        <v>41576</v>
      </c>
      <c r="I121" s="273">
        <v>2</v>
      </c>
      <c r="J121" s="279">
        <v>5274</v>
      </c>
      <c r="K121" s="280">
        <v>10548</v>
      </c>
      <c r="L121" s="269" t="s">
        <v>617</v>
      </c>
      <c r="M121" s="129" t="s">
        <v>21</v>
      </c>
    </row>
    <row r="122" spans="1:13" s="133" customFormat="1" ht="15" customHeight="1" x14ac:dyDescent="0.25">
      <c r="A122" s="121">
        <v>119</v>
      </c>
      <c r="B122" s="273">
        <v>65126</v>
      </c>
      <c r="C122" s="274" t="s">
        <v>2184</v>
      </c>
      <c r="D122" s="273" t="s">
        <v>373</v>
      </c>
      <c r="E122" s="275" t="s">
        <v>115</v>
      </c>
      <c r="F122" s="276" t="s">
        <v>469</v>
      </c>
      <c r="G122" s="277" t="s">
        <v>715</v>
      </c>
      <c r="H122" s="278">
        <v>41569</v>
      </c>
      <c r="I122" s="273">
        <v>1</v>
      </c>
      <c r="J122" s="279">
        <v>5274</v>
      </c>
      <c r="K122" s="280">
        <v>5274</v>
      </c>
      <c r="L122" s="269" t="s">
        <v>617</v>
      </c>
      <c r="M122" s="129" t="s">
        <v>21</v>
      </c>
    </row>
    <row r="123" spans="1:13" s="133" customFormat="1" ht="15" customHeight="1" x14ac:dyDescent="0.25">
      <c r="A123" s="121">
        <v>120</v>
      </c>
      <c r="B123" s="273">
        <v>67219</v>
      </c>
      <c r="C123" s="274" t="s">
        <v>2185</v>
      </c>
      <c r="D123" s="273" t="s">
        <v>2186</v>
      </c>
      <c r="E123" s="275" t="s">
        <v>577</v>
      </c>
      <c r="F123" s="276" t="s">
        <v>368</v>
      </c>
      <c r="G123" s="277"/>
      <c r="H123" s="278">
        <v>41575</v>
      </c>
      <c r="I123" s="273">
        <v>1</v>
      </c>
      <c r="J123" s="279">
        <v>25800</v>
      </c>
      <c r="K123" s="280">
        <v>25800</v>
      </c>
      <c r="L123" s="269" t="s">
        <v>617</v>
      </c>
      <c r="M123" s="129" t="s">
        <v>21</v>
      </c>
    </row>
    <row r="124" spans="1:13" s="133" customFormat="1" ht="15" customHeight="1" x14ac:dyDescent="0.25">
      <c r="A124" s="121">
        <v>121</v>
      </c>
      <c r="B124" s="273">
        <v>61915</v>
      </c>
      <c r="C124" s="274" t="s">
        <v>2187</v>
      </c>
      <c r="D124" s="273" t="s">
        <v>542</v>
      </c>
      <c r="E124" s="275" t="s">
        <v>195</v>
      </c>
      <c r="F124" s="276" t="s">
        <v>2188</v>
      </c>
      <c r="G124" s="277"/>
      <c r="H124" s="278">
        <v>41556</v>
      </c>
      <c r="I124" s="273">
        <v>7</v>
      </c>
      <c r="J124" s="279">
        <v>2739</v>
      </c>
      <c r="K124" s="280">
        <v>19173</v>
      </c>
      <c r="L124" s="269" t="s">
        <v>617</v>
      </c>
      <c r="M124" s="129" t="s">
        <v>21</v>
      </c>
    </row>
    <row r="125" spans="1:13" s="133" customFormat="1" ht="15" customHeight="1" x14ac:dyDescent="0.25">
      <c r="A125" s="121">
        <v>122</v>
      </c>
      <c r="B125" s="273">
        <v>65477</v>
      </c>
      <c r="C125" s="274" t="s">
        <v>2189</v>
      </c>
      <c r="D125" s="273" t="s">
        <v>373</v>
      </c>
      <c r="E125" s="275" t="s">
        <v>534</v>
      </c>
      <c r="F125" s="276" t="s">
        <v>428</v>
      </c>
      <c r="G125" s="277" t="s">
        <v>563</v>
      </c>
      <c r="H125" s="278">
        <v>41569</v>
      </c>
      <c r="I125" s="273">
        <v>1</v>
      </c>
      <c r="J125" s="279">
        <v>30429</v>
      </c>
      <c r="K125" s="280">
        <v>30429</v>
      </c>
      <c r="L125" s="269" t="s">
        <v>617</v>
      </c>
      <c r="M125" s="129" t="s">
        <v>21</v>
      </c>
    </row>
    <row r="126" spans="1:13" s="133" customFormat="1" ht="15" customHeight="1" x14ac:dyDescent="0.25">
      <c r="A126" s="121">
        <v>123</v>
      </c>
      <c r="B126" s="273">
        <v>58236</v>
      </c>
      <c r="C126" s="274" t="s">
        <v>2190</v>
      </c>
      <c r="D126" s="273" t="s">
        <v>721</v>
      </c>
      <c r="E126" s="275" t="s">
        <v>574</v>
      </c>
      <c r="F126" s="276" t="s">
        <v>524</v>
      </c>
      <c r="G126" s="277" t="s">
        <v>2124</v>
      </c>
      <c r="H126" s="278">
        <v>41542</v>
      </c>
      <c r="I126" s="273">
        <v>1</v>
      </c>
      <c r="J126" s="279">
        <v>49701</v>
      </c>
      <c r="K126" s="280">
        <v>49701</v>
      </c>
      <c r="L126" s="269" t="s">
        <v>617</v>
      </c>
      <c r="M126" s="129" t="s">
        <v>21</v>
      </c>
    </row>
    <row r="127" spans="1:13" s="133" customFormat="1" ht="15" customHeight="1" x14ac:dyDescent="0.25">
      <c r="A127" s="121">
        <v>124</v>
      </c>
      <c r="B127" s="273">
        <v>62738</v>
      </c>
      <c r="C127" s="274" t="s">
        <v>2191</v>
      </c>
      <c r="D127" s="273" t="s">
        <v>542</v>
      </c>
      <c r="E127" s="275" t="s">
        <v>215</v>
      </c>
      <c r="F127" s="276" t="s">
        <v>368</v>
      </c>
      <c r="G127" s="277" t="s">
        <v>1061</v>
      </c>
      <c r="H127" s="278">
        <v>41561</v>
      </c>
      <c r="I127" s="273">
        <v>1</v>
      </c>
      <c r="J127" s="279">
        <v>44597</v>
      </c>
      <c r="K127" s="280">
        <v>44597</v>
      </c>
      <c r="L127" s="269" t="s">
        <v>617</v>
      </c>
      <c r="M127" s="129" t="s">
        <v>21</v>
      </c>
    </row>
    <row r="128" spans="1:13" s="133" customFormat="1" ht="15" customHeight="1" x14ac:dyDescent="0.25">
      <c r="A128" s="121">
        <v>125</v>
      </c>
      <c r="B128" s="273">
        <v>63931</v>
      </c>
      <c r="C128" s="274" t="s">
        <v>2192</v>
      </c>
      <c r="D128" s="273" t="s">
        <v>542</v>
      </c>
      <c r="E128" s="275" t="s">
        <v>534</v>
      </c>
      <c r="F128" s="276" t="s">
        <v>524</v>
      </c>
      <c r="G128" s="277" t="s">
        <v>560</v>
      </c>
      <c r="H128" s="278">
        <v>41563</v>
      </c>
      <c r="I128" s="273">
        <v>1</v>
      </c>
      <c r="J128" s="279">
        <v>30429</v>
      </c>
      <c r="K128" s="280">
        <v>30429</v>
      </c>
      <c r="L128" s="269" t="s">
        <v>617</v>
      </c>
      <c r="M128" s="129" t="s">
        <v>21</v>
      </c>
    </row>
    <row r="129" spans="1:13" s="133" customFormat="1" ht="15" customHeight="1" x14ac:dyDescent="0.25">
      <c r="A129" s="121">
        <v>126</v>
      </c>
      <c r="B129" s="273">
        <v>62868</v>
      </c>
      <c r="C129" s="274" t="s">
        <v>2158</v>
      </c>
      <c r="D129" s="273" t="s">
        <v>542</v>
      </c>
      <c r="E129" s="275" t="s">
        <v>534</v>
      </c>
      <c r="F129" s="276" t="s">
        <v>642</v>
      </c>
      <c r="G129" s="277" t="s">
        <v>626</v>
      </c>
      <c r="H129" s="278">
        <v>41558</v>
      </c>
      <c r="I129" s="273">
        <v>1</v>
      </c>
      <c r="J129" s="279">
        <v>30429</v>
      </c>
      <c r="K129" s="280">
        <v>30429</v>
      </c>
      <c r="L129" s="269" t="s">
        <v>617</v>
      </c>
      <c r="M129" s="129" t="s">
        <v>21</v>
      </c>
    </row>
    <row r="130" spans="1:13" s="133" customFormat="1" ht="15" customHeight="1" x14ac:dyDescent="0.25">
      <c r="A130" s="121">
        <v>127</v>
      </c>
      <c r="B130" s="273">
        <v>67564</v>
      </c>
      <c r="C130" s="274" t="s">
        <v>2193</v>
      </c>
      <c r="D130" s="273" t="s">
        <v>542</v>
      </c>
      <c r="E130" s="275" t="s">
        <v>215</v>
      </c>
      <c r="F130" s="276" t="s">
        <v>384</v>
      </c>
      <c r="G130" s="277" t="s">
        <v>486</v>
      </c>
      <c r="H130" s="278">
        <v>41576</v>
      </c>
      <c r="I130" s="273">
        <v>2</v>
      </c>
      <c r="J130" s="279">
        <v>44597</v>
      </c>
      <c r="K130" s="280">
        <v>89194</v>
      </c>
      <c r="L130" s="269" t="s">
        <v>617</v>
      </c>
      <c r="M130" s="129" t="s">
        <v>21</v>
      </c>
    </row>
    <row r="131" spans="1:13" s="133" customFormat="1" ht="15" customHeight="1" x14ac:dyDescent="0.25">
      <c r="A131" s="121">
        <v>128</v>
      </c>
      <c r="B131" s="273">
        <v>67263</v>
      </c>
      <c r="C131" s="274" t="s">
        <v>2194</v>
      </c>
      <c r="D131" s="273" t="s">
        <v>662</v>
      </c>
      <c r="E131" s="275" t="s">
        <v>534</v>
      </c>
      <c r="F131" s="276" t="s">
        <v>428</v>
      </c>
      <c r="G131" s="277" t="s">
        <v>2195</v>
      </c>
      <c r="H131" s="278">
        <v>41575</v>
      </c>
      <c r="I131" s="273">
        <v>1</v>
      </c>
      <c r="J131" s="279">
        <v>30429</v>
      </c>
      <c r="K131" s="280">
        <v>30429</v>
      </c>
      <c r="L131" s="269" t="s">
        <v>617</v>
      </c>
      <c r="M131" s="129" t="s">
        <v>21</v>
      </c>
    </row>
    <row r="132" spans="1:13" s="133" customFormat="1" ht="15" customHeight="1" x14ac:dyDescent="0.25">
      <c r="A132" s="121">
        <v>129</v>
      </c>
      <c r="B132" s="273">
        <v>63513</v>
      </c>
      <c r="C132" s="274" t="s">
        <v>2196</v>
      </c>
      <c r="D132" s="273" t="s">
        <v>542</v>
      </c>
      <c r="E132" s="275" t="s">
        <v>534</v>
      </c>
      <c r="F132" s="276" t="s">
        <v>412</v>
      </c>
      <c r="G132" s="277" t="s">
        <v>655</v>
      </c>
      <c r="H132" s="278">
        <v>41562</v>
      </c>
      <c r="I132" s="273">
        <v>1</v>
      </c>
      <c r="J132" s="279">
        <v>30429</v>
      </c>
      <c r="K132" s="280">
        <v>30429</v>
      </c>
      <c r="L132" s="269" t="s">
        <v>617</v>
      </c>
      <c r="M132" s="129" t="s">
        <v>21</v>
      </c>
    </row>
    <row r="133" spans="1:13" s="133" customFormat="1" ht="14.25" customHeight="1" x14ac:dyDescent="0.25">
      <c r="A133" s="121">
        <v>130</v>
      </c>
      <c r="B133" s="273">
        <v>59652</v>
      </c>
      <c r="C133" s="274" t="s">
        <v>2197</v>
      </c>
      <c r="D133" s="273" t="s">
        <v>721</v>
      </c>
      <c r="E133" s="275" t="s">
        <v>577</v>
      </c>
      <c r="F133" s="276" t="s">
        <v>368</v>
      </c>
      <c r="G133" s="277"/>
      <c r="H133" s="278">
        <v>41549</v>
      </c>
      <c r="I133" s="273">
        <v>1</v>
      </c>
      <c r="J133" s="279">
        <v>25800</v>
      </c>
      <c r="K133" s="280">
        <v>25800</v>
      </c>
      <c r="L133" s="269" t="s">
        <v>617</v>
      </c>
      <c r="M133" s="129" t="s">
        <v>21</v>
      </c>
    </row>
    <row r="134" spans="1:13" s="133" customFormat="1" ht="15" customHeight="1" x14ac:dyDescent="0.25">
      <c r="A134" s="121">
        <v>131</v>
      </c>
      <c r="B134" s="281">
        <v>65943</v>
      </c>
      <c r="C134" s="282" t="s">
        <v>2198</v>
      </c>
      <c r="D134" s="281" t="s">
        <v>542</v>
      </c>
      <c r="E134" s="283" t="s">
        <v>215</v>
      </c>
      <c r="F134" s="284" t="s">
        <v>368</v>
      </c>
      <c r="G134" s="285" t="s">
        <v>486</v>
      </c>
      <c r="H134" s="286">
        <v>41570</v>
      </c>
      <c r="I134" s="281">
        <v>1</v>
      </c>
      <c r="J134" s="287">
        <v>44597</v>
      </c>
      <c r="K134" s="288">
        <v>44597</v>
      </c>
      <c r="L134" s="269" t="s">
        <v>617</v>
      </c>
      <c r="M134" s="129" t="s">
        <v>21</v>
      </c>
    </row>
    <row r="135" spans="1:13" s="133" customFormat="1" ht="15" customHeight="1" x14ac:dyDescent="0.25">
      <c r="A135" s="121">
        <v>132</v>
      </c>
      <c r="B135" s="273">
        <v>71235</v>
      </c>
      <c r="C135" s="123" t="s">
        <v>2199</v>
      </c>
      <c r="D135" s="121" t="s">
        <v>542</v>
      </c>
      <c r="E135" s="149" t="s">
        <v>534</v>
      </c>
      <c r="F135" s="125" t="s">
        <v>524</v>
      </c>
      <c r="G135" s="270" t="s">
        <v>580</v>
      </c>
      <c r="H135" s="122">
        <v>41592</v>
      </c>
      <c r="I135" s="121">
        <v>1</v>
      </c>
      <c r="J135" s="271">
        <v>30429</v>
      </c>
      <c r="K135" s="272">
        <v>30429</v>
      </c>
      <c r="L135" s="269" t="s">
        <v>957</v>
      </c>
      <c r="M135" s="129" t="s">
        <v>21</v>
      </c>
    </row>
    <row r="136" spans="1:13" s="133" customFormat="1" ht="15" customHeight="1" x14ac:dyDescent="0.25">
      <c r="A136" s="121">
        <v>133</v>
      </c>
      <c r="B136" s="121">
        <v>71136</v>
      </c>
      <c r="C136" s="123" t="s">
        <v>2200</v>
      </c>
      <c r="D136" s="121" t="s">
        <v>373</v>
      </c>
      <c r="E136" s="149" t="s">
        <v>534</v>
      </c>
      <c r="F136" s="125" t="s">
        <v>508</v>
      </c>
      <c r="G136" s="270" t="s">
        <v>551</v>
      </c>
      <c r="H136" s="122">
        <v>41592</v>
      </c>
      <c r="I136" s="121">
        <v>1</v>
      </c>
      <c r="J136" s="271">
        <v>30429</v>
      </c>
      <c r="K136" s="272">
        <v>30429</v>
      </c>
      <c r="L136" s="269" t="s">
        <v>957</v>
      </c>
      <c r="M136" s="129" t="s">
        <v>21</v>
      </c>
    </row>
    <row r="137" spans="1:13" s="133" customFormat="1" ht="15" customHeight="1" x14ac:dyDescent="0.25">
      <c r="A137" s="121">
        <v>134</v>
      </c>
      <c r="B137" s="121">
        <v>75303</v>
      </c>
      <c r="C137" s="123" t="s">
        <v>2201</v>
      </c>
      <c r="D137" s="121" t="s">
        <v>386</v>
      </c>
      <c r="E137" s="149" t="s">
        <v>534</v>
      </c>
      <c r="F137" s="125" t="s">
        <v>565</v>
      </c>
      <c r="G137" s="270" t="s">
        <v>639</v>
      </c>
      <c r="H137" s="122">
        <v>41605</v>
      </c>
      <c r="I137" s="121">
        <v>1</v>
      </c>
      <c r="J137" s="271">
        <v>30429</v>
      </c>
      <c r="K137" s="272">
        <v>30429</v>
      </c>
      <c r="L137" s="269" t="s">
        <v>957</v>
      </c>
      <c r="M137" s="129" t="s">
        <v>21</v>
      </c>
    </row>
    <row r="138" spans="1:13" s="133" customFormat="1" ht="15" customHeight="1" x14ac:dyDescent="0.25">
      <c r="A138" s="121">
        <v>135</v>
      </c>
      <c r="B138" s="273">
        <v>68711</v>
      </c>
      <c r="C138" s="274" t="s">
        <v>2202</v>
      </c>
      <c r="D138" s="273" t="s">
        <v>373</v>
      </c>
      <c r="E138" s="275" t="s">
        <v>534</v>
      </c>
      <c r="F138" s="276" t="s">
        <v>559</v>
      </c>
      <c r="G138" s="277" t="s">
        <v>551</v>
      </c>
      <c r="H138" s="278">
        <v>41583</v>
      </c>
      <c r="I138" s="273">
        <v>1</v>
      </c>
      <c r="J138" s="279">
        <v>30429</v>
      </c>
      <c r="K138" s="280">
        <v>30429</v>
      </c>
      <c r="L138" s="269" t="s">
        <v>957</v>
      </c>
      <c r="M138" s="129" t="s">
        <v>21</v>
      </c>
    </row>
    <row r="139" spans="1:13" s="133" customFormat="1" ht="15" customHeight="1" x14ac:dyDescent="0.25">
      <c r="A139" s="121">
        <v>136</v>
      </c>
      <c r="B139" s="273">
        <v>75953</v>
      </c>
      <c r="C139" s="274" t="s">
        <v>2203</v>
      </c>
      <c r="D139" s="273" t="s">
        <v>542</v>
      </c>
      <c r="E139" s="275" t="s">
        <v>534</v>
      </c>
      <c r="F139" s="276" t="s">
        <v>524</v>
      </c>
      <c r="G139" s="277" t="s">
        <v>626</v>
      </c>
      <c r="H139" s="278">
        <v>41610</v>
      </c>
      <c r="I139" s="273">
        <v>1</v>
      </c>
      <c r="J139" s="279">
        <v>30429</v>
      </c>
      <c r="K139" s="280">
        <v>30429</v>
      </c>
      <c r="L139" s="269" t="s">
        <v>957</v>
      </c>
      <c r="M139" s="129" t="s">
        <v>21</v>
      </c>
    </row>
    <row r="140" spans="1:13" s="133" customFormat="1" ht="15" customHeight="1" x14ac:dyDescent="0.25">
      <c r="A140" s="121">
        <v>137</v>
      </c>
      <c r="B140" s="273">
        <v>67674</v>
      </c>
      <c r="C140" s="274" t="s">
        <v>2121</v>
      </c>
      <c r="D140" s="273" t="s">
        <v>542</v>
      </c>
      <c r="E140" s="275" t="s">
        <v>577</v>
      </c>
      <c r="F140" s="276" t="s">
        <v>368</v>
      </c>
      <c r="G140" s="277"/>
      <c r="H140" s="278">
        <v>41570</v>
      </c>
      <c r="I140" s="273">
        <v>1</v>
      </c>
      <c r="J140" s="279">
        <v>25800</v>
      </c>
      <c r="K140" s="280">
        <v>25800</v>
      </c>
      <c r="L140" s="269" t="s">
        <v>957</v>
      </c>
      <c r="M140" s="129" t="s">
        <v>21</v>
      </c>
    </row>
    <row r="141" spans="1:13" s="133" customFormat="1" ht="15" customHeight="1" x14ac:dyDescent="0.25">
      <c r="A141" s="121">
        <v>138</v>
      </c>
      <c r="B141" s="273">
        <v>69030</v>
      </c>
      <c r="C141" s="274" t="s">
        <v>2204</v>
      </c>
      <c r="D141" s="273" t="s">
        <v>542</v>
      </c>
      <c r="E141" s="275" t="s">
        <v>202</v>
      </c>
      <c r="F141" s="276" t="s">
        <v>1537</v>
      </c>
      <c r="G141" s="277"/>
      <c r="H141" s="278">
        <v>41584</v>
      </c>
      <c r="I141" s="273">
        <v>2</v>
      </c>
      <c r="J141" s="279">
        <v>17244</v>
      </c>
      <c r="K141" s="280">
        <v>34488</v>
      </c>
      <c r="L141" s="269" t="s">
        <v>957</v>
      </c>
      <c r="M141" s="129" t="s">
        <v>21</v>
      </c>
    </row>
    <row r="142" spans="1:13" s="133" customFormat="1" ht="15" customHeight="1" x14ac:dyDescent="0.25">
      <c r="A142" s="121">
        <v>139</v>
      </c>
      <c r="B142" s="273">
        <v>70679</v>
      </c>
      <c r="C142" s="274" t="s">
        <v>2204</v>
      </c>
      <c r="D142" s="273" t="s">
        <v>542</v>
      </c>
      <c r="E142" s="275" t="s">
        <v>114</v>
      </c>
      <c r="F142" s="276" t="s">
        <v>469</v>
      </c>
      <c r="G142" s="277"/>
      <c r="H142" s="278">
        <v>41590</v>
      </c>
      <c r="I142" s="273">
        <v>1</v>
      </c>
      <c r="J142" s="279">
        <v>33370</v>
      </c>
      <c r="K142" s="280">
        <v>33370</v>
      </c>
      <c r="L142" s="269" t="s">
        <v>957</v>
      </c>
      <c r="M142" s="129" t="s">
        <v>21</v>
      </c>
    </row>
    <row r="143" spans="1:13" s="133" customFormat="1" ht="15" customHeight="1" x14ac:dyDescent="0.25">
      <c r="A143" s="121">
        <v>140</v>
      </c>
      <c r="B143" s="273">
        <v>66025</v>
      </c>
      <c r="C143" s="274" t="s">
        <v>2205</v>
      </c>
      <c r="D143" s="273" t="s">
        <v>475</v>
      </c>
      <c r="E143" s="275" t="s">
        <v>186</v>
      </c>
      <c r="F143" s="276" t="s">
        <v>428</v>
      </c>
      <c r="G143" s="277" t="s">
        <v>2133</v>
      </c>
      <c r="H143" s="278">
        <v>41570</v>
      </c>
      <c r="I143" s="273">
        <v>1</v>
      </c>
      <c r="J143" s="279">
        <v>42601</v>
      </c>
      <c r="K143" s="280">
        <v>42601</v>
      </c>
      <c r="L143" s="269" t="s">
        <v>957</v>
      </c>
      <c r="M143" s="129" t="s">
        <v>21</v>
      </c>
    </row>
    <row r="144" spans="1:13" s="133" customFormat="1" ht="15" customHeight="1" x14ac:dyDescent="0.25">
      <c r="A144" s="121">
        <v>141</v>
      </c>
      <c r="B144" s="273">
        <v>70841</v>
      </c>
      <c r="C144" s="274" t="s">
        <v>630</v>
      </c>
      <c r="D144" s="273" t="s">
        <v>721</v>
      </c>
      <c r="E144" s="275" t="s">
        <v>114</v>
      </c>
      <c r="F144" s="276" t="s">
        <v>407</v>
      </c>
      <c r="G144" s="277" t="s">
        <v>560</v>
      </c>
      <c r="H144" s="278">
        <v>41591</v>
      </c>
      <c r="I144" s="273">
        <v>1</v>
      </c>
      <c r="J144" s="279">
        <v>33370</v>
      </c>
      <c r="K144" s="280">
        <v>33370</v>
      </c>
      <c r="L144" s="269" t="s">
        <v>957</v>
      </c>
      <c r="M144" s="129" t="s">
        <v>21</v>
      </c>
    </row>
    <row r="145" spans="1:13" s="133" customFormat="1" ht="15" customHeight="1" x14ac:dyDescent="0.25">
      <c r="A145" s="121">
        <v>142</v>
      </c>
      <c r="B145" s="273">
        <v>71948</v>
      </c>
      <c r="C145" s="274" t="s">
        <v>2165</v>
      </c>
      <c r="D145" s="273" t="s">
        <v>662</v>
      </c>
      <c r="E145" s="275" t="s">
        <v>195</v>
      </c>
      <c r="F145" s="276" t="s">
        <v>2206</v>
      </c>
      <c r="G145" s="277"/>
      <c r="H145" s="278">
        <v>41596</v>
      </c>
      <c r="I145" s="273">
        <v>3</v>
      </c>
      <c r="J145" s="279">
        <v>2739</v>
      </c>
      <c r="K145" s="280">
        <v>8217</v>
      </c>
      <c r="L145" s="269" t="s">
        <v>957</v>
      </c>
      <c r="M145" s="129" t="s">
        <v>21</v>
      </c>
    </row>
    <row r="146" spans="1:13" s="133" customFormat="1" ht="15" customHeight="1" x14ac:dyDescent="0.25">
      <c r="A146" s="121">
        <v>143</v>
      </c>
      <c r="B146" s="273">
        <v>71041</v>
      </c>
      <c r="C146" s="274" t="s">
        <v>2166</v>
      </c>
      <c r="D146" s="273" t="s">
        <v>542</v>
      </c>
      <c r="E146" s="275" t="s">
        <v>190</v>
      </c>
      <c r="F146" s="276" t="s">
        <v>809</v>
      </c>
      <c r="G146" s="277" t="s">
        <v>560</v>
      </c>
      <c r="H146" s="278">
        <v>41591</v>
      </c>
      <c r="I146" s="273">
        <v>3</v>
      </c>
      <c r="J146" s="279">
        <v>57960</v>
      </c>
      <c r="K146" s="280">
        <v>173880</v>
      </c>
      <c r="L146" s="269" t="s">
        <v>957</v>
      </c>
      <c r="M146" s="129" t="s">
        <v>21</v>
      </c>
    </row>
    <row r="147" spans="1:13" s="133" customFormat="1" ht="15" customHeight="1" x14ac:dyDescent="0.25">
      <c r="A147" s="121">
        <v>144</v>
      </c>
      <c r="B147" s="273">
        <v>72172</v>
      </c>
      <c r="C147" s="274" t="s">
        <v>2207</v>
      </c>
      <c r="D147" s="273" t="s">
        <v>542</v>
      </c>
      <c r="E147" s="275" t="s">
        <v>534</v>
      </c>
      <c r="F147" s="276" t="s">
        <v>469</v>
      </c>
      <c r="G147" s="277" t="s">
        <v>560</v>
      </c>
      <c r="H147" s="278">
        <v>41596</v>
      </c>
      <c r="I147" s="273">
        <v>1</v>
      </c>
      <c r="J147" s="279">
        <v>30429</v>
      </c>
      <c r="K147" s="280">
        <v>30429</v>
      </c>
      <c r="L147" s="269" t="s">
        <v>957</v>
      </c>
      <c r="M147" s="129" t="s">
        <v>21</v>
      </c>
    </row>
    <row r="148" spans="1:13" s="133" customFormat="1" ht="15" customHeight="1" x14ac:dyDescent="0.25">
      <c r="A148" s="121">
        <v>145</v>
      </c>
      <c r="B148" s="273">
        <v>75521</v>
      </c>
      <c r="C148" s="274" t="s">
        <v>2208</v>
      </c>
      <c r="D148" s="273" t="s">
        <v>542</v>
      </c>
      <c r="E148" s="275" t="s">
        <v>215</v>
      </c>
      <c r="F148" s="276" t="s">
        <v>368</v>
      </c>
      <c r="G148" s="277" t="s">
        <v>700</v>
      </c>
      <c r="H148" s="278">
        <v>41605</v>
      </c>
      <c r="I148" s="273">
        <v>1</v>
      </c>
      <c r="J148" s="279">
        <v>44597</v>
      </c>
      <c r="K148" s="280">
        <v>44597</v>
      </c>
      <c r="L148" s="269" t="s">
        <v>957</v>
      </c>
      <c r="M148" s="129" t="s">
        <v>21</v>
      </c>
    </row>
    <row r="149" spans="1:13" s="133" customFormat="1" ht="15" customHeight="1" x14ac:dyDescent="0.25">
      <c r="A149" s="121">
        <v>146</v>
      </c>
      <c r="B149" s="273">
        <v>71064</v>
      </c>
      <c r="C149" s="274" t="s">
        <v>2209</v>
      </c>
      <c r="D149" s="273" t="s">
        <v>373</v>
      </c>
      <c r="E149" s="275" t="s">
        <v>208</v>
      </c>
      <c r="F149" s="276" t="s">
        <v>404</v>
      </c>
      <c r="G149" s="277"/>
      <c r="H149" s="278">
        <v>41592</v>
      </c>
      <c r="I149" s="273">
        <v>1</v>
      </c>
      <c r="J149" s="279">
        <v>14099</v>
      </c>
      <c r="K149" s="280">
        <v>14099</v>
      </c>
      <c r="L149" s="269" t="s">
        <v>957</v>
      </c>
      <c r="M149" s="129" t="s">
        <v>21</v>
      </c>
    </row>
    <row r="150" spans="1:13" s="133" customFormat="1" ht="15" customHeight="1" x14ac:dyDescent="0.25">
      <c r="A150" s="121">
        <v>147</v>
      </c>
      <c r="B150" s="273">
        <v>69259</v>
      </c>
      <c r="C150" s="274" t="s">
        <v>2210</v>
      </c>
      <c r="D150" s="273" t="s">
        <v>542</v>
      </c>
      <c r="E150" s="275" t="s">
        <v>115</v>
      </c>
      <c r="F150" s="276" t="s">
        <v>412</v>
      </c>
      <c r="G150" s="277" t="s">
        <v>570</v>
      </c>
      <c r="H150" s="278">
        <v>41589</v>
      </c>
      <c r="I150" s="273">
        <v>1</v>
      </c>
      <c r="J150" s="279">
        <v>5274</v>
      </c>
      <c r="K150" s="280">
        <v>5274</v>
      </c>
      <c r="L150" s="269" t="s">
        <v>957</v>
      </c>
      <c r="M150" s="129" t="s">
        <v>21</v>
      </c>
    </row>
    <row r="151" spans="1:13" s="133" customFormat="1" ht="15" customHeight="1" x14ac:dyDescent="0.25">
      <c r="A151" s="121">
        <v>148</v>
      </c>
      <c r="B151" s="273">
        <v>69259</v>
      </c>
      <c r="C151" s="274" t="s">
        <v>2210</v>
      </c>
      <c r="D151" s="273" t="s">
        <v>542</v>
      </c>
      <c r="E151" s="275" t="s">
        <v>208</v>
      </c>
      <c r="F151" s="276" t="s">
        <v>412</v>
      </c>
      <c r="G151" s="277"/>
      <c r="H151" s="278">
        <v>41589</v>
      </c>
      <c r="I151" s="273">
        <v>1</v>
      </c>
      <c r="J151" s="279">
        <v>14099</v>
      </c>
      <c r="K151" s="280">
        <v>14099</v>
      </c>
      <c r="L151" s="269" t="s">
        <v>957</v>
      </c>
      <c r="M151" s="129" t="s">
        <v>21</v>
      </c>
    </row>
    <row r="152" spans="1:13" s="133" customFormat="1" ht="15" customHeight="1" x14ac:dyDescent="0.25">
      <c r="A152" s="121">
        <v>149</v>
      </c>
      <c r="B152" s="273">
        <v>74130</v>
      </c>
      <c r="C152" s="274" t="s">
        <v>2211</v>
      </c>
      <c r="D152" s="273" t="s">
        <v>542</v>
      </c>
      <c r="E152" s="275" t="s">
        <v>114</v>
      </c>
      <c r="F152" s="276" t="s">
        <v>412</v>
      </c>
      <c r="G152" s="277" t="s">
        <v>560</v>
      </c>
      <c r="H152" s="278">
        <v>41603</v>
      </c>
      <c r="I152" s="273">
        <v>1</v>
      </c>
      <c r="J152" s="279">
        <v>33370</v>
      </c>
      <c r="K152" s="280">
        <v>33370</v>
      </c>
      <c r="L152" s="269" t="s">
        <v>957</v>
      </c>
      <c r="M152" s="129" t="s">
        <v>21</v>
      </c>
    </row>
    <row r="153" spans="1:13" s="133" customFormat="1" ht="15" customHeight="1" x14ac:dyDescent="0.25">
      <c r="A153" s="121">
        <v>150</v>
      </c>
      <c r="B153" s="273">
        <v>76196</v>
      </c>
      <c r="C153" s="274" t="s">
        <v>2212</v>
      </c>
      <c r="D153" s="273" t="s">
        <v>542</v>
      </c>
      <c r="E153" s="275" t="s">
        <v>115</v>
      </c>
      <c r="F153" s="276" t="s">
        <v>527</v>
      </c>
      <c r="G153" s="277" t="s">
        <v>486</v>
      </c>
      <c r="H153" s="278">
        <v>41610</v>
      </c>
      <c r="I153" s="273">
        <v>1</v>
      </c>
      <c r="J153" s="279">
        <v>5274</v>
      </c>
      <c r="K153" s="280">
        <v>5274</v>
      </c>
      <c r="L153" s="269" t="s">
        <v>957</v>
      </c>
      <c r="M153" s="129" t="s">
        <v>21</v>
      </c>
    </row>
    <row r="154" spans="1:13" s="133" customFormat="1" ht="15" customHeight="1" x14ac:dyDescent="0.25">
      <c r="A154" s="121">
        <v>151</v>
      </c>
      <c r="B154" s="273">
        <v>76196</v>
      </c>
      <c r="C154" s="274" t="s">
        <v>2212</v>
      </c>
      <c r="D154" s="273" t="s">
        <v>542</v>
      </c>
      <c r="E154" s="275" t="s">
        <v>195</v>
      </c>
      <c r="F154" s="276" t="s">
        <v>2213</v>
      </c>
      <c r="G154" s="277"/>
      <c r="H154" s="278">
        <v>41610</v>
      </c>
      <c r="I154" s="273">
        <v>6</v>
      </c>
      <c r="J154" s="279">
        <v>2739</v>
      </c>
      <c r="K154" s="280">
        <v>16434</v>
      </c>
      <c r="L154" s="269" t="s">
        <v>957</v>
      </c>
      <c r="M154" s="129" t="s">
        <v>21</v>
      </c>
    </row>
    <row r="155" spans="1:13" s="133" customFormat="1" ht="15" customHeight="1" x14ac:dyDescent="0.25">
      <c r="A155" s="121">
        <v>152</v>
      </c>
      <c r="B155" s="273">
        <v>68391</v>
      </c>
      <c r="C155" s="274" t="s">
        <v>2172</v>
      </c>
      <c r="D155" s="273" t="s">
        <v>542</v>
      </c>
      <c r="E155" s="275" t="s">
        <v>114</v>
      </c>
      <c r="F155" s="276" t="s">
        <v>412</v>
      </c>
      <c r="G155" s="277" t="s">
        <v>560</v>
      </c>
      <c r="H155" s="278">
        <v>41582</v>
      </c>
      <c r="I155" s="273">
        <v>1</v>
      </c>
      <c r="J155" s="279">
        <v>33370</v>
      </c>
      <c r="K155" s="280">
        <v>33370</v>
      </c>
      <c r="L155" s="269" t="s">
        <v>957</v>
      </c>
      <c r="M155" s="129" t="s">
        <v>21</v>
      </c>
    </row>
    <row r="156" spans="1:13" s="133" customFormat="1" ht="15" customHeight="1" x14ac:dyDescent="0.25">
      <c r="A156" s="121">
        <v>153</v>
      </c>
      <c r="B156" s="273">
        <v>70459</v>
      </c>
      <c r="C156" s="274" t="s">
        <v>2214</v>
      </c>
      <c r="D156" s="273" t="s">
        <v>542</v>
      </c>
      <c r="E156" s="275" t="s">
        <v>215</v>
      </c>
      <c r="F156" s="276" t="s">
        <v>368</v>
      </c>
      <c r="G156" s="277" t="s">
        <v>486</v>
      </c>
      <c r="H156" s="278">
        <v>41590</v>
      </c>
      <c r="I156" s="273">
        <v>1</v>
      </c>
      <c r="J156" s="279">
        <v>44597</v>
      </c>
      <c r="K156" s="280">
        <v>44597</v>
      </c>
      <c r="L156" s="269" t="s">
        <v>957</v>
      </c>
      <c r="M156" s="129" t="s">
        <v>21</v>
      </c>
    </row>
    <row r="157" spans="1:13" s="133" customFormat="1" ht="15" customHeight="1" x14ac:dyDescent="0.25">
      <c r="A157" s="121">
        <v>154</v>
      </c>
      <c r="B157" s="273">
        <v>74004</v>
      </c>
      <c r="C157" s="274" t="s">
        <v>2215</v>
      </c>
      <c r="D157" s="273" t="s">
        <v>542</v>
      </c>
      <c r="E157" s="275" t="s">
        <v>534</v>
      </c>
      <c r="F157" s="276" t="s">
        <v>559</v>
      </c>
      <c r="G157" s="277" t="s">
        <v>626</v>
      </c>
      <c r="H157" s="278">
        <v>41603</v>
      </c>
      <c r="I157" s="273">
        <v>1</v>
      </c>
      <c r="J157" s="279">
        <v>30429</v>
      </c>
      <c r="K157" s="280">
        <v>30429</v>
      </c>
      <c r="L157" s="269" t="s">
        <v>957</v>
      </c>
      <c r="M157" s="129" t="s">
        <v>21</v>
      </c>
    </row>
    <row r="158" spans="1:13" s="133" customFormat="1" ht="15" customHeight="1" x14ac:dyDescent="0.25">
      <c r="A158" s="121">
        <v>155</v>
      </c>
      <c r="B158" s="273">
        <v>72741</v>
      </c>
      <c r="C158" s="274" t="s">
        <v>2216</v>
      </c>
      <c r="D158" s="273" t="s">
        <v>662</v>
      </c>
      <c r="E158" s="275" t="s">
        <v>534</v>
      </c>
      <c r="F158" s="276" t="s">
        <v>508</v>
      </c>
      <c r="G158" s="277" t="s">
        <v>580</v>
      </c>
      <c r="H158" s="278">
        <v>41597</v>
      </c>
      <c r="I158" s="273">
        <v>1</v>
      </c>
      <c r="J158" s="279">
        <v>30429</v>
      </c>
      <c r="K158" s="280">
        <v>30429</v>
      </c>
      <c r="L158" s="269" t="s">
        <v>957</v>
      </c>
      <c r="M158" s="129" t="s">
        <v>21</v>
      </c>
    </row>
    <row r="159" spans="1:13" s="133" customFormat="1" ht="15" customHeight="1" x14ac:dyDescent="0.25">
      <c r="A159" s="121">
        <v>156</v>
      </c>
      <c r="B159" s="273">
        <v>65644</v>
      </c>
      <c r="C159" s="274" t="s">
        <v>2217</v>
      </c>
      <c r="D159" s="273" t="s">
        <v>475</v>
      </c>
      <c r="E159" s="275" t="s">
        <v>114</v>
      </c>
      <c r="F159" s="276" t="s">
        <v>404</v>
      </c>
      <c r="G159" s="277" t="s">
        <v>2218</v>
      </c>
      <c r="H159" s="278">
        <v>41569</v>
      </c>
      <c r="I159" s="273">
        <v>1</v>
      </c>
      <c r="J159" s="279">
        <v>33370</v>
      </c>
      <c r="K159" s="280">
        <v>33370</v>
      </c>
      <c r="L159" s="269" t="s">
        <v>957</v>
      </c>
      <c r="M159" s="129" t="s">
        <v>21</v>
      </c>
    </row>
    <row r="160" spans="1:13" s="133" customFormat="1" ht="15" customHeight="1" x14ac:dyDescent="0.25">
      <c r="A160" s="121">
        <v>157</v>
      </c>
      <c r="B160" s="273">
        <v>65644</v>
      </c>
      <c r="C160" s="274" t="s">
        <v>2217</v>
      </c>
      <c r="D160" s="273" t="s">
        <v>475</v>
      </c>
      <c r="E160" s="275" t="s">
        <v>186</v>
      </c>
      <c r="F160" s="276" t="s">
        <v>407</v>
      </c>
      <c r="G160" s="277" t="s">
        <v>2218</v>
      </c>
      <c r="H160" s="278">
        <v>41569</v>
      </c>
      <c r="I160" s="273">
        <v>1</v>
      </c>
      <c r="J160" s="279">
        <v>42601</v>
      </c>
      <c r="K160" s="280">
        <v>42601</v>
      </c>
      <c r="L160" s="269" t="s">
        <v>957</v>
      </c>
      <c r="M160" s="129" t="s">
        <v>21</v>
      </c>
    </row>
    <row r="161" spans="1:13" s="133" customFormat="1" ht="15" customHeight="1" x14ac:dyDescent="0.25">
      <c r="A161" s="121">
        <v>158</v>
      </c>
      <c r="B161" s="273">
        <v>69986</v>
      </c>
      <c r="C161" s="274" t="s">
        <v>2219</v>
      </c>
      <c r="D161" s="273" t="s">
        <v>662</v>
      </c>
      <c r="E161" s="275" t="s">
        <v>534</v>
      </c>
      <c r="F161" s="276" t="s">
        <v>527</v>
      </c>
      <c r="G161" s="277" t="s">
        <v>675</v>
      </c>
      <c r="H161" s="278">
        <v>41589</v>
      </c>
      <c r="I161" s="273">
        <v>1</v>
      </c>
      <c r="J161" s="279">
        <v>30429</v>
      </c>
      <c r="K161" s="280">
        <v>30429</v>
      </c>
      <c r="L161" s="269" t="s">
        <v>957</v>
      </c>
      <c r="M161" s="129" t="s">
        <v>21</v>
      </c>
    </row>
    <row r="162" spans="1:13" s="133" customFormat="1" ht="15" customHeight="1" x14ac:dyDescent="0.25">
      <c r="A162" s="121">
        <v>159</v>
      </c>
      <c r="B162" s="273">
        <v>70563</v>
      </c>
      <c r="C162" s="274" t="s">
        <v>2220</v>
      </c>
      <c r="D162" s="273" t="s">
        <v>542</v>
      </c>
      <c r="E162" s="275" t="s">
        <v>115</v>
      </c>
      <c r="F162" s="276" t="s">
        <v>442</v>
      </c>
      <c r="G162" s="277" t="s">
        <v>570</v>
      </c>
      <c r="H162" s="278">
        <v>41591</v>
      </c>
      <c r="I162" s="273">
        <v>1</v>
      </c>
      <c r="J162" s="279">
        <v>5274</v>
      </c>
      <c r="K162" s="280">
        <v>5274</v>
      </c>
      <c r="L162" s="269" t="s">
        <v>957</v>
      </c>
      <c r="M162" s="129" t="s">
        <v>21</v>
      </c>
    </row>
    <row r="163" spans="1:13" s="133" customFormat="1" ht="15" customHeight="1" x14ac:dyDescent="0.25">
      <c r="A163" s="121">
        <v>160</v>
      </c>
      <c r="B163" s="273">
        <v>73011</v>
      </c>
      <c r="C163" s="274" t="s">
        <v>2220</v>
      </c>
      <c r="D163" s="273" t="s">
        <v>542</v>
      </c>
      <c r="E163" s="275" t="s">
        <v>190</v>
      </c>
      <c r="F163" s="276" t="s">
        <v>442</v>
      </c>
      <c r="G163" s="277" t="s">
        <v>580</v>
      </c>
      <c r="H163" s="278">
        <v>41598</v>
      </c>
      <c r="I163" s="273">
        <v>1</v>
      </c>
      <c r="J163" s="279">
        <v>57960</v>
      </c>
      <c r="K163" s="280">
        <v>57960</v>
      </c>
      <c r="L163" s="269" t="s">
        <v>957</v>
      </c>
      <c r="M163" s="129" t="s">
        <v>21</v>
      </c>
    </row>
    <row r="164" spans="1:13" s="133" customFormat="1" ht="15" customHeight="1" x14ac:dyDescent="0.25">
      <c r="A164" s="121">
        <v>161</v>
      </c>
      <c r="B164" s="273">
        <v>72738</v>
      </c>
      <c r="C164" s="274" t="s">
        <v>2221</v>
      </c>
      <c r="D164" s="273" t="s">
        <v>662</v>
      </c>
      <c r="E164" s="275" t="s">
        <v>215</v>
      </c>
      <c r="F164" s="276" t="s">
        <v>368</v>
      </c>
      <c r="G164" s="277" t="s">
        <v>715</v>
      </c>
      <c r="H164" s="278">
        <v>41597</v>
      </c>
      <c r="I164" s="273">
        <v>1</v>
      </c>
      <c r="J164" s="279">
        <v>44597</v>
      </c>
      <c r="K164" s="280">
        <v>44597</v>
      </c>
      <c r="L164" s="269" t="s">
        <v>957</v>
      </c>
      <c r="M164" s="129" t="s">
        <v>21</v>
      </c>
    </row>
    <row r="165" spans="1:13" s="133" customFormat="1" ht="15" customHeight="1" x14ac:dyDescent="0.25">
      <c r="A165" s="121">
        <v>162</v>
      </c>
      <c r="B165" s="273">
        <v>70856</v>
      </c>
      <c r="C165" s="274" t="s">
        <v>2142</v>
      </c>
      <c r="D165" s="273" t="s">
        <v>542</v>
      </c>
      <c r="E165" s="275" t="s">
        <v>114</v>
      </c>
      <c r="F165" s="276" t="s">
        <v>414</v>
      </c>
      <c r="G165" s="277" t="s">
        <v>560</v>
      </c>
      <c r="H165" s="278">
        <v>41591</v>
      </c>
      <c r="I165" s="273">
        <v>1</v>
      </c>
      <c r="J165" s="279">
        <v>33370</v>
      </c>
      <c r="K165" s="280">
        <v>33370</v>
      </c>
      <c r="L165" s="269" t="s">
        <v>957</v>
      </c>
      <c r="M165" s="129" t="s">
        <v>21</v>
      </c>
    </row>
    <row r="166" spans="1:13" s="133" customFormat="1" ht="15" customHeight="1" x14ac:dyDescent="0.25">
      <c r="A166" s="121">
        <v>163</v>
      </c>
      <c r="B166" s="273">
        <v>57685</v>
      </c>
      <c r="C166" s="274" t="s">
        <v>2059</v>
      </c>
      <c r="D166" s="273" t="s">
        <v>721</v>
      </c>
      <c r="E166" s="275" t="s">
        <v>577</v>
      </c>
      <c r="F166" s="276" t="s">
        <v>368</v>
      </c>
      <c r="G166" s="277"/>
      <c r="H166" s="278">
        <v>41541</v>
      </c>
      <c r="I166" s="273">
        <v>1</v>
      </c>
      <c r="J166" s="279">
        <v>25800</v>
      </c>
      <c r="K166" s="280">
        <v>25800</v>
      </c>
      <c r="L166" s="269" t="s">
        <v>957</v>
      </c>
      <c r="M166" s="129" t="s">
        <v>21</v>
      </c>
    </row>
    <row r="167" spans="1:13" s="133" customFormat="1" ht="15.75" customHeight="1" x14ac:dyDescent="0.25">
      <c r="A167" s="121">
        <v>164</v>
      </c>
      <c r="B167" s="273">
        <v>74580</v>
      </c>
      <c r="C167" s="274" t="s">
        <v>2222</v>
      </c>
      <c r="D167" s="273" t="s">
        <v>542</v>
      </c>
      <c r="E167" s="275" t="s">
        <v>679</v>
      </c>
      <c r="F167" s="276" t="s">
        <v>368</v>
      </c>
      <c r="G167" s="277" t="s">
        <v>486</v>
      </c>
      <c r="H167" s="278">
        <v>41604</v>
      </c>
      <c r="I167" s="273">
        <v>1</v>
      </c>
      <c r="J167" s="279">
        <v>55058</v>
      </c>
      <c r="K167" s="280">
        <v>55058</v>
      </c>
      <c r="L167" s="269" t="s">
        <v>957</v>
      </c>
      <c r="M167" s="129" t="s">
        <v>21</v>
      </c>
    </row>
    <row r="168" spans="1:13" s="133" customFormat="1" ht="15" customHeight="1" x14ac:dyDescent="0.25">
      <c r="A168" s="121">
        <v>165</v>
      </c>
      <c r="B168" s="273">
        <v>69117</v>
      </c>
      <c r="C168" s="274" t="s">
        <v>2145</v>
      </c>
      <c r="D168" s="273" t="s">
        <v>542</v>
      </c>
      <c r="E168" s="275" t="s">
        <v>534</v>
      </c>
      <c r="F168" s="276" t="s">
        <v>642</v>
      </c>
      <c r="G168" s="277" t="s">
        <v>560</v>
      </c>
      <c r="H168" s="278">
        <v>41554</v>
      </c>
      <c r="I168" s="273">
        <v>1</v>
      </c>
      <c r="J168" s="279">
        <v>30429</v>
      </c>
      <c r="K168" s="280">
        <v>30429</v>
      </c>
      <c r="L168" s="269" t="s">
        <v>957</v>
      </c>
      <c r="M168" s="129" t="s">
        <v>21</v>
      </c>
    </row>
    <row r="169" spans="1:13" s="133" customFormat="1" ht="15" customHeight="1" x14ac:dyDescent="0.25">
      <c r="A169" s="121">
        <v>166</v>
      </c>
      <c r="B169" s="273">
        <v>75048</v>
      </c>
      <c r="C169" s="274" t="s">
        <v>2223</v>
      </c>
      <c r="D169" s="273" t="s">
        <v>475</v>
      </c>
      <c r="E169" s="275" t="s">
        <v>186</v>
      </c>
      <c r="F169" s="276" t="s">
        <v>591</v>
      </c>
      <c r="G169" s="277" t="s">
        <v>580</v>
      </c>
      <c r="H169" s="278">
        <v>41606</v>
      </c>
      <c r="I169" s="273">
        <v>1</v>
      </c>
      <c r="J169" s="279">
        <v>42601</v>
      </c>
      <c r="K169" s="280">
        <v>42601</v>
      </c>
      <c r="L169" s="269" t="s">
        <v>957</v>
      </c>
      <c r="M169" s="129" t="s">
        <v>21</v>
      </c>
    </row>
    <row r="170" spans="1:13" s="133" customFormat="1" ht="15" customHeight="1" x14ac:dyDescent="0.25">
      <c r="A170" s="121">
        <v>167</v>
      </c>
      <c r="B170" s="273">
        <v>70988</v>
      </c>
      <c r="C170" s="274" t="s">
        <v>2179</v>
      </c>
      <c r="D170" s="273" t="s">
        <v>542</v>
      </c>
      <c r="E170" s="275" t="s">
        <v>190</v>
      </c>
      <c r="F170" s="276" t="s">
        <v>407</v>
      </c>
      <c r="G170" s="277" t="s">
        <v>560</v>
      </c>
      <c r="H170" s="278">
        <v>41592</v>
      </c>
      <c r="I170" s="273">
        <v>1</v>
      </c>
      <c r="J170" s="279">
        <v>57960</v>
      </c>
      <c r="K170" s="280">
        <v>57960</v>
      </c>
      <c r="L170" s="269" t="s">
        <v>957</v>
      </c>
      <c r="M170" s="129" t="s">
        <v>21</v>
      </c>
    </row>
    <row r="171" spans="1:13" s="133" customFormat="1" ht="15" customHeight="1" x14ac:dyDescent="0.25">
      <c r="A171" s="121">
        <v>168</v>
      </c>
      <c r="B171" s="273">
        <v>75659</v>
      </c>
      <c r="C171" s="274" t="s">
        <v>2224</v>
      </c>
      <c r="D171" s="273" t="s">
        <v>542</v>
      </c>
      <c r="E171" s="275" t="s">
        <v>115</v>
      </c>
      <c r="F171" s="276" t="s">
        <v>404</v>
      </c>
      <c r="G171" s="277" t="s">
        <v>700</v>
      </c>
      <c r="H171" s="278">
        <v>41606</v>
      </c>
      <c r="I171" s="273">
        <v>1</v>
      </c>
      <c r="J171" s="279">
        <v>5274</v>
      </c>
      <c r="K171" s="280">
        <v>5274</v>
      </c>
      <c r="L171" s="269" t="s">
        <v>957</v>
      </c>
      <c r="M171" s="129" t="s">
        <v>21</v>
      </c>
    </row>
    <row r="172" spans="1:13" s="133" customFormat="1" ht="15" customHeight="1" x14ac:dyDescent="0.25">
      <c r="A172" s="121">
        <v>169</v>
      </c>
      <c r="B172" s="273">
        <v>75659</v>
      </c>
      <c r="C172" s="274" t="s">
        <v>2224</v>
      </c>
      <c r="D172" s="273" t="s">
        <v>542</v>
      </c>
      <c r="E172" s="275" t="s">
        <v>208</v>
      </c>
      <c r="F172" s="276" t="s">
        <v>404</v>
      </c>
      <c r="G172" s="277"/>
      <c r="H172" s="278">
        <v>41606</v>
      </c>
      <c r="I172" s="273">
        <v>1</v>
      </c>
      <c r="J172" s="279">
        <v>14099</v>
      </c>
      <c r="K172" s="280">
        <v>14099</v>
      </c>
      <c r="L172" s="269" t="s">
        <v>957</v>
      </c>
      <c r="M172" s="129" t="s">
        <v>21</v>
      </c>
    </row>
    <row r="173" spans="1:13" s="133" customFormat="1" ht="15" customHeight="1" x14ac:dyDescent="0.25">
      <c r="A173" s="121">
        <v>170</v>
      </c>
      <c r="B173" s="273">
        <v>65124</v>
      </c>
      <c r="C173" s="274" t="s">
        <v>2225</v>
      </c>
      <c r="D173" s="273" t="s">
        <v>542</v>
      </c>
      <c r="E173" s="275" t="s">
        <v>115</v>
      </c>
      <c r="F173" s="276" t="s">
        <v>414</v>
      </c>
      <c r="G173" s="277" t="s">
        <v>486</v>
      </c>
      <c r="H173" s="278">
        <v>41570</v>
      </c>
      <c r="I173" s="273">
        <v>1</v>
      </c>
      <c r="J173" s="279">
        <v>5274</v>
      </c>
      <c r="K173" s="280">
        <v>5274</v>
      </c>
      <c r="L173" s="269" t="s">
        <v>957</v>
      </c>
      <c r="M173" s="129" t="s">
        <v>21</v>
      </c>
    </row>
    <row r="174" spans="1:13" s="133" customFormat="1" ht="15" customHeight="1" x14ac:dyDescent="0.25">
      <c r="A174" s="121">
        <v>171</v>
      </c>
      <c r="B174" s="273">
        <v>65124</v>
      </c>
      <c r="C174" s="274" t="s">
        <v>2225</v>
      </c>
      <c r="D174" s="273" t="s">
        <v>542</v>
      </c>
      <c r="E174" s="275" t="s">
        <v>208</v>
      </c>
      <c r="F174" s="276" t="s">
        <v>414</v>
      </c>
      <c r="G174" s="277" t="s">
        <v>486</v>
      </c>
      <c r="H174" s="278">
        <v>41570</v>
      </c>
      <c r="I174" s="273">
        <v>1</v>
      </c>
      <c r="J174" s="279">
        <v>14099</v>
      </c>
      <c r="K174" s="280">
        <v>14099</v>
      </c>
      <c r="L174" s="269" t="s">
        <v>957</v>
      </c>
      <c r="M174" s="129" t="s">
        <v>21</v>
      </c>
    </row>
    <row r="175" spans="1:13" s="133" customFormat="1" ht="13.5" customHeight="1" x14ac:dyDescent="0.25">
      <c r="A175" s="121">
        <v>172</v>
      </c>
      <c r="B175" s="273">
        <v>67884</v>
      </c>
      <c r="C175" s="274" t="s">
        <v>2226</v>
      </c>
      <c r="D175" s="273" t="s">
        <v>721</v>
      </c>
      <c r="E175" s="275" t="s">
        <v>679</v>
      </c>
      <c r="F175" s="276" t="s">
        <v>384</v>
      </c>
      <c r="G175" s="277" t="s">
        <v>690</v>
      </c>
      <c r="H175" s="278">
        <v>41578</v>
      </c>
      <c r="I175" s="273">
        <v>2</v>
      </c>
      <c r="J175" s="279">
        <v>55058</v>
      </c>
      <c r="K175" s="280">
        <v>110116</v>
      </c>
      <c r="L175" s="269" t="s">
        <v>957</v>
      </c>
      <c r="M175" s="129" t="s">
        <v>21</v>
      </c>
    </row>
    <row r="176" spans="1:13" s="133" customFormat="1" ht="15" customHeight="1" x14ac:dyDescent="0.25">
      <c r="A176" s="121">
        <v>173</v>
      </c>
      <c r="B176" s="273">
        <v>76334</v>
      </c>
      <c r="C176" s="274" t="s">
        <v>2227</v>
      </c>
      <c r="D176" s="273" t="s">
        <v>662</v>
      </c>
      <c r="E176" s="275" t="s">
        <v>208</v>
      </c>
      <c r="F176" s="276" t="s">
        <v>442</v>
      </c>
      <c r="G176" s="277"/>
      <c r="H176" s="278">
        <v>41610</v>
      </c>
      <c r="I176" s="273">
        <v>1</v>
      </c>
      <c r="J176" s="279">
        <v>14099</v>
      </c>
      <c r="K176" s="280">
        <v>14099</v>
      </c>
      <c r="L176" s="269" t="s">
        <v>957</v>
      </c>
      <c r="M176" s="129" t="s">
        <v>21</v>
      </c>
    </row>
    <row r="177" spans="1:13" s="133" customFormat="1" ht="15" customHeight="1" x14ac:dyDescent="0.25">
      <c r="A177" s="121">
        <v>174</v>
      </c>
      <c r="B177" s="273">
        <v>58788</v>
      </c>
      <c r="C177" s="274" t="s">
        <v>1844</v>
      </c>
      <c r="D177" s="273" t="s">
        <v>721</v>
      </c>
      <c r="E177" s="275" t="s">
        <v>115</v>
      </c>
      <c r="F177" s="276" t="s">
        <v>524</v>
      </c>
      <c r="G177" s="277" t="s">
        <v>2132</v>
      </c>
      <c r="H177" s="278">
        <v>41547</v>
      </c>
      <c r="I177" s="273">
        <v>1</v>
      </c>
      <c r="J177" s="279">
        <v>5274</v>
      </c>
      <c r="K177" s="280">
        <v>5274</v>
      </c>
      <c r="L177" s="269" t="s">
        <v>957</v>
      </c>
      <c r="M177" s="129" t="s">
        <v>21</v>
      </c>
    </row>
    <row r="178" spans="1:13" s="133" customFormat="1" ht="15" customHeight="1" x14ac:dyDescent="0.25">
      <c r="A178" s="121">
        <v>175</v>
      </c>
      <c r="B178" s="273">
        <v>68379</v>
      </c>
      <c r="C178" s="274" t="s">
        <v>2228</v>
      </c>
      <c r="D178" s="273" t="s">
        <v>542</v>
      </c>
      <c r="E178" s="275" t="s">
        <v>115</v>
      </c>
      <c r="F178" s="276" t="s">
        <v>389</v>
      </c>
      <c r="G178" s="277" t="s">
        <v>486</v>
      </c>
      <c r="H178" s="278">
        <v>41582</v>
      </c>
      <c r="I178" s="273">
        <v>1</v>
      </c>
      <c r="J178" s="279">
        <v>5274</v>
      </c>
      <c r="K178" s="280">
        <v>5274</v>
      </c>
      <c r="L178" s="269" t="s">
        <v>957</v>
      </c>
      <c r="M178" s="129" t="s">
        <v>21</v>
      </c>
    </row>
    <row r="179" spans="1:13" s="133" customFormat="1" ht="15" customHeight="1" x14ac:dyDescent="0.25">
      <c r="A179" s="121">
        <v>176</v>
      </c>
      <c r="B179" s="273">
        <v>68379</v>
      </c>
      <c r="C179" s="274" t="s">
        <v>2228</v>
      </c>
      <c r="D179" s="273" t="s">
        <v>542</v>
      </c>
      <c r="E179" s="275" t="s">
        <v>208</v>
      </c>
      <c r="F179" s="276" t="s">
        <v>389</v>
      </c>
      <c r="G179" s="277"/>
      <c r="H179" s="278">
        <v>41582</v>
      </c>
      <c r="I179" s="273">
        <v>1</v>
      </c>
      <c r="J179" s="279">
        <v>14099</v>
      </c>
      <c r="K179" s="280">
        <v>14099</v>
      </c>
      <c r="L179" s="269" t="s">
        <v>957</v>
      </c>
      <c r="M179" s="129" t="s">
        <v>21</v>
      </c>
    </row>
    <row r="180" spans="1:13" s="133" customFormat="1" ht="15" customHeight="1" x14ac:dyDescent="0.25">
      <c r="A180" s="121">
        <v>177</v>
      </c>
      <c r="B180" s="273">
        <v>71988</v>
      </c>
      <c r="C180" s="274" t="s">
        <v>2229</v>
      </c>
      <c r="D180" s="273" t="s">
        <v>542</v>
      </c>
      <c r="E180" s="275" t="s">
        <v>114</v>
      </c>
      <c r="F180" s="276" t="s">
        <v>389</v>
      </c>
      <c r="G180" s="277" t="s">
        <v>2230</v>
      </c>
      <c r="H180" s="278">
        <v>41596</v>
      </c>
      <c r="I180" s="273">
        <v>1</v>
      </c>
      <c r="J180" s="279">
        <v>33370</v>
      </c>
      <c r="K180" s="280">
        <v>33370</v>
      </c>
      <c r="L180" s="269" t="s">
        <v>957</v>
      </c>
      <c r="M180" s="129" t="s">
        <v>21</v>
      </c>
    </row>
    <row r="181" spans="1:13" s="133" customFormat="1" ht="15" customHeight="1" x14ac:dyDescent="0.25">
      <c r="A181" s="121">
        <v>178</v>
      </c>
      <c r="B181" s="273">
        <v>73670</v>
      </c>
      <c r="C181" s="274" t="s">
        <v>2231</v>
      </c>
      <c r="D181" s="273" t="s">
        <v>373</v>
      </c>
      <c r="E181" s="275" t="s">
        <v>534</v>
      </c>
      <c r="F181" s="276" t="s">
        <v>439</v>
      </c>
      <c r="G181" s="277" t="s">
        <v>551</v>
      </c>
      <c r="H181" s="278">
        <v>41600</v>
      </c>
      <c r="I181" s="273">
        <v>1</v>
      </c>
      <c r="J181" s="279">
        <v>30429</v>
      </c>
      <c r="K181" s="280">
        <v>30429</v>
      </c>
      <c r="L181" s="269" t="s">
        <v>957</v>
      </c>
      <c r="M181" s="129" t="s">
        <v>21</v>
      </c>
    </row>
    <row r="182" spans="1:13" s="133" customFormat="1" ht="15" customHeight="1" x14ac:dyDescent="0.25">
      <c r="A182" s="121">
        <v>179</v>
      </c>
      <c r="B182" s="273">
        <v>72081</v>
      </c>
      <c r="C182" s="274" t="s">
        <v>2232</v>
      </c>
      <c r="D182" s="273" t="s">
        <v>475</v>
      </c>
      <c r="E182" s="275" t="s">
        <v>215</v>
      </c>
      <c r="F182" s="276" t="s">
        <v>368</v>
      </c>
      <c r="G182" s="277" t="s">
        <v>715</v>
      </c>
      <c r="H182" s="278">
        <v>41596</v>
      </c>
      <c r="I182" s="273">
        <v>1</v>
      </c>
      <c r="J182" s="279">
        <v>44597</v>
      </c>
      <c r="K182" s="280">
        <v>44597</v>
      </c>
      <c r="L182" s="269" t="s">
        <v>957</v>
      </c>
      <c r="M182" s="129" t="s">
        <v>21</v>
      </c>
    </row>
    <row r="183" spans="1:13" s="133" customFormat="1" ht="15" customHeight="1" x14ac:dyDescent="0.25">
      <c r="A183" s="121">
        <v>180</v>
      </c>
      <c r="B183" s="273">
        <v>64029</v>
      </c>
      <c r="C183" s="274" t="s">
        <v>2233</v>
      </c>
      <c r="D183" s="273" t="s">
        <v>542</v>
      </c>
      <c r="E183" s="275" t="s">
        <v>115</v>
      </c>
      <c r="F183" s="276" t="s">
        <v>414</v>
      </c>
      <c r="G183" s="277" t="s">
        <v>2098</v>
      </c>
      <c r="H183" s="278">
        <v>41563</v>
      </c>
      <c r="I183" s="273">
        <v>1</v>
      </c>
      <c r="J183" s="279">
        <v>5274</v>
      </c>
      <c r="K183" s="280">
        <v>5274</v>
      </c>
      <c r="L183" s="269" t="s">
        <v>957</v>
      </c>
      <c r="M183" s="129" t="s">
        <v>21</v>
      </c>
    </row>
    <row r="184" spans="1:13" s="133" customFormat="1" ht="15" customHeight="1" x14ac:dyDescent="0.25">
      <c r="A184" s="121">
        <v>181</v>
      </c>
      <c r="B184" s="273">
        <v>73328</v>
      </c>
      <c r="C184" s="274" t="s">
        <v>2234</v>
      </c>
      <c r="D184" s="273" t="s">
        <v>373</v>
      </c>
      <c r="E184" s="275" t="s">
        <v>115</v>
      </c>
      <c r="F184" s="276" t="s">
        <v>535</v>
      </c>
      <c r="G184" s="277" t="s">
        <v>486</v>
      </c>
      <c r="H184" s="278">
        <v>41599</v>
      </c>
      <c r="I184" s="273">
        <v>1</v>
      </c>
      <c r="J184" s="279">
        <v>5274</v>
      </c>
      <c r="K184" s="280">
        <v>5274</v>
      </c>
      <c r="L184" s="269" t="s">
        <v>957</v>
      </c>
      <c r="M184" s="129" t="s">
        <v>21</v>
      </c>
    </row>
    <row r="185" spans="1:13" s="133" customFormat="1" ht="15" customHeight="1" x14ac:dyDescent="0.25">
      <c r="A185" s="121">
        <v>182</v>
      </c>
      <c r="B185" s="273">
        <v>70976</v>
      </c>
      <c r="C185" s="274" t="s">
        <v>2183</v>
      </c>
      <c r="D185" s="273" t="s">
        <v>542</v>
      </c>
      <c r="E185" s="275" t="s">
        <v>114</v>
      </c>
      <c r="F185" s="276" t="s">
        <v>1848</v>
      </c>
      <c r="G185" s="277" t="s">
        <v>560</v>
      </c>
      <c r="H185" s="278">
        <v>41591</v>
      </c>
      <c r="I185" s="273">
        <v>2</v>
      </c>
      <c r="J185" s="279">
        <v>33370</v>
      </c>
      <c r="K185" s="280">
        <v>66740</v>
      </c>
      <c r="L185" s="269" t="s">
        <v>957</v>
      </c>
      <c r="M185" s="129" t="s">
        <v>21</v>
      </c>
    </row>
    <row r="186" spans="1:13" s="133" customFormat="1" ht="15" customHeight="1" x14ac:dyDescent="0.25">
      <c r="A186" s="121">
        <v>183</v>
      </c>
      <c r="B186" s="273">
        <v>67948</v>
      </c>
      <c r="C186" s="274" t="s">
        <v>2184</v>
      </c>
      <c r="D186" s="273" t="s">
        <v>373</v>
      </c>
      <c r="E186" s="275" t="s">
        <v>208</v>
      </c>
      <c r="F186" s="276" t="s">
        <v>469</v>
      </c>
      <c r="G186" s="277"/>
      <c r="H186" s="278">
        <v>41577</v>
      </c>
      <c r="I186" s="273">
        <v>1</v>
      </c>
      <c r="J186" s="279">
        <v>14099</v>
      </c>
      <c r="K186" s="280">
        <v>14099</v>
      </c>
      <c r="L186" s="269" t="s">
        <v>957</v>
      </c>
      <c r="M186" s="129" t="s">
        <v>21</v>
      </c>
    </row>
    <row r="187" spans="1:13" s="133" customFormat="1" ht="15" customHeight="1" x14ac:dyDescent="0.25">
      <c r="A187" s="121">
        <v>184</v>
      </c>
      <c r="B187" s="273">
        <v>65062</v>
      </c>
      <c r="C187" s="274" t="s">
        <v>2235</v>
      </c>
      <c r="D187" s="273" t="s">
        <v>542</v>
      </c>
      <c r="E187" s="275" t="s">
        <v>534</v>
      </c>
      <c r="F187" s="276" t="s">
        <v>559</v>
      </c>
      <c r="G187" s="277" t="s">
        <v>626</v>
      </c>
      <c r="H187" s="278">
        <v>41568</v>
      </c>
      <c r="I187" s="273">
        <v>1</v>
      </c>
      <c r="J187" s="279">
        <v>30429</v>
      </c>
      <c r="K187" s="280">
        <v>30429</v>
      </c>
      <c r="L187" s="269" t="s">
        <v>957</v>
      </c>
      <c r="M187" s="129" t="s">
        <v>21</v>
      </c>
    </row>
    <row r="188" spans="1:13" s="133" customFormat="1" ht="15" customHeight="1" x14ac:dyDescent="0.25">
      <c r="A188" s="121">
        <v>185</v>
      </c>
      <c r="B188" s="273">
        <v>68666</v>
      </c>
      <c r="C188" s="274" t="s">
        <v>2236</v>
      </c>
      <c r="D188" s="273" t="s">
        <v>542</v>
      </c>
      <c r="E188" s="275" t="s">
        <v>115</v>
      </c>
      <c r="F188" s="276" t="s">
        <v>414</v>
      </c>
      <c r="G188" s="277" t="s">
        <v>1233</v>
      </c>
      <c r="H188" s="278">
        <v>41584</v>
      </c>
      <c r="I188" s="273">
        <v>1</v>
      </c>
      <c r="J188" s="279">
        <v>5274</v>
      </c>
      <c r="K188" s="280">
        <v>5274</v>
      </c>
      <c r="L188" s="269" t="s">
        <v>957</v>
      </c>
      <c r="M188" s="129" t="s">
        <v>21</v>
      </c>
    </row>
    <row r="189" spans="1:13" s="133" customFormat="1" ht="15" customHeight="1" x14ac:dyDescent="0.25">
      <c r="A189" s="121">
        <v>186</v>
      </c>
      <c r="B189" s="273">
        <v>68666</v>
      </c>
      <c r="C189" s="274" t="s">
        <v>2236</v>
      </c>
      <c r="D189" s="273" t="s">
        <v>542</v>
      </c>
      <c r="E189" s="275" t="s">
        <v>208</v>
      </c>
      <c r="F189" s="276" t="s">
        <v>414</v>
      </c>
      <c r="G189" s="277"/>
      <c r="H189" s="278">
        <v>41584</v>
      </c>
      <c r="I189" s="273">
        <v>1</v>
      </c>
      <c r="J189" s="279">
        <v>14099</v>
      </c>
      <c r="K189" s="280">
        <v>14099</v>
      </c>
      <c r="L189" s="269" t="s">
        <v>957</v>
      </c>
      <c r="M189" s="129" t="s">
        <v>21</v>
      </c>
    </row>
    <row r="190" spans="1:13" s="133" customFormat="1" ht="15" customHeight="1" x14ac:dyDescent="0.25">
      <c r="A190" s="121">
        <v>187</v>
      </c>
      <c r="B190" s="273">
        <v>72127</v>
      </c>
      <c r="C190" s="274" t="s">
        <v>2236</v>
      </c>
      <c r="D190" s="273" t="s">
        <v>542</v>
      </c>
      <c r="E190" s="275" t="s">
        <v>114</v>
      </c>
      <c r="F190" s="276" t="s">
        <v>414</v>
      </c>
      <c r="G190" s="277" t="s">
        <v>626</v>
      </c>
      <c r="H190" s="278">
        <v>41596</v>
      </c>
      <c r="I190" s="273">
        <v>1</v>
      </c>
      <c r="J190" s="279">
        <v>33370</v>
      </c>
      <c r="K190" s="280">
        <v>33370</v>
      </c>
      <c r="L190" s="269" t="s">
        <v>957</v>
      </c>
      <c r="M190" s="129" t="s">
        <v>21</v>
      </c>
    </row>
    <row r="191" spans="1:13" s="133" customFormat="1" ht="15" customHeight="1" x14ac:dyDescent="0.25">
      <c r="A191" s="121">
        <v>188</v>
      </c>
      <c r="B191" s="273">
        <v>59394</v>
      </c>
      <c r="C191" s="274" t="s">
        <v>2237</v>
      </c>
      <c r="D191" s="273" t="s">
        <v>475</v>
      </c>
      <c r="E191" s="275" t="s">
        <v>115</v>
      </c>
      <c r="F191" s="276" t="s">
        <v>439</v>
      </c>
      <c r="G191" s="277" t="s">
        <v>2064</v>
      </c>
      <c r="H191" s="278">
        <v>41548</v>
      </c>
      <c r="I191" s="273">
        <v>1</v>
      </c>
      <c r="J191" s="279">
        <v>5274</v>
      </c>
      <c r="K191" s="280">
        <v>5274</v>
      </c>
      <c r="L191" s="269" t="s">
        <v>957</v>
      </c>
      <c r="M191" s="129" t="s">
        <v>21</v>
      </c>
    </row>
    <row r="192" spans="1:13" s="133" customFormat="1" ht="15" customHeight="1" x14ac:dyDescent="0.25">
      <c r="A192" s="121">
        <v>189</v>
      </c>
      <c r="B192" s="273">
        <v>74768</v>
      </c>
      <c r="C192" s="274" t="s">
        <v>2238</v>
      </c>
      <c r="D192" s="273" t="s">
        <v>475</v>
      </c>
      <c r="E192" s="275" t="s">
        <v>115</v>
      </c>
      <c r="F192" s="276" t="s">
        <v>531</v>
      </c>
      <c r="G192" s="277" t="s">
        <v>486</v>
      </c>
      <c r="H192" s="278">
        <v>41606</v>
      </c>
      <c r="I192" s="273">
        <v>1</v>
      </c>
      <c r="J192" s="279">
        <v>5274</v>
      </c>
      <c r="K192" s="280">
        <v>5274</v>
      </c>
      <c r="L192" s="269" t="s">
        <v>957</v>
      </c>
      <c r="M192" s="129" t="s">
        <v>21</v>
      </c>
    </row>
    <row r="193" spans="1:13" s="133" customFormat="1" ht="15" customHeight="1" x14ac:dyDescent="0.25">
      <c r="A193" s="121">
        <v>190</v>
      </c>
      <c r="B193" s="273">
        <v>62843</v>
      </c>
      <c r="C193" s="274" t="s">
        <v>2239</v>
      </c>
      <c r="D193" s="273" t="s">
        <v>542</v>
      </c>
      <c r="E193" s="275" t="s">
        <v>534</v>
      </c>
      <c r="F193" s="276" t="s">
        <v>428</v>
      </c>
      <c r="G193" s="277" t="s">
        <v>560</v>
      </c>
      <c r="H193" s="278">
        <v>41558</v>
      </c>
      <c r="I193" s="273">
        <v>1</v>
      </c>
      <c r="J193" s="279">
        <v>30429</v>
      </c>
      <c r="K193" s="280">
        <v>30429</v>
      </c>
      <c r="L193" s="269" t="s">
        <v>957</v>
      </c>
      <c r="M193" s="129" t="s">
        <v>21</v>
      </c>
    </row>
    <row r="194" spans="1:13" s="133" customFormat="1" ht="15" customHeight="1" x14ac:dyDescent="0.25">
      <c r="A194" s="121">
        <v>191</v>
      </c>
      <c r="B194" s="273">
        <v>75120</v>
      </c>
      <c r="C194" s="274" t="s">
        <v>2240</v>
      </c>
      <c r="D194" s="273" t="s">
        <v>542</v>
      </c>
      <c r="E194" s="275" t="s">
        <v>235</v>
      </c>
      <c r="F194" s="276" t="s">
        <v>368</v>
      </c>
      <c r="G194" s="277"/>
      <c r="H194" s="278">
        <v>41605</v>
      </c>
      <c r="I194" s="273">
        <v>1</v>
      </c>
      <c r="J194" s="279">
        <v>10401</v>
      </c>
      <c r="K194" s="280">
        <v>10401</v>
      </c>
      <c r="L194" s="269" t="s">
        <v>957</v>
      </c>
      <c r="M194" s="129" t="s">
        <v>21</v>
      </c>
    </row>
    <row r="195" spans="1:13" s="133" customFormat="1" ht="15" customHeight="1" x14ac:dyDescent="0.25">
      <c r="A195" s="121">
        <v>192</v>
      </c>
      <c r="B195" s="273">
        <v>70623</v>
      </c>
      <c r="C195" s="274" t="s">
        <v>2241</v>
      </c>
      <c r="D195" s="273" t="s">
        <v>542</v>
      </c>
      <c r="E195" s="275" t="s">
        <v>534</v>
      </c>
      <c r="F195" s="276" t="s">
        <v>2242</v>
      </c>
      <c r="G195" s="277" t="s">
        <v>560</v>
      </c>
      <c r="H195" s="278">
        <v>41590</v>
      </c>
      <c r="I195" s="273">
        <v>3</v>
      </c>
      <c r="J195" s="279">
        <v>30429</v>
      </c>
      <c r="K195" s="280">
        <v>91287</v>
      </c>
      <c r="L195" s="269" t="s">
        <v>957</v>
      </c>
      <c r="M195" s="129" t="s">
        <v>21</v>
      </c>
    </row>
    <row r="196" spans="1:13" s="133" customFormat="1" ht="15" customHeight="1" x14ac:dyDescent="0.25">
      <c r="A196" s="121">
        <v>193</v>
      </c>
      <c r="B196" s="273">
        <v>72464</v>
      </c>
      <c r="C196" s="274" t="s">
        <v>2243</v>
      </c>
      <c r="D196" s="273" t="s">
        <v>475</v>
      </c>
      <c r="E196" s="275" t="s">
        <v>215</v>
      </c>
      <c r="F196" s="276" t="s">
        <v>368</v>
      </c>
      <c r="G196" s="277" t="s">
        <v>486</v>
      </c>
      <c r="H196" s="278">
        <v>41597</v>
      </c>
      <c r="I196" s="273">
        <v>1</v>
      </c>
      <c r="J196" s="279">
        <v>44597</v>
      </c>
      <c r="K196" s="280">
        <v>44597</v>
      </c>
      <c r="L196" s="269" t="s">
        <v>957</v>
      </c>
      <c r="M196" s="129" t="s">
        <v>21</v>
      </c>
    </row>
    <row r="197" spans="1:13" s="133" customFormat="1" ht="15" customHeight="1" x14ac:dyDescent="0.25">
      <c r="A197" s="121">
        <v>194</v>
      </c>
      <c r="B197" s="273">
        <v>71239</v>
      </c>
      <c r="C197" s="274" t="s">
        <v>2244</v>
      </c>
      <c r="D197" s="273" t="s">
        <v>373</v>
      </c>
      <c r="E197" s="275" t="s">
        <v>534</v>
      </c>
      <c r="F197" s="276" t="s">
        <v>559</v>
      </c>
      <c r="G197" s="277" t="s">
        <v>551</v>
      </c>
      <c r="H197" s="278">
        <v>41592</v>
      </c>
      <c r="I197" s="273">
        <v>1</v>
      </c>
      <c r="J197" s="279">
        <v>30429</v>
      </c>
      <c r="K197" s="280">
        <v>30429</v>
      </c>
      <c r="L197" s="269" t="s">
        <v>957</v>
      </c>
      <c r="M197" s="129" t="s">
        <v>21</v>
      </c>
    </row>
    <row r="198" spans="1:13" s="133" customFormat="1" ht="15" customHeight="1" x14ac:dyDescent="0.25">
      <c r="A198" s="121">
        <v>195</v>
      </c>
      <c r="B198" s="273">
        <v>69745</v>
      </c>
      <c r="C198" s="274" t="s">
        <v>2245</v>
      </c>
      <c r="D198" s="273" t="s">
        <v>542</v>
      </c>
      <c r="E198" s="275" t="s">
        <v>215</v>
      </c>
      <c r="F198" s="276" t="s">
        <v>366</v>
      </c>
      <c r="G198" s="277" t="s">
        <v>486</v>
      </c>
      <c r="H198" s="278">
        <v>41589</v>
      </c>
      <c r="I198" s="273">
        <v>1</v>
      </c>
      <c r="J198" s="279">
        <v>44597</v>
      </c>
      <c r="K198" s="280">
        <v>44597</v>
      </c>
      <c r="L198" s="269" t="s">
        <v>957</v>
      </c>
      <c r="M198" s="129" t="s">
        <v>21</v>
      </c>
    </row>
    <row r="199" spans="1:13" s="133" customFormat="1" ht="15" customHeight="1" x14ac:dyDescent="0.25">
      <c r="A199" s="121">
        <v>196</v>
      </c>
      <c r="B199" s="273">
        <v>72118</v>
      </c>
      <c r="C199" s="274" t="s">
        <v>2246</v>
      </c>
      <c r="D199" s="273" t="s">
        <v>542</v>
      </c>
      <c r="E199" s="275" t="s">
        <v>215</v>
      </c>
      <c r="F199" s="276" t="s">
        <v>368</v>
      </c>
      <c r="G199" s="277" t="s">
        <v>486</v>
      </c>
      <c r="H199" s="278">
        <v>41596</v>
      </c>
      <c r="I199" s="273">
        <v>1</v>
      </c>
      <c r="J199" s="279">
        <v>44597</v>
      </c>
      <c r="K199" s="280">
        <v>44597</v>
      </c>
      <c r="L199" s="269" t="s">
        <v>957</v>
      </c>
      <c r="M199" s="129" t="s">
        <v>21</v>
      </c>
    </row>
    <row r="200" spans="1:13" s="133" customFormat="1" ht="15" customHeight="1" x14ac:dyDescent="0.25">
      <c r="A200" s="121">
        <v>197</v>
      </c>
      <c r="B200" s="273">
        <v>71654</v>
      </c>
      <c r="C200" s="274" t="s">
        <v>2247</v>
      </c>
      <c r="D200" s="273" t="s">
        <v>542</v>
      </c>
      <c r="E200" s="275" t="s">
        <v>115</v>
      </c>
      <c r="F200" s="276" t="s">
        <v>2248</v>
      </c>
      <c r="G200" s="277" t="s">
        <v>486</v>
      </c>
      <c r="H200" s="278">
        <v>41596</v>
      </c>
      <c r="I200" s="273">
        <v>5</v>
      </c>
      <c r="J200" s="279">
        <v>5274</v>
      </c>
      <c r="K200" s="280">
        <v>26370</v>
      </c>
      <c r="L200" s="269" t="s">
        <v>957</v>
      </c>
      <c r="M200" s="129" t="s">
        <v>21</v>
      </c>
    </row>
    <row r="201" spans="1:13" s="133" customFormat="1" ht="15" customHeight="1" x14ac:dyDescent="0.25">
      <c r="A201" s="121">
        <v>198</v>
      </c>
      <c r="B201" s="273">
        <v>71234</v>
      </c>
      <c r="C201" s="274" t="s">
        <v>1156</v>
      </c>
      <c r="D201" s="273" t="s">
        <v>542</v>
      </c>
      <c r="E201" s="275" t="s">
        <v>534</v>
      </c>
      <c r="F201" s="276" t="s">
        <v>524</v>
      </c>
      <c r="G201" s="277" t="s">
        <v>626</v>
      </c>
      <c r="H201" s="278">
        <v>41592</v>
      </c>
      <c r="I201" s="273">
        <v>1</v>
      </c>
      <c r="J201" s="279">
        <v>30429</v>
      </c>
      <c r="K201" s="280">
        <v>30429</v>
      </c>
      <c r="L201" s="269" t="s">
        <v>957</v>
      </c>
      <c r="M201" s="129" t="s">
        <v>21</v>
      </c>
    </row>
    <row r="202" spans="1:13" s="133" customFormat="1" ht="15" customHeight="1" x14ac:dyDescent="0.25">
      <c r="A202" s="121">
        <v>199</v>
      </c>
      <c r="B202" s="273">
        <v>63340</v>
      </c>
      <c r="C202" s="274" t="s">
        <v>2249</v>
      </c>
      <c r="D202" s="273" t="s">
        <v>542</v>
      </c>
      <c r="E202" s="275" t="s">
        <v>115</v>
      </c>
      <c r="F202" s="276" t="s">
        <v>439</v>
      </c>
      <c r="G202" s="277" t="s">
        <v>2064</v>
      </c>
      <c r="H202" s="278">
        <v>41562</v>
      </c>
      <c r="I202" s="273">
        <v>1</v>
      </c>
      <c r="J202" s="279">
        <v>5274</v>
      </c>
      <c r="K202" s="280">
        <v>5274</v>
      </c>
      <c r="L202" s="269" t="s">
        <v>957</v>
      </c>
      <c r="M202" s="129" t="s">
        <v>21</v>
      </c>
    </row>
    <row r="203" spans="1:13" s="133" customFormat="1" ht="15" customHeight="1" x14ac:dyDescent="0.25">
      <c r="A203" s="121">
        <v>200</v>
      </c>
      <c r="B203" s="273">
        <v>63340</v>
      </c>
      <c r="C203" s="274" t="s">
        <v>2249</v>
      </c>
      <c r="D203" s="273" t="s">
        <v>542</v>
      </c>
      <c r="E203" s="275" t="s">
        <v>208</v>
      </c>
      <c r="F203" s="276" t="s">
        <v>439</v>
      </c>
      <c r="G203" s="277"/>
      <c r="H203" s="278">
        <v>41562</v>
      </c>
      <c r="I203" s="273">
        <v>1</v>
      </c>
      <c r="J203" s="279">
        <v>14099</v>
      </c>
      <c r="K203" s="280">
        <v>14099</v>
      </c>
      <c r="L203" s="269" t="s">
        <v>957</v>
      </c>
      <c r="M203" s="129" t="s">
        <v>21</v>
      </c>
    </row>
    <row r="204" spans="1:13" s="133" customFormat="1" ht="15" customHeight="1" x14ac:dyDescent="0.25">
      <c r="A204" s="121">
        <v>201</v>
      </c>
      <c r="B204" s="273">
        <v>67873</v>
      </c>
      <c r="C204" s="274" t="s">
        <v>2249</v>
      </c>
      <c r="D204" s="273" t="s">
        <v>542</v>
      </c>
      <c r="E204" s="275" t="s">
        <v>114</v>
      </c>
      <c r="F204" s="276" t="s">
        <v>439</v>
      </c>
      <c r="G204" s="277" t="s">
        <v>655</v>
      </c>
      <c r="H204" s="278">
        <v>41577</v>
      </c>
      <c r="I204" s="273">
        <v>1</v>
      </c>
      <c r="J204" s="279">
        <v>33370</v>
      </c>
      <c r="K204" s="280">
        <v>33370</v>
      </c>
      <c r="L204" s="269" t="s">
        <v>957</v>
      </c>
      <c r="M204" s="129" t="s">
        <v>21</v>
      </c>
    </row>
    <row r="205" spans="1:13" s="133" customFormat="1" ht="15" customHeight="1" x14ac:dyDescent="0.25">
      <c r="A205" s="121">
        <v>202</v>
      </c>
      <c r="B205" s="273">
        <v>73990</v>
      </c>
      <c r="C205" s="274" t="s">
        <v>2250</v>
      </c>
      <c r="D205" s="273" t="s">
        <v>542</v>
      </c>
      <c r="E205" s="275" t="s">
        <v>534</v>
      </c>
      <c r="F205" s="276" t="s">
        <v>508</v>
      </c>
      <c r="G205" s="277" t="s">
        <v>626</v>
      </c>
      <c r="H205" s="278">
        <v>41603</v>
      </c>
      <c r="I205" s="273">
        <v>1</v>
      </c>
      <c r="J205" s="279">
        <v>30429</v>
      </c>
      <c r="K205" s="280">
        <v>30429</v>
      </c>
      <c r="L205" s="269" t="s">
        <v>957</v>
      </c>
      <c r="M205" s="129" t="s">
        <v>21</v>
      </c>
    </row>
    <row r="206" spans="1:13" s="133" customFormat="1" ht="15" customHeight="1" x14ac:dyDescent="0.25">
      <c r="A206" s="121">
        <v>203</v>
      </c>
      <c r="B206" s="273">
        <v>70704</v>
      </c>
      <c r="C206" s="274" t="s">
        <v>2251</v>
      </c>
      <c r="D206" s="273" t="s">
        <v>542</v>
      </c>
      <c r="E206" s="275" t="s">
        <v>115</v>
      </c>
      <c r="F206" s="276" t="s">
        <v>389</v>
      </c>
      <c r="G206" s="277" t="s">
        <v>486</v>
      </c>
      <c r="H206" s="278">
        <v>41591</v>
      </c>
      <c r="I206" s="273">
        <v>1</v>
      </c>
      <c r="J206" s="279">
        <v>5274</v>
      </c>
      <c r="K206" s="280">
        <v>5274</v>
      </c>
      <c r="L206" s="269" t="s">
        <v>957</v>
      </c>
      <c r="M206" s="129" t="s">
        <v>21</v>
      </c>
    </row>
    <row r="207" spans="1:13" s="133" customFormat="1" ht="15" customHeight="1" x14ac:dyDescent="0.25">
      <c r="A207" s="121">
        <v>204</v>
      </c>
      <c r="B207" s="273">
        <v>63154</v>
      </c>
      <c r="C207" s="274" t="s">
        <v>2252</v>
      </c>
      <c r="D207" s="273" t="s">
        <v>721</v>
      </c>
      <c r="E207" s="275" t="s">
        <v>577</v>
      </c>
      <c r="F207" s="276" t="s">
        <v>368</v>
      </c>
      <c r="G207" s="277"/>
      <c r="H207" s="278">
        <v>41561</v>
      </c>
      <c r="I207" s="273">
        <v>1</v>
      </c>
      <c r="J207" s="279">
        <v>25800</v>
      </c>
      <c r="K207" s="280">
        <v>25800</v>
      </c>
      <c r="L207" s="269" t="s">
        <v>957</v>
      </c>
      <c r="M207" s="129" t="s">
        <v>21</v>
      </c>
    </row>
    <row r="208" spans="1:13" s="133" customFormat="1" ht="15" customHeight="1" x14ac:dyDescent="0.25">
      <c r="A208" s="121">
        <v>205</v>
      </c>
      <c r="B208" s="273">
        <v>72015</v>
      </c>
      <c r="C208" s="274" t="s">
        <v>2252</v>
      </c>
      <c r="D208" s="273" t="s">
        <v>662</v>
      </c>
      <c r="E208" s="275" t="s">
        <v>577</v>
      </c>
      <c r="F208" s="276" t="s">
        <v>366</v>
      </c>
      <c r="G208" s="277"/>
      <c r="H208" s="278">
        <v>41596</v>
      </c>
      <c r="I208" s="273">
        <v>1</v>
      </c>
      <c r="J208" s="279">
        <v>25800</v>
      </c>
      <c r="K208" s="280">
        <v>25800</v>
      </c>
      <c r="L208" s="269" t="s">
        <v>957</v>
      </c>
      <c r="M208" s="129" t="s">
        <v>21</v>
      </c>
    </row>
    <row r="209" spans="1:13" s="133" customFormat="1" ht="15" customHeight="1" thickBot="1" x14ac:dyDescent="0.3">
      <c r="A209" s="289">
        <v>206</v>
      </c>
      <c r="B209" s="290">
        <v>75489</v>
      </c>
      <c r="C209" s="291" t="s">
        <v>2253</v>
      </c>
      <c r="D209" s="290" t="s">
        <v>542</v>
      </c>
      <c r="E209" s="292" t="s">
        <v>534</v>
      </c>
      <c r="F209" s="293" t="s">
        <v>401</v>
      </c>
      <c r="G209" s="294" t="s">
        <v>626</v>
      </c>
      <c r="H209" s="295">
        <v>41605</v>
      </c>
      <c r="I209" s="290">
        <v>1</v>
      </c>
      <c r="J209" s="296">
        <v>30429</v>
      </c>
      <c r="K209" s="297">
        <v>30429</v>
      </c>
      <c r="L209" s="298" t="s">
        <v>957</v>
      </c>
      <c r="M209" s="129" t="s">
        <v>21</v>
      </c>
    </row>
    <row r="210" spans="1:13" s="133" customFormat="1" ht="15" customHeight="1" x14ac:dyDescent="0.25">
      <c r="A210" s="273">
        <v>208</v>
      </c>
      <c r="B210" s="273">
        <v>70432</v>
      </c>
      <c r="C210" s="274" t="s">
        <v>2254</v>
      </c>
      <c r="D210" s="273" t="s">
        <v>373</v>
      </c>
      <c r="E210" s="275" t="s">
        <v>115</v>
      </c>
      <c r="F210" s="276" t="s">
        <v>524</v>
      </c>
      <c r="G210" s="277" t="s">
        <v>486</v>
      </c>
      <c r="H210" s="278">
        <v>41590</v>
      </c>
      <c r="I210" s="299">
        <v>1</v>
      </c>
      <c r="J210" s="279">
        <v>5274</v>
      </c>
      <c r="K210" s="280">
        <v>5274</v>
      </c>
      <c r="L210" s="300" t="s">
        <v>620</v>
      </c>
      <c r="M210" s="129" t="s">
        <v>21</v>
      </c>
    </row>
    <row r="211" spans="1:13" s="133" customFormat="1" ht="15" customHeight="1" x14ac:dyDescent="0.25">
      <c r="A211" s="121">
        <v>209</v>
      </c>
      <c r="B211" s="121">
        <v>73094</v>
      </c>
      <c r="C211" s="123" t="s">
        <v>709</v>
      </c>
      <c r="D211" s="121" t="s">
        <v>373</v>
      </c>
      <c r="E211" s="149" t="s">
        <v>115</v>
      </c>
      <c r="F211" s="125" t="s">
        <v>416</v>
      </c>
      <c r="G211" s="270" t="s">
        <v>486</v>
      </c>
      <c r="H211" s="122">
        <v>41599</v>
      </c>
      <c r="I211" s="127">
        <v>1</v>
      </c>
      <c r="J211" s="271">
        <v>5274</v>
      </c>
      <c r="K211" s="272">
        <v>5274</v>
      </c>
      <c r="L211" s="269" t="s">
        <v>620</v>
      </c>
      <c r="M211" s="129" t="s">
        <v>21</v>
      </c>
    </row>
    <row r="212" spans="1:13" s="133" customFormat="1" ht="15" customHeight="1" x14ac:dyDescent="0.25">
      <c r="A212" s="121">
        <v>210</v>
      </c>
      <c r="B212" s="121">
        <v>76427</v>
      </c>
      <c r="C212" s="123" t="s">
        <v>2255</v>
      </c>
      <c r="D212" s="121" t="s">
        <v>542</v>
      </c>
      <c r="E212" s="149" t="s">
        <v>115</v>
      </c>
      <c r="F212" s="125" t="s">
        <v>508</v>
      </c>
      <c r="G212" s="270"/>
      <c r="H212" s="122">
        <v>41610</v>
      </c>
      <c r="I212" s="127">
        <v>1</v>
      </c>
      <c r="J212" s="271">
        <v>5274</v>
      </c>
      <c r="K212" s="272">
        <v>5274</v>
      </c>
      <c r="L212" s="269" t="s">
        <v>620</v>
      </c>
      <c r="M212" s="129" t="s">
        <v>21</v>
      </c>
    </row>
    <row r="213" spans="1:13" s="133" customFormat="1" ht="15" customHeight="1" x14ac:dyDescent="0.25">
      <c r="A213" s="121">
        <v>211</v>
      </c>
      <c r="B213" s="121">
        <v>76570</v>
      </c>
      <c r="C213" s="123" t="s">
        <v>2256</v>
      </c>
      <c r="D213" s="121" t="s">
        <v>542</v>
      </c>
      <c r="E213" s="149" t="s">
        <v>115</v>
      </c>
      <c r="F213" s="125" t="s">
        <v>469</v>
      </c>
      <c r="G213" s="270" t="s">
        <v>570</v>
      </c>
      <c r="H213" s="122">
        <v>41611</v>
      </c>
      <c r="I213" s="127">
        <v>1</v>
      </c>
      <c r="J213" s="271">
        <v>5274</v>
      </c>
      <c r="K213" s="272">
        <v>5274</v>
      </c>
      <c r="L213" s="269" t="s">
        <v>620</v>
      </c>
      <c r="M213" s="129" t="s">
        <v>21</v>
      </c>
    </row>
    <row r="214" spans="1:13" s="133" customFormat="1" ht="15" customHeight="1" x14ac:dyDescent="0.25">
      <c r="A214" s="121">
        <v>212</v>
      </c>
      <c r="B214" s="121">
        <v>77431</v>
      </c>
      <c r="C214" s="123" t="s">
        <v>704</v>
      </c>
      <c r="D214" s="121" t="s">
        <v>542</v>
      </c>
      <c r="E214" s="149" t="s">
        <v>115</v>
      </c>
      <c r="F214" s="125" t="s">
        <v>389</v>
      </c>
      <c r="G214" s="270" t="s">
        <v>570</v>
      </c>
      <c r="H214" s="122">
        <v>41611</v>
      </c>
      <c r="I214" s="127">
        <v>1</v>
      </c>
      <c r="J214" s="271">
        <v>5274</v>
      </c>
      <c r="K214" s="272">
        <v>5274</v>
      </c>
      <c r="L214" s="269" t="s">
        <v>620</v>
      </c>
      <c r="M214" s="129" t="s">
        <v>21</v>
      </c>
    </row>
    <row r="215" spans="1:13" s="133" customFormat="1" ht="15" customHeight="1" x14ac:dyDescent="0.25">
      <c r="A215" s="121">
        <v>213</v>
      </c>
      <c r="B215" s="121">
        <v>77433</v>
      </c>
      <c r="C215" s="123" t="s">
        <v>2257</v>
      </c>
      <c r="D215" s="121" t="s">
        <v>542</v>
      </c>
      <c r="E215" s="149" t="s">
        <v>115</v>
      </c>
      <c r="F215" s="125" t="s">
        <v>439</v>
      </c>
      <c r="G215" s="270" t="s">
        <v>551</v>
      </c>
      <c r="H215" s="122">
        <v>41611</v>
      </c>
      <c r="I215" s="127">
        <v>1</v>
      </c>
      <c r="J215" s="271">
        <v>5274</v>
      </c>
      <c r="K215" s="272">
        <v>5274</v>
      </c>
      <c r="L215" s="269" t="s">
        <v>620</v>
      </c>
      <c r="M215" s="129" t="s">
        <v>21</v>
      </c>
    </row>
    <row r="216" spans="1:13" s="133" customFormat="1" ht="15" customHeight="1" x14ac:dyDescent="0.25">
      <c r="A216" s="121">
        <v>214</v>
      </c>
      <c r="B216" s="121">
        <v>80283</v>
      </c>
      <c r="C216" s="123" t="s">
        <v>2258</v>
      </c>
      <c r="D216" s="121" t="s">
        <v>542</v>
      </c>
      <c r="E216" s="149" t="s">
        <v>115</v>
      </c>
      <c r="F216" s="125" t="s">
        <v>401</v>
      </c>
      <c r="G216" s="270" t="s">
        <v>483</v>
      </c>
      <c r="H216" s="122">
        <v>41620</v>
      </c>
      <c r="I216" s="127">
        <v>1</v>
      </c>
      <c r="J216" s="271">
        <v>5274</v>
      </c>
      <c r="K216" s="272">
        <v>5274</v>
      </c>
      <c r="L216" s="269" t="s">
        <v>620</v>
      </c>
      <c r="M216" s="129" t="s">
        <v>21</v>
      </c>
    </row>
    <row r="217" spans="1:13" s="133" customFormat="1" ht="15" customHeight="1" x14ac:dyDescent="0.25">
      <c r="A217" s="121">
        <v>215</v>
      </c>
      <c r="B217" s="121">
        <v>80070</v>
      </c>
      <c r="C217" s="123" t="s">
        <v>2259</v>
      </c>
      <c r="D217" s="121" t="s">
        <v>373</v>
      </c>
      <c r="E217" s="149" t="s">
        <v>115</v>
      </c>
      <c r="F217" s="125" t="s">
        <v>401</v>
      </c>
      <c r="G217" s="270" t="s">
        <v>1233</v>
      </c>
      <c r="H217" s="122">
        <v>41619</v>
      </c>
      <c r="I217" s="127">
        <v>1</v>
      </c>
      <c r="J217" s="271">
        <v>5274</v>
      </c>
      <c r="K217" s="272">
        <v>5274</v>
      </c>
      <c r="L217" s="269" t="s">
        <v>620</v>
      </c>
      <c r="M217" s="129" t="s">
        <v>21</v>
      </c>
    </row>
    <row r="218" spans="1:13" s="133" customFormat="1" ht="15" customHeight="1" x14ac:dyDescent="0.25">
      <c r="A218" s="121">
        <v>216</v>
      </c>
      <c r="B218" s="121">
        <v>80056</v>
      </c>
      <c r="C218" s="123" t="s">
        <v>2260</v>
      </c>
      <c r="D218" s="121" t="s">
        <v>373</v>
      </c>
      <c r="E218" s="149" t="s">
        <v>115</v>
      </c>
      <c r="F218" s="125" t="s">
        <v>416</v>
      </c>
      <c r="G218" s="270" t="s">
        <v>486</v>
      </c>
      <c r="H218" s="122">
        <v>41619</v>
      </c>
      <c r="I218" s="127">
        <v>1</v>
      </c>
      <c r="J218" s="271">
        <v>5274</v>
      </c>
      <c r="K218" s="272">
        <v>5274</v>
      </c>
      <c r="L218" s="269" t="s">
        <v>620</v>
      </c>
      <c r="M218" s="129" t="s">
        <v>21</v>
      </c>
    </row>
    <row r="219" spans="1:13" s="133" customFormat="1" ht="15" customHeight="1" x14ac:dyDescent="0.25">
      <c r="A219" s="121">
        <v>217</v>
      </c>
      <c r="B219" s="121">
        <v>79603</v>
      </c>
      <c r="C219" s="123" t="s">
        <v>2261</v>
      </c>
      <c r="D219" s="121" t="s">
        <v>542</v>
      </c>
      <c r="E219" s="149" t="s">
        <v>115</v>
      </c>
      <c r="F219" s="125" t="s">
        <v>389</v>
      </c>
      <c r="G219" s="270" t="s">
        <v>486</v>
      </c>
      <c r="H219" s="122">
        <v>41618</v>
      </c>
      <c r="I219" s="127">
        <v>1</v>
      </c>
      <c r="J219" s="271">
        <v>5274</v>
      </c>
      <c r="K219" s="272">
        <v>5274</v>
      </c>
      <c r="L219" s="269" t="s">
        <v>620</v>
      </c>
      <c r="M219" s="129" t="s">
        <v>21</v>
      </c>
    </row>
    <row r="220" spans="1:13" s="133" customFormat="1" ht="15" customHeight="1" x14ac:dyDescent="0.25">
      <c r="A220" s="121">
        <v>218</v>
      </c>
      <c r="B220" s="121">
        <v>79389</v>
      </c>
      <c r="C220" s="123" t="s">
        <v>650</v>
      </c>
      <c r="D220" s="121" t="s">
        <v>542</v>
      </c>
      <c r="E220" s="149" t="s">
        <v>115</v>
      </c>
      <c r="F220" s="125" t="s">
        <v>389</v>
      </c>
      <c r="G220" s="270" t="s">
        <v>486</v>
      </c>
      <c r="H220" s="122">
        <v>41620</v>
      </c>
      <c r="I220" s="127">
        <v>1</v>
      </c>
      <c r="J220" s="271">
        <v>5274</v>
      </c>
      <c r="K220" s="272">
        <v>5274</v>
      </c>
      <c r="L220" s="269" t="s">
        <v>620</v>
      </c>
      <c r="M220" s="129" t="s">
        <v>21</v>
      </c>
    </row>
    <row r="221" spans="1:13" s="133" customFormat="1" ht="15" customHeight="1" x14ac:dyDescent="0.25">
      <c r="A221" s="121">
        <v>219</v>
      </c>
      <c r="B221" s="121">
        <v>79236</v>
      </c>
      <c r="C221" s="123" t="s">
        <v>2262</v>
      </c>
      <c r="D221" s="121" t="s">
        <v>373</v>
      </c>
      <c r="E221" s="149" t="s">
        <v>115</v>
      </c>
      <c r="F221" s="125" t="s">
        <v>508</v>
      </c>
      <c r="G221" s="270" t="s">
        <v>486</v>
      </c>
      <c r="H221" s="122">
        <v>41618</v>
      </c>
      <c r="I221" s="127">
        <v>1</v>
      </c>
      <c r="J221" s="271">
        <v>5274</v>
      </c>
      <c r="K221" s="272">
        <v>5274</v>
      </c>
      <c r="L221" s="269" t="s">
        <v>620</v>
      </c>
      <c r="M221" s="129" t="s">
        <v>21</v>
      </c>
    </row>
    <row r="222" spans="1:13" s="133" customFormat="1" ht="15" customHeight="1" x14ac:dyDescent="0.25">
      <c r="A222" s="121">
        <v>220</v>
      </c>
      <c r="B222" s="121">
        <v>79076</v>
      </c>
      <c r="C222" s="123" t="s">
        <v>704</v>
      </c>
      <c r="D222" s="121" t="s">
        <v>542</v>
      </c>
      <c r="E222" s="149" t="s">
        <v>115</v>
      </c>
      <c r="F222" s="125" t="s">
        <v>531</v>
      </c>
      <c r="G222" s="270" t="s">
        <v>570</v>
      </c>
      <c r="H222" s="122">
        <v>41618</v>
      </c>
      <c r="I222" s="127">
        <v>1</v>
      </c>
      <c r="J222" s="271">
        <v>5274</v>
      </c>
      <c r="K222" s="272">
        <v>5274</v>
      </c>
      <c r="L222" s="269" t="s">
        <v>620</v>
      </c>
      <c r="M222" s="129" t="s">
        <v>21</v>
      </c>
    </row>
    <row r="223" spans="1:13" s="133" customFormat="1" ht="15" customHeight="1" x14ac:dyDescent="0.25">
      <c r="A223" s="121">
        <v>221</v>
      </c>
      <c r="B223" s="121">
        <v>78577</v>
      </c>
      <c r="C223" s="123" t="s">
        <v>2263</v>
      </c>
      <c r="D223" s="121" t="s">
        <v>373</v>
      </c>
      <c r="E223" s="149" t="s">
        <v>115</v>
      </c>
      <c r="F223" s="125" t="s">
        <v>416</v>
      </c>
      <c r="G223" s="270" t="s">
        <v>486</v>
      </c>
      <c r="H223" s="122">
        <v>41615</v>
      </c>
      <c r="I223" s="127">
        <v>1</v>
      </c>
      <c r="J223" s="271">
        <v>5274</v>
      </c>
      <c r="K223" s="272">
        <v>5274</v>
      </c>
      <c r="L223" s="269" t="s">
        <v>620</v>
      </c>
      <c r="M223" s="129" t="s">
        <v>21</v>
      </c>
    </row>
    <row r="224" spans="1:13" s="133" customFormat="1" ht="15" customHeight="1" x14ac:dyDescent="0.25">
      <c r="A224" s="121">
        <v>222</v>
      </c>
      <c r="B224" s="121">
        <v>81541</v>
      </c>
      <c r="C224" s="123" t="s">
        <v>2264</v>
      </c>
      <c r="D224" s="121" t="s">
        <v>542</v>
      </c>
      <c r="E224" s="149" t="s">
        <v>115</v>
      </c>
      <c r="F224" s="125" t="s">
        <v>414</v>
      </c>
      <c r="G224" s="270" t="s">
        <v>570</v>
      </c>
      <c r="H224" s="122">
        <v>41626</v>
      </c>
      <c r="I224" s="127">
        <v>1</v>
      </c>
      <c r="J224" s="271">
        <v>5274</v>
      </c>
      <c r="K224" s="272">
        <v>5274</v>
      </c>
      <c r="L224" s="269" t="s">
        <v>620</v>
      </c>
      <c r="M224" s="129" t="s">
        <v>21</v>
      </c>
    </row>
    <row r="225" spans="1:13" s="133" customFormat="1" ht="15" customHeight="1" x14ac:dyDescent="0.25">
      <c r="A225" s="121">
        <v>223</v>
      </c>
      <c r="B225" s="121">
        <v>81304</v>
      </c>
      <c r="C225" s="123" t="s">
        <v>2265</v>
      </c>
      <c r="D225" s="121" t="s">
        <v>662</v>
      </c>
      <c r="E225" s="149" t="s">
        <v>115</v>
      </c>
      <c r="F225" s="125" t="s">
        <v>469</v>
      </c>
      <c r="G225" s="270" t="s">
        <v>486</v>
      </c>
      <c r="H225" s="122">
        <v>41624</v>
      </c>
      <c r="I225" s="127">
        <v>1</v>
      </c>
      <c r="J225" s="271">
        <v>5274</v>
      </c>
      <c r="K225" s="272">
        <v>5274</v>
      </c>
      <c r="L225" s="269" t="s">
        <v>620</v>
      </c>
      <c r="M225" s="129" t="s">
        <v>21</v>
      </c>
    </row>
    <row r="226" spans="1:13" s="133" customFormat="1" ht="15" customHeight="1" x14ac:dyDescent="0.25">
      <c r="A226" s="121">
        <v>224</v>
      </c>
      <c r="B226" s="121">
        <v>81307</v>
      </c>
      <c r="C226" s="123" t="s">
        <v>2266</v>
      </c>
      <c r="D226" s="121" t="s">
        <v>662</v>
      </c>
      <c r="E226" s="149" t="s">
        <v>115</v>
      </c>
      <c r="F226" s="125" t="s">
        <v>412</v>
      </c>
      <c r="G226" s="270" t="s">
        <v>557</v>
      </c>
      <c r="H226" s="122">
        <v>41624</v>
      </c>
      <c r="I226" s="127">
        <v>1</v>
      </c>
      <c r="J226" s="271">
        <v>5274</v>
      </c>
      <c r="K226" s="272">
        <v>5274</v>
      </c>
      <c r="L226" s="269" t="s">
        <v>620</v>
      </c>
      <c r="M226" s="129" t="s">
        <v>21</v>
      </c>
    </row>
    <row r="227" spans="1:13" s="133" customFormat="1" ht="15" customHeight="1" x14ac:dyDescent="0.25">
      <c r="A227" s="121">
        <v>225</v>
      </c>
      <c r="B227" s="121">
        <v>85165</v>
      </c>
      <c r="C227" s="123" t="s">
        <v>640</v>
      </c>
      <c r="D227" s="121" t="s">
        <v>542</v>
      </c>
      <c r="E227" s="149" t="s">
        <v>115</v>
      </c>
      <c r="F227" s="125" t="s">
        <v>642</v>
      </c>
      <c r="G227" s="270" t="s">
        <v>570</v>
      </c>
      <c r="H227" s="122">
        <v>41638</v>
      </c>
      <c r="I227" s="127">
        <v>1</v>
      </c>
      <c r="J227" s="271">
        <v>5274</v>
      </c>
      <c r="K227" s="272">
        <v>5274</v>
      </c>
      <c r="L227" s="269" t="s">
        <v>620</v>
      </c>
      <c r="M227" s="129" t="s">
        <v>21</v>
      </c>
    </row>
    <row r="228" spans="1:13" s="133" customFormat="1" ht="15" customHeight="1" x14ac:dyDescent="0.25">
      <c r="A228" s="121">
        <v>226</v>
      </c>
      <c r="B228" s="121">
        <v>85183</v>
      </c>
      <c r="C228" s="123" t="s">
        <v>2267</v>
      </c>
      <c r="D228" s="121" t="s">
        <v>542</v>
      </c>
      <c r="E228" s="149" t="s">
        <v>115</v>
      </c>
      <c r="F228" s="125" t="s">
        <v>416</v>
      </c>
      <c r="G228" s="270" t="s">
        <v>570</v>
      </c>
      <c r="H228" s="122">
        <v>41641</v>
      </c>
      <c r="I228" s="127">
        <v>1</v>
      </c>
      <c r="J228" s="271">
        <v>5274</v>
      </c>
      <c r="K228" s="272">
        <v>5274</v>
      </c>
      <c r="L228" s="269" t="s">
        <v>620</v>
      </c>
      <c r="M228" s="129" t="s">
        <v>21</v>
      </c>
    </row>
    <row r="229" spans="1:13" s="133" customFormat="1" ht="15" customHeight="1" x14ac:dyDescent="0.25">
      <c r="A229" s="121">
        <v>227</v>
      </c>
      <c r="B229" s="121">
        <v>85310</v>
      </c>
      <c r="C229" s="123" t="s">
        <v>2268</v>
      </c>
      <c r="D229" s="121" t="s">
        <v>542</v>
      </c>
      <c r="E229" s="149" t="s">
        <v>115</v>
      </c>
      <c r="F229" s="125" t="s">
        <v>559</v>
      </c>
      <c r="G229" s="270" t="s">
        <v>570</v>
      </c>
      <c r="H229" s="122">
        <v>41645</v>
      </c>
      <c r="I229" s="127">
        <v>1</v>
      </c>
      <c r="J229" s="271">
        <v>5274</v>
      </c>
      <c r="K229" s="272">
        <v>5274</v>
      </c>
      <c r="L229" s="269" t="s">
        <v>620</v>
      </c>
      <c r="M229" s="129" t="s">
        <v>21</v>
      </c>
    </row>
    <row r="230" spans="1:13" s="133" customFormat="1" ht="15" customHeight="1" x14ac:dyDescent="0.25">
      <c r="A230" s="121">
        <v>228</v>
      </c>
      <c r="B230" s="121">
        <v>82959</v>
      </c>
      <c r="C230" s="123" t="s">
        <v>2269</v>
      </c>
      <c r="D230" s="121" t="s">
        <v>475</v>
      </c>
      <c r="E230" s="149" t="s">
        <v>235</v>
      </c>
      <c r="F230" s="125" t="s">
        <v>366</v>
      </c>
      <c r="G230" s="270"/>
      <c r="H230" s="122">
        <v>41628</v>
      </c>
      <c r="I230" s="127">
        <v>1</v>
      </c>
      <c r="J230" s="271">
        <v>10401</v>
      </c>
      <c r="K230" s="272">
        <v>10401</v>
      </c>
      <c r="L230" s="269" t="s">
        <v>620</v>
      </c>
      <c r="M230" s="129" t="s">
        <v>21</v>
      </c>
    </row>
    <row r="231" spans="1:13" s="133" customFormat="1" ht="15" customHeight="1" x14ac:dyDescent="0.25">
      <c r="A231" s="121">
        <v>229</v>
      </c>
      <c r="B231" s="121">
        <v>83228</v>
      </c>
      <c r="C231" s="123" t="s">
        <v>2270</v>
      </c>
      <c r="D231" s="121" t="s">
        <v>662</v>
      </c>
      <c r="E231" s="149" t="s">
        <v>115</v>
      </c>
      <c r="F231" s="125" t="s">
        <v>397</v>
      </c>
      <c r="G231" s="270" t="s">
        <v>2109</v>
      </c>
      <c r="H231" s="122">
        <v>41631</v>
      </c>
      <c r="I231" s="127">
        <v>2</v>
      </c>
      <c r="J231" s="271">
        <v>5274</v>
      </c>
      <c r="K231" s="272">
        <v>10548</v>
      </c>
      <c r="L231" s="269" t="s">
        <v>620</v>
      </c>
      <c r="M231" s="129" t="s">
        <v>21</v>
      </c>
    </row>
    <row r="232" spans="1:13" s="133" customFormat="1" ht="15" customHeight="1" x14ac:dyDescent="0.25">
      <c r="A232" s="121">
        <v>230</v>
      </c>
      <c r="B232" s="121">
        <v>79603</v>
      </c>
      <c r="C232" s="123" t="s">
        <v>2261</v>
      </c>
      <c r="D232" s="121" t="s">
        <v>542</v>
      </c>
      <c r="E232" s="149" t="s">
        <v>208</v>
      </c>
      <c r="F232" s="125" t="s">
        <v>389</v>
      </c>
      <c r="G232" s="270"/>
      <c r="H232" s="122">
        <v>41618</v>
      </c>
      <c r="I232" s="127">
        <v>1</v>
      </c>
      <c r="J232" s="271">
        <v>14099</v>
      </c>
      <c r="K232" s="272">
        <v>14099</v>
      </c>
      <c r="L232" s="269" t="s">
        <v>620</v>
      </c>
      <c r="M232" s="129" t="s">
        <v>21</v>
      </c>
    </row>
    <row r="233" spans="1:13" s="133" customFormat="1" ht="15" customHeight="1" x14ac:dyDescent="0.25">
      <c r="A233" s="121">
        <v>231</v>
      </c>
      <c r="B233" s="121">
        <v>84082</v>
      </c>
      <c r="C233" s="123" t="s">
        <v>709</v>
      </c>
      <c r="D233" s="121" t="s">
        <v>373</v>
      </c>
      <c r="E233" s="149" t="s">
        <v>208</v>
      </c>
      <c r="F233" s="125" t="s">
        <v>416</v>
      </c>
      <c r="G233" s="270"/>
      <c r="H233" s="122">
        <v>41632</v>
      </c>
      <c r="I233" s="127">
        <v>1</v>
      </c>
      <c r="J233" s="271">
        <v>14099</v>
      </c>
      <c r="K233" s="272">
        <v>14099</v>
      </c>
      <c r="L233" s="269" t="s">
        <v>620</v>
      </c>
      <c r="M233" s="129" t="s">
        <v>21</v>
      </c>
    </row>
    <row r="234" spans="1:13" s="133" customFormat="1" ht="15" customHeight="1" x14ac:dyDescent="0.25">
      <c r="A234" s="121">
        <v>232</v>
      </c>
      <c r="B234" s="121">
        <v>85310</v>
      </c>
      <c r="C234" s="123" t="s">
        <v>2268</v>
      </c>
      <c r="D234" s="121" t="s">
        <v>542</v>
      </c>
      <c r="E234" s="149" t="s">
        <v>208</v>
      </c>
      <c r="F234" s="125" t="s">
        <v>559</v>
      </c>
      <c r="G234" s="270"/>
      <c r="H234" s="122">
        <v>41645</v>
      </c>
      <c r="I234" s="127">
        <v>1</v>
      </c>
      <c r="J234" s="271">
        <v>14099</v>
      </c>
      <c r="K234" s="272">
        <v>14099</v>
      </c>
      <c r="L234" s="269" t="s">
        <v>620</v>
      </c>
      <c r="M234" s="129" t="s">
        <v>21</v>
      </c>
    </row>
    <row r="235" spans="1:13" s="133" customFormat="1" ht="15" customHeight="1" x14ac:dyDescent="0.25">
      <c r="A235" s="121">
        <v>233</v>
      </c>
      <c r="B235" s="121">
        <v>77770</v>
      </c>
      <c r="C235" s="123" t="s">
        <v>630</v>
      </c>
      <c r="D235" s="121" t="s">
        <v>542</v>
      </c>
      <c r="E235" s="149" t="s">
        <v>202</v>
      </c>
      <c r="F235" s="125" t="s">
        <v>565</v>
      </c>
      <c r="G235" s="270"/>
      <c r="H235" s="122">
        <v>41612</v>
      </c>
      <c r="I235" s="127">
        <v>1</v>
      </c>
      <c r="J235" s="271">
        <v>17244</v>
      </c>
      <c r="K235" s="272">
        <v>17244</v>
      </c>
      <c r="L235" s="269" t="s">
        <v>620</v>
      </c>
      <c r="M235" s="129" t="s">
        <v>21</v>
      </c>
    </row>
    <row r="236" spans="1:13" s="133" customFormat="1" ht="15" customHeight="1" x14ac:dyDescent="0.25">
      <c r="A236" s="121">
        <v>234</v>
      </c>
      <c r="B236" s="121">
        <v>79075</v>
      </c>
      <c r="C236" s="123" t="s">
        <v>627</v>
      </c>
      <c r="D236" s="121" t="s">
        <v>662</v>
      </c>
      <c r="E236" s="149" t="s">
        <v>115</v>
      </c>
      <c r="F236" s="125" t="s">
        <v>2271</v>
      </c>
      <c r="G236" s="270" t="s">
        <v>551</v>
      </c>
      <c r="H236" s="122">
        <v>41618</v>
      </c>
      <c r="I236" s="127">
        <v>4</v>
      </c>
      <c r="J236" s="271">
        <v>5274</v>
      </c>
      <c r="K236" s="272">
        <v>21096</v>
      </c>
      <c r="L236" s="269" t="s">
        <v>620</v>
      </c>
      <c r="M236" s="129" t="s">
        <v>21</v>
      </c>
    </row>
    <row r="237" spans="1:13" s="133" customFormat="1" ht="15" customHeight="1" x14ac:dyDescent="0.25">
      <c r="A237" s="121">
        <v>235</v>
      </c>
      <c r="B237" s="121">
        <v>83450</v>
      </c>
      <c r="C237" s="123" t="s">
        <v>712</v>
      </c>
      <c r="D237" s="121" t="s">
        <v>662</v>
      </c>
      <c r="E237" s="149" t="s">
        <v>115</v>
      </c>
      <c r="F237" s="125" t="s">
        <v>991</v>
      </c>
      <c r="G237" s="270" t="s">
        <v>557</v>
      </c>
      <c r="H237" s="122">
        <v>41634</v>
      </c>
      <c r="I237" s="127">
        <v>4</v>
      </c>
      <c r="J237" s="271">
        <v>5274</v>
      </c>
      <c r="K237" s="272">
        <v>21096</v>
      </c>
      <c r="L237" s="269" t="s">
        <v>620</v>
      </c>
      <c r="M237" s="129" t="s">
        <v>21</v>
      </c>
    </row>
    <row r="238" spans="1:13" s="133" customFormat="1" ht="15" customHeight="1" x14ac:dyDescent="0.25">
      <c r="A238" s="121">
        <v>236</v>
      </c>
      <c r="B238" s="121">
        <v>68240</v>
      </c>
      <c r="C238" s="123" t="s">
        <v>2272</v>
      </c>
      <c r="D238" s="121" t="s">
        <v>373</v>
      </c>
      <c r="E238" s="149" t="s">
        <v>534</v>
      </c>
      <c r="F238" s="125" t="s">
        <v>524</v>
      </c>
      <c r="G238" s="270" t="s">
        <v>570</v>
      </c>
      <c r="H238" s="122">
        <v>41582</v>
      </c>
      <c r="I238" s="127">
        <v>1</v>
      </c>
      <c r="J238" s="271">
        <v>30429</v>
      </c>
      <c r="K238" s="272">
        <v>30429</v>
      </c>
      <c r="L238" s="269" t="s">
        <v>620</v>
      </c>
      <c r="M238" s="129" t="s">
        <v>21</v>
      </c>
    </row>
    <row r="239" spans="1:13" s="133" customFormat="1" ht="15" customHeight="1" x14ac:dyDescent="0.25">
      <c r="A239" s="121">
        <v>237</v>
      </c>
      <c r="B239" s="121">
        <v>68786</v>
      </c>
      <c r="C239" s="123" t="s">
        <v>2273</v>
      </c>
      <c r="D239" s="121" t="s">
        <v>373</v>
      </c>
      <c r="E239" s="149" t="s">
        <v>534</v>
      </c>
      <c r="F239" s="125" t="s">
        <v>469</v>
      </c>
      <c r="G239" s="270" t="s">
        <v>566</v>
      </c>
      <c r="H239" s="122">
        <v>41583</v>
      </c>
      <c r="I239" s="127">
        <v>1</v>
      </c>
      <c r="J239" s="271">
        <v>30429</v>
      </c>
      <c r="K239" s="272">
        <v>30429</v>
      </c>
      <c r="L239" s="269" t="s">
        <v>620</v>
      </c>
      <c r="M239" s="129" t="s">
        <v>21</v>
      </c>
    </row>
    <row r="240" spans="1:13" s="133" customFormat="1" ht="15" customHeight="1" x14ac:dyDescent="0.25">
      <c r="A240" s="121">
        <v>238</v>
      </c>
      <c r="B240" s="121">
        <v>70056</v>
      </c>
      <c r="C240" s="123" t="s">
        <v>2274</v>
      </c>
      <c r="D240" s="121" t="s">
        <v>662</v>
      </c>
      <c r="E240" s="149" t="s">
        <v>534</v>
      </c>
      <c r="F240" s="125" t="s">
        <v>412</v>
      </c>
      <c r="G240" s="270" t="s">
        <v>580</v>
      </c>
      <c r="H240" s="122">
        <v>41587</v>
      </c>
      <c r="I240" s="127">
        <v>1</v>
      </c>
      <c r="J240" s="271">
        <v>30429</v>
      </c>
      <c r="K240" s="272">
        <v>30429</v>
      </c>
      <c r="L240" s="269" t="s">
        <v>620</v>
      </c>
      <c r="M240" s="129" t="s">
        <v>21</v>
      </c>
    </row>
    <row r="241" spans="1:13" s="133" customFormat="1" ht="15" customHeight="1" x14ac:dyDescent="0.25">
      <c r="A241" s="121">
        <v>239</v>
      </c>
      <c r="B241" s="121">
        <v>76775</v>
      </c>
      <c r="C241" s="123" t="s">
        <v>2275</v>
      </c>
      <c r="D241" s="121" t="s">
        <v>662</v>
      </c>
      <c r="E241" s="149" t="s">
        <v>534</v>
      </c>
      <c r="F241" s="125" t="s">
        <v>428</v>
      </c>
      <c r="G241" s="270" t="s">
        <v>557</v>
      </c>
      <c r="H241" s="122">
        <v>41610</v>
      </c>
      <c r="I241" s="127">
        <v>1</v>
      </c>
      <c r="J241" s="271">
        <v>30429</v>
      </c>
      <c r="K241" s="272">
        <v>30429</v>
      </c>
      <c r="L241" s="269" t="s">
        <v>620</v>
      </c>
      <c r="M241" s="129" t="s">
        <v>21</v>
      </c>
    </row>
    <row r="242" spans="1:13" s="133" customFormat="1" ht="15" customHeight="1" x14ac:dyDescent="0.25">
      <c r="A242" s="121">
        <v>240</v>
      </c>
      <c r="B242" s="121">
        <v>76779</v>
      </c>
      <c r="C242" s="123" t="s">
        <v>2276</v>
      </c>
      <c r="D242" s="121" t="s">
        <v>373</v>
      </c>
      <c r="E242" s="149" t="s">
        <v>534</v>
      </c>
      <c r="F242" s="125" t="s">
        <v>469</v>
      </c>
      <c r="G242" s="270" t="s">
        <v>647</v>
      </c>
      <c r="H242" s="122">
        <v>41610</v>
      </c>
      <c r="I242" s="127">
        <v>1</v>
      </c>
      <c r="J242" s="271">
        <v>30429</v>
      </c>
      <c r="K242" s="272">
        <v>30429</v>
      </c>
      <c r="L242" s="269" t="s">
        <v>620</v>
      </c>
      <c r="M242" s="129" t="s">
        <v>21</v>
      </c>
    </row>
    <row r="243" spans="1:13" s="133" customFormat="1" ht="15" customHeight="1" x14ac:dyDescent="0.25">
      <c r="A243" s="121">
        <v>241</v>
      </c>
      <c r="B243" s="121">
        <v>77790</v>
      </c>
      <c r="C243" s="123" t="s">
        <v>2277</v>
      </c>
      <c r="D243" s="121" t="s">
        <v>542</v>
      </c>
      <c r="E243" s="149" t="s">
        <v>534</v>
      </c>
      <c r="F243" s="125" t="s">
        <v>389</v>
      </c>
      <c r="G243" s="270" t="s">
        <v>626</v>
      </c>
      <c r="H243" s="122">
        <v>41612</v>
      </c>
      <c r="I243" s="127">
        <v>1</v>
      </c>
      <c r="J243" s="271">
        <v>30429</v>
      </c>
      <c r="K243" s="272">
        <v>30429</v>
      </c>
      <c r="L243" s="269" t="s">
        <v>620</v>
      </c>
      <c r="M243" s="129" t="s">
        <v>21</v>
      </c>
    </row>
    <row r="244" spans="1:13" s="133" customFormat="1" ht="15" customHeight="1" x14ac:dyDescent="0.25">
      <c r="A244" s="121">
        <v>243</v>
      </c>
      <c r="B244" s="121">
        <v>80765</v>
      </c>
      <c r="C244" s="123" t="s">
        <v>2278</v>
      </c>
      <c r="D244" s="121" t="s">
        <v>542</v>
      </c>
      <c r="E244" s="149" t="s">
        <v>534</v>
      </c>
      <c r="F244" s="125" t="s">
        <v>559</v>
      </c>
      <c r="G244" s="270" t="s">
        <v>626</v>
      </c>
      <c r="H244" s="122">
        <v>41621</v>
      </c>
      <c r="I244" s="127">
        <v>1</v>
      </c>
      <c r="J244" s="271">
        <v>30429</v>
      </c>
      <c r="K244" s="272">
        <v>30429</v>
      </c>
      <c r="L244" s="269" t="s">
        <v>620</v>
      </c>
      <c r="M244" s="129" t="s">
        <v>21</v>
      </c>
    </row>
    <row r="245" spans="1:13" s="133" customFormat="1" ht="15" customHeight="1" x14ac:dyDescent="0.25">
      <c r="A245" s="121">
        <v>244</v>
      </c>
      <c r="B245" s="121">
        <v>80750</v>
      </c>
      <c r="C245" s="123" t="s">
        <v>716</v>
      </c>
      <c r="D245" s="121" t="s">
        <v>542</v>
      </c>
      <c r="E245" s="149" t="s">
        <v>534</v>
      </c>
      <c r="F245" s="125" t="s">
        <v>524</v>
      </c>
      <c r="G245" s="270" t="s">
        <v>626</v>
      </c>
      <c r="H245" s="122">
        <v>41621</v>
      </c>
      <c r="I245" s="127">
        <v>1</v>
      </c>
      <c r="J245" s="271">
        <v>30429</v>
      </c>
      <c r="K245" s="272">
        <v>30429</v>
      </c>
      <c r="L245" s="269" t="s">
        <v>620</v>
      </c>
      <c r="M245" s="129" t="s">
        <v>21</v>
      </c>
    </row>
    <row r="246" spans="1:13" s="133" customFormat="1" ht="15" customHeight="1" x14ac:dyDescent="0.25">
      <c r="A246" s="121">
        <v>245</v>
      </c>
      <c r="B246" s="121">
        <v>79138</v>
      </c>
      <c r="C246" s="123" t="s">
        <v>2279</v>
      </c>
      <c r="D246" s="121" t="s">
        <v>662</v>
      </c>
      <c r="E246" s="149" t="s">
        <v>534</v>
      </c>
      <c r="F246" s="125" t="s">
        <v>389</v>
      </c>
      <c r="G246" s="270" t="s">
        <v>594</v>
      </c>
      <c r="H246" s="122">
        <v>41617</v>
      </c>
      <c r="I246" s="127">
        <v>1</v>
      </c>
      <c r="J246" s="271">
        <v>30429</v>
      </c>
      <c r="K246" s="272">
        <v>30429</v>
      </c>
      <c r="L246" s="269" t="s">
        <v>620</v>
      </c>
      <c r="M246" s="129" t="s">
        <v>21</v>
      </c>
    </row>
    <row r="247" spans="1:13" s="133" customFormat="1" ht="15" customHeight="1" x14ac:dyDescent="0.25">
      <c r="A247" s="121">
        <v>246</v>
      </c>
      <c r="B247" s="121">
        <v>79073</v>
      </c>
      <c r="C247" s="123" t="s">
        <v>2268</v>
      </c>
      <c r="D247" s="121" t="s">
        <v>542</v>
      </c>
      <c r="E247" s="149" t="s">
        <v>534</v>
      </c>
      <c r="F247" s="125" t="s">
        <v>428</v>
      </c>
      <c r="G247" s="270" t="s">
        <v>626</v>
      </c>
      <c r="H247" s="122">
        <v>41617</v>
      </c>
      <c r="I247" s="127">
        <v>1</v>
      </c>
      <c r="J247" s="271">
        <v>30429</v>
      </c>
      <c r="K247" s="272">
        <v>30429</v>
      </c>
      <c r="L247" s="269" t="s">
        <v>620</v>
      </c>
      <c r="M247" s="129" t="s">
        <v>21</v>
      </c>
    </row>
    <row r="248" spans="1:13" s="133" customFormat="1" ht="15" customHeight="1" x14ac:dyDescent="0.25">
      <c r="A248" s="121">
        <v>247</v>
      </c>
      <c r="B248" s="121">
        <v>78978</v>
      </c>
      <c r="C248" s="123" t="s">
        <v>2280</v>
      </c>
      <c r="D248" s="121" t="s">
        <v>542</v>
      </c>
      <c r="E248" s="149" t="s">
        <v>534</v>
      </c>
      <c r="F248" s="125" t="s">
        <v>508</v>
      </c>
      <c r="G248" s="270" t="s">
        <v>626</v>
      </c>
      <c r="H248" s="122">
        <v>41617</v>
      </c>
      <c r="I248" s="127">
        <v>1</v>
      </c>
      <c r="J248" s="271">
        <v>30429</v>
      </c>
      <c r="K248" s="272">
        <v>30429</v>
      </c>
      <c r="L248" s="269" t="s">
        <v>620</v>
      </c>
      <c r="M248" s="129" t="s">
        <v>21</v>
      </c>
    </row>
    <row r="249" spans="1:13" s="133" customFormat="1" ht="15" customHeight="1" x14ac:dyDescent="0.25">
      <c r="A249" s="121">
        <v>248</v>
      </c>
      <c r="B249" s="121">
        <v>81579</v>
      </c>
      <c r="C249" s="123" t="s">
        <v>2281</v>
      </c>
      <c r="D249" s="121" t="s">
        <v>373</v>
      </c>
      <c r="E249" s="149" t="s">
        <v>534</v>
      </c>
      <c r="F249" s="125" t="s">
        <v>508</v>
      </c>
      <c r="G249" s="270" t="s">
        <v>551</v>
      </c>
      <c r="H249" s="122">
        <v>41625</v>
      </c>
      <c r="I249" s="127">
        <v>1</v>
      </c>
      <c r="J249" s="271">
        <v>30429</v>
      </c>
      <c r="K249" s="272">
        <v>30429</v>
      </c>
      <c r="L249" s="269" t="s">
        <v>620</v>
      </c>
      <c r="M249" s="129" t="s">
        <v>21</v>
      </c>
    </row>
    <row r="250" spans="1:13" s="133" customFormat="1" ht="15" customHeight="1" x14ac:dyDescent="0.25">
      <c r="A250" s="121">
        <v>249</v>
      </c>
      <c r="B250" s="121">
        <v>81889</v>
      </c>
      <c r="C250" s="123" t="s">
        <v>2282</v>
      </c>
      <c r="D250" s="121" t="s">
        <v>542</v>
      </c>
      <c r="E250" s="149" t="s">
        <v>534</v>
      </c>
      <c r="F250" s="125" t="s">
        <v>389</v>
      </c>
      <c r="G250" s="270" t="s">
        <v>626</v>
      </c>
      <c r="H250" s="122">
        <v>41625</v>
      </c>
      <c r="I250" s="127">
        <v>1</v>
      </c>
      <c r="J250" s="271">
        <v>30429</v>
      </c>
      <c r="K250" s="272">
        <v>30429</v>
      </c>
      <c r="L250" s="269" t="s">
        <v>620</v>
      </c>
      <c r="M250" s="129" t="s">
        <v>21</v>
      </c>
    </row>
    <row r="251" spans="1:13" s="133" customFormat="1" ht="15" customHeight="1" x14ac:dyDescent="0.25">
      <c r="A251" s="121">
        <v>250</v>
      </c>
      <c r="B251" s="121">
        <v>82834</v>
      </c>
      <c r="C251" s="123" t="s">
        <v>2263</v>
      </c>
      <c r="D251" s="121" t="s">
        <v>373</v>
      </c>
      <c r="E251" s="149" t="s">
        <v>534</v>
      </c>
      <c r="F251" s="125" t="s">
        <v>416</v>
      </c>
      <c r="G251" s="270" t="s">
        <v>551</v>
      </c>
      <c r="H251" s="122">
        <v>41628</v>
      </c>
      <c r="I251" s="127">
        <v>1</v>
      </c>
      <c r="J251" s="271">
        <v>30429</v>
      </c>
      <c r="K251" s="272">
        <v>30429</v>
      </c>
      <c r="L251" s="269" t="s">
        <v>620</v>
      </c>
      <c r="M251" s="129" t="s">
        <v>21</v>
      </c>
    </row>
    <row r="252" spans="1:13" s="133" customFormat="1" ht="15" customHeight="1" x14ac:dyDescent="0.25">
      <c r="A252" s="121">
        <v>253</v>
      </c>
      <c r="B252" s="121">
        <v>83828</v>
      </c>
      <c r="C252" s="123" t="s">
        <v>2283</v>
      </c>
      <c r="D252" s="121" t="s">
        <v>373</v>
      </c>
      <c r="E252" s="149" t="s">
        <v>534</v>
      </c>
      <c r="F252" s="125" t="s">
        <v>428</v>
      </c>
      <c r="G252" s="270" t="s">
        <v>647</v>
      </c>
      <c r="H252" s="122">
        <v>41632</v>
      </c>
      <c r="I252" s="127">
        <v>1</v>
      </c>
      <c r="J252" s="271">
        <v>30429</v>
      </c>
      <c r="K252" s="272">
        <v>30429</v>
      </c>
      <c r="L252" s="269" t="s">
        <v>620</v>
      </c>
      <c r="M252" s="129" t="s">
        <v>21</v>
      </c>
    </row>
    <row r="253" spans="1:13" s="133" customFormat="1" ht="15" customHeight="1" x14ac:dyDescent="0.25">
      <c r="A253" s="121">
        <v>254</v>
      </c>
      <c r="B253" s="121">
        <v>83730</v>
      </c>
      <c r="C253" s="123" t="s">
        <v>2284</v>
      </c>
      <c r="D253" s="121" t="s">
        <v>542</v>
      </c>
      <c r="E253" s="149" t="s">
        <v>534</v>
      </c>
      <c r="F253" s="125" t="s">
        <v>508</v>
      </c>
      <c r="G253" s="270" t="s">
        <v>655</v>
      </c>
      <c r="H253" s="122">
        <v>41631</v>
      </c>
      <c r="I253" s="127">
        <v>1</v>
      </c>
      <c r="J253" s="271">
        <v>30429</v>
      </c>
      <c r="K253" s="272">
        <v>30429</v>
      </c>
      <c r="L253" s="269" t="s">
        <v>620</v>
      </c>
      <c r="M253" s="129" t="s">
        <v>21</v>
      </c>
    </row>
    <row r="254" spans="1:13" s="133" customFormat="1" ht="15" customHeight="1" x14ac:dyDescent="0.25">
      <c r="A254" s="121">
        <v>255</v>
      </c>
      <c r="B254" s="121">
        <v>85139</v>
      </c>
      <c r="C254" s="123" t="s">
        <v>2285</v>
      </c>
      <c r="D254" s="121" t="s">
        <v>542</v>
      </c>
      <c r="E254" s="149" t="s">
        <v>534</v>
      </c>
      <c r="F254" s="125" t="s">
        <v>524</v>
      </c>
      <c r="G254" s="270" t="s">
        <v>626</v>
      </c>
      <c r="H254" s="122">
        <v>41638</v>
      </c>
      <c r="I254" s="127">
        <v>1</v>
      </c>
      <c r="J254" s="271">
        <v>30429</v>
      </c>
      <c r="K254" s="272">
        <v>30429</v>
      </c>
      <c r="L254" s="269" t="s">
        <v>620</v>
      </c>
      <c r="M254" s="129" t="s">
        <v>21</v>
      </c>
    </row>
    <row r="255" spans="1:13" s="133" customFormat="1" ht="15" customHeight="1" x14ac:dyDescent="0.25">
      <c r="A255" s="121">
        <v>256</v>
      </c>
      <c r="B255" s="121">
        <v>76659</v>
      </c>
      <c r="C255" s="123" t="s">
        <v>2286</v>
      </c>
      <c r="D255" s="121" t="s">
        <v>373</v>
      </c>
      <c r="E255" s="149" t="s">
        <v>114</v>
      </c>
      <c r="F255" s="125" t="s">
        <v>469</v>
      </c>
      <c r="G255" s="270" t="s">
        <v>2218</v>
      </c>
      <c r="H255" s="122">
        <v>41610</v>
      </c>
      <c r="I255" s="127">
        <v>1</v>
      </c>
      <c r="J255" s="271">
        <v>33370</v>
      </c>
      <c r="K255" s="272">
        <v>33370</v>
      </c>
      <c r="L255" s="269" t="s">
        <v>620</v>
      </c>
      <c r="M255" s="129" t="s">
        <v>21</v>
      </c>
    </row>
    <row r="256" spans="1:13" s="133" customFormat="1" ht="15" customHeight="1" x14ac:dyDescent="0.25">
      <c r="A256" s="121">
        <v>257</v>
      </c>
      <c r="B256" s="121">
        <v>76740</v>
      </c>
      <c r="C256" s="123" t="s">
        <v>2287</v>
      </c>
      <c r="D256" s="121" t="s">
        <v>373</v>
      </c>
      <c r="E256" s="149" t="s">
        <v>114</v>
      </c>
      <c r="F256" s="125" t="s">
        <v>404</v>
      </c>
      <c r="G256" s="270" t="s">
        <v>560</v>
      </c>
      <c r="H256" s="122">
        <v>41610</v>
      </c>
      <c r="I256" s="127">
        <v>1</v>
      </c>
      <c r="J256" s="271">
        <v>33370</v>
      </c>
      <c r="K256" s="272">
        <v>33370</v>
      </c>
      <c r="L256" s="269" t="s">
        <v>620</v>
      </c>
      <c r="M256" s="129" t="s">
        <v>21</v>
      </c>
    </row>
    <row r="257" spans="1:13" s="133" customFormat="1" ht="15" customHeight="1" x14ac:dyDescent="0.25">
      <c r="A257" s="121">
        <v>258</v>
      </c>
      <c r="B257" s="121">
        <v>76778</v>
      </c>
      <c r="C257" s="123" t="s">
        <v>2099</v>
      </c>
      <c r="D257" s="121" t="s">
        <v>542</v>
      </c>
      <c r="E257" s="149" t="s">
        <v>114</v>
      </c>
      <c r="F257" s="125" t="s">
        <v>469</v>
      </c>
      <c r="G257" s="270"/>
      <c r="H257" s="122">
        <v>41610</v>
      </c>
      <c r="I257" s="127">
        <v>1</v>
      </c>
      <c r="J257" s="271">
        <v>33370</v>
      </c>
      <c r="K257" s="272">
        <v>33370</v>
      </c>
      <c r="L257" s="269" t="s">
        <v>620</v>
      </c>
      <c r="M257" s="129" t="s">
        <v>21</v>
      </c>
    </row>
    <row r="258" spans="1:13" s="133" customFormat="1" ht="15" customHeight="1" x14ac:dyDescent="0.25">
      <c r="A258" s="121">
        <v>259</v>
      </c>
      <c r="B258" s="121">
        <v>77746</v>
      </c>
      <c r="C258" s="123" t="s">
        <v>2250</v>
      </c>
      <c r="D258" s="121" t="s">
        <v>542</v>
      </c>
      <c r="E258" s="149" t="s">
        <v>114</v>
      </c>
      <c r="F258" s="125" t="s">
        <v>389</v>
      </c>
      <c r="G258" s="270" t="s">
        <v>626</v>
      </c>
      <c r="H258" s="122">
        <v>41612</v>
      </c>
      <c r="I258" s="127">
        <v>1</v>
      </c>
      <c r="J258" s="271">
        <v>33370</v>
      </c>
      <c r="K258" s="272">
        <v>33370</v>
      </c>
      <c r="L258" s="269" t="s">
        <v>620</v>
      </c>
      <c r="M258" s="129" t="s">
        <v>21</v>
      </c>
    </row>
    <row r="259" spans="1:13" s="133" customFormat="1" ht="15" customHeight="1" x14ac:dyDescent="0.25">
      <c r="A259" s="121">
        <v>260</v>
      </c>
      <c r="B259" s="121">
        <v>77868</v>
      </c>
      <c r="C259" s="123" t="s">
        <v>2224</v>
      </c>
      <c r="D259" s="121" t="s">
        <v>542</v>
      </c>
      <c r="E259" s="149" t="s">
        <v>114</v>
      </c>
      <c r="F259" s="125" t="s">
        <v>404</v>
      </c>
      <c r="G259" s="270" t="s">
        <v>655</v>
      </c>
      <c r="H259" s="122">
        <v>41612</v>
      </c>
      <c r="I259" s="127">
        <v>1</v>
      </c>
      <c r="J259" s="271">
        <v>33370</v>
      </c>
      <c r="K259" s="272">
        <v>33370</v>
      </c>
      <c r="L259" s="269" t="s">
        <v>620</v>
      </c>
      <c r="M259" s="129" t="s">
        <v>21</v>
      </c>
    </row>
    <row r="260" spans="1:13" s="133" customFormat="1" ht="15" customHeight="1" x14ac:dyDescent="0.25">
      <c r="A260" s="121">
        <v>261</v>
      </c>
      <c r="B260" s="121">
        <v>78524</v>
      </c>
      <c r="C260" s="123" t="s">
        <v>2288</v>
      </c>
      <c r="D260" s="121" t="s">
        <v>373</v>
      </c>
      <c r="E260" s="149" t="s">
        <v>215</v>
      </c>
      <c r="F260" s="125" t="s">
        <v>368</v>
      </c>
      <c r="G260" s="270" t="s">
        <v>700</v>
      </c>
      <c r="H260" s="122">
        <v>41614</v>
      </c>
      <c r="I260" s="127">
        <v>1</v>
      </c>
      <c r="J260" s="271">
        <v>33370</v>
      </c>
      <c r="K260" s="272">
        <v>33370</v>
      </c>
      <c r="L260" s="269" t="s">
        <v>620</v>
      </c>
      <c r="M260" s="129" t="s">
        <v>21</v>
      </c>
    </row>
    <row r="261" spans="1:13" s="133" customFormat="1" ht="15" customHeight="1" x14ac:dyDescent="0.25">
      <c r="A261" s="121">
        <v>262</v>
      </c>
      <c r="B261" s="121">
        <v>81104</v>
      </c>
      <c r="C261" s="123" t="s">
        <v>2255</v>
      </c>
      <c r="D261" s="121" t="s">
        <v>542</v>
      </c>
      <c r="E261" s="149" t="s">
        <v>114</v>
      </c>
      <c r="F261" s="125" t="s">
        <v>508</v>
      </c>
      <c r="G261" s="270" t="s">
        <v>626</v>
      </c>
      <c r="H261" s="122">
        <v>41624</v>
      </c>
      <c r="I261" s="127">
        <v>1</v>
      </c>
      <c r="J261" s="271">
        <v>33370</v>
      </c>
      <c r="K261" s="272">
        <v>33370</v>
      </c>
      <c r="L261" s="269" t="s">
        <v>620</v>
      </c>
      <c r="M261" s="129" t="s">
        <v>21</v>
      </c>
    </row>
    <row r="262" spans="1:13" s="133" customFormat="1" ht="15" customHeight="1" x14ac:dyDescent="0.25">
      <c r="A262" s="121">
        <v>263</v>
      </c>
      <c r="B262" s="121">
        <v>79212</v>
      </c>
      <c r="C262" s="123" t="s">
        <v>2256</v>
      </c>
      <c r="D262" s="121" t="s">
        <v>542</v>
      </c>
      <c r="E262" s="149" t="s">
        <v>114</v>
      </c>
      <c r="F262" s="125" t="s">
        <v>469</v>
      </c>
      <c r="G262" s="270" t="s">
        <v>626</v>
      </c>
      <c r="H262" s="122">
        <v>41617</v>
      </c>
      <c r="I262" s="127">
        <v>1</v>
      </c>
      <c r="J262" s="271">
        <v>33370</v>
      </c>
      <c r="K262" s="272">
        <v>33370</v>
      </c>
      <c r="L262" s="269" t="s">
        <v>620</v>
      </c>
      <c r="M262" s="129" t="s">
        <v>21</v>
      </c>
    </row>
    <row r="263" spans="1:13" s="133" customFormat="1" ht="15" customHeight="1" x14ac:dyDescent="0.25">
      <c r="A263" s="121">
        <v>264</v>
      </c>
      <c r="B263" s="121">
        <v>79074</v>
      </c>
      <c r="C263" s="123" t="s">
        <v>2289</v>
      </c>
      <c r="D263" s="121" t="s">
        <v>542</v>
      </c>
      <c r="E263" s="149" t="s">
        <v>114</v>
      </c>
      <c r="F263" s="125" t="s">
        <v>527</v>
      </c>
      <c r="G263" s="270" t="s">
        <v>626</v>
      </c>
      <c r="H263" s="122">
        <v>41617</v>
      </c>
      <c r="I263" s="127">
        <v>1</v>
      </c>
      <c r="J263" s="271">
        <v>33370</v>
      </c>
      <c r="K263" s="272">
        <v>33370</v>
      </c>
      <c r="L263" s="269" t="s">
        <v>620</v>
      </c>
      <c r="M263" s="129" t="s">
        <v>21</v>
      </c>
    </row>
    <row r="264" spans="1:13" s="133" customFormat="1" ht="15" customHeight="1" x14ac:dyDescent="0.25">
      <c r="A264" s="121">
        <v>265</v>
      </c>
      <c r="B264" s="121">
        <v>81525</v>
      </c>
      <c r="C264" s="123" t="s">
        <v>2227</v>
      </c>
      <c r="D264" s="121" t="s">
        <v>662</v>
      </c>
      <c r="E264" s="149" t="s">
        <v>114</v>
      </c>
      <c r="F264" s="125" t="s">
        <v>442</v>
      </c>
      <c r="G264" s="270" t="s">
        <v>655</v>
      </c>
      <c r="H264" s="122">
        <v>41625</v>
      </c>
      <c r="I264" s="127">
        <v>1</v>
      </c>
      <c r="J264" s="271">
        <v>33370</v>
      </c>
      <c r="K264" s="272">
        <v>33370</v>
      </c>
      <c r="L264" s="269" t="s">
        <v>620</v>
      </c>
      <c r="M264" s="129" t="s">
        <v>21</v>
      </c>
    </row>
    <row r="265" spans="1:13" s="133" customFormat="1" ht="15" customHeight="1" x14ac:dyDescent="0.25">
      <c r="A265" s="121">
        <v>266</v>
      </c>
      <c r="B265" s="121">
        <v>83398</v>
      </c>
      <c r="C265" s="123" t="s">
        <v>2264</v>
      </c>
      <c r="D265" s="121" t="s">
        <v>542</v>
      </c>
      <c r="E265" s="149" t="s">
        <v>114</v>
      </c>
      <c r="F265" s="125" t="s">
        <v>414</v>
      </c>
      <c r="G265" s="270" t="s">
        <v>560</v>
      </c>
      <c r="H265" s="122">
        <v>41628</v>
      </c>
      <c r="I265" s="127">
        <v>1</v>
      </c>
      <c r="J265" s="271">
        <v>33370</v>
      </c>
      <c r="K265" s="272">
        <v>33370</v>
      </c>
      <c r="L265" s="269" t="s">
        <v>620</v>
      </c>
      <c r="M265" s="129" t="s">
        <v>21</v>
      </c>
    </row>
    <row r="266" spans="1:13" s="133" customFormat="1" ht="15" customHeight="1" x14ac:dyDescent="0.25">
      <c r="A266" s="121">
        <v>267</v>
      </c>
      <c r="B266" s="121">
        <v>84369</v>
      </c>
      <c r="C266" s="123" t="s">
        <v>2261</v>
      </c>
      <c r="D266" s="121" t="s">
        <v>542</v>
      </c>
      <c r="E266" s="149" t="s">
        <v>114</v>
      </c>
      <c r="F266" s="125" t="s">
        <v>389</v>
      </c>
      <c r="G266" s="270" t="s">
        <v>626</v>
      </c>
      <c r="H266" s="122">
        <v>41634</v>
      </c>
      <c r="I266" s="127">
        <v>1</v>
      </c>
      <c r="J266" s="271">
        <v>33370</v>
      </c>
      <c r="K266" s="272">
        <v>33370</v>
      </c>
      <c r="L266" s="269" t="s">
        <v>620</v>
      </c>
      <c r="M266" s="129" t="s">
        <v>21</v>
      </c>
    </row>
    <row r="267" spans="1:13" s="133" customFormat="1" ht="15" customHeight="1" x14ac:dyDescent="0.25">
      <c r="A267" s="121">
        <v>268</v>
      </c>
      <c r="B267" s="121">
        <v>84385</v>
      </c>
      <c r="C267" s="123" t="s">
        <v>704</v>
      </c>
      <c r="D267" s="121" t="s">
        <v>542</v>
      </c>
      <c r="E267" s="149" t="s">
        <v>114</v>
      </c>
      <c r="F267" s="125" t="s">
        <v>389</v>
      </c>
      <c r="G267" s="270" t="s">
        <v>639</v>
      </c>
      <c r="H267" s="122">
        <v>41634</v>
      </c>
      <c r="I267" s="127">
        <v>1</v>
      </c>
      <c r="J267" s="271">
        <v>33370</v>
      </c>
      <c r="K267" s="272">
        <v>33370</v>
      </c>
      <c r="L267" s="269" t="s">
        <v>620</v>
      </c>
      <c r="M267" s="129" t="s">
        <v>21</v>
      </c>
    </row>
    <row r="268" spans="1:13" s="133" customFormat="1" ht="15" customHeight="1" x14ac:dyDescent="0.25">
      <c r="A268" s="121">
        <v>269</v>
      </c>
      <c r="B268" s="121">
        <v>84540</v>
      </c>
      <c r="C268" s="123" t="s">
        <v>2254</v>
      </c>
      <c r="D268" s="121" t="s">
        <v>373</v>
      </c>
      <c r="E268" s="149" t="s">
        <v>114</v>
      </c>
      <c r="F268" s="125" t="s">
        <v>524</v>
      </c>
      <c r="G268" s="270" t="s">
        <v>732</v>
      </c>
      <c r="H268" s="122">
        <v>41634</v>
      </c>
      <c r="I268" s="127">
        <v>1</v>
      </c>
      <c r="J268" s="271">
        <v>33370</v>
      </c>
      <c r="K268" s="272">
        <v>33370</v>
      </c>
      <c r="L268" s="269" t="s">
        <v>620</v>
      </c>
      <c r="M268" s="129" t="s">
        <v>21</v>
      </c>
    </row>
    <row r="269" spans="1:13" s="133" customFormat="1" ht="15" customHeight="1" x14ac:dyDescent="0.25">
      <c r="A269" s="121">
        <v>270</v>
      </c>
      <c r="B269" s="121">
        <v>77999</v>
      </c>
      <c r="C269" s="123" t="s">
        <v>2110</v>
      </c>
      <c r="D269" s="121" t="s">
        <v>721</v>
      </c>
      <c r="E269" s="149" t="s">
        <v>215</v>
      </c>
      <c r="F269" s="125" t="s">
        <v>368</v>
      </c>
      <c r="G269" s="270" t="s">
        <v>1900</v>
      </c>
      <c r="H269" s="122">
        <v>41613</v>
      </c>
      <c r="I269" s="127">
        <v>1</v>
      </c>
      <c r="J269" s="271">
        <v>44597</v>
      </c>
      <c r="K269" s="272">
        <v>44597</v>
      </c>
      <c r="L269" s="269" t="s">
        <v>620</v>
      </c>
      <c r="M269" s="129" t="s">
        <v>21</v>
      </c>
    </row>
    <row r="270" spans="1:13" s="133" customFormat="1" ht="15" customHeight="1" x14ac:dyDescent="0.25">
      <c r="A270" s="121">
        <v>271</v>
      </c>
      <c r="B270" s="121">
        <v>79707</v>
      </c>
      <c r="C270" s="123" t="s">
        <v>668</v>
      </c>
      <c r="D270" s="121" t="s">
        <v>475</v>
      </c>
      <c r="E270" s="149" t="s">
        <v>215</v>
      </c>
      <c r="F270" s="125" t="s">
        <v>368</v>
      </c>
      <c r="G270" s="270" t="s">
        <v>486</v>
      </c>
      <c r="H270" s="122">
        <v>41618</v>
      </c>
      <c r="I270" s="127">
        <v>1</v>
      </c>
      <c r="J270" s="271">
        <v>44597</v>
      </c>
      <c r="K270" s="272">
        <v>44597</v>
      </c>
      <c r="L270" s="269" t="s">
        <v>620</v>
      </c>
      <c r="M270" s="129" t="s">
        <v>21</v>
      </c>
    </row>
    <row r="271" spans="1:13" s="133" customFormat="1" ht="15" customHeight="1" x14ac:dyDescent="0.25">
      <c r="A271" s="121">
        <v>272</v>
      </c>
      <c r="B271" s="121">
        <v>78877</v>
      </c>
      <c r="C271" s="123" t="s">
        <v>2290</v>
      </c>
      <c r="D271" s="121" t="s">
        <v>662</v>
      </c>
      <c r="E271" s="149" t="s">
        <v>215</v>
      </c>
      <c r="F271" s="125" t="s">
        <v>368</v>
      </c>
      <c r="G271" s="270" t="s">
        <v>486</v>
      </c>
      <c r="H271" s="122">
        <v>41617</v>
      </c>
      <c r="I271" s="127">
        <v>1</v>
      </c>
      <c r="J271" s="271">
        <v>44597</v>
      </c>
      <c r="K271" s="272">
        <v>44597</v>
      </c>
      <c r="L271" s="269" t="s">
        <v>620</v>
      </c>
      <c r="M271" s="129" t="s">
        <v>21</v>
      </c>
    </row>
    <row r="272" spans="1:13" s="133" customFormat="1" ht="15" customHeight="1" x14ac:dyDescent="0.25">
      <c r="A272" s="121">
        <v>273</v>
      </c>
      <c r="B272" s="121">
        <v>78771</v>
      </c>
      <c r="C272" s="123" t="s">
        <v>2291</v>
      </c>
      <c r="D272" s="121" t="s">
        <v>662</v>
      </c>
      <c r="E272" s="149" t="s">
        <v>215</v>
      </c>
      <c r="F272" s="125" t="s">
        <v>368</v>
      </c>
      <c r="G272" s="270" t="s">
        <v>486</v>
      </c>
      <c r="H272" s="122">
        <v>41618</v>
      </c>
      <c r="I272" s="127">
        <v>1</v>
      </c>
      <c r="J272" s="271">
        <v>44597</v>
      </c>
      <c r="K272" s="272">
        <v>44597</v>
      </c>
      <c r="L272" s="269" t="s">
        <v>620</v>
      </c>
      <c r="M272" s="129" t="s">
        <v>21</v>
      </c>
    </row>
    <row r="273" spans="1:13" s="133" customFormat="1" ht="15" customHeight="1" x14ac:dyDescent="0.25">
      <c r="A273" s="121">
        <v>274</v>
      </c>
      <c r="B273" s="121">
        <v>82403</v>
      </c>
      <c r="C273" s="123" t="s">
        <v>2292</v>
      </c>
      <c r="D273" s="121" t="s">
        <v>475</v>
      </c>
      <c r="E273" s="149" t="s">
        <v>215</v>
      </c>
      <c r="F273" s="125" t="s">
        <v>368</v>
      </c>
      <c r="G273" s="270" t="s">
        <v>486</v>
      </c>
      <c r="H273" s="122">
        <v>41627</v>
      </c>
      <c r="I273" s="127">
        <v>1</v>
      </c>
      <c r="J273" s="271">
        <v>44597</v>
      </c>
      <c r="K273" s="272">
        <v>44597</v>
      </c>
      <c r="L273" s="269" t="s">
        <v>620</v>
      </c>
      <c r="M273" s="129" t="s">
        <v>21</v>
      </c>
    </row>
    <row r="274" spans="1:13" s="133" customFormat="1" ht="15" customHeight="1" x14ac:dyDescent="0.25">
      <c r="A274" s="121">
        <v>275</v>
      </c>
      <c r="B274" s="121">
        <v>82056</v>
      </c>
      <c r="C274" s="123" t="s">
        <v>750</v>
      </c>
      <c r="D274" s="121" t="s">
        <v>475</v>
      </c>
      <c r="E274" s="149" t="s">
        <v>215</v>
      </c>
      <c r="F274" s="125" t="s">
        <v>366</v>
      </c>
      <c r="G274" s="270" t="s">
        <v>486</v>
      </c>
      <c r="H274" s="122">
        <v>41625</v>
      </c>
      <c r="I274" s="127">
        <v>1</v>
      </c>
      <c r="J274" s="271">
        <v>44597</v>
      </c>
      <c r="K274" s="272">
        <v>44597</v>
      </c>
      <c r="L274" s="269" t="s">
        <v>620</v>
      </c>
      <c r="M274" s="129" t="s">
        <v>21</v>
      </c>
    </row>
    <row r="275" spans="1:13" s="133" customFormat="1" ht="15" customHeight="1" x14ac:dyDescent="0.25">
      <c r="A275" s="121">
        <v>276</v>
      </c>
      <c r="B275" s="121">
        <v>84038</v>
      </c>
      <c r="C275" s="123" t="s">
        <v>2224</v>
      </c>
      <c r="D275" s="121" t="s">
        <v>542</v>
      </c>
      <c r="E275" s="149" t="s">
        <v>215</v>
      </c>
      <c r="F275" s="125" t="s">
        <v>366</v>
      </c>
      <c r="G275" s="270" t="s">
        <v>700</v>
      </c>
      <c r="H275" s="122">
        <v>41634</v>
      </c>
      <c r="I275" s="127">
        <v>1</v>
      </c>
      <c r="J275" s="271">
        <v>44597</v>
      </c>
      <c r="K275" s="272">
        <v>44597</v>
      </c>
      <c r="L275" s="269" t="s">
        <v>620</v>
      </c>
      <c r="M275" s="129" t="s">
        <v>21</v>
      </c>
    </row>
    <row r="276" spans="1:13" s="133" customFormat="1" ht="15" customHeight="1" x14ac:dyDescent="0.25">
      <c r="A276" s="121">
        <v>277</v>
      </c>
      <c r="B276" s="121">
        <v>77433</v>
      </c>
      <c r="C276" s="123" t="s">
        <v>2257</v>
      </c>
      <c r="D276" s="121" t="s">
        <v>542</v>
      </c>
      <c r="E276" s="149" t="s">
        <v>574</v>
      </c>
      <c r="F276" s="125" t="s">
        <v>412</v>
      </c>
      <c r="G276" s="270" t="s">
        <v>551</v>
      </c>
      <c r="H276" s="122">
        <v>41611</v>
      </c>
      <c r="I276" s="127">
        <v>1</v>
      </c>
      <c r="J276" s="271">
        <v>49701</v>
      </c>
      <c r="K276" s="272">
        <v>49701</v>
      </c>
      <c r="L276" s="269" t="s">
        <v>620</v>
      </c>
      <c r="M276" s="129" t="s">
        <v>21</v>
      </c>
    </row>
    <row r="277" spans="1:13" s="133" customFormat="1" ht="15" customHeight="1" x14ac:dyDescent="0.25">
      <c r="A277" s="121">
        <v>278</v>
      </c>
      <c r="B277" s="121">
        <v>81556</v>
      </c>
      <c r="C277" s="123" t="s">
        <v>2257</v>
      </c>
      <c r="D277" s="121" t="s">
        <v>542</v>
      </c>
      <c r="E277" s="149" t="s">
        <v>190</v>
      </c>
      <c r="F277" s="125" t="s">
        <v>439</v>
      </c>
      <c r="G277" s="270" t="s">
        <v>626</v>
      </c>
      <c r="H277" s="122">
        <v>41625</v>
      </c>
      <c r="I277" s="127">
        <v>1</v>
      </c>
      <c r="J277" s="271">
        <v>57960</v>
      </c>
      <c r="K277" s="272">
        <v>57960</v>
      </c>
      <c r="L277" s="269" t="s">
        <v>620</v>
      </c>
      <c r="M277" s="129" t="s">
        <v>21</v>
      </c>
    </row>
    <row r="278" spans="1:13" s="133" customFormat="1" ht="15" customHeight="1" x14ac:dyDescent="0.25">
      <c r="A278" s="121">
        <v>279</v>
      </c>
      <c r="B278" s="121">
        <v>84385</v>
      </c>
      <c r="C278" s="123" t="s">
        <v>704</v>
      </c>
      <c r="D278" s="121" t="s">
        <v>542</v>
      </c>
      <c r="E278" s="149" t="s">
        <v>190</v>
      </c>
      <c r="F278" s="125" t="s">
        <v>531</v>
      </c>
      <c r="G278" s="270" t="s">
        <v>734</v>
      </c>
      <c r="H278" s="122">
        <v>41634</v>
      </c>
      <c r="I278" s="127">
        <v>1</v>
      </c>
      <c r="J278" s="271">
        <v>57960</v>
      </c>
      <c r="K278" s="272">
        <v>57960</v>
      </c>
      <c r="L278" s="269" t="s">
        <v>620</v>
      </c>
      <c r="M278" s="129" t="s">
        <v>21</v>
      </c>
    </row>
    <row r="279" spans="1:13" s="133" customFormat="1" ht="15" customHeight="1" x14ac:dyDescent="0.25">
      <c r="A279" s="121">
        <v>280</v>
      </c>
      <c r="B279" s="121">
        <v>84057</v>
      </c>
      <c r="C279" s="123" t="s">
        <v>2258</v>
      </c>
      <c r="D279" s="121" t="s">
        <v>542</v>
      </c>
      <c r="E279" s="149" t="s">
        <v>190</v>
      </c>
      <c r="F279" s="125" t="s">
        <v>401</v>
      </c>
      <c r="G279" s="270" t="s">
        <v>560</v>
      </c>
      <c r="H279" s="122">
        <v>41634</v>
      </c>
      <c r="I279" s="127">
        <v>1</v>
      </c>
      <c r="J279" s="271">
        <v>57960</v>
      </c>
      <c r="K279" s="272">
        <v>57960</v>
      </c>
      <c r="L279" s="269" t="s">
        <v>620</v>
      </c>
      <c r="M279" s="129" t="s">
        <v>21</v>
      </c>
    </row>
    <row r="280" spans="1:13" s="133" customFormat="1" ht="15" customHeight="1" x14ac:dyDescent="0.25">
      <c r="A280" s="121">
        <v>281</v>
      </c>
      <c r="B280" s="121">
        <v>72932</v>
      </c>
      <c r="C280" s="123" t="s">
        <v>2293</v>
      </c>
      <c r="D280" s="121" t="s">
        <v>542</v>
      </c>
      <c r="E280" s="149" t="s">
        <v>534</v>
      </c>
      <c r="F280" s="125" t="s">
        <v>2294</v>
      </c>
      <c r="G280" s="270" t="s">
        <v>626</v>
      </c>
      <c r="H280" s="122">
        <v>41598</v>
      </c>
      <c r="I280" s="127">
        <v>2</v>
      </c>
      <c r="J280" s="271">
        <v>30429</v>
      </c>
      <c r="K280" s="272">
        <v>60858</v>
      </c>
      <c r="L280" s="269" t="s">
        <v>620</v>
      </c>
      <c r="M280" s="129" t="s">
        <v>21</v>
      </c>
    </row>
    <row r="281" spans="1:13" s="133" customFormat="1" ht="15" customHeight="1" x14ac:dyDescent="0.25">
      <c r="A281" s="121">
        <v>282</v>
      </c>
      <c r="B281" s="121">
        <v>77771</v>
      </c>
      <c r="C281" s="123" t="s">
        <v>2183</v>
      </c>
      <c r="D281" s="121" t="s">
        <v>542</v>
      </c>
      <c r="E281" s="149" t="s">
        <v>534</v>
      </c>
      <c r="F281" s="125" t="s">
        <v>2295</v>
      </c>
      <c r="G281" s="270" t="s">
        <v>560</v>
      </c>
      <c r="H281" s="122">
        <v>41612</v>
      </c>
      <c r="I281" s="127">
        <v>2</v>
      </c>
      <c r="J281" s="271">
        <v>30429</v>
      </c>
      <c r="K281" s="272">
        <v>60858</v>
      </c>
      <c r="L281" s="269" t="s">
        <v>620</v>
      </c>
      <c r="M281" s="129" t="s">
        <v>21</v>
      </c>
    </row>
    <row r="282" spans="1:13" s="133" customFormat="1" ht="15" customHeight="1" x14ac:dyDescent="0.25">
      <c r="A282" s="121">
        <v>284</v>
      </c>
      <c r="B282" s="121">
        <v>81813</v>
      </c>
      <c r="C282" s="123" t="s">
        <v>2296</v>
      </c>
      <c r="D282" s="121" t="s">
        <v>542</v>
      </c>
      <c r="E282" s="149" t="s">
        <v>215</v>
      </c>
      <c r="F282" s="125" t="s">
        <v>482</v>
      </c>
      <c r="G282" s="270" t="s">
        <v>740</v>
      </c>
      <c r="H282" s="122">
        <v>41625</v>
      </c>
      <c r="I282" s="127">
        <v>2</v>
      </c>
      <c r="J282" s="271">
        <v>44597</v>
      </c>
      <c r="K282" s="272">
        <v>89194</v>
      </c>
      <c r="L282" s="269" t="s">
        <v>620</v>
      </c>
      <c r="M282" s="129" t="s">
        <v>21</v>
      </c>
    </row>
    <row r="283" spans="1:13" s="133" customFormat="1" ht="15" customHeight="1" x14ac:dyDescent="0.25">
      <c r="A283" s="121">
        <v>285</v>
      </c>
      <c r="B283" s="121">
        <v>64980</v>
      </c>
      <c r="C283" s="123" t="s">
        <v>2110</v>
      </c>
      <c r="D283" s="121" t="s">
        <v>721</v>
      </c>
      <c r="E283" s="149" t="s">
        <v>114</v>
      </c>
      <c r="F283" s="125" t="s">
        <v>2111</v>
      </c>
      <c r="G283" s="270" t="s">
        <v>639</v>
      </c>
      <c r="H283" s="122">
        <v>41568</v>
      </c>
      <c r="I283" s="127">
        <v>5</v>
      </c>
      <c r="J283" s="271">
        <v>33370</v>
      </c>
      <c r="K283" s="272">
        <v>166850</v>
      </c>
      <c r="L283" s="269" t="s">
        <v>620</v>
      </c>
      <c r="M283" s="129" t="s">
        <v>21</v>
      </c>
    </row>
    <row r="284" spans="1:13" s="220" customFormat="1" x14ac:dyDescent="0.2">
      <c r="M284" s="301"/>
    </row>
    <row r="285" spans="1:13" x14ac:dyDescent="0.25">
      <c r="A285" s="302"/>
      <c r="B285" s="303"/>
      <c r="C285" s="304"/>
      <c r="D285" s="303"/>
      <c r="E285" s="305" t="s">
        <v>2297</v>
      </c>
      <c r="F285" s="306">
        <v>3624379</v>
      </c>
      <c r="G285" s="307"/>
      <c r="I285" s="687" t="s">
        <v>2057</v>
      </c>
      <c r="J285" s="687"/>
      <c r="K285" s="308">
        <v>9538010</v>
      </c>
      <c r="L285" s="309"/>
      <c r="M285" s="310" t="s">
        <v>2298</v>
      </c>
    </row>
    <row r="286" spans="1:13" x14ac:dyDescent="0.25">
      <c r="A286" s="302"/>
      <c r="B286" s="303"/>
      <c r="C286" s="304"/>
      <c r="D286" s="303"/>
      <c r="E286" s="305" t="s">
        <v>2299</v>
      </c>
      <c r="F286" s="311">
        <v>472981.4595</v>
      </c>
      <c r="G286" s="307"/>
      <c r="I286" s="688" t="s">
        <v>2300</v>
      </c>
      <c r="J286" s="688"/>
      <c r="K286" s="312">
        <v>2126155</v>
      </c>
      <c r="L286" s="313"/>
      <c r="M286" s="314"/>
    </row>
    <row r="287" spans="1:13" x14ac:dyDescent="0.25">
      <c r="L287" s="216"/>
    </row>
    <row r="288" spans="1:13" x14ac:dyDescent="0.25">
      <c r="L288" s="216"/>
    </row>
    <row r="289" spans="1:13" ht="39" customHeight="1" x14ac:dyDescent="0.25">
      <c r="A289" s="685" t="s">
        <v>2301</v>
      </c>
      <c r="B289" s="685"/>
      <c r="C289" s="685"/>
      <c r="D289" s="685"/>
      <c r="E289" s="685"/>
      <c r="F289" s="685"/>
      <c r="G289" s="685"/>
      <c r="H289" s="685"/>
      <c r="I289" s="685"/>
      <c r="J289" s="685"/>
      <c r="K289" s="685"/>
      <c r="L289" s="685"/>
      <c r="M289" s="685"/>
    </row>
    <row r="290" spans="1:13" ht="28.5" customHeight="1" x14ac:dyDescent="0.25">
      <c r="A290" s="316" t="s">
        <v>2048</v>
      </c>
      <c r="B290" s="316" t="s">
        <v>97</v>
      </c>
      <c r="C290" s="316" t="s">
        <v>2049</v>
      </c>
      <c r="D290" s="316" t="s">
        <v>2050</v>
      </c>
      <c r="E290" s="316" t="s">
        <v>2051</v>
      </c>
      <c r="F290" s="316" t="s">
        <v>2052</v>
      </c>
      <c r="G290" s="316" t="s">
        <v>2053</v>
      </c>
      <c r="H290" s="317" t="s">
        <v>2054</v>
      </c>
      <c r="I290" s="316" t="s">
        <v>2055</v>
      </c>
      <c r="J290" s="316" t="s">
        <v>2056</v>
      </c>
      <c r="K290" s="316" t="s">
        <v>2057</v>
      </c>
      <c r="L290" s="316" t="s">
        <v>2058</v>
      </c>
      <c r="M290" s="316" t="s">
        <v>2302</v>
      </c>
    </row>
    <row r="291" spans="1:13" ht="18.75" customHeight="1" x14ac:dyDescent="0.25">
      <c r="A291" s="318">
        <v>1</v>
      </c>
      <c r="B291" s="318">
        <v>55041</v>
      </c>
      <c r="C291" s="319" t="s">
        <v>2303</v>
      </c>
      <c r="D291" s="318" t="s">
        <v>2304</v>
      </c>
      <c r="E291" s="319" t="s">
        <v>577</v>
      </c>
      <c r="F291" s="320" t="s">
        <v>368</v>
      </c>
      <c r="G291" s="320"/>
      <c r="H291" s="321">
        <v>41526</v>
      </c>
      <c r="I291" s="318">
        <v>1</v>
      </c>
      <c r="J291" s="322">
        <v>25800</v>
      </c>
      <c r="K291" s="322" t="s">
        <v>2305</v>
      </c>
      <c r="L291" s="323"/>
      <c r="M291" s="324" t="s">
        <v>34</v>
      </c>
    </row>
    <row r="292" spans="1:13" s="226" customFormat="1" ht="20.100000000000001" customHeight="1" x14ac:dyDescent="0.25">
      <c r="A292" s="134">
        <v>2</v>
      </c>
      <c r="B292" s="134">
        <v>44355</v>
      </c>
      <c r="C292" s="136" t="s">
        <v>2306</v>
      </c>
      <c r="D292" s="134" t="s">
        <v>1053</v>
      </c>
      <c r="E292" s="171" t="s">
        <v>115</v>
      </c>
      <c r="F292" s="138" t="s">
        <v>524</v>
      </c>
      <c r="G292" s="325" t="s">
        <v>2064</v>
      </c>
      <c r="H292" s="135">
        <v>41486</v>
      </c>
      <c r="I292" s="134">
        <v>1</v>
      </c>
      <c r="J292" s="326">
        <v>5274</v>
      </c>
      <c r="K292" s="326">
        <v>5274</v>
      </c>
      <c r="L292" s="225" t="s">
        <v>785</v>
      </c>
      <c r="M292" s="324" t="s">
        <v>34</v>
      </c>
    </row>
    <row r="293" spans="1:13" s="226" customFormat="1" ht="20.100000000000001" customHeight="1" x14ac:dyDescent="0.25">
      <c r="A293" s="134">
        <v>3</v>
      </c>
      <c r="B293" s="134">
        <v>44988</v>
      </c>
      <c r="C293" s="136" t="s">
        <v>2307</v>
      </c>
      <c r="D293" s="134" t="s">
        <v>1011</v>
      </c>
      <c r="E293" s="171" t="s">
        <v>534</v>
      </c>
      <c r="F293" s="138" t="s">
        <v>428</v>
      </c>
      <c r="G293" s="325" t="s">
        <v>639</v>
      </c>
      <c r="H293" s="135">
        <v>41486</v>
      </c>
      <c r="I293" s="134">
        <v>1</v>
      </c>
      <c r="J293" s="326">
        <v>30429</v>
      </c>
      <c r="K293" s="326">
        <v>30429</v>
      </c>
      <c r="L293" s="225" t="s">
        <v>785</v>
      </c>
      <c r="M293" s="324" t="s">
        <v>34</v>
      </c>
    </row>
    <row r="294" spans="1:13" s="144" customFormat="1" ht="15" customHeight="1" x14ac:dyDescent="0.25">
      <c r="A294" s="134">
        <v>4</v>
      </c>
      <c r="B294" s="134">
        <v>44780</v>
      </c>
      <c r="C294" s="136" t="s">
        <v>2308</v>
      </c>
      <c r="D294" s="134" t="s">
        <v>411</v>
      </c>
      <c r="E294" s="171" t="s">
        <v>115</v>
      </c>
      <c r="F294" s="138" t="s">
        <v>524</v>
      </c>
      <c r="G294" s="325" t="s">
        <v>2094</v>
      </c>
      <c r="H294" s="135">
        <v>41399</v>
      </c>
      <c r="I294" s="134">
        <v>1</v>
      </c>
      <c r="J294" s="326">
        <v>5274</v>
      </c>
      <c r="K294" s="326">
        <v>5274</v>
      </c>
      <c r="L294" s="225" t="s">
        <v>785</v>
      </c>
      <c r="M294" s="324" t="s">
        <v>34</v>
      </c>
    </row>
    <row r="295" spans="1:13" s="144" customFormat="1" ht="15" customHeight="1" x14ac:dyDescent="0.25">
      <c r="A295" s="134">
        <v>5</v>
      </c>
      <c r="B295" s="134">
        <v>44690</v>
      </c>
      <c r="C295" s="136" t="s">
        <v>2309</v>
      </c>
      <c r="D295" s="134" t="s">
        <v>611</v>
      </c>
      <c r="E295" s="171" t="s">
        <v>173</v>
      </c>
      <c r="F295" s="138" t="s">
        <v>2310</v>
      </c>
      <c r="G295" s="325" t="s">
        <v>566</v>
      </c>
      <c r="H295" s="135">
        <v>41487</v>
      </c>
      <c r="I295" s="134">
        <v>4</v>
      </c>
      <c r="J295" s="326">
        <v>5274</v>
      </c>
      <c r="K295" s="326">
        <v>21096</v>
      </c>
      <c r="L295" s="225" t="s">
        <v>785</v>
      </c>
      <c r="M295" s="324" t="s">
        <v>34</v>
      </c>
    </row>
    <row r="296" spans="1:13" s="144" customFormat="1" ht="15" customHeight="1" x14ac:dyDescent="0.25">
      <c r="A296" s="134">
        <v>6</v>
      </c>
      <c r="B296" s="134">
        <v>44690</v>
      </c>
      <c r="C296" s="136" t="s">
        <v>2309</v>
      </c>
      <c r="D296" s="134" t="s">
        <v>611</v>
      </c>
      <c r="E296" s="171" t="s">
        <v>115</v>
      </c>
      <c r="F296" s="138" t="s">
        <v>1353</v>
      </c>
      <c r="G296" s="325" t="s">
        <v>2311</v>
      </c>
      <c r="H296" s="135">
        <v>41487</v>
      </c>
      <c r="I296" s="134">
        <v>2</v>
      </c>
      <c r="J296" s="326">
        <v>5274</v>
      </c>
      <c r="K296" s="326">
        <v>10548</v>
      </c>
      <c r="L296" s="225" t="s">
        <v>785</v>
      </c>
      <c r="M296" s="324" t="s">
        <v>34</v>
      </c>
    </row>
    <row r="297" spans="1:13" s="144" customFormat="1" ht="15" customHeight="1" x14ac:dyDescent="0.25">
      <c r="A297" s="134">
        <v>7</v>
      </c>
      <c r="B297" s="134">
        <v>45241</v>
      </c>
      <c r="C297" s="136" t="s">
        <v>2312</v>
      </c>
      <c r="D297" s="134" t="s">
        <v>2304</v>
      </c>
      <c r="E297" s="171" t="s">
        <v>115</v>
      </c>
      <c r="F297" s="138" t="s">
        <v>1001</v>
      </c>
      <c r="G297" s="325" t="s">
        <v>2104</v>
      </c>
      <c r="H297" s="135">
        <v>41488</v>
      </c>
      <c r="I297" s="134">
        <v>4</v>
      </c>
      <c r="J297" s="326">
        <v>5274</v>
      </c>
      <c r="K297" s="326">
        <v>21096</v>
      </c>
      <c r="L297" s="225" t="s">
        <v>785</v>
      </c>
      <c r="M297" s="324" t="s">
        <v>34</v>
      </c>
    </row>
    <row r="298" spans="1:13" s="144" customFormat="1" ht="15" customHeight="1" x14ac:dyDescent="0.25">
      <c r="A298" s="134">
        <v>8</v>
      </c>
      <c r="B298" s="134">
        <v>45378</v>
      </c>
      <c r="C298" s="136" t="s">
        <v>2313</v>
      </c>
      <c r="D298" s="134" t="s">
        <v>1053</v>
      </c>
      <c r="E298" s="171" t="s">
        <v>115</v>
      </c>
      <c r="F298" s="138" t="s">
        <v>1358</v>
      </c>
      <c r="G298" s="325" t="s">
        <v>2064</v>
      </c>
      <c r="H298" s="135">
        <v>41492</v>
      </c>
      <c r="I298" s="134">
        <v>1</v>
      </c>
      <c r="J298" s="326">
        <v>5274</v>
      </c>
      <c r="K298" s="326">
        <v>5274</v>
      </c>
      <c r="L298" s="225" t="s">
        <v>785</v>
      </c>
      <c r="M298" s="324" t="s">
        <v>34</v>
      </c>
    </row>
    <row r="299" spans="1:13" s="144" customFormat="1" ht="15" customHeight="1" x14ac:dyDescent="0.25">
      <c r="A299" s="134">
        <v>9</v>
      </c>
      <c r="B299" s="134">
        <v>45379</v>
      </c>
      <c r="C299" s="136" t="s">
        <v>2314</v>
      </c>
      <c r="D299" s="134" t="s">
        <v>1053</v>
      </c>
      <c r="E299" s="171" t="s">
        <v>115</v>
      </c>
      <c r="F299" s="138" t="s">
        <v>559</v>
      </c>
      <c r="G299" s="325" t="s">
        <v>1061</v>
      </c>
      <c r="H299" s="135">
        <v>41492</v>
      </c>
      <c r="I299" s="134">
        <v>1</v>
      </c>
      <c r="J299" s="326">
        <v>5274</v>
      </c>
      <c r="K299" s="326">
        <v>5274</v>
      </c>
      <c r="L299" s="225" t="s">
        <v>785</v>
      </c>
      <c r="M299" s="324" t="s">
        <v>34</v>
      </c>
    </row>
    <row r="300" spans="1:13" s="144" customFormat="1" ht="15" customHeight="1" x14ac:dyDescent="0.25">
      <c r="A300" s="134">
        <v>10</v>
      </c>
      <c r="B300" s="134">
        <v>46009</v>
      </c>
      <c r="C300" s="136" t="s">
        <v>2315</v>
      </c>
      <c r="D300" s="134" t="s">
        <v>611</v>
      </c>
      <c r="E300" s="171" t="s">
        <v>115</v>
      </c>
      <c r="F300" s="138" t="s">
        <v>2316</v>
      </c>
      <c r="G300" s="325" t="s">
        <v>551</v>
      </c>
      <c r="H300" s="135">
        <v>41492</v>
      </c>
      <c r="I300" s="134">
        <v>1</v>
      </c>
      <c r="J300" s="326">
        <v>5274</v>
      </c>
      <c r="K300" s="326">
        <v>5274</v>
      </c>
      <c r="L300" s="225" t="s">
        <v>785</v>
      </c>
      <c r="M300" s="324" t="s">
        <v>34</v>
      </c>
    </row>
    <row r="301" spans="1:13" s="144" customFormat="1" ht="15" customHeight="1" x14ac:dyDescent="0.25">
      <c r="A301" s="134">
        <v>11</v>
      </c>
      <c r="B301" s="134">
        <v>46775</v>
      </c>
      <c r="C301" s="136" t="s">
        <v>2317</v>
      </c>
      <c r="D301" s="134" t="s">
        <v>2318</v>
      </c>
      <c r="E301" s="171" t="s">
        <v>577</v>
      </c>
      <c r="F301" s="138" t="s">
        <v>368</v>
      </c>
      <c r="G301" s="325"/>
      <c r="H301" s="135">
        <v>41494</v>
      </c>
      <c r="I301" s="134">
        <v>1</v>
      </c>
      <c r="J301" s="326">
        <v>25800</v>
      </c>
      <c r="K301" s="326">
        <v>25800</v>
      </c>
      <c r="L301" s="225" t="s">
        <v>785</v>
      </c>
      <c r="M301" s="324" t="s">
        <v>34</v>
      </c>
    </row>
    <row r="302" spans="1:13" s="144" customFormat="1" ht="15" customHeight="1" x14ac:dyDescent="0.25">
      <c r="A302" s="134">
        <v>12</v>
      </c>
      <c r="B302" s="134">
        <v>46677</v>
      </c>
      <c r="C302" s="136" t="s">
        <v>2319</v>
      </c>
      <c r="D302" s="134" t="s">
        <v>2318</v>
      </c>
      <c r="E302" s="171" t="s">
        <v>577</v>
      </c>
      <c r="F302" s="138" t="s">
        <v>368</v>
      </c>
      <c r="G302" s="325"/>
      <c r="H302" s="135">
        <v>41495</v>
      </c>
      <c r="I302" s="134">
        <v>1</v>
      </c>
      <c r="J302" s="326">
        <v>25800</v>
      </c>
      <c r="K302" s="326">
        <v>25800</v>
      </c>
      <c r="L302" s="225" t="s">
        <v>785</v>
      </c>
      <c r="M302" s="324" t="s">
        <v>34</v>
      </c>
    </row>
    <row r="303" spans="1:13" s="144" customFormat="1" ht="15" customHeight="1" x14ac:dyDescent="0.25">
      <c r="A303" s="134">
        <v>13</v>
      </c>
      <c r="B303" s="134">
        <v>46558</v>
      </c>
      <c r="C303" s="136" t="s">
        <v>2320</v>
      </c>
      <c r="D303" s="134" t="s">
        <v>1053</v>
      </c>
      <c r="E303" s="171" t="s">
        <v>115</v>
      </c>
      <c r="F303" s="138" t="s">
        <v>442</v>
      </c>
      <c r="G303" s="325" t="s">
        <v>2104</v>
      </c>
      <c r="H303" s="135">
        <v>41495</v>
      </c>
      <c r="I303" s="134">
        <v>1</v>
      </c>
      <c r="J303" s="326">
        <v>5274</v>
      </c>
      <c r="K303" s="326">
        <v>5274</v>
      </c>
      <c r="L303" s="225" t="s">
        <v>785</v>
      </c>
      <c r="M303" s="324" t="s">
        <v>34</v>
      </c>
    </row>
    <row r="304" spans="1:13" s="144" customFormat="1" ht="15" customHeight="1" x14ac:dyDescent="0.25">
      <c r="A304" s="134">
        <v>14</v>
      </c>
      <c r="B304" s="134">
        <v>46344</v>
      </c>
      <c r="C304" s="136" t="s">
        <v>2309</v>
      </c>
      <c r="D304" s="134" t="s">
        <v>1053</v>
      </c>
      <c r="E304" s="171" t="s">
        <v>534</v>
      </c>
      <c r="F304" s="138" t="s">
        <v>428</v>
      </c>
      <c r="G304" s="325" t="s">
        <v>580</v>
      </c>
      <c r="H304" s="135">
        <v>41492</v>
      </c>
      <c r="I304" s="134">
        <v>1</v>
      </c>
      <c r="J304" s="326">
        <v>30429</v>
      </c>
      <c r="K304" s="326">
        <v>30429</v>
      </c>
      <c r="L304" s="225" t="s">
        <v>785</v>
      </c>
      <c r="M304" s="324" t="s">
        <v>34</v>
      </c>
    </row>
    <row r="305" spans="1:13" s="144" customFormat="1" ht="15" customHeight="1" x14ac:dyDescent="0.25">
      <c r="A305" s="134">
        <v>15</v>
      </c>
      <c r="B305" s="134">
        <v>46329</v>
      </c>
      <c r="C305" s="136" t="s">
        <v>2321</v>
      </c>
      <c r="D305" s="134" t="s">
        <v>1011</v>
      </c>
      <c r="E305" s="171" t="s">
        <v>115</v>
      </c>
      <c r="F305" s="138" t="s">
        <v>722</v>
      </c>
      <c r="G305" s="325" t="s">
        <v>2064</v>
      </c>
      <c r="H305" s="135">
        <v>41493</v>
      </c>
      <c r="I305" s="134">
        <v>3</v>
      </c>
      <c r="J305" s="326">
        <v>5274</v>
      </c>
      <c r="K305" s="326">
        <v>15822</v>
      </c>
      <c r="L305" s="225" t="s">
        <v>785</v>
      </c>
      <c r="M305" s="324" t="s">
        <v>34</v>
      </c>
    </row>
    <row r="306" spans="1:13" s="144" customFormat="1" ht="15" customHeight="1" x14ac:dyDescent="0.25">
      <c r="A306" s="134">
        <v>16</v>
      </c>
      <c r="B306" s="134">
        <v>46842</v>
      </c>
      <c r="C306" s="136" t="s">
        <v>1587</v>
      </c>
      <c r="D306" s="134" t="s">
        <v>1053</v>
      </c>
      <c r="E306" s="171" t="s">
        <v>226</v>
      </c>
      <c r="F306" s="138" t="s">
        <v>508</v>
      </c>
      <c r="G306" s="325"/>
      <c r="H306" s="135">
        <v>41494</v>
      </c>
      <c r="I306" s="134">
        <v>1</v>
      </c>
      <c r="J306" s="326">
        <v>5274</v>
      </c>
      <c r="K306" s="326">
        <v>5274</v>
      </c>
      <c r="L306" s="225" t="s">
        <v>785</v>
      </c>
      <c r="M306" s="324" t="s">
        <v>34</v>
      </c>
    </row>
    <row r="307" spans="1:13" s="144" customFormat="1" ht="15" customHeight="1" x14ac:dyDescent="0.25">
      <c r="A307" s="134">
        <v>17</v>
      </c>
      <c r="B307" s="134">
        <v>46852</v>
      </c>
      <c r="C307" s="136" t="s">
        <v>2322</v>
      </c>
      <c r="D307" s="134" t="s">
        <v>1053</v>
      </c>
      <c r="E307" s="171" t="s">
        <v>534</v>
      </c>
      <c r="F307" s="138" t="s">
        <v>428</v>
      </c>
      <c r="G307" s="325" t="s">
        <v>560</v>
      </c>
      <c r="H307" s="135">
        <v>41494</v>
      </c>
      <c r="I307" s="134">
        <v>1</v>
      </c>
      <c r="J307" s="326">
        <v>30429</v>
      </c>
      <c r="K307" s="326">
        <v>30429</v>
      </c>
      <c r="L307" s="225" t="s">
        <v>785</v>
      </c>
      <c r="M307" s="324" t="s">
        <v>34</v>
      </c>
    </row>
    <row r="308" spans="1:13" s="144" customFormat="1" ht="15" customHeight="1" x14ac:dyDescent="0.25">
      <c r="A308" s="134">
        <v>18</v>
      </c>
      <c r="B308" s="134">
        <v>47214</v>
      </c>
      <c r="C308" s="136" t="s">
        <v>2323</v>
      </c>
      <c r="D308" s="134" t="s">
        <v>2318</v>
      </c>
      <c r="E308" s="171" t="s">
        <v>577</v>
      </c>
      <c r="F308" s="138" t="s">
        <v>368</v>
      </c>
      <c r="G308" s="325"/>
      <c r="H308" s="135">
        <v>41495</v>
      </c>
      <c r="I308" s="134">
        <v>1</v>
      </c>
      <c r="J308" s="326">
        <v>25800</v>
      </c>
      <c r="K308" s="326">
        <v>25800</v>
      </c>
      <c r="L308" s="225" t="s">
        <v>785</v>
      </c>
      <c r="M308" s="324" t="s">
        <v>34</v>
      </c>
    </row>
    <row r="309" spans="1:13" s="144" customFormat="1" ht="15" customHeight="1" x14ac:dyDescent="0.25">
      <c r="A309" s="134">
        <v>19</v>
      </c>
      <c r="B309" s="134">
        <v>47274</v>
      </c>
      <c r="C309" s="136" t="s">
        <v>2324</v>
      </c>
      <c r="D309" s="134" t="s">
        <v>411</v>
      </c>
      <c r="E309" s="171" t="s">
        <v>114</v>
      </c>
      <c r="F309" s="138" t="s">
        <v>524</v>
      </c>
      <c r="G309" s="325" t="s">
        <v>2325</v>
      </c>
      <c r="H309" s="135">
        <v>41495</v>
      </c>
      <c r="I309" s="134">
        <v>1</v>
      </c>
      <c r="J309" s="326">
        <v>33370</v>
      </c>
      <c r="K309" s="326">
        <v>33370</v>
      </c>
      <c r="L309" s="225" t="s">
        <v>785</v>
      </c>
      <c r="M309" s="324" t="s">
        <v>34</v>
      </c>
    </row>
    <row r="310" spans="1:13" s="144" customFormat="1" ht="15" customHeight="1" x14ac:dyDescent="0.25">
      <c r="A310" s="134">
        <v>20</v>
      </c>
      <c r="B310" s="134">
        <v>47336</v>
      </c>
      <c r="C310" s="136" t="s">
        <v>2326</v>
      </c>
      <c r="D310" s="134" t="s">
        <v>1011</v>
      </c>
      <c r="E310" s="171" t="s">
        <v>115</v>
      </c>
      <c r="F310" s="138" t="s">
        <v>2327</v>
      </c>
      <c r="G310" s="325" t="s">
        <v>2104</v>
      </c>
      <c r="H310" s="135">
        <v>41495</v>
      </c>
      <c r="I310" s="134">
        <v>12</v>
      </c>
      <c r="J310" s="326">
        <v>5274</v>
      </c>
      <c r="K310" s="326">
        <v>63288</v>
      </c>
      <c r="L310" s="225" t="s">
        <v>785</v>
      </c>
      <c r="M310" s="324" t="s">
        <v>34</v>
      </c>
    </row>
    <row r="311" spans="1:13" s="144" customFormat="1" ht="15" customHeight="1" x14ac:dyDescent="0.25">
      <c r="A311" s="134">
        <v>21</v>
      </c>
      <c r="B311" s="134">
        <v>47590</v>
      </c>
      <c r="C311" s="136" t="s">
        <v>2328</v>
      </c>
      <c r="D311" s="134" t="s">
        <v>1011</v>
      </c>
      <c r="E311" s="171" t="s">
        <v>114</v>
      </c>
      <c r="F311" s="138" t="s">
        <v>439</v>
      </c>
      <c r="G311" s="325" t="s">
        <v>639</v>
      </c>
      <c r="H311" s="135">
        <v>41498</v>
      </c>
      <c r="I311" s="134">
        <v>1</v>
      </c>
      <c r="J311" s="326">
        <v>33370</v>
      </c>
      <c r="K311" s="326">
        <v>33370</v>
      </c>
      <c r="L311" s="225" t="s">
        <v>785</v>
      </c>
      <c r="M311" s="324" t="s">
        <v>34</v>
      </c>
    </row>
    <row r="312" spans="1:13" s="144" customFormat="1" ht="15" customHeight="1" x14ac:dyDescent="0.25">
      <c r="A312" s="134">
        <v>22</v>
      </c>
      <c r="B312" s="134">
        <v>47683</v>
      </c>
      <c r="C312" s="136" t="s">
        <v>2329</v>
      </c>
      <c r="D312" s="134" t="s">
        <v>1011</v>
      </c>
      <c r="E312" s="171" t="s">
        <v>534</v>
      </c>
      <c r="F312" s="138" t="s">
        <v>559</v>
      </c>
      <c r="G312" s="325" t="s">
        <v>2330</v>
      </c>
      <c r="H312" s="135">
        <v>41498</v>
      </c>
      <c r="I312" s="134">
        <v>1</v>
      </c>
      <c r="J312" s="326">
        <v>30429</v>
      </c>
      <c r="K312" s="326">
        <v>30429</v>
      </c>
      <c r="L312" s="225" t="s">
        <v>785</v>
      </c>
      <c r="M312" s="324" t="s">
        <v>34</v>
      </c>
    </row>
    <row r="313" spans="1:13" s="144" customFormat="1" ht="15" customHeight="1" x14ac:dyDescent="0.25">
      <c r="A313" s="134">
        <v>23</v>
      </c>
      <c r="B313" s="134">
        <v>47715</v>
      </c>
      <c r="C313" s="136" t="s">
        <v>2331</v>
      </c>
      <c r="D313" s="134" t="s">
        <v>1011</v>
      </c>
      <c r="E313" s="171" t="s">
        <v>115</v>
      </c>
      <c r="F313" s="138" t="s">
        <v>412</v>
      </c>
      <c r="G313" s="325" t="s">
        <v>2104</v>
      </c>
      <c r="H313" s="135">
        <v>41498</v>
      </c>
      <c r="I313" s="134">
        <v>1</v>
      </c>
      <c r="J313" s="326">
        <v>5274</v>
      </c>
      <c r="K313" s="326">
        <v>5274</v>
      </c>
      <c r="L313" s="225" t="s">
        <v>785</v>
      </c>
      <c r="M313" s="324" t="s">
        <v>34</v>
      </c>
    </row>
    <row r="314" spans="1:13" s="144" customFormat="1" ht="15" customHeight="1" x14ac:dyDescent="0.25">
      <c r="A314" s="134">
        <v>24</v>
      </c>
      <c r="B314" s="134">
        <v>47895</v>
      </c>
      <c r="C314" s="136" t="s">
        <v>2332</v>
      </c>
      <c r="D314" s="134" t="s">
        <v>1011</v>
      </c>
      <c r="E314" s="171" t="s">
        <v>534</v>
      </c>
      <c r="F314" s="138" t="s">
        <v>524</v>
      </c>
      <c r="G314" s="325" t="s">
        <v>580</v>
      </c>
      <c r="H314" s="135">
        <v>41498</v>
      </c>
      <c r="I314" s="134">
        <v>1</v>
      </c>
      <c r="J314" s="326">
        <v>30429</v>
      </c>
      <c r="K314" s="326">
        <v>30429</v>
      </c>
      <c r="L314" s="225" t="s">
        <v>785</v>
      </c>
      <c r="M314" s="324" t="s">
        <v>34</v>
      </c>
    </row>
    <row r="315" spans="1:13" s="144" customFormat="1" ht="15" customHeight="1" x14ac:dyDescent="0.25">
      <c r="A315" s="134">
        <v>25</v>
      </c>
      <c r="B315" s="134">
        <v>48216</v>
      </c>
      <c r="C315" s="136" t="s">
        <v>2333</v>
      </c>
      <c r="D315" s="134" t="s">
        <v>1053</v>
      </c>
      <c r="E315" s="171" t="s">
        <v>534</v>
      </c>
      <c r="F315" s="138" t="s">
        <v>2334</v>
      </c>
      <c r="G315" s="325" t="s">
        <v>2335</v>
      </c>
      <c r="H315" s="135">
        <v>41500</v>
      </c>
      <c r="I315" s="134">
        <v>2</v>
      </c>
      <c r="J315" s="326">
        <v>30429</v>
      </c>
      <c r="K315" s="326">
        <v>60858</v>
      </c>
      <c r="L315" s="225" t="s">
        <v>785</v>
      </c>
      <c r="M315" s="324" t="s">
        <v>34</v>
      </c>
    </row>
    <row r="316" spans="1:13" s="144" customFormat="1" ht="15" customHeight="1" x14ac:dyDescent="0.25">
      <c r="A316" s="134">
        <v>26</v>
      </c>
      <c r="B316" s="134">
        <v>48401</v>
      </c>
      <c r="C316" s="136" t="s">
        <v>2336</v>
      </c>
      <c r="D316" s="134" t="s">
        <v>1011</v>
      </c>
      <c r="E316" s="171" t="s">
        <v>190</v>
      </c>
      <c r="F316" s="138" t="s">
        <v>531</v>
      </c>
      <c r="G316" s="325" t="s">
        <v>2148</v>
      </c>
      <c r="H316" s="135">
        <v>41500</v>
      </c>
      <c r="I316" s="134">
        <v>1</v>
      </c>
      <c r="J316" s="326">
        <v>57960</v>
      </c>
      <c r="K316" s="326">
        <v>57960</v>
      </c>
      <c r="L316" s="225" t="s">
        <v>785</v>
      </c>
      <c r="M316" s="324" t="s">
        <v>34</v>
      </c>
    </row>
    <row r="317" spans="1:13" s="144" customFormat="1" ht="15" customHeight="1" x14ac:dyDescent="0.25">
      <c r="A317" s="134">
        <v>27</v>
      </c>
      <c r="B317" s="134">
        <v>48584</v>
      </c>
      <c r="C317" s="136" t="s">
        <v>2337</v>
      </c>
      <c r="D317" s="134" t="s">
        <v>411</v>
      </c>
      <c r="E317" s="171" t="s">
        <v>114</v>
      </c>
      <c r="F317" s="138" t="s">
        <v>642</v>
      </c>
      <c r="G317" s="325" t="s">
        <v>2338</v>
      </c>
      <c r="H317" s="135">
        <v>41502</v>
      </c>
      <c r="I317" s="134">
        <v>1</v>
      </c>
      <c r="J317" s="326">
        <v>33370</v>
      </c>
      <c r="K317" s="326">
        <v>33370</v>
      </c>
      <c r="L317" s="225" t="s">
        <v>785</v>
      </c>
      <c r="M317" s="324" t="s">
        <v>34</v>
      </c>
    </row>
    <row r="318" spans="1:13" s="144" customFormat="1" ht="15" customHeight="1" x14ac:dyDescent="0.25">
      <c r="A318" s="134">
        <v>28</v>
      </c>
      <c r="B318" s="134">
        <v>48425</v>
      </c>
      <c r="C318" s="136" t="s">
        <v>2339</v>
      </c>
      <c r="D318" s="134" t="s">
        <v>1053</v>
      </c>
      <c r="E318" s="171" t="s">
        <v>534</v>
      </c>
      <c r="F318" s="138" t="s">
        <v>524</v>
      </c>
      <c r="G318" s="325" t="s">
        <v>580</v>
      </c>
      <c r="H318" s="135">
        <v>41500</v>
      </c>
      <c r="I318" s="134">
        <v>1</v>
      </c>
      <c r="J318" s="326">
        <v>30429</v>
      </c>
      <c r="K318" s="326">
        <v>30429</v>
      </c>
      <c r="L318" s="225" t="s">
        <v>785</v>
      </c>
      <c r="M318" s="324" t="s">
        <v>34</v>
      </c>
    </row>
    <row r="319" spans="1:13" s="144" customFormat="1" ht="15" customHeight="1" x14ac:dyDescent="0.25">
      <c r="A319" s="134">
        <v>29</v>
      </c>
      <c r="B319" s="134">
        <v>49005</v>
      </c>
      <c r="C319" s="136" t="s">
        <v>2340</v>
      </c>
      <c r="D319" s="134" t="s">
        <v>1011</v>
      </c>
      <c r="E319" s="171" t="s">
        <v>115</v>
      </c>
      <c r="F319" s="138" t="s">
        <v>1095</v>
      </c>
      <c r="G319" s="325" t="s">
        <v>2098</v>
      </c>
      <c r="H319" s="135">
        <v>41506</v>
      </c>
      <c r="I319" s="134">
        <v>2</v>
      </c>
      <c r="J319" s="326">
        <v>5274</v>
      </c>
      <c r="K319" s="326">
        <v>10548</v>
      </c>
      <c r="L319" s="225" t="s">
        <v>785</v>
      </c>
      <c r="M319" s="324" t="s">
        <v>34</v>
      </c>
    </row>
    <row r="320" spans="1:13" s="144" customFormat="1" ht="15" customHeight="1" x14ac:dyDescent="0.25">
      <c r="A320" s="134">
        <v>30</v>
      </c>
      <c r="B320" s="134">
        <v>49246</v>
      </c>
      <c r="C320" s="136" t="s">
        <v>2341</v>
      </c>
      <c r="D320" s="134" t="s">
        <v>1053</v>
      </c>
      <c r="E320" s="171" t="s">
        <v>186</v>
      </c>
      <c r="F320" s="138" t="s">
        <v>416</v>
      </c>
      <c r="G320" s="325" t="s">
        <v>2342</v>
      </c>
      <c r="H320" s="135">
        <v>41505</v>
      </c>
      <c r="I320" s="134">
        <v>1</v>
      </c>
      <c r="J320" s="326">
        <v>42601</v>
      </c>
      <c r="K320" s="326">
        <v>42601</v>
      </c>
      <c r="L320" s="225" t="s">
        <v>785</v>
      </c>
      <c r="M320" s="324" t="s">
        <v>34</v>
      </c>
    </row>
    <row r="321" spans="1:13" s="144" customFormat="1" ht="15" customHeight="1" x14ac:dyDescent="0.25">
      <c r="A321" s="134">
        <v>31</v>
      </c>
      <c r="B321" s="134">
        <v>49282</v>
      </c>
      <c r="C321" s="136" t="s">
        <v>2343</v>
      </c>
      <c r="D321" s="134" t="s">
        <v>411</v>
      </c>
      <c r="E321" s="171" t="s">
        <v>534</v>
      </c>
      <c r="F321" s="138" t="s">
        <v>565</v>
      </c>
      <c r="G321" s="325" t="s">
        <v>2133</v>
      </c>
      <c r="H321" s="135">
        <v>41505</v>
      </c>
      <c r="I321" s="134">
        <v>1</v>
      </c>
      <c r="J321" s="326">
        <v>30429</v>
      </c>
      <c r="K321" s="326">
        <v>30429</v>
      </c>
      <c r="L321" s="225" t="s">
        <v>785</v>
      </c>
      <c r="M321" s="324" t="s">
        <v>34</v>
      </c>
    </row>
    <row r="322" spans="1:13" s="144" customFormat="1" ht="15" customHeight="1" x14ac:dyDescent="0.25">
      <c r="A322" s="134">
        <v>32</v>
      </c>
      <c r="B322" s="134">
        <v>49500</v>
      </c>
      <c r="C322" s="136" t="s">
        <v>2344</v>
      </c>
      <c r="D322" s="134" t="s">
        <v>2304</v>
      </c>
      <c r="E322" s="171" t="s">
        <v>577</v>
      </c>
      <c r="F322" s="138" t="s">
        <v>368</v>
      </c>
      <c r="G322" s="325"/>
      <c r="H322" s="135">
        <v>41505</v>
      </c>
      <c r="I322" s="134">
        <v>1</v>
      </c>
      <c r="J322" s="326">
        <v>25800</v>
      </c>
      <c r="K322" s="326">
        <v>25800</v>
      </c>
      <c r="L322" s="225" t="s">
        <v>785</v>
      </c>
      <c r="M322" s="324" t="s">
        <v>34</v>
      </c>
    </row>
    <row r="323" spans="1:13" s="144" customFormat="1" ht="15" customHeight="1" x14ac:dyDescent="0.25">
      <c r="A323" s="134">
        <v>33</v>
      </c>
      <c r="B323" s="134">
        <v>49872</v>
      </c>
      <c r="C323" s="136" t="s">
        <v>2345</v>
      </c>
      <c r="D323" s="134" t="s">
        <v>1053</v>
      </c>
      <c r="E323" s="171" t="s">
        <v>115</v>
      </c>
      <c r="F323" s="138" t="s">
        <v>642</v>
      </c>
      <c r="G323" s="325" t="s">
        <v>1061</v>
      </c>
      <c r="H323" s="135">
        <v>41508</v>
      </c>
      <c r="I323" s="134">
        <v>1</v>
      </c>
      <c r="J323" s="326">
        <v>5274</v>
      </c>
      <c r="K323" s="326">
        <v>5274</v>
      </c>
      <c r="L323" s="225" t="s">
        <v>785</v>
      </c>
      <c r="M323" s="324" t="s">
        <v>34</v>
      </c>
    </row>
    <row r="324" spans="1:13" s="144" customFormat="1" ht="15" customHeight="1" x14ac:dyDescent="0.25">
      <c r="A324" s="134">
        <v>34</v>
      </c>
      <c r="B324" s="134">
        <v>50202</v>
      </c>
      <c r="C324" s="136" t="s">
        <v>2346</v>
      </c>
      <c r="D324" s="134" t="s">
        <v>2347</v>
      </c>
      <c r="E324" s="171" t="s">
        <v>577</v>
      </c>
      <c r="F324" s="138" t="s">
        <v>368</v>
      </c>
      <c r="G324" s="325"/>
      <c r="H324" s="135">
        <v>41509</v>
      </c>
      <c r="I324" s="134">
        <v>1</v>
      </c>
      <c r="J324" s="326">
        <v>25800</v>
      </c>
      <c r="K324" s="326">
        <v>25800</v>
      </c>
      <c r="L324" s="225" t="s">
        <v>785</v>
      </c>
      <c r="M324" s="324" t="s">
        <v>34</v>
      </c>
    </row>
    <row r="325" spans="1:13" s="144" customFormat="1" ht="15" customHeight="1" x14ac:dyDescent="0.25">
      <c r="A325" s="134">
        <v>35</v>
      </c>
      <c r="B325" s="134">
        <v>50176</v>
      </c>
      <c r="C325" s="136" t="s">
        <v>2348</v>
      </c>
      <c r="D325" s="134" t="s">
        <v>1011</v>
      </c>
      <c r="E325" s="171" t="s">
        <v>534</v>
      </c>
      <c r="F325" s="138" t="s">
        <v>439</v>
      </c>
      <c r="G325" s="325" t="s">
        <v>580</v>
      </c>
      <c r="H325" s="135">
        <v>41508</v>
      </c>
      <c r="I325" s="134">
        <v>1</v>
      </c>
      <c r="J325" s="326">
        <v>30429</v>
      </c>
      <c r="K325" s="326">
        <v>30429</v>
      </c>
      <c r="L325" s="225" t="s">
        <v>785</v>
      </c>
      <c r="M325" s="324" t="s">
        <v>34</v>
      </c>
    </row>
    <row r="326" spans="1:13" s="144" customFormat="1" ht="15" customHeight="1" x14ac:dyDescent="0.25">
      <c r="A326" s="134">
        <v>36</v>
      </c>
      <c r="B326" s="134">
        <v>50104</v>
      </c>
      <c r="C326" s="136" t="s">
        <v>2349</v>
      </c>
      <c r="D326" s="134" t="s">
        <v>1053</v>
      </c>
      <c r="E326" s="171" t="s">
        <v>534</v>
      </c>
      <c r="F326" s="138" t="s">
        <v>642</v>
      </c>
      <c r="G326" s="325" t="s">
        <v>639</v>
      </c>
      <c r="H326" s="135">
        <v>41508</v>
      </c>
      <c r="I326" s="134">
        <v>1</v>
      </c>
      <c r="J326" s="326">
        <v>30429</v>
      </c>
      <c r="K326" s="326">
        <v>30429</v>
      </c>
      <c r="L326" s="225" t="s">
        <v>785</v>
      </c>
      <c r="M326" s="324" t="s">
        <v>34</v>
      </c>
    </row>
    <row r="327" spans="1:13" s="144" customFormat="1" ht="15" customHeight="1" x14ac:dyDescent="0.25">
      <c r="A327" s="134">
        <v>37</v>
      </c>
      <c r="B327" s="134">
        <v>50021</v>
      </c>
      <c r="C327" s="136" t="s">
        <v>2350</v>
      </c>
      <c r="D327" s="134" t="s">
        <v>411</v>
      </c>
      <c r="E327" s="171" t="s">
        <v>114</v>
      </c>
      <c r="F327" s="138" t="s">
        <v>414</v>
      </c>
      <c r="G327" s="325" t="s">
        <v>2338</v>
      </c>
      <c r="H327" s="135">
        <v>41508</v>
      </c>
      <c r="I327" s="134">
        <v>1</v>
      </c>
      <c r="J327" s="326">
        <v>33370</v>
      </c>
      <c r="K327" s="326">
        <v>33370</v>
      </c>
      <c r="L327" s="225" t="s">
        <v>785</v>
      </c>
      <c r="M327" s="324" t="s">
        <v>34</v>
      </c>
    </row>
    <row r="328" spans="1:13" s="144" customFormat="1" ht="15" customHeight="1" x14ac:dyDescent="0.25">
      <c r="A328" s="134">
        <v>38</v>
      </c>
      <c r="B328" s="134">
        <v>50379</v>
      </c>
      <c r="C328" s="136" t="s">
        <v>2351</v>
      </c>
      <c r="D328" s="134" t="s">
        <v>411</v>
      </c>
      <c r="E328" s="171" t="s">
        <v>534</v>
      </c>
      <c r="F328" s="138" t="s">
        <v>412</v>
      </c>
      <c r="G328" s="325" t="s">
        <v>551</v>
      </c>
      <c r="H328" s="135">
        <v>41508</v>
      </c>
      <c r="I328" s="134">
        <v>1</v>
      </c>
      <c r="J328" s="326">
        <v>30429</v>
      </c>
      <c r="K328" s="326">
        <v>30429</v>
      </c>
      <c r="L328" s="225" t="s">
        <v>785</v>
      </c>
      <c r="M328" s="324" t="s">
        <v>34</v>
      </c>
    </row>
    <row r="329" spans="1:13" s="144" customFormat="1" ht="15" customHeight="1" x14ac:dyDescent="0.25">
      <c r="A329" s="134">
        <v>39</v>
      </c>
      <c r="B329" s="134">
        <v>50519</v>
      </c>
      <c r="C329" s="136" t="s">
        <v>2352</v>
      </c>
      <c r="D329" s="134" t="s">
        <v>1053</v>
      </c>
      <c r="E329" s="171" t="s">
        <v>534</v>
      </c>
      <c r="F329" s="138" t="s">
        <v>416</v>
      </c>
      <c r="G329" s="325" t="s">
        <v>580</v>
      </c>
      <c r="H329" s="135">
        <v>41509</v>
      </c>
      <c r="I329" s="134">
        <v>1</v>
      </c>
      <c r="J329" s="326">
        <v>30429</v>
      </c>
      <c r="K329" s="326">
        <v>30429</v>
      </c>
      <c r="L329" s="225" t="s">
        <v>785</v>
      </c>
      <c r="M329" s="324" t="s">
        <v>34</v>
      </c>
    </row>
    <row r="330" spans="1:13" s="144" customFormat="1" ht="15" customHeight="1" x14ac:dyDescent="0.25">
      <c r="A330" s="134">
        <v>40</v>
      </c>
      <c r="B330" s="134">
        <v>50503</v>
      </c>
      <c r="C330" s="136" t="s">
        <v>2353</v>
      </c>
      <c r="D330" s="134" t="s">
        <v>1011</v>
      </c>
      <c r="E330" s="171" t="s">
        <v>115</v>
      </c>
      <c r="F330" s="138" t="s">
        <v>2188</v>
      </c>
      <c r="G330" s="325" t="s">
        <v>2114</v>
      </c>
      <c r="H330" s="135">
        <v>41508</v>
      </c>
      <c r="I330" s="134">
        <v>7</v>
      </c>
      <c r="J330" s="326">
        <v>5274</v>
      </c>
      <c r="K330" s="326">
        <v>36918</v>
      </c>
      <c r="L330" s="225" t="s">
        <v>785</v>
      </c>
      <c r="M330" s="324" t="s">
        <v>34</v>
      </c>
    </row>
    <row r="331" spans="1:13" s="144" customFormat="1" ht="15" customHeight="1" x14ac:dyDescent="0.25">
      <c r="A331" s="134">
        <v>41</v>
      </c>
      <c r="B331" s="134">
        <v>50660</v>
      </c>
      <c r="C331" s="136" t="s">
        <v>2354</v>
      </c>
      <c r="D331" s="134" t="s">
        <v>411</v>
      </c>
      <c r="E331" s="171" t="s">
        <v>577</v>
      </c>
      <c r="F331" s="138" t="s">
        <v>368</v>
      </c>
      <c r="G331" s="325"/>
      <c r="H331" s="135">
        <v>41509</v>
      </c>
      <c r="I331" s="134">
        <v>1</v>
      </c>
      <c r="J331" s="326">
        <v>25800</v>
      </c>
      <c r="K331" s="326">
        <v>25800</v>
      </c>
      <c r="L331" s="225" t="s">
        <v>785</v>
      </c>
      <c r="M331" s="324" t="s">
        <v>34</v>
      </c>
    </row>
    <row r="332" spans="1:13" s="144" customFormat="1" ht="15" customHeight="1" x14ac:dyDescent="0.25">
      <c r="A332" s="134">
        <v>42</v>
      </c>
      <c r="B332" s="134">
        <v>50746</v>
      </c>
      <c r="C332" s="136" t="s">
        <v>2355</v>
      </c>
      <c r="D332" s="134" t="s">
        <v>411</v>
      </c>
      <c r="E332" s="171" t="s">
        <v>534</v>
      </c>
      <c r="F332" s="138" t="s">
        <v>565</v>
      </c>
      <c r="G332" s="325" t="s">
        <v>560</v>
      </c>
      <c r="H332" s="135">
        <v>41509</v>
      </c>
      <c r="I332" s="134">
        <v>1</v>
      </c>
      <c r="J332" s="326">
        <v>30429</v>
      </c>
      <c r="K332" s="326">
        <v>30429</v>
      </c>
      <c r="L332" s="225" t="s">
        <v>785</v>
      </c>
      <c r="M332" s="324" t="s">
        <v>34</v>
      </c>
    </row>
    <row r="333" spans="1:13" s="144" customFormat="1" ht="15" customHeight="1" x14ac:dyDescent="0.25">
      <c r="A333" s="134">
        <v>43</v>
      </c>
      <c r="B333" s="134">
        <v>50540</v>
      </c>
      <c r="C333" s="136" t="s">
        <v>2308</v>
      </c>
      <c r="D333" s="134" t="s">
        <v>411</v>
      </c>
      <c r="E333" s="171" t="s">
        <v>114</v>
      </c>
      <c r="F333" s="138" t="s">
        <v>524</v>
      </c>
      <c r="G333" s="325" t="s">
        <v>551</v>
      </c>
      <c r="H333" s="135">
        <v>41509</v>
      </c>
      <c r="I333" s="134">
        <v>1</v>
      </c>
      <c r="J333" s="326">
        <v>33370</v>
      </c>
      <c r="K333" s="326">
        <v>33370</v>
      </c>
      <c r="L333" s="225" t="s">
        <v>785</v>
      </c>
      <c r="M333" s="324" t="s">
        <v>34</v>
      </c>
    </row>
    <row r="334" spans="1:13" s="144" customFormat="1" ht="15" customHeight="1" x14ac:dyDescent="0.25">
      <c r="A334" s="134">
        <v>44</v>
      </c>
      <c r="B334" s="134">
        <v>50925</v>
      </c>
      <c r="C334" s="136" t="s">
        <v>2356</v>
      </c>
      <c r="D334" s="134" t="s">
        <v>1022</v>
      </c>
      <c r="E334" s="171" t="s">
        <v>577</v>
      </c>
      <c r="F334" s="138" t="s">
        <v>368</v>
      </c>
      <c r="G334" s="325"/>
      <c r="H334" s="135">
        <v>41509</v>
      </c>
      <c r="I334" s="134">
        <v>1</v>
      </c>
      <c r="J334" s="326">
        <v>25800</v>
      </c>
      <c r="K334" s="326">
        <v>25800</v>
      </c>
      <c r="L334" s="225" t="s">
        <v>785</v>
      </c>
      <c r="M334" s="324" t="s">
        <v>34</v>
      </c>
    </row>
    <row r="335" spans="1:13" s="144" customFormat="1" ht="15" customHeight="1" x14ac:dyDescent="0.25">
      <c r="A335" s="134">
        <v>45</v>
      </c>
      <c r="B335" s="134">
        <v>51179</v>
      </c>
      <c r="C335" s="136" t="s">
        <v>2357</v>
      </c>
      <c r="D335" s="134" t="s">
        <v>1027</v>
      </c>
      <c r="E335" s="171" t="s">
        <v>577</v>
      </c>
      <c r="F335" s="138" t="s">
        <v>368</v>
      </c>
      <c r="G335" s="325"/>
      <c r="H335" s="135">
        <v>41512</v>
      </c>
      <c r="I335" s="134">
        <v>1</v>
      </c>
      <c r="J335" s="326">
        <v>25800</v>
      </c>
      <c r="K335" s="326">
        <v>25800</v>
      </c>
      <c r="L335" s="225" t="s">
        <v>785</v>
      </c>
      <c r="M335" s="324" t="s">
        <v>34</v>
      </c>
    </row>
    <row r="336" spans="1:13" s="144" customFormat="1" ht="15" customHeight="1" x14ac:dyDescent="0.25">
      <c r="A336" s="134">
        <v>46</v>
      </c>
      <c r="B336" s="134">
        <v>51126</v>
      </c>
      <c r="C336" s="136" t="s">
        <v>2358</v>
      </c>
      <c r="D336" s="134" t="s">
        <v>411</v>
      </c>
      <c r="E336" s="171" t="s">
        <v>574</v>
      </c>
      <c r="F336" s="138" t="s">
        <v>469</v>
      </c>
      <c r="G336" s="325" t="s">
        <v>2133</v>
      </c>
      <c r="H336" s="135">
        <v>41512</v>
      </c>
      <c r="I336" s="134">
        <v>1</v>
      </c>
      <c r="J336" s="326">
        <v>49701</v>
      </c>
      <c r="K336" s="326">
        <v>49701</v>
      </c>
      <c r="L336" s="225" t="s">
        <v>785</v>
      </c>
      <c r="M336" s="324" t="s">
        <v>34</v>
      </c>
    </row>
    <row r="337" spans="1:13" s="144" customFormat="1" ht="15" customHeight="1" x14ac:dyDescent="0.25">
      <c r="A337" s="134">
        <v>47</v>
      </c>
      <c r="B337" s="134">
        <v>51129</v>
      </c>
      <c r="C337" s="136" t="s">
        <v>2359</v>
      </c>
      <c r="D337" s="134" t="s">
        <v>1053</v>
      </c>
      <c r="E337" s="171" t="s">
        <v>115</v>
      </c>
      <c r="F337" s="138" t="s">
        <v>559</v>
      </c>
      <c r="G337" s="325" t="s">
        <v>1061</v>
      </c>
      <c r="H337" s="135">
        <v>41513</v>
      </c>
      <c r="I337" s="134">
        <v>1</v>
      </c>
      <c r="J337" s="326">
        <v>5274</v>
      </c>
      <c r="K337" s="326">
        <v>5274</v>
      </c>
      <c r="L337" s="225" t="s">
        <v>785</v>
      </c>
      <c r="M337" s="324" t="s">
        <v>34</v>
      </c>
    </row>
    <row r="338" spans="1:13" s="144" customFormat="1" ht="15" customHeight="1" x14ac:dyDescent="0.25">
      <c r="A338" s="134">
        <v>48</v>
      </c>
      <c r="B338" s="134">
        <v>51501</v>
      </c>
      <c r="C338" s="136" t="s">
        <v>2360</v>
      </c>
      <c r="D338" s="134" t="s">
        <v>2318</v>
      </c>
      <c r="E338" s="171" t="s">
        <v>577</v>
      </c>
      <c r="F338" s="138" t="s">
        <v>368</v>
      </c>
      <c r="G338" s="325"/>
      <c r="H338" s="135">
        <v>41513</v>
      </c>
      <c r="I338" s="134">
        <v>1</v>
      </c>
      <c r="J338" s="326">
        <v>25800</v>
      </c>
      <c r="K338" s="326">
        <v>25800</v>
      </c>
      <c r="L338" s="225" t="s">
        <v>785</v>
      </c>
      <c r="M338" s="324" t="s">
        <v>34</v>
      </c>
    </row>
    <row r="339" spans="1:13" s="144" customFormat="1" ht="15" customHeight="1" x14ac:dyDescent="0.25">
      <c r="A339" s="134">
        <v>49</v>
      </c>
      <c r="B339" s="134">
        <v>51419</v>
      </c>
      <c r="C339" s="136" t="s">
        <v>2361</v>
      </c>
      <c r="D339" s="134" t="s">
        <v>1027</v>
      </c>
      <c r="E339" s="171" t="s">
        <v>1008</v>
      </c>
      <c r="F339" s="138" t="s">
        <v>384</v>
      </c>
      <c r="G339" s="325"/>
      <c r="H339" s="135">
        <v>41512</v>
      </c>
      <c r="I339" s="134">
        <v>2</v>
      </c>
      <c r="J339" s="326">
        <v>9129</v>
      </c>
      <c r="K339" s="326">
        <v>18258</v>
      </c>
      <c r="L339" s="225" t="s">
        <v>785</v>
      </c>
      <c r="M339" s="324" t="s">
        <v>34</v>
      </c>
    </row>
    <row r="340" spans="1:13" s="144" customFormat="1" ht="15" customHeight="1" x14ac:dyDescent="0.25">
      <c r="A340" s="134">
        <v>50</v>
      </c>
      <c r="B340" s="134">
        <v>51591</v>
      </c>
      <c r="C340" s="136" t="s">
        <v>2362</v>
      </c>
      <c r="D340" s="134">
        <v>10</v>
      </c>
      <c r="E340" s="171" t="s">
        <v>115</v>
      </c>
      <c r="F340" s="138" t="s">
        <v>404</v>
      </c>
      <c r="G340" s="325" t="s">
        <v>2114</v>
      </c>
      <c r="H340" s="135">
        <v>41514</v>
      </c>
      <c r="I340" s="134">
        <v>1</v>
      </c>
      <c r="J340" s="326">
        <v>5274</v>
      </c>
      <c r="K340" s="326">
        <v>5274</v>
      </c>
      <c r="L340" s="225" t="s">
        <v>785</v>
      </c>
      <c r="M340" s="324" t="s">
        <v>34</v>
      </c>
    </row>
    <row r="341" spans="1:13" s="144" customFormat="1" ht="15" customHeight="1" x14ac:dyDescent="0.25">
      <c r="A341" s="134">
        <v>51</v>
      </c>
      <c r="B341" s="134">
        <v>51836</v>
      </c>
      <c r="C341" s="136" t="s">
        <v>2363</v>
      </c>
      <c r="D341" s="134" t="s">
        <v>1053</v>
      </c>
      <c r="E341" s="171" t="s">
        <v>114</v>
      </c>
      <c r="F341" s="138" t="s">
        <v>428</v>
      </c>
      <c r="G341" s="325" t="s">
        <v>2364</v>
      </c>
      <c r="H341" s="135">
        <v>41514</v>
      </c>
      <c r="I341" s="134">
        <v>1</v>
      </c>
      <c r="J341" s="326">
        <v>33370</v>
      </c>
      <c r="K341" s="326">
        <v>33370</v>
      </c>
      <c r="L341" s="225" t="s">
        <v>785</v>
      </c>
      <c r="M341" s="324" t="s">
        <v>34</v>
      </c>
    </row>
    <row r="342" spans="1:13" s="144" customFormat="1" ht="15" customHeight="1" x14ac:dyDescent="0.25">
      <c r="A342" s="134">
        <v>52</v>
      </c>
      <c r="B342" s="134">
        <v>51832</v>
      </c>
      <c r="C342" s="136" t="s">
        <v>2365</v>
      </c>
      <c r="D342" s="134" t="s">
        <v>1053</v>
      </c>
      <c r="E342" s="171" t="s">
        <v>186</v>
      </c>
      <c r="F342" s="138" t="s">
        <v>428</v>
      </c>
      <c r="G342" s="325" t="s">
        <v>560</v>
      </c>
      <c r="H342" s="135">
        <v>41514</v>
      </c>
      <c r="I342" s="134">
        <v>1</v>
      </c>
      <c r="J342" s="326">
        <v>42601</v>
      </c>
      <c r="K342" s="326">
        <v>42601</v>
      </c>
      <c r="L342" s="225" t="s">
        <v>785</v>
      </c>
      <c r="M342" s="324" t="s">
        <v>34</v>
      </c>
    </row>
    <row r="343" spans="1:13" s="144" customFormat="1" ht="15" customHeight="1" x14ac:dyDescent="0.25">
      <c r="A343" s="134">
        <v>53</v>
      </c>
      <c r="B343" s="134">
        <v>51960</v>
      </c>
      <c r="C343" s="136" t="s">
        <v>2366</v>
      </c>
      <c r="D343" s="134" t="s">
        <v>411</v>
      </c>
      <c r="E343" s="171" t="s">
        <v>115</v>
      </c>
      <c r="F343" s="138" t="s">
        <v>524</v>
      </c>
      <c r="G343" s="325" t="s">
        <v>1056</v>
      </c>
      <c r="H343" s="135">
        <v>41516</v>
      </c>
      <c r="I343" s="134">
        <v>1</v>
      </c>
      <c r="J343" s="326">
        <v>5274</v>
      </c>
      <c r="K343" s="326">
        <v>5274</v>
      </c>
      <c r="L343" s="225" t="s">
        <v>785</v>
      </c>
      <c r="M343" s="324" t="s">
        <v>34</v>
      </c>
    </row>
    <row r="344" spans="1:13" s="144" customFormat="1" ht="15" customHeight="1" x14ac:dyDescent="0.25">
      <c r="A344" s="134">
        <v>54</v>
      </c>
      <c r="B344" s="134">
        <v>52466</v>
      </c>
      <c r="C344" s="136" t="s">
        <v>2355</v>
      </c>
      <c r="D344" s="134" t="s">
        <v>411</v>
      </c>
      <c r="E344" s="171" t="s">
        <v>114</v>
      </c>
      <c r="F344" s="138" t="s">
        <v>508</v>
      </c>
      <c r="G344" s="325" t="s">
        <v>2133</v>
      </c>
      <c r="H344" s="135">
        <v>41516</v>
      </c>
      <c r="I344" s="134">
        <v>1</v>
      </c>
      <c r="J344" s="326">
        <v>33370</v>
      </c>
      <c r="K344" s="326">
        <v>33370</v>
      </c>
      <c r="L344" s="225" t="s">
        <v>785</v>
      </c>
      <c r="M344" s="324" t="s">
        <v>34</v>
      </c>
    </row>
    <row r="345" spans="1:13" s="144" customFormat="1" ht="15" customHeight="1" x14ac:dyDescent="0.25">
      <c r="A345" s="134">
        <v>55</v>
      </c>
      <c r="B345" s="134">
        <v>52272</v>
      </c>
      <c r="C345" s="136" t="s">
        <v>2367</v>
      </c>
      <c r="D345" s="134" t="s">
        <v>1053</v>
      </c>
      <c r="E345" s="171" t="s">
        <v>534</v>
      </c>
      <c r="F345" s="138" t="s">
        <v>439</v>
      </c>
      <c r="G345" s="325" t="s">
        <v>560</v>
      </c>
      <c r="H345" s="135">
        <v>41515</v>
      </c>
      <c r="I345" s="134">
        <v>1</v>
      </c>
      <c r="J345" s="326">
        <v>30429</v>
      </c>
      <c r="K345" s="326">
        <v>30429</v>
      </c>
      <c r="L345" s="225" t="s">
        <v>785</v>
      </c>
      <c r="M345" s="324" t="s">
        <v>34</v>
      </c>
    </row>
    <row r="346" spans="1:13" s="144" customFormat="1" ht="15" customHeight="1" x14ac:dyDescent="0.25">
      <c r="A346" s="134">
        <v>56</v>
      </c>
      <c r="B346" s="134">
        <v>52621</v>
      </c>
      <c r="C346" s="136" t="s">
        <v>2368</v>
      </c>
      <c r="D346" s="134" t="s">
        <v>411</v>
      </c>
      <c r="E346" s="171" t="s">
        <v>574</v>
      </c>
      <c r="F346" s="138" t="s">
        <v>524</v>
      </c>
      <c r="G346" s="325" t="s">
        <v>2148</v>
      </c>
      <c r="H346" s="135">
        <v>41516</v>
      </c>
      <c r="I346" s="134">
        <v>1</v>
      </c>
      <c r="J346" s="326">
        <v>49701</v>
      </c>
      <c r="K346" s="326">
        <v>49701</v>
      </c>
      <c r="L346" s="225" t="s">
        <v>785</v>
      </c>
      <c r="M346" s="324" t="s">
        <v>34</v>
      </c>
    </row>
    <row r="347" spans="1:13" s="144" customFormat="1" ht="15" customHeight="1" x14ac:dyDescent="0.25">
      <c r="A347" s="134">
        <v>57</v>
      </c>
      <c r="B347" s="134">
        <v>52676</v>
      </c>
      <c r="C347" s="136" t="s">
        <v>2369</v>
      </c>
      <c r="D347" s="134" t="s">
        <v>411</v>
      </c>
      <c r="E347" s="171" t="s">
        <v>186</v>
      </c>
      <c r="F347" s="138" t="s">
        <v>414</v>
      </c>
      <c r="G347" s="325" t="s">
        <v>2370</v>
      </c>
      <c r="H347" s="135">
        <v>41516</v>
      </c>
      <c r="I347" s="134">
        <v>1</v>
      </c>
      <c r="J347" s="326">
        <v>42601</v>
      </c>
      <c r="K347" s="326">
        <v>42601</v>
      </c>
      <c r="L347" s="225" t="s">
        <v>785</v>
      </c>
      <c r="M347" s="324" t="s">
        <v>34</v>
      </c>
    </row>
    <row r="348" spans="1:13" s="144" customFormat="1" ht="15" customHeight="1" thickBot="1" x14ac:dyDescent="0.3">
      <c r="A348" s="327">
        <v>58</v>
      </c>
      <c r="B348" s="327">
        <v>52905</v>
      </c>
      <c r="C348" s="328" t="s">
        <v>2371</v>
      </c>
      <c r="D348" s="244" t="s">
        <v>1053</v>
      </c>
      <c r="E348" s="246" t="s">
        <v>115</v>
      </c>
      <c r="F348" s="247" t="s">
        <v>591</v>
      </c>
      <c r="G348" s="329" t="s">
        <v>2064</v>
      </c>
      <c r="H348" s="249">
        <v>41516</v>
      </c>
      <c r="I348" s="244">
        <v>1</v>
      </c>
      <c r="J348" s="330">
        <v>5274</v>
      </c>
      <c r="K348" s="330">
        <v>5274</v>
      </c>
      <c r="L348" s="225" t="s">
        <v>785</v>
      </c>
      <c r="M348" s="324" t="s">
        <v>34</v>
      </c>
    </row>
    <row r="349" spans="1:13" s="144" customFormat="1" ht="15" customHeight="1" x14ac:dyDescent="0.25">
      <c r="A349" s="331">
        <v>59</v>
      </c>
      <c r="B349" s="332">
        <v>52449</v>
      </c>
      <c r="C349" s="333" t="s">
        <v>2349</v>
      </c>
      <c r="D349" s="331" t="s">
        <v>1053</v>
      </c>
      <c r="E349" s="334" t="s">
        <v>114</v>
      </c>
      <c r="F349" s="335" t="s">
        <v>565</v>
      </c>
      <c r="G349" s="336" t="s">
        <v>580</v>
      </c>
      <c r="H349" s="337">
        <v>41516</v>
      </c>
      <c r="I349" s="331">
        <v>1</v>
      </c>
      <c r="J349" s="326">
        <v>33370</v>
      </c>
      <c r="K349" s="326">
        <v>33370</v>
      </c>
      <c r="L349" s="338" t="s">
        <v>614</v>
      </c>
      <c r="M349" s="324" t="s">
        <v>34</v>
      </c>
    </row>
    <row r="350" spans="1:13" s="144" customFormat="1" ht="15" customHeight="1" x14ac:dyDescent="0.25">
      <c r="A350" s="332">
        <v>60</v>
      </c>
      <c r="B350" s="332">
        <v>53029</v>
      </c>
      <c r="C350" s="339" t="s">
        <v>2372</v>
      </c>
      <c r="D350" s="332" t="s">
        <v>1022</v>
      </c>
      <c r="E350" s="340" t="s">
        <v>577</v>
      </c>
      <c r="F350" s="341" t="s">
        <v>368</v>
      </c>
      <c r="G350" s="342"/>
      <c r="H350" s="343">
        <v>41517</v>
      </c>
      <c r="I350" s="332">
        <v>1</v>
      </c>
      <c r="J350" s="344">
        <v>25800</v>
      </c>
      <c r="K350" s="344">
        <v>25800</v>
      </c>
      <c r="L350" s="338" t="s">
        <v>614</v>
      </c>
      <c r="M350" s="324" t="s">
        <v>34</v>
      </c>
    </row>
    <row r="351" spans="1:13" s="144" customFormat="1" ht="15" customHeight="1" x14ac:dyDescent="0.25">
      <c r="A351" s="332">
        <v>61</v>
      </c>
      <c r="B351" s="332">
        <v>53648</v>
      </c>
      <c r="C351" s="339" t="s">
        <v>2373</v>
      </c>
      <c r="D351" s="332" t="s">
        <v>2318</v>
      </c>
      <c r="E351" s="340" t="s">
        <v>577</v>
      </c>
      <c r="F351" s="341" t="s">
        <v>368</v>
      </c>
      <c r="G351" s="342"/>
      <c r="H351" s="343">
        <v>41521</v>
      </c>
      <c r="I351" s="332">
        <v>1</v>
      </c>
      <c r="J351" s="344">
        <v>25800</v>
      </c>
      <c r="K351" s="344">
        <v>25800</v>
      </c>
      <c r="L351" s="338" t="s">
        <v>614</v>
      </c>
      <c r="M351" s="324" t="s">
        <v>34</v>
      </c>
    </row>
    <row r="352" spans="1:13" s="144" customFormat="1" ht="15" customHeight="1" x14ac:dyDescent="0.25">
      <c r="A352" s="332">
        <v>62</v>
      </c>
      <c r="B352" s="332">
        <v>53094</v>
      </c>
      <c r="C352" s="339" t="s">
        <v>2374</v>
      </c>
      <c r="D352" s="332" t="s">
        <v>1053</v>
      </c>
      <c r="E352" s="340" t="s">
        <v>115</v>
      </c>
      <c r="F352" s="341" t="s">
        <v>416</v>
      </c>
      <c r="G352" s="342" t="s">
        <v>486</v>
      </c>
      <c r="H352" s="343">
        <v>41520</v>
      </c>
      <c r="I352" s="332">
        <v>1</v>
      </c>
      <c r="J352" s="344">
        <v>5274</v>
      </c>
      <c r="K352" s="344">
        <v>5274</v>
      </c>
      <c r="L352" s="338" t="s">
        <v>614</v>
      </c>
      <c r="M352" s="324" t="s">
        <v>34</v>
      </c>
    </row>
    <row r="353" spans="1:13" s="144" customFormat="1" ht="15" customHeight="1" x14ac:dyDescent="0.25">
      <c r="A353" s="332">
        <v>63</v>
      </c>
      <c r="B353" s="332">
        <v>54054</v>
      </c>
      <c r="C353" s="339" t="s">
        <v>2321</v>
      </c>
      <c r="D353" s="332" t="s">
        <v>1011</v>
      </c>
      <c r="E353" s="340" t="s">
        <v>574</v>
      </c>
      <c r="F353" s="341" t="s">
        <v>2375</v>
      </c>
      <c r="G353" s="342" t="s">
        <v>1282</v>
      </c>
      <c r="H353" s="343">
        <v>41522</v>
      </c>
      <c r="I353" s="332">
        <v>1</v>
      </c>
      <c r="J353" s="344">
        <v>49701</v>
      </c>
      <c r="K353" s="344">
        <v>49701</v>
      </c>
      <c r="L353" s="338" t="s">
        <v>614</v>
      </c>
      <c r="M353" s="324" t="s">
        <v>34</v>
      </c>
    </row>
    <row r="354" spans="1:13" s="144" customFormat="1" ht="15" customHeight="1" x14ac:dyDescent="0.25">
      <c r="A354" s="332">
        <v>64</v>
      </c>
      <c r="B354" s="332">
        <v>57285</v>
      </c>
      <c r="C354" s="339" t="s">
        <v>2376</v>
      </c>
      <c r="D354" s="332" t="s">
        <v>2347</v>
      </c>
      <c r="E354" s="340" t="s">
        <v>577</v>
      </c>
      <c r="F354" s="341" t="s">
        <v>368</v>
      </c>
      <c r="G354" s="342"/>
      <c r="H354" s="343">
        <v>41534</v>
      </c>
      <c r="I354" s="332">
        <v>1</v>
      </c>
      <c r="J354" s="344">
        <v>25800</v>
      </c>
      <c r="K354" s="344">
        <v>25800</v>
      </c>
      <c r="L354" s="338" t="s">
        <v>614</v>
      </c>
      <c r="M354" s="324" t="s">
        <v>34</v>
      </c>
    </row>
    <row r="355" spans="1:13" s="144" customFormat="1" ht="15" customHeight="1" x14ac:dyDescent="0.25">
      <c r="A355" s="332">
        <v>65</v>
      </c>
      <c r="B355" s="332">
        <v>56751</v>
      </c>
      <c r="C355" s="339" t="s">
        <v>2377</v>
      </c>
      <c r="D355" s="332" t="s">
        <v>1027</v>
      </c>
      <c r="E355" s="340" t="s">
        <v>577</v>
      </c>
      <c r="F355" s="341" t="s">
        <v>368</v>
      </c>
      <c r="G355" s="342"/>
      <c r="H355" s="343">
        <v>41533</v>
      </c>
      <c r="I355" s="332">
        <v>1</v>
      </c>
      <c r="J355" s="344">
        <v>25800</v>
      </c>
      <c r="K355" s="344">
        <v>25800</v>
      </c>
      <c r="L355" s="338" t="s">
        <v>614</v>
      </c>
      <c r="M355" s="324" t="s">
        <v>34</v>
      </c>
    </row>
    <row r="356" spans="1:13" s="144" customFormat="1" ht="15" customHeight="1" x14ac:dyDescent="0.25">
      <c r="A356" s="332">
        <v>66</v>
      </c>
      <c r="B356" s="332">
        <v>56251</v>
      </c>
      <c r="C356" s="339" t="s">
        <v>2378</v>
      </c>
      <c r="D356" s="332" t="s">
        <v>2304</v>
      </c>
      <c r="E356" s="340" t="s">
        <v>577</v>
      </c>
      <c r="F356" s="341" t="s">
        <v>368</v>
      </c>
      <c r="G356" s="342"/>
      <c r="H356" s="343">
        <v>41529</v>
      </c>
      <c r="I356" s="332">
        <v>1</v>
      </c>
      <c r="J356" s="344">
        <v>25800</v>
      </c>
      <c r="K356" s="344">
        <v>25800</v>
      </c>
      <c r="L356" s="338" t="s">
        <v>614</v>
      </c>
      <c r="M356" s="324" t="s">
        <v>34</v>
      </c>
    </row>
    <row r="357" spans="1:13" s="144" customFormat="1" ht="15" customHeight="1" x14ac:dyDescent="0.25">
      <c r="A357" s="332">
        <v>67</v>
      </c>
      <c r="B357" s="332">
        <v>54589</v>
      </c>
      <c r="C357" s="339" t="s">
        <v>2379</v>
      </c>
      <c r="D357" s="332" t="s">
        <v>2318</v>
      </c>
      <c r="E357" s="340" t="s">
        <v>577</v>
      </c>
      <c r="F357" s="341" t="s">
        <v>368</v>
      </c>
      <c r="G357" s="342"/>
      <c r="H357" s="343">
        <v>41523</v>
      </c>
      <c r="I357" s="332">
        <v>1</v>
      </c>
      <c r="J357" s="344">
        <v>25800</v>
      </c>
      <c r="K357" s="344">
        <v>25800</v>
      </c>
      <c r="L357" s="338" t="s">
        <v>614</v>
      </c>
      <c r="M357" s="324" t="s">
        <v>34</v>
      </c>
    </row>
    <row r="358" spans="1:13" s="144" customFormat="1" ht="15" customHeight="1" x14ac:dyDescent="0.25">
      <c r="A358" s="332">
        <v>68</v>
      </c>
      <c r="B358" s="332">
        <v>53881</v>
      </c>
      <c r="C358" s="339" t="s">
        <v>2380</v>
      </c>
      <c r="D358" s="332" t="s">
        <v>2318</v>
      </c>
      <c r="E358" s="340" t="s">
        <v>577</v>
      </c>
      <c r="F358" s="341" t="s">
        <v>368</v>
      </c>
      <c r="G358" s="342"/>
      <c r="H358" s="343">
        <v>41521</v>
      </c>
      <c r="I358" s="332">
        <v>1</v>
      </c>
      <c r="J358" s="344">
        <v>25800</v>
      </c>
      <c r="K358" s="344">
        <v>25800</v>
      </c>
      <c r="L358" s="338" t="s">
        <v>614</v>
      </c>
      <c r="M358" s="324" t="s">
        <v>34</v>
      </c>
    </row>
    <row r="359" spans="1:13" s="144" customFormat="1" ht="15" customHeight="1" x14ac:dyDescent="0.25">
      <c r="A359" s="332">
        <v>69</v>
      </c>
      <c r="B359" s="332">
        <v>55399</v>
      </c>
      <c r="C359" s="339" t="s">
        <v>2381</v>
      </c>
      <c r="D359" s="332" t="s">
        <v>411</v>
      </c>
      <c r="E359" s="340" t="s">
        <v>577</v>
      </c>
      <c r="F359" s="341" t="s">
        <v>368</v>
      </c>
      <c r="G359" s="342"/>
      <c r="H359" s="343">
        <v>41527</v>
      </c>
      <c r="I359" s="332">
        <v>1</v>
      </c>
      <c r="J359" s="344">
        <v>25800</v>
      </c>
      <c r="K359" s="344">
        <v>25800</v>
      </c>
      <c r="L359" s="338" t="s">
        <v>614</v>
      </c>
      <c r="M359" s="324" t="s">
        <v>34</v>
      </c>
    </row>
    <row r="360" spans="1:13" s="133" customFormat="1" ht="15" customHeight="1" x14ac:dyDescent="0.25">
      <c r="A360" s="332">
        <v>70</v>
      </c>
      <c r="B360" s="332">
        <v>55904</v>
      </c>
      <c r="C360" s="339" t="s">
        <v>2382</v>
      </c>
      <c r="D360" s="332" t="s">
        <v>411</v>
      </c>
      <c r="E360" s="340" t="s">
        <v>215</v>
      </c>
      <c r="F360" s="341" t="s">
        <v>368</v>
      </c>
      <c r="G360" s="342"/>
      <c r="H360" s="343">
        <v>41530</v>
      </c>
      <c r="I360" s="332">
        <v>1</v>
      </c>
      <c r="J360" s="344">
        <v>44597</v>
      </c>
      <c r="K360" s="344">
        <v>44597</v>
      </c>
      <c r="L360" s="338" t="s">
        <v>614</v>
      </c>
      <c r="M360" s="324" t="s">
        <v>34</v>
      </c>
    </row>
    <row r="361" spans="1:13" s="133" customFormat="1" ht="15" customHeight="1" x14ac:dyDescent="0.25">
      <c r="A361" s="332">
        <v>71</v>
      </c>
      <c r="B361" s="332">
        <v>57115</v>
      </c>
      <c r="C361" s="339" t="s">
        <v>2383</v>
      </c>
      <c r="D361" s="332" t="s">
        <v>1011</v>
      </c>
      <c r="E361" s="340" t="s">
        <v>186</v>
      </c>
      <c r="F361" s="341" t="s">
        <v>1560</v>
      </c>
      <c r="G361" s="342"/>
      <c r="H361" s="343">
        <v>41533</v>
      </c>
      <c r="I361" s="332">
        <v>3</v>
      </c>
      <c r="J361" s="344">
        <v>42601</v>
      </c>
      <c r="K361" s="344">
        <v>127803</v>
      </c>
      <c r="L361" s="338" t="s">
        <v>614</v>
      </c>
      <c r="M361" s="324" t="s">
        <v>34</v>
      </c>
    </row>
    <row r="362" spans="1:13" s="133" customFormat="1" ht="15" customHeight="1" x14ac:dyDescent="0.25">
      <c r="A362" s="332">
        <v>72</v>
      </c>
      <c r="B362" s="332">
        <v>54055</v>
      </c>
      <c r="C362" s="339" t="s">
        <v>2384</v>
      </c>
      <c r="D362" s="332" t="s">
        <v>1011</v>
      </c>
      <c r="E362" s="340" t="s">
        <v>190</v>
      </c>
      <c r="F362" s="341" t="s">
        <v>1001</v>
      </c>
      <c r="G362" s="342" t="s">
        <v>580</v>
      </c>
      <c r="H362" s="343">
        <v>41522</v>
      </c>
      <c r="I362" s="332">
        <v>4</v>
      </c>
      <c r="J362" s="344">
        <v>57960</v>
      </c>
      <c r="K362" s="344">
        <v>231840</v>
      </c>
      <c r="L362" s="338" t="s">
        <v>614</v>
      </c>
      <c r="M362" s="324" t="s">
        <v>34</v>
      </c>
    </row>
    <row r="363" spans="1:13" s="133" customFormat="1" ht="15" customHeight="1" x14ac:dyDescent="0.25">
      <c r="A363" s="332">
        <v>73</v>
      </c>
      <c r="B363" s="332">
        <v>55667</v>
      </c>
      <c r="C363" s="339" t="s">
        <v>2353</v>
      </c>
      <c r="D363" s="332" t="s">
        <v>1011</v>
      </c>
      <c r="E363" s="340" t="s">
        <v>114</v>
      </c>
      <c r="F363" s="341" t="s">
        <v>2385</v>
      </c>
      <c r="G363" s="342"/>
      <c r="H363" s="343">
        <v>41528</v>
      </c>
      <c r="I363" s="332">
        <v>7</v>
      </c>
      <c r="J363" s="344">
        <v>33370</v>
      </c>
      <c r="K363" s="344">
        <v>233590</v>
      </c>
      <c r="L363" s="338" t="s">
        <v>614</v>
      </c>
      <c r="M363" s="324" t="s">
        <v>34</v>
      </c>
    </row>
    <row r="364" spans="1:13" s="133" customFormat="1" ht="15" customHeight="1" x14ac:dyDescent="0.25">
      <c r="A364" s="332">
        <v>74</v>
      </c>
      <c r="B364" s="332">
        <v>54851</v>
      </c>
      <c r="C364" s="339" t="s">
        <v>2386</v>
      </c>
      <c r="D364" s="332" t="s">
        <v>1053</v>
      </c>
      <c r="E364" s="340" t="s">
        <v>114</v>
      </c>
      <c r="F364" s="341" t="s">
        <v>559</v>
      </c>
      <c r="G364" s="342" t="s">
        <v>580</v>
      </c>
      <c r="H364" s="343">
        <v>41527</v>
      </c>
      <c r="I364" s="332">
        <v>1</v>
      </c>
      <c r="J364" s="344">
        <v>33370</v>
      </c>
      <c r="K364" s="344">
        <v>33370</v>
      </c>
      <c r="L364" s="338" t="s">
        <v>614</v>
      </c>
      <c r="M364" s="324" t="s">
        <v>34</v>
      </c>
    </row>
    <row r="365" spans="1:13" s="133" customFormat="1" ht="15" customHeight="1" x14ac:dyDescent="0.25">
      <c r="A365" s="332">
        <v>75</v>
      </c>
      <c r="B365" s="332">
        <v>54758</v>
      </c>
      <c r="C365" s="339" t="s">
        <v>2387</v>
      </c>
      <c r="D365" s="332" t="s">
        <v>411</v>
      </c>
      <c r="E365" s="340" t="s">
        <v>186</v>
      </c>
      <c r="F365" s="341" t="s">
        <v>428</v>
      </c>
      <c r="G365" s="342" t="s">
        <v>1282</v>
      </c>
      <c r="H365" s="343">
        <v>41523</v>
      </c>
      <c r="I365" s="332">
        <v>1</v>
      </c>
      <c r="J365" s="344">
        <v>42601</v>
      </c>
      <c r="K365" s="344">
        <v>42601</v>
      </c>
      <c r="L365" s="338" t="s">
        <v>614</v>
      </c>
      <c r="M365" s="324" t="s">
        <v>34</v>
      </c>
    </row>
    <row r="366" spans="1:13" s="133" customFormat="1" ht="15" customHeight="1" x14ac:dyDescent="0.25">
      <c r="A366" s="332">
        <v>76</v>
      </c>
      <c r="B366" s="332">
        <v>56887</v>
      </c>
      <c r="C366" s="339" t="s">
        <v>2388</v>
      </c>
      <c r="D366" s="332" t="s">
        <v>1011</v>
      </c>
      <c r="E366" s="340" t="s">
        <v>182</v>
      </c>
      <c r="F366" s="341" t="s">
        <v>2389</v>
      </c>
      <c r="G366" s="342" t="s">
        <v>580</v>
      </c>
      <c r="H366" s="343">
        <v>41533</v>
      </c>
      <c r="I366" s="332">
        <v>13</v>
      </c>
      <c r="J366" s="344">
        <v>45644</v>
      </c>
      <c r="K366" s="344">
        <v>593372</v>
      </c>
      <c r="L366" s="338" t="s">
        <v>614</v>
      </c>
      <c r="M366" s="324" t="s">
        <v>34</v>
      </c>
    </row>
    <row r="367" spans="1:13" s="133" customFormat="1" ht="15" customHeight="1" x14ac:dyDescent="0.25">
      <c r="A367" s="332">
        <v>77</v>
      </c>
      <c r="B367" s="332">
        <v>58489</v>
      </c>
      <c r="C367" s="339" t="s">
        <v>2337</v>
      </c>
      <c r="D367" s="332" t="s">
        <v>411</v>
      </c>
      <c r="E367" s="340" t="s">
        <v>577</v>
      </c>
      <c r="F367" s="341" t="s">
        <v>368</v>
      </c>
      <c r="G367" s="342"/>
      <c r="H367" s="343">
        <v>41544</v>
      </c>
      <c r="I367" s="332">
        <v>1</v>
      </c>
      <c r="J367" s="344">
        <v>25800</v>
      </c>
      <c r="K367" s="344">
        <v>25800</v>
      </c>
      <c r="L367" s="338" t="s">
        <v>614</v>
      </c>
      <c r="M367" s="324" t="s">
        <v>34</v>
      </c>
    </row>
    <row r="368" spans="1:13" s="133" customFormat="1" ht="15" customHeight="1" x14ac:dyDescent="0.25">
      <c r="A368" s="332">
        <v>78</v>
      </c>
      <c r="B368" s="332">
        <v>57679</v>
      </c>
      <c r="C368" s="339" t="s">
        <v>2390</v>
      </c>
      <c r="D368" s="332" t="s">
        <v>2318</v>
      </c>
      <c r="E368" s="340" t="s">
        <v>577</v>
      </c>
      <c r="F368" s="341" t="s">
        <v>368</v>
      </c>
      <c r="G368" s="342"/>
      <c r="H368" s="343">
        <v>41540</v>
      </c>
      <c r="I368" s="332">
        <v>1</v>
      </c>
      <c r="J368" s="344">
        <v>25800</v>
      </c>
      <c r="K368" s="344">
        <v>25800</v>
      </c>
      <c r="L368" s="338" t="s">
        <v>614</v>
      </c>
      <c r="M368" s="324" t="s">
        <v>34</v>
      </c>
    </row>
    <row r="369" spans="1:13" s="133" customFormat="1" ht="15" customHeight="1" x14ac:dyDescent="0.25">
      <c r="A369" s="332">
        <v>79</v>
      </c>
      <c r="B369" s="332">
        <v>58125</v>
      </c>
      <c r="C369" s="339" t="s">
        <v>2391</v>
      </c>
      <c r="D369" s="332" t="s">
        <v>2318</v>
      </c>
      <c r="E369" s="340" t="s">
        <v>577</v>
      </c>
      <c r="F369" s="341" t="s">
        <v>368</v>
      </c>
      <c r="G369" s="342"/>
      <c r="H369" s="343">
        <v>41542</v>
      </c>
      <c r="I369" s="332">
        <v>1</v>
      </c>
      <c r="J369" s="344">
        <v>25800</v>
      </c>
      <c r="K369" s="344">
        <v>25800</v>
      </c>
      <c r="L369" s="338" t="s">
        <v>614</v>
      </c>
      <c r="M369" s="324" t="s">
        <v>34</v>
      </c>
    </row>
    <row r="370" spans="1:13" s="133" customFormat="1" ht="15" customHeight="1" x14ac:dyDescent="0.25">
      <c r="A370" s="332">
        <v>80</v>
      </c>
      <c r="B370" s="332">
        <v>58036</v>
      </c>
      <c r="C370" s="339" t="s">
        <v>2392</v>
      </c>
      <c r="D370" s="332" t="s">
        <v>2318</v>
      </c>
      <c r="E370" s="340" t="s">
        <v>577</v>
      </c>
      <c r="F370" s="341" t="s">
        <v>368</v>
      </c>
      <c r="G370" s="342"/>
      <c r="H370" s="343">
        <v>41542</v>
      </c>
      <c r="I370" s="332">
        <v>1</v>
      </c>
      <c r="J370" s="344">
        <v>25800</v>
      </c>
      <c r="K370" s="344">
        <v>25800</v>
      </c>
      <c r="L370" s="338" t="s">
        <v>614</v>
      </c>
      <c r="M370" s="324" t="s">
        <v>34</v>
      </c>
    </row>
    <row r="371" spans="1:13" s="133" customFormat="1" ht="15" customHeight="1" x14ac:dyDescent="0.25">
      <c r="A371" s="332">
        <v>81</v>
      </c>
      <c r="B371" s="332">
        <v>57932</v>
      </c>
      <c r="C371" s="339" t="s">
        <v>2393</v>
      </c>
      <c r="D371" s="332" t="s">
        <v>2318</v>
      </c>
      <c r="E371" s="340" t="s">
        <v>577</v>
      </c>
      <c r="F371" s="341" t="s">
        <v>368</v>
      </c>
      <c r="G371" s="342"/>
      <c r="H371" s="343">
        <v>41541</v>
      </c>
      <c r="I371" s="332">
        <v>1</v>
      </c>
      <c r="J371" s="344">
        <v>25800</v>
      </c>
      <c r="K371" s="344">
        <v>25800</v>
      </c>
      <c r="L371" s="338" t="s">
        <v>614</v>
      </c>
      <c r="M371" s="324" t="s">
        <v>34</v>
      </c>
    </row>
    <row r="372" spans="1:13" s="133" customFormat="1" ht="15" customHeight="1" x14ac:dyDescent="0.25">
      <c r="A372" s="332">
        <v>82</v>
      </c>
      <c r="B372" s="332">
        <v>58649</v>
      </c>
      <c r="C372" s="339" t="s">
        <v>2394</v>
      </c>
      <c r="D372" s="332" t="s">
        <v>2318</v>
      </c>
      <c r="E372" s="340" t="s">
        <v>577</v>
      </c>
      <c r="F372" s="341" t="s">
        <v>368</v>
      </c>
      <c r="G372" s="342"/>
      <c r="H372" s="343">
        <v>41544</v>
      </c>
      <c r="I372" s="332">
        <v>1</v>
      </c>
      <c r="J372" s="344">
        <v>25800</v>
      </c>
      <c r="K372" s="344">
        <v>25800</v>
      </c>
      <c r="L372" s="338" t="s">
        <v>614</v>
      </c>
      <c r="M372" s="324" t="s">
        <v>34</v>
      </c>
    </row>
    <row r="373" spans="1:13" s="133" customFormat="1" ht="15" customHeight="1" x14ac:dyDescent="0.25">
      <c r="A373" s="332">
        <v>83</v>
      </c>
      <c r="B373" s="332">
        <v>59110</v>
      </c>
      <c r="C373" s="339" t="s">
        <v>2395</v>
      </c>
      <c r="D373" s="332" t="s">
        <v>1022</v>
      </c>
      <c r="E373" s="340" t="s">
        <v>577</v>
      </c>
      <c r="F373" s="341" t="s">
        <v>368</v>
      </c>
      <c r="G373" s="342"/>
      <c r="H373" s="343">
        <v>41547</v>
      </c>
      <c r="I373" s="332">
        <v>1</v>
      </c>
      <c r="J373" s="344">
        <v>25800</v>
      </c>
      <c r="K373" s="344">
        <v>25800</v>
      </c>
      <c r="L373" s="338" t="s">
        <v>614</v>
      </c>
      <c r="M373" s="324" t="s">
        <v>34</v>
      </c>
    </row>
    <row r="374" spans="1:13" s="133" customFormat="1" ht="15" customHeight="1" x14ac:dyDescent="0.25">
      <c r="A374" s="331">
        <v>84</v>
      </c>
      <c r="B374" s="331">
        <v>58729</v>
      </c>
      <c r="C374" s="333" t="s">
        <v>2396</v>
      </c>
      <c r="D374" s="331" t="s">
        <v>2318</v>
      </c>
      <c r="E374" s="334" t="s">
        <v>577</v>
      </c>
      <c r="F374" s="335" t="s">
        <v>368</v>
      </c>
      <c r="G374" s="336"/>
      <c r="H374" s="337">
        <v>41547</v>
      </c>
      <c r="I374" s="331">
        <v>1</v>
      </c>
      <c r="J374" s="326">
        <v>25800</v>
      </c>
      <c r="K374" s="326">
        <v>25800</v>
      </c>
      <c r="L374" s="338" t="s">
        <v>614</v>
      </c>
      <c r="M374" s="324" t="s">
        <v>34</v>
      </c>
    </row>
    <row r="375" spans="1:13" s="133" customFormat="1" ht="15" customHeight="1" x14ac:dyDescent="0.25">
      <c r="A375" s="332">
        <v>85</v>
      </c>
      <c r="B375" s="332">
        <v>58756</v>
      </c>
      <c r="C375" s="339" t="s">
        <v>2397</v>
      </c>
      <c r="D375" s="332" t="s">
        <v>411</v>
      </c>
      <c r="E375" s="340" t="s">
        <v>679</v>
      </c>
      <c r="F375" s="341" t="s">
        <v>368</v>
      </c>
      <c r="G375" s="342" t="s">
        <v>2132</v>
      </c>
      <c r="H375" s="343">
        <v>41545</v>
      </c>
      <c r="I375" s="332">
        <v>1</v>
      </c>
      <c r="J375" s="344">
        <v>55058</v>
      </c>
      <c r="K375" s="344">
        <v>55058</v>
      </c>
      <c r="L375" s="338" t="s">
        <v>614</v>
      </c>
      <c r="M375" s="324" t="s">
        <v>34</v>
      </c>
    </row>
    <row r="376" spans="1:13" s="133" customFormat="1" ht="15" customHeight="1" thickBot="1" x14ac:dyDescent="0.3">
      <c r="A376" s="345">
        <v>86</v>
      </c>
      <c r="B376" s="345">
        <v>59331</v>
      </c>
      <c r="C376" s="346" t="s">
        <v>2398</v>
      </c>
      <c r="D376" s="345" t="s">
        <v>2347</v>
      </c>
      <c r="E376" s="347" t="s">
        <v>577</v>
      </c>
      <c r="F376" s="348" t="s">
        <v>368</v>
      </c>
      <c r="G376" s="349"/>
      <c r="H376" s="350">
        <v>41547</v>
      </c>
      <c r="I376" s="345">
        <v>1</v>
      </c>
      <c r="J376" s="351">
        <v>25800</v>
      </c>
      <c r="K376" s="351">
        <v>25800</v>
      </c>
      <c r="L376" s="352" t="s">
        <v>614</v>
      </c>
      <c r="M376" s="324" t="s">
        <v>34</v>
      </c>
    </row>
    <row r="377" spans="1:13" s="133" customFormat="1" ht="15" customHeight="1" thickTop="1" x14ac:dyDescent="0.25">
      <c r="A377" s="273">
        <v>87</v>
      </c>
      <c r="B377" s="273">
        <v>59914</v>
      </c>
      <c r="C377" s="274" t="s">
        <v>2399</v>
      </c>
      <c r="D377" s="273" t="s">
        <v>2318</v>
      </c>
      <c r="E377" s="275" t="s">
        <v>577</v>
      </c>
      <c r="F377" s="276" t="s">
        <v>368</v>
      </c>
      <c r="G377" s="277"/>
      <c r="H377" s="278">
        <v>41549</v>
      </c>
      <c r="I377" s="273">
        <v>1</v>
      </c>
      <c r="J377" s="353">
        <v>25800</v>
      </c>
      <c r="K377" s="354">
        <v>25800</v>
      </c>
      <c r="L377" s="225" t="s">
        <v>617</v>
      </c>
      <c r="M377" s="324" t="s">
        <v>34</v>
      </c>
    </row>
    <row r="378" spans="1:13" s="133" customFormat="1" ht="15" customHeight="1" x14ac:dyDescent="0.25">
      <c r="A378" s="121">
        <v>88</v>
      </c>
      <c r="B378" s="273">
        <v>60390</v>
      </c>
      <c r="C378" s="274" t="s">
        <v>2400</v>
      </c>
      <c r="D378" s="273" t="s">
        <v>2401</v>
      </c>
      <c r="E378" s="275" t="s">
        <v>215</v>
      </c>
      <c r="F378" s="276" t="s">
        <v>368</v>
      </c>
      <c r="G378" s="277"/>
      <c r="H378" s="278">
        <v>41550</v>
      </c>
      <c r="I378" s="273">
        <v>1</v>
      </c>
      <c r="J378" s="353">
        <v>44597</v>
      </c>
      <c r="K378" s="354">
        <v>44597</v>
      </c>
      <c r="L378" s="225" t="s">
        <v>617</v>
      </c>
      <c r="M378" s="324" t="s">
        <v>34</v>
      </c>
    </row>
    <row r="379" spans="1:13" s="133" customFormat="1" ht="15" customHeight="1" x14ac:dyDescent="0.25">
      <c r="A379" s="121">
        <v>89</v>
      </c>
      <c r="B379" s="232">
        <v>60863</v>
      </c>
      <c r="C379" s="233" t="s">
        <v>2402</v>
      </c>
      <c r="D379" s="232" t="s">
        <v>1022</v>
      </c>
      <c r="E379" s="234" t="s">
        <v>577</v>
      </c>
      <c r="F379" s="235" t="s">
        <v>368</v>
      </c>
      <c r="G379" s="355"/>
      <c r="H379" s="237">
        <v>41551</v>
      </c>
      <c r="I379" s="232">
        <v>1</v>
      </c>
      <c r="J379" s="356">
        <v>25800</v>
      </c>
      <c r="K379" s="354">
        <v>25800</v>
      </c>
      <c r="L379" s="225" t="s">
        <v>617</v>
      </c>
      <c r="M379" s="324" t="s">
        <v>34</v>
      </c>
    </row>
    <row r="380" spans="1:13" s="133" customFormat="1" ht="15" customHeight="1" x14ac:dyDescent="0.25">
      <c r="A380" s="121">
        <v>90</v>
      </c>
      <c r="B380" s="232">
        <v>62160</v>
      </c>
      <c r="C380" s="233" t="s">
        <v>2403</v>
      </c>
      <c r="D380" s="232" t="s">
        <v>2347</v>
      </c>
      <c r="E380" s="234" t="s">
        <v>577</v>
      </c>
      <c r="F380" s="235" t="s">
        <v>368</v>
      </c>
      <c r="G380" s="355"/>
      <c r="H380" s="237">
        <v>41557</v>
      </c>
      <c r="I380" s="232">
        <v>1</v>
      </c>
      <c r="J380" s="356">
        <v>25800</v>
      </c>
      <c r="K380" s="354">
        <v>25800</v>
      </c>
      <c r="L380" s="225" t="s">
        <v>617</v>
      </c>
      <c r="M380" s="324" t="s">
        <v>34</v>
      </c>
    </row>
    <row r="381" spans="1:13" s="133" customFormat="1" ht="15" customHeight="1" x14ac:dyDescent="0.25">
      <c r="A381" s="121">
        <v>91</v>
      </c>
      <c r="B381" s="232">
        <v>61052</v>
      </c>
      <c r="C381" s="233" t="s">
        <v>2404</v>
      </c>
      <c r="D381" s="232" t="s">
        <v>2347</v>
      </c>
      <c r="E381" s="234" t="s">
        <v>577</v>
      </c>
      <c r="F381" s="235" t="s">
        <v>368</v>
      </c>
      <c r="G381" s="355"/>
      <c r="H381" s="237">
        <v>41554</v>
      </c>
      <c r="I381" s="232">
        <v>1</v>
      </c>
      <c r="J381" s="356">
        <v>25800</v>
      </c>
      <c r="K381" s="354">
        <v>25800</v>
      </c>
      <c r="L381" s="225" t="s">
        <v>617</v>
      </c>
      <c r="M381" s="324" t="s">
        <v>34</v>
      </c>
    </row>
    <row r="382" spans="1:13" s="133" customFormat="1" ht="15" customHeight="1" x14ac:dyDescent="0.25">
      <c r="A382" s="121">
        <v>92</v>
      </c>
      <c r="B382" s="232">
        <v>61256</v>
      </c>
      <c r="C382" s="233" t="s">
        <v>2405</v>
      </c>
      <c r="D382" s="232" t="s">
        <v>2347</v>
      </c>
      <c r="E382" s="234" t="s">
        <v>577</v>
      </c>
      <c r="F382" s="235" t="s">
        <v>368</v>
      </c>
      <c r="G382" s="355"/>
      <c r="H382" s="237">
        <v>41555</v>
      </c>
      <c r="I382" s="232">
        <v>1</v>
      </c>
      <c r="J382" s="356">
        <v>25800</v>
      </c>
      <c r="K382" s="354">
        <v>25800</v>
      </c>
      <c r="L382" s="225" t="s">
        <v>617</v>
      </c>
      <c r="M382" s="324" t="s">
        <v>34</v>
      </c>
    </row>
    <row r="383" spans="1:13" s="133" customFormat="1" ht="15" customHeight="1" x14ac:dyDescent="0.25">
      <c r="A383" s="121">
        <v>93</v>
      </c>
      <c r="B383" s="232">
        <v>61621</v>
      </c>
      <c r="C383" s="233" t="s">
        <v>2406</v>
      </c>
      <c r="D383" s="232" t="s">
        <v>411</v>
      </c>
      <c r="E383" s="234" t="s">
        <v>114</v>
      </c>
      <c r="F383" s="235" t="s">
        <v>2407</v>
      </c>
      <c r="G383" s="355" t="s">
        <v>2133</v>
      </c>
      <c r="H383" s="237">
        <v>41555</v>
      </c>
      <c r="I383" s="232">
        <v>2</v>
      </c>
      <c r="J383" s="356">
        <v>33370</v>
      </c>
      <c r="K383" s="354">
        <v>66740</v>
      </c>
      <c r="L383" s="225" t="s">
        <v>617</v>
      </c>
      <c r="M383" s="324" t="s">
        <v>34</v>
      </c>
    </row>
    <row r="384" spans="1:13" s="133" customFormat="1" ht="15" customHeight="1" x14ac:dyDescent="0.25">
      <c r="A384" s="121">
        <v>94</v>
      </c>
      <c r="B384" s="232">
        <v>62968</v>
      </c>
      <c r="C384" s="233" t="s">
        <v>2408</v>
      </c>
      <c r="D384" s="232" t="s">
        <v>2347</v>
      </c>
      <c r="E384" s="234" t="s">
        <v>577</v>
      </c>
      <c r="F384" s="235" t="s">
        <v>368</v>
      </c>
      <c r="G384" s="355"/>
      <c r="H384" s="237">
        <v>41561</v>
      </c>
      <c r="I384" s="232">
        <v>1</v>
      </c>
      <c r="J384" s="356">
        <v>25800</v>
      </c>
      <c r="K384" s="354">
        <v>25800</v>
      </c>
      <c r="L384" s="225" t="s">
        <v>617</v>
      </c>
      <c r="M384" s="324" t="s">
        <v>34</v>
      </c>
    </row>
    <row r="385" spans="1:13" s="133" customFormat="1" ht="15" customHeight="1" x14ac:dyDescent="0.25">
      <c r="A385" s="121">
        <v>95</v>
      </c>
      <c r="B385" s="232">
        <v>63216</v>
      </c>
      <c r="C385" s="233" t="s">
        <v>2409</v>
      </c>
      <c r="D385" s="232" t="s">
        <v>1017</v>
      </c>
      <c r="E385" s="234" t="s">
        <v>1008</v>
      </c>
      <c r="F385" s="235" t="s">
        <v>384</v>
      </c>
      <c r="G385" s="355"/>
      <c r="H385" s="237">
        <v>41562</v>
      </c>
      <c r="I385" s="232">
        <v>2</v>
      </c>
      <c r="J385" s="356">
        <v>9129</v>
      </c>
      <c r="K385" s="354">
        <v>18258</v>
      </c>
      <c r="L385" s="225" t="s">
        <v>617</v>
      </c>
      <c r="M385" s="324" t="s">
        <v>34</v>
      </c>
    </row>
    <row r="386" spans="1:13" s="133" customFormat="1" ht="15" customHeight="1" x14ac:dyDescent="0.25">
      <c r="A386" s="121">
        <v>96</v>
      </c>
      <c r="B386" s="232">
        <v>63087</v>
      </c>
      <c r="C386" s="233" t="s">
        <v>2346</v>
      </c>
      <c r="D386" s="232" t="s">
        <v>2347</v>
      </c>
      <c r="E386" s="234" t="s">
        <v>577</v>
      </c>
      <c r="F386" s="235" t="s">
        <v>368</v>
      </c>
      <c r="G386" s="355"/>
      <c r="H386" s="237">
        <v>41561</v>
      </c>
      <c r="I386" s="232">
        <v>1</v>
      </c>
      <c r="J386" s="356">
        <v>25800</v>
      </c>
      <c r="K386" s="354">
        <v>25800</v>
      </c>
      <c r="L386" s="225" t="s">
        <v>617</v>
      </c>
      <c r="M386" s="324" t="s">
        <v>34</v>
      </c>
    </row>
    <row r="387" spans="1:13" s="133" customFormat="1" ht="15" customHeight="1" x14ac:dyDescent="0.25">
      <c r="A387" s="121">
        <v>97</v>
      </c>
      <c r="B387" s="232">
        <v>64056</v>
      </c>
      <c r="C387" s="233" t="s">
        <v>2410</v>
      </c>
      <c r="D387" s="232" t="s">
        <v>2411</v>
      </c>
      <c r="E387" s="234" t="s">
        <v>577</v>
      </c>
      <c r="F387" s="235" t="s">
        <v>368</v>
      </c>
      <c r="G387" s="355"/>
      <c r="H387" s="237">
        <v>41564</v>
      </c>
      <c r="I387" s="232">
        <v>1</v>
      </c>
      <c r="J387" s="356">
        <v>25800</v>
      </c>
      <c r="K387" s="354">
        <v>25800</v>
      </c>
      <c r="L387" s="225" t="s">
        <v>617</v>
      </c>
      <c r="M387" s="324" t="s">
        <v>34</v>
      </c>
    </row>
    <row r="388" spans="1:13" s="133" customFormat="1" ht="15" customHeight="1" x14ac:dyDescent="0.25">
      <c r="A388" s="121">
        <v>98</v>
      </c>
      <c r="B388" s="232">
        <v>64648</v>
      </c>
      <c r="C388" s="233" t="s">
        <v>2412</v>
      </c>
      <c r="D388" s="232" t="s">
        <v>1022</v>
      </c>
      <c r="E388" s="234" t="s">
        <v>577</v>
      </c>
      <c r="F388" s="235" t="s">
        <v>368</v>
      </c>
      <c r="G388" s="355"/>
      <c r="H388" s="237">
        <v>41565</v>
      </c>
      <c r="I388" s="232">
        <v>1</v>
      </c>
      <c r="J388" s="356">
        <v>25800</v>
      </c>
      <c r="K388" s="354">
        <v>25800</v>
      </c>
      <c r="L388" s="225" t="s">
        <v>617</v>
      </c>
      <c r="M388" s="324" t="s">
        <v>34</v>
      </c>
    </row>
    <row r="389" spans="1:13" s="133" customFormat="1" ht="15" customHeight="1" x14ac:dyDescent="0.25">
      <c r="A389" s="121">
        <v>99</v>
      </c>
      <c r="B389" s="232">
        <v>65081</v>
      </c>
      <c r="C389" s="233" t="s">
        <v>2413</v>
      </c>
      <c r="D389" s="232" t="s">
        <v>1017</v>
      </c>
      <c r="E389" s="234" t="s">
        <v>577</v>
      </c>
      <c r="F389" s="235" t="s">
        <v>368</v>
      </c>
      <c r="G389" s="355"/>
      <c r="H389" s="237">
        <v>41569</v>
      </c>
      <c r="I389" s="232">
        <v>1</v>
      </c>
      <c r="J389" s="356">
        <v>25800</v>
      </c>
      <c r="K389" s="354">
        <v>25800</v>
      </c>
      <c r="L389" s="225" t="s">
        <v>617</v>
      </c>
      <c r="M389" s="324" t="s">
        <v>34</v>
      </c>
    </row>
    <row r="390" spans="1:13" s="133" customFormat="1" ht="15" customHeight="1" x14ac:dyDescent="0.25">
      <c r="A390" s="121">
        <v>100</v>
      </c>
      <c r="B390" s="232">
        <v>65377</v>
      </c>
      <c r="C390" s="233" t="s">
        <v>2414</v>
      </c>
      <c r="D390" s="232" t="s">
        <v>2318</v>
      </c>
      <c r="E390" s="234" t="s">
        <v>1008</v>
      </c>
      <c r="F390" s="235" t="s">
        <v>2415</v>
      </c>
      <c r="G390" s="355"/>
      <c r="H390" s="237">
        <v>41569</v>
      </c>
      <c r="I390" s="232">
        <v>2</v>
      </c>
      <c r="J390" s="356">
        <v>9129</v>
      </c>
      <c r="K390" s="354">
        <v>18258</v>
      </c>
      <c r="L390" s="225" t="s">
        <v>617</v>
      </c>
      <c r="M390" s="324" t="s">
        <v>34</v>
      </c>
    </row>
    <row r="391" spans="1:13" s="133" customFormat="1" ht="15" customHeight="1" x14ac:dyDescent="0.25">
      <c r="A391" s="121">
        <v>103</v>
      </c>
      <c r="B391" s="273">
        <v>80315</v>
      </c>
      <c r="C391" s="274" t="s">
        <v>2326</v>
      </c>
      <c r="D391" s="273" t="s">
        <v>1011</v>
      </c>
      <c r="E391" s="275" t="s">
        <v>186</v>
      </c>
      <c r="F391" s="276" t="s">
        <v>2416</v>
      </c>
      <c r="G391" s="277"/>
      <c r="H391" s="278">
        <v>41620</v>
      </c>
      <c r="I391" s="273">
        <v>4</v>
      </c>
      <c r="J391" s="353">
        <v>42601</v>
      </c>
      <c r="K391" s="357" t="s">
        <v>1015</v>
      </c>
      <c r="L391" s="358" t="s">
        <v>620</v>
      </c>
      <c r="M391" s="324" t="s">
        <v>34</v>
      </c>
    </row>
    <row r="392" spans="1:13" s="133" customFormat="1" ht="15" customHeight="1" x14ac:dyDescent="0.25">
      <c r="A392" s="302"/>
      <c r="B392" s="303"/>
      <c r="C392" s="304"/>
      <c r="D392" s="303"/>
      <c r="E392" s="303"/>
      <c r="F392" s="307"/>
      <c r="G392" s="307"/>
      <c r="H392" s="216"/>
      <c r="I392" s="303"/>
      <c r="J392" s="303"/>
      <c r="K392" s="216"/>
      <c r="L392" s="216"/>
      <c r="M392" s="315"/>
    </row>
    <row r="393" spans="1:13" s="133" customFormat="1" ht="15" customHeight="1" x14ac:dyDescent="0.25">
      <c r="A393" s="302"/>
      <c r="B393" s="303"/>
      <c r="C393" s="304"/>
      <c r="D393" s="303"/>
      <c r="E393" s="305" t="s">
        <v>2297</v>
      </c>
      <c r="F393" s="306">
        <v>3624379</v>
      </c>
      <c r="G393" s="307"/>
      <c r="H393" s="216"/>
      <c r="I393" s="303"/>
      <c r="J393" s="359" t="s">
        <v>2057</v>
      </c>
      <c r="K393" s="308">
        <v>3768555</v>
      </c>
      <c r="L393" s="309"/>
      <c r="M393" s="310" t="s">
        <v>2298</v>
      </c>
    </row>
    <row r="394" spans="1:13" s="133" customFormat="1" ht="15" customHeight="1" x14ac:dyDescent="0.25">
      <c r="A394" s="302"/>
      <c r="B394" s="303"/>
      <c r="C394" s="304"/>
      <c r="D394" s="303"/>
      <c r="E394" s="305" t="s">
        <v>2299</v>
      </c>
      <c r="F394" s="311">
        <v>472981.4595</v>
      </c>
      <c r="G394" s="307"/>
      <c r="H394" s="216"/>
      <c r="I394" s="303"/>
      <c r="J394" s="360" t="s">
        <v>2300</v>
      </c>
      <c r="K394" s="312">
        <v>0</v>
      </c>
      <c r="L394" s="313"/>
      <c r="M394" s="314"/>
    </row>
    <row r="395" spans="1:13" s="133" customFormat="1" ht="15" customHeight="1" x14ac:dyDescent="0.25">
      <c r="A395" s="302"/>
      <c r="B395" s="303"/>
      <c r="C395" s="304"/>
      <c r="D395" s="303"/>
      <c r="E395" s="216"/>
      <c r="F395" s="216"/>
      <c r="G395" s="307"/>
      <c r="H395" s="216"/>
      <c r="I395" s="303"/>
      <c r="J395" s="361"/>
      <c r="K395" s="361"/>
      <c r="L395" s="361"/>
      <c r="M395" s="314"/>
    </row>
    <row r="396" spans="1:13" s="133" customFormat="1" ht="36.75" customHeight="1" x14ac:dyDescent="0.25">
      <c r="A396" s="685" t="s">
        <v>2417</v>
      </c>
      <c r="B396" s="685"/>
      <c r="C396" s="685"/>
      <c r="D396" s="685"/>
      <c r="E396" s="685"/>
      <c r="F396" s="685"/>
      <c r="G396" s="685"/>
      <c r="H396" s="685"/>
      <c r="I396" s="685"/>
      <c r="J396" s="685"/>
      <c r="K396" s="685"/>
      <c r="L396" s="685"/>
      <c r="M396" s="685"/>
    </row>
    <row r="397" spans="1:13" s="133" customFormat="1" ht="15" customHeight="1" x14ac:dyDescent="0.25">
      <c r="A397" s="222" t="s">
        <v>2048</v>
      </c>
      <c r="B397" s="222" t="s">
        <v>97</v>
      </c>
      <c r="C397" s="222" t="s">
        <v>2049</v>
      </c>
      <c r="D397" s="222" t="s">
        <v>2050</v>
      </c>
      <c r="E397" s="222" t="s">
        <v>2051</v>
      </c>
      <c r="F397" s="222" t="s">
        <v>2052</v>
      </c>
      <c r="G397" s="222" t="s">
        <v>2053</v>
      </c>
      <c r="H397" s="223" t="s">
        <v>2054</v>
      </c>
      <c r="I397" s="222" t="s">
        <v>2055</v>
      </c>
      <c r="J397" s="222" t="s">
        <v>2056</v>
      </c>
      <c r="K397" s="222" t="s">
        <v>2057</v>
      </c>
      <c r="L397" s="222" t="s">
        <v>2058</v>
      </c>
      <c r="M397" s="222" t="s">
        <v>2302</v>
      </c>
    </row>
    <row r="398" spans="1:13" s="133" customFormat="1" ht="15" customHeight="1" x14ac:dyDescent="0.25">
      <c r="A398" s="173">
        <v>1</v>
      </c>
      <c r="B398" s="173">
        <v>36395</v>
      </c>
      <c r="C398" s="171" t="s">
        <v>2418</v>
      </c>
      <c r="D398" s="173" t="s">
        <v>473</v>
      </c>
      <c r="E398" s="171" t="s">
        <v>115</v>
      </c>
      <c r="F398" s="176" t="s">
        <v>407</v>
      </c>
      <c r="G398" s="176" t="s">
        <v>2064</v>
      </c>
      <c r="H398" s="174">
        <v>41450</v>
      </c>
      <c r="I398" s="173">
        <v>1</v>
      </c>
      <c r="J398" s="362">
        <v>5274</v>
      </c>
      <c r="K398" s="362">
        <v>5274</v>
      </c>
      <c r="L398" s="225" t="s">
        <v>605</v>
      </c>
      <c r="M398" s="129" t="s">
        <v>36</v>
      </c>
    </row>
    <row r="399" spans="1:13" s="133" customFormat="1" ht="15" customHeight="1" thickBot="1" x14ac:dyDescent="0.3">
      <c r="A399" s="227">
        <v>2</v>
      </c>
      <c r="B399" s="227">
        <v>36906</v>
      </c>
      <c r="C399" s="228" t="s">
        <v>2239</v>
      </c>
      <c r="D399" s="227" t="s">
        <v>473</v>
      </c>
      <c r="E399" s="228" t="s">
        <v>534</v>
      </c>
      <c r="F399" s="229" t="s">
        <v>416</v>
      </c>
      <c r="G399" s="229" t="s">
        <v>551</v>
      </c>
      <c r="H399" s="230">
        <v>41451</v>
      </c>
      <c r="I399" s="227">
        <v>1</v>
      </c>
      <c r="J399" s="363">
        <v>30429</v>
      </c>
      <c r="K399" s="363">
        <v>30429</v>
      </c>
      <c r="L399" s="225" t="s">
        <v>605</v>
      </c>
      <c r="M399" s="129" t="s">
        <v>36</v>
      </c>
    </row>
    <row r="400" spans="1:13" s="133" customFormat="1" ht="15" customHeight="1" thickTop="1" x14ac:dyDescent="0.25">
      <c r="A400" s="364">
        <v>3</v>
      </c>
      <c r="B400" s="332">
        <v>39555</v>
      </c>
      <c r="C400" s="339" t="s">
        <v>2419</v>
      </c>
      <c r="D400" s="332" t="s">
        <v>473</v>
      </c>
      <c r="E400" s="340" t="s">
        <v>115</v>
      </c>
      <c r="F400" s="341" t="s">
        <v>2420</v>
      </c>
      <c r="G400" s="342"/>
      <c r="H400" s="343">
        <v>41464</v>
      </c>
      <c r="I400" s="332">
        <v>2</v>
      </c>
      <c r="J400" s="344">
        <v>5274</v>
      </c>
      <c r="K400" s="344">
        <v>10548</v>
      </c>
      <c r="L400" s="225" t="s">
        <v>757</v>
      </c>
      <c r="M400" s="129" t="s">
        <v>36</v>
      </c>
    </row>
    <row r="401" spans="1:13" s="133" customFormat="1" ht="15" customHeight="1" x14ac:dyDescent="0.25">
      <c r="A401" s="365">
        <v>4</v>
      </c>
      <c r="B401" s="331">
        <v>38133</v>
      </c>
      <c r="C401" s="333" t="s">
        <v>2421</v>
      </c>
      <c r="D401" s="331" t="s">
        <v>473</v>
      </c>
      <c r="E401" s="334" t="s">
        <v>574</v>
      </c>
      <c r="F401" s="335" t="s">
        <v>524</v>
      </c>
      <c r="G401" s="336" t="s">
        <v>551</v>
      </c>
      <c r="H401" s="337">
        <v>41457</v>
      </c>
      <c r="I401" s="331">
        <v>1</v>
      </c>
      <c r="J401" s="326">
        <v>49701</v>
      </c>
      <c r="K401" s="326">
        <v>49701</v>
      </c>
      <c r="L401" s="225" t="s">
        <v>757</v>
      </c>
      <c r="M401" s="129" t="s">
        <v>36</v>
      </c>
    </row>
    <row r="402" spans="1:13" s="133" customFormat="1" ht="15" customHeight="1" x14ac:dyDescent="0.25">
      <c r="A402" s="365">
        <v>5</v>
      </c>
      <c r="B402" s="331">
        <v>39801</v>
      </c>
      <c r="C402" s="333" t="s">
        <v>2422</v>
      </c>
      <c r="D402" s="331" t="s">
        <v>473</v>
      </c>
      <c r="E402" s="334" t="s">
        <v>577</v>
      </c>
      <c r="F402" s="335" t="s">
        <v>368</v>
      </c>
      <c r="G402" s="336"/>
      <c r="H402" s="337">
        <v>41464</v>
      </c>
      <c r="I402" s="331">
        <v>1</v>
      </c>
      <c r="J402" s="326">
        <v>25800</v>
      </c>
      <c r="K402" s="326">
        <v>25800</v>
      </c>
      <c r="L402" s="225" t="s">
        <v>757</v>
      </c>
      <c r="M402" s="129" t="s">
        <v>36</v>
      </c>
    </row>
    <row r="403" spans="1:13" s="133" customFormat="1" ht="15" customHeight="1" x14ac:dyDescent="0.25">
      <c r="A403" s="365">
        <v>6</v>
      </c>
      <c r="B403" s="331">
        <v>42243</v>
      </c>
      <c r="C403" s="333" t="s">
        <v>2423</v>
      </c>
      <c r="D403" s="331" t="s">
        <v>473</v>
      </c>
      <c r="E403" s="334" t="s">
        <v>114</v>
      </c>
      <c r="F403" s="335" t="s">
        <v>469</v>
      </c>
      <c r="G403" s="336" t="s">
        <v>2424</v>
      </c>
      <c r="H403" s="337">
        <v>41477</v>
      </c>
      <c r="I403" s="331">
        <v>1</v>
      </c>
      <c r="J403" s="326">
        <v>33370</v>
      </c>
      <c r="K403" s="326">
        <v>33370</v>
      </c>
      <c r="L403" s="225" t="s">
        <v>757</v>
      </c>
      <c r="M403" s="129" t="s">
        <v>36</v>
      </c>
    </row>
    <row r="404" spans="1:13" s="133" customFormat="1" ht="15" customHeight="1" x14ac:dyDescent="0.25">
      <c r="A404" s="365">
        <v>7</v>
      </c>
      <c r="B404" s="331">
        <v>42265</v>
      </c>
      <c r="C404" s="333" t="s">
        <v>2425</v>
      </c>
      <c r="D404" s="331" t="s">
        <v>473</v>
      </c>
      <c r="E404" s="334" t="s">
        <v>114</v>
      </c>
      <c r="F404" s="335" t="s">
        <v>416</v>
      </c>
      <c r="G404" s="336" t="s">
        <v>1963</v>
      </c>
      <c r="H404" s="337">
        <v>41474</v>
      </c>
      <c r="I404" s="331">
        <v>1</v>
      </c>
      <c r="J404" s="326">
        <v>33370</v>
      </c>
      <c r="K404" s="326">
        <v>33370</v>
      </c>
      <c r="L404" s="225" t="s">
        <v>757</v>
      </c>
      <c r="M404" s="129" t="s">
        <v>36</v>
      </c>
    </row>
    <row r="405" spans="1:13" s="133" customFormat="1" ht="15" customHeight="1" x14ac:dyDescent="0.25">
      <c r="A405" s="365">
        <v>8</v>
      </c>
      <c r="B405" s="331">
        <v>38169</v>
      </c>
      <c r="C405" s="333" t="s">
        <v>2426</v>
      </c>
      <c r="D405" s="331" t="s">
        <v>473</v>
      </c>
      <c r="E405" s="334" t="s">
        <v>115</v>
      </c>
      <c r="F405" s="335" t="s">
        <v>416</v>
      </c>
      <c r="G405" s="336" t="s">
        <v>2064</v>
      </c>
      <c r="H405" s="337">
        <v>41457</v>
      </c>
      <c r="I405" s="331">
        <v>1</v>
      </c>
      <c r="J405" s="326">
        <v>5274</v>
      </c>
      <c r="K405" s="326">
        <v>5274</v>
      </c>
      <c r="L405" s="225" t="s">
        <v>757</v>
      </c>
      <c r="M405" s="129" t="s">
        <v>36</v>
      </c>
    </row>
    <row r="406" spans="1:13" s="133" customFormat="1" ht="15" customHeight="1" x14ac:dyDescent="0.25">
      <c r="A406" s="365">
        <v>9</v>
      </c>
      <c r="B406" s="331">
        <v>38169</v>
      </c>
      <c r="C406" s="333" t="s">
        <v>2426</v>
      </c>
      <c r="D406" s="331" t="s">
        <v>473</v>
      </c>
      <c r="E406" s="334" t="s">
        <v>534</v>
      </c>
      <c r="F406" s="335" t="s">
        <v>559</v>
      </c>
      <c r="G406" s="336" t="s">
        <v>551</v>
      </c>
      <c r="H406" s="337">
        <v>41457</v>
      </c>
      <c r="I406" s="331">
        <v>1</v>
      </c>
      <c r="J406" s="326">
        <v>30429</v>
      </c>
      <c r="K406" s="326">
        <v>30429</v>
      </c>
      <c r="L406" s="225" t="s">
        <v>757</v>
      </c>
      <c r="M406" s="129" t="s">
        <v>36</v>
      </c>
    </row>
    <row r="407" spans="1:13" s="133" customFormat="1" ht="15" customHeight="1" x14ac:dyDescent="0.25">
      <c r="A407" s="365">
        <v>10</v>
      </c>
      <c r="B407" s="331">
        <v>37925</v>
      </c>
      <c r="C407" s="333" t="s">
        <v>2427</v>
      </c>
      <c r="D407" s="331" t="s">
        <v>481</v>
      </c>
      <c r="E407" s="334" t="s">
        <v>115</v>
      </c>
      <c r="F407" s="335" t="s">
        <v>412</v>
      </c>
      <c r="G407" s="336" t="s">
        <v>2064</v>
      </c>
      <c r="H407" s="337">
        <v>41457</v>
      </c>
      <c r="I407" s="331">
        <v>1</v>
      </c>
      <c r="J407" s="326">
        <v>5274</v>
      </c>
      <c r="K407" s="326">
        <v>5274</v>
      </c>
      <c r="L407" s="225" t="s">
        <v>757</v>
      </c>
      <c r="M407" s="129" t="s">
        <v>36</v>
      </c>
    </row>
    <row r="408" spans="1:13" s="133" customFormat="1" ht="15" customHeight="1" x14ac:dyDescent="0.25">
      <c r="A408" s="365">
        <v>11</v>
      </c>
      <c r="B408" s="331">
        <v>40616</v>
      </c>
      <c r="C408" s="333" t="s">
        <v>2428</v>
      </c>
      <c r="D408" s="331" t="s">
        <v>473</v>
      </c>
      <c r="E408" s="334" t="s">
        <v>574</v>
      </c>
      <c r="F408" s="335" t="s">
        <v>428</v>
      </c>
      <c r="G408" s="336" t="s">
        <v>551</v>
      </c>
      <c r="H408" s="337">
        <v>41467</v>
      </c>
      <c r="I408" s="331">
        <v>1</v>
      </c>
      <c r="J408" s="326">
        <v>49701</v>
      </c>
      <c r="K408" s="326">
        <v>49701</v>
      </c>
      <c r="L408" s="225" t="s">
        <v>757</v>
      </c>
      <c r="M408" s="129" t="s">
        <v>36</v>
      </c>
    </row>
    <row r="409" spans="1:13" s="133" customFormat="1" ht="15" customHeight="1" x14ac:dyDescent="0.25">
      <c r="A409" s="365">
        <v>12</v>
      </c>
      <c r="B409" s="331">
        <v>43450</v>
      </c>
      <c r="C409" s="333" t="s">
        <v>2429</v>
      </c>
      <c r="D409" s="331" t="s">
        <v>473</v>
      </c>
      <c r="E409" s="334" t="s">
        <v>115</v>
      </c>
      <c r="F409" s="335" t="s">
        <v>439</v>
      </c>
      <c r="G409" s="336" t="s">
        <v>2064</v>
      </c>
      <c r="H409" s="337">
        <v>41484</v>
      </c>
      <c r="I409" s="331">
        <v>1</v>
      </c>
      <c r="J409" s="326">
        <v>5274</v>
      </c>
      <c r="K409" s="326">
        <v>5274</v>
      </c>
      <c r="L409" s="225" t="s">
        <v>757</v>
      </c>
      <c r="M409" s="129" t="s">
        <v>36</v>
      </c>
    </row>
    <row r="410" spans="1:13" s="133" customFormat="1" ht="15" customHeight="1" x14ac:dyDescent="0.25">
      <c r="A410" s="365">
        <v>13</v>
      </c>
      <c r="B410" s="331">
        <v>40159</v>
      </c>
      <c r="C410" s="333" t="s">
        <v>2430</v>
      </c>
      <c r="D410" s="331" t="s">
        <v>481</v>
      </c>
      <c r="E410" s="334" t="s">
        <v>114</v>
      </c>
      <c r="F410" s="335" t="s">
        <v>524</v>
      </c>
      <c r="G410" s="336" t="s">
        <v>2094</v>
      </c>
      <c r="H410" s="337">
        <v>41465</v>
      </c>
      <c r="I410" s="331">
        <v>1</v>
      </c>
      <c r="J410" s="326">
        <v>33370</v>
      </c>
      <c r="K410" s="326">
        <v>33370</v>
      </c>
      <c r="L410" s="225" t="s">
        <v>757</v>
      </c>
      <c r="M410" s="129" t="s">
        <v>36</v>
      </c>
    </row>
    <row r="411" spans="1:13" s="133" customFormat="1" ht="15" customHeight="1" x14ac:dyDescent="0.25">
      <c r="A411" s="365">
        <v>14</v>
      </c>
      <c r="B411" s="331">
        <v>37680</v>
      </c>
      <c r="C411" s="333" t="s">
        <v>2431</v>
      </c>
      <c r="D411" s="331" t="s">
        <v>473</v>
      </c>
      <c r="E411" s="334" t="s">
        <v>574</v>
      </c>
      <c r="F411" s="335" t="s">
        <v>416</v>
      </c>
      <c r="G411" s="336" t="s">
        <v>551</v>
      </c>
      <c r="H411" s="337">
        <v>41456</v>
      </c>
      <c r="I411" s="331">
        <v>1</v>
      </c>
      <c r="J411" s="326">
        <v>49701</v>
      </c>
      <c r="K411" s="326">
        <v>49701</v>
      </c>
      <c r="L411" s="225" t="s">
        <v>757</v>
      </c>
      <c r="M411" s="129" t="s">
        <v>36</v>
      </c>
    </row>
    <row r="412" spans="1:13" s="133" customFormat="1" ht="15" customHeight="1" x14ac:dyDescent="0.25">
      <c r="A412" s="365">
        <v>15</v>
      </c>
      <c r="B412" s="331">
        <v>40455</v>
      </c>
      <c r="C412" s="333" t="s">
        <v>2432</v>
      </c>
      <c r="D412" s="331" t="s">
        <v>473</v>
      </c>
      <c r="E412" s="334" t="s">
        <v>574</v>
      </c>
      <c r="F412" s="335" t="s">
        <v>416</v>
      </c>
      <c r="G412" s="336" t="s">
        <v>551</v>
      </c>
      <c r="H412" s="337">
        <v>41467</v>
      </c>
      <c r="I412" s="331">
        <v>1</v>
      </c>
      <c r="J412" s="326">
        <v>49701</v>
      </c>
      <c r="K412" s="326">
        <v>49701</v>
      </c>
      <c r="L412" s="225" t="s">
        <v>757</v>
      </c>
      <c r="M412" s="129" t="s">
        <v>36</v>
      </c>
    </row>
    <row r="413" spans="1:13" s="133" customFormat="1" ht="15" customHeight="1" x14ac:dyDescent="0.25">
      <c r="A413" s="365">
        <v>16</v>
      </c>
      <c r="B413" s="331">
        <v>40288</v>
      </c>
      <c r="C413" s="333" t="s">
        <v>2433</v>
      </c>
      <c r="D413" s="331" t="s">
        <v>481</v>
      </c>
      <c r="E413" s="334" t="s">
        <v>115</v>
      </c>
      <c r="F413" s="335" t="s">
        <v>414</v>
      </c>
      <c r="G413" s="336" t="s">
        <v>2104</v>
      </c>
      <c r="H413" s="337">
        <v>41466</v>
      </c>
      <c r="I413" s="331">
        <v>1</v>
      </c>
      <c r="J413" s="326">
        <v>5274</v>
      </c>
      <c r="K413" s="326">
        <v>5274</v>
      </c>
      <c r="L413" s="225" t="s">
        <v>757</v>
      </c>
      <c r="M413" s="129" t="s">
        <v>36</v>
      </c>
    </row>
    <row r="414" spans="1:13" s="133" customFormat="1" ht="15" customHeight="1" x14ac:dyDescent="0.25">
      <c r="A414" s="365">
        <v>17</v>
      </c>
      <c r="B414" s="331">
        <v>40222</v>
      </c>
      <c r="C414" s="333" t="s">
        <v>2434</v>
      </c>
      <c r="D414" s="331" t="s">
        <v>473</v>
      </c>
      <c r="E414" s="334" t="s">
        <v>115</v>
      </c>
      <c r="F414" s="335" t="s">
        <v>416</v>
      </c>
      <c r="G414" s="336" t="s">
        <v>2064</v>
      </c>
      <c r="H414" s="337">
        <v>41467</v>
      </c>
      <c r="I414" s="331">
        <v>1</v>
      </c>
      <c r="J414" s="326">
        <v>5274</v>
      </c>
      <c r="K414" s="326">
        <v>5274</v>
      </c>
      <c r="L414" s="225" t="s">
        <v>757</v>
      </c>
      <c r="M414" s="129" t="s">
        <v>36</v>
      </c>
    </row>
    <row r="415" spans="1:13" s="133" customFormat="1" ht="15" customHeight="1" x14ac:dyDescent="0.25">
      <c r="A415" s="365">
        <v>18</v>
      </c>
      <c r="B415" s="331">
        <v>37678</v>
      </c>
      <c r="C415" s="333" t="s">
        <v>2435</v>
      </c>
      <c r="D415" s="331" t="s">
        <v>473</v>
      </c>
      <c r="E415" s="334" t="s">
        <v>202</v>
      </c>
      <c r="F415" s="335" t="s">
        <v>565</v>
      </c>
      <c r="G415" s="336"/>
      <c r="H415" s="337">
        <v>41456</v>
      </c>
      <c r="I415" s="331">
        <v>1</v>
      </c>
      <c r="J415" s="326">
        <v>17244</v>
      </c>
      <c r="K415" s="326">
        <v>17244</v>
      </c>
      <c r="L415" s="225" t="s">
        <v>757</v>
      </c>
      <c r="M415" s="129" t="s">
        <v>36</v>
      </c>
    </row>
    <row r="416" spans="1:13" s="133" customFormat="1" ht="15" customHeight="1" x14ac:dyDescent="0.25">
      <c r="A416" s="365">
        <v>19</v>
      </c>
      <c r="B416" s="331">
        <v>40294</v>
      </c>
      <c r="C416" s="333" t="s">
        <v>2435</v>
      </c>
      <c r="D416" s="331" t="s">
        <v>473</v>
      </c>
      <c r="E416" s="334" t="s">
        <v>115</v>
      </c>
      <c r="F416" s="335" t="s">
        <v>809</v>
      </c>
      <c r="G416" s="336" t="s">
        <v>2104</v>
      </c>
      <c r="H416" s="337">
        <v>41465</v>
      </c>
      <c r="I416" s="331">
        <v>3</v>
      </c>
      <c r="J416" s="326">
        <v>5274</v>
      </c>
      <c r="K416" s="326">
        <v>15822</v>
      </c>
      <c r="L416" s="225" t="s">
        <v>757</v>
      </c>
      <c r="M416" s="129" t="s">
        <v>36</v>
      </c>
    </row>
    <row r="417" spans="1:13" s="133" customFormat="1" ht="15" customHeight="1" x14ac:dyDescent="0.25">
      <c r="A417" s="365">
        <v>20</v>
      </c>
      <c r="B417" s="331">
        <v>39299</v>
      </c>
      <c r="C417" s="333" t="s">
        <v>2436</v>
      </c>
      <c r="D417" s="331" t="s">
        <v>481</v>
      </c>
      <c r="E417" s="334" t="s">
        <v>574</v>
      </c>
      <c r="F417" s="335" t="s">
        <v>469</v>
      </c>
      <c r="G417" s="336" t="s">
        <v>566</v>
      </c>
      <c r="H417" s="337">
        <v>41460</v>
      </c>
      <c r="I417" s="331">
        <v>1</v>
      </c>
      <c r="J417" s="326">
        <v>49701</v>
      </c>
      <c r="K417" s="326">
        <v>49701</v>
      </c>
      <c r="L417" s="225" t="s">
        <v>757</v>
      </c>
      <c r="M417" s="129" t="s">
        <v>36</v>
      </c>
    </row>
    <row r="418" spans="1:13" s="133" customFormat="1" ht="15" customHeight="1" x14ac:dyDescent="0.25">
      <c r="A418" s="365">
        <v>21</v>
      </c>
      <c r="B418" s="331">
        <v>42879</v>
      </c>
      <c r="C418" s="333" t="s">
        <v>2436</v>
      </c>
      <c r="D418" s="331" t="s">
        <v>481</v>
      </c>
      <c r="E418" s="334" t="s">
        <v>574</v>
      </c>
      <c r="F418" s="335" t="s">
        <v>439</v>
      </c>
      <c r="G418" s="336" t="s">
        <v>2094</v>
      </c>
      <c r="H418" s="337">
        <v>41479</v>
      </c>
      <c r="I418" s="331">
        <v>1</v>
      </c>
      <c r="J418" s="326">
        <v>49701</v>
      </c>
      <c r="K418" s="326">
        <v>49701</v>
      </c>
      <c r="L418" s="225" t="s">
        <v>757</v>
      </c>
      <c r="M418" s="129" t="s">
        <v>36</v>
      </c>
    </row>
    <row r="419" spans="1:13" s="133" customFormat="1" ht="15" customHeight="1" x14ac:dyDescent="0.25">
      <c r="A419" s="365">
        <v>22</v>
      </c>
      <c r="B419" s="331">
        <v>41520</v>
      </c>
      <c r="C419" s="333" t="s">
        <v>2437</v>
      </c>
      <c r="D419" s="331" t="s">
        <v>473</v>
      </c>
      <c r="E419" s="334" t="s">
        <v>574</v>
      </c>
      <c r="F419" s="335" t="s">
        <v>416</v>
      </c>
      <c r="G419" s="336" t="s">
        <v>566</v>
      </c>
      <c r="H419" s="337">
        <v>41472</v>
      </c>
      <c r="I419" s="331">
        <v>1</v>
      </c>
      <c r="J419" s="326">
        <v>49701</v>
      </c>
      <c r="K419" s="326">
        <v>49701</v>
      </c>
      <c r="L419" s="225" t="s">
        <v>757</v>
      </c>
      <c r="M419" s="129" t="s">
        <v>36</v>
      </c>
    </row>
    <row r="420" spans="1:13" s="133" customFormat="1" ht="15" customHeight="1" x14ac:dyDescent="0.25">
      <c r="A420" s="365">
        <v>23</v>
      </c>
      <c r="B420" s="331">
        <v>38490</v>
      </c>
      <c r="C420" s="333" t="s">
        <v>2438</v>
      </c>
      <c r="D420" s="331" t="s">
        <v>473</v>
      </c>
      <c r="E420" s="334" t="s">
        <v>574</v>
      </c>
      <c r="F420" s="335" t="s">
        <v>565</v>
      </c>
      <c r="G420" s="336" t="s">
        <v>566</v>
      </c>
      <c r="H420" s="337">
        <v>41458</v>
      </c>
      <c r="I420" s="331">
        <v>1</v>
      </c>
      <c r="J420" s="326">
        <v>49701</v>
      </c>
      <c r="K420" s="326">
        <v>49701</v>
      </c>
      <c r="L420" s="225" t="s">
        <v>757</v>
      </c>
      <c r="M420" s="129" t="s">
        <v>36</v>
      </c>
    </row>
    <row r="421" spans="1:13" s="133" customFormat="1" ht="15" customHeight="1" x14ac:dyDescent="0.25">
      <c r="A421" s="365">
        <v>24</v>
      </c>
      <c r="B421" s="331">
        <v>38333</v>
      </c>
      <c r="C421" s="333" t="s">
        <v>2439</v>
      </c>
      <c r="D421" s="331" t="s">
        <v>471</v>
      </c>
      <c r="E421" s="334" t="s">
        <v>574</v>
      </c>
      <c r="F421" s="335" t="s">
        <v>416</v>
      </c>
      <c r="G421" s="336" t="s">
        <v>560</v>
      </c>
      <c r="H421" s="337">
        <v>41457</v>
      </c>
      <c r="I421" s="331">
        <v>1</v>
      </c>
      <c r="J421" s="326">
        <v>49701</v>
      </c>
      <c r="K421" s="326">
        <v>49701</v>
      </c>
      <c r="L421" s="225" t="s">
        <v>757</v>
      </c>
      <c r="M421" s="129" t="s">
        <v>36</v>
      </c>
    </row>
    <row r="422" spans="1:13" s="133" customFormat="1" ht="15" customHeight="1" x14ac:dyDescent="0.25">
      <c r="A422" s="365">
        <v>25</v>
      </c>
      <c r="B422" s="331">
        <v>42551</v>
      </c>
      <c r="C422" s="333" t="s">
        <v>2440</v>
      </c>
      <c r="D422" s="331" t="s">
        <v>481</v>
      </c>
      <c r="E422" s="334" t="s">
        <v>534</v>
      </c>
      <c r="F422" s="335" t="s">
        <v>524</v>
      </c>
      <c r="G422" s="336" t="s">
        <v>551</v>
      </c>
      <c r="H422" s="337">
        <v>41478</v>
      </c>
      <c r="I422" s="331">
        <v>1</v>
      </c>
      <c r="J422" s="326">
        <v>30429</v>
      </c>
      <c r="K422" s="326">
        <v>30429</v>
      </c>
      <c r="L422" s="225" t="s">
        <v>757</v>
      </c>
      <c r="M422" s="129" t="s">
        <v>36</v>
      </c>
    </row>
    <row r="423" spans="1:13" s="133" customFormat="1" ht="15" customHeight="1" x14ac:dyDescent="0.25">
      <c r="A423" s="365">
        <v>26</v>
      </c>
      <c r="B423" s="331">
        <v>42330</v>
      </c>
      <c r="C423" s="333" t="s">
        <v>2441</v>
      </c>
      <c r="D423" s="331" t="s">
        <v>473</v>
      </c>
      <c r="E423" s="334" t="s">
        <v>574</v>
      </c>
      <c r="F423" s="335" t="s">
        <v>414</v>
      </c>
      <c r="G423" s="336" t="s">
        <v>551</v>
      </c>
      <c r="H423" s="337">
        <v>41474</v>
      </c>
      <c r="I423" s="331">
        <v>1</v>
      </c>
      <c r="J423" s="326">
        <v>49701</v>
      </c>
      <c r="K423" s="326">
        <v>49701</v>
      </c>
      <c r="L423" s="225" t="s">
        <v>757</v>
      </c>
      <c r="M423" s="129" t="s">
        <v>36</v>
      </c>
    </row>
    <row r="424" spans="1:13" s="133" customFormat="1" ht="15" customHeight="1" x14ac:dyDescent="0.25">
      <c r="A424" s="365">
        <v>27</v>
      </c>
      <c r="B424" s="331">
        <v>38491</v>
      </c>
      <c r="C424" s="333" t="s">
        <v>1397</v>
      </c>
      <c r="D424" s="331" t="s">
        <v>481</v>
      </c>
      <c r="E424" s="334" t="s">
        <v>574</v>
      </c>
      <c r="F424" s="335" t="s">
        <v>428</v>
      </c>
      <c r="G424" s="336" t="s">
        <v>566</v>
      </c>
      <c r="H424" s="337">
        <v>41458</v>
      </c>
      <c r="I424" s="331">
        <v>1</v>
      </c>
      <c r="J424" s="326">
        <v>49701</v>
      </c>
      <c r="K424" s="326">
        <v>49701</v>
      </c>
      <c r="L424" s="225" t="s">
        <v>757</v>
      </c>
      <c r="M424" s="129" t="s">
        <v>36</v>
      </c>
    </row>
    <row r="425" spans="1:13" s="133" customFormat="1" ht="15" customHeight="1" x14ac:dyDescent="0.25">
      <c r="A425" s="365">
        <v>28</v>
      </c>
      <c r="B425" s="331">
        <v>37080</v>
      </c>
      <c r="C425" s="333" t="s">
        <v>2442</v>
      </c>
      <c r="D425" s="331" t="s">
        <v>481</v>
      </c>
      <c r="E425" s="334" t="s">
        <v>115</v>
      </c>
      <c r="F425" s="335" t="s">
        <v>535</v>
      </c>
      <c r="G425" s="336" t="s">
        <v>1061</v>
      </c>
      <c r="H425" s="337">
        <v>41453</v>
      </c>
      <c r="I425" s="331">
        <v>1</v>
      </c>
      <c r="J425" s="326">
        <v>5274</v>
      </c>
      <c r="K425" s="326">
        <v>5274</v>
      </c>
      <c r="L425" s="225" t="s">
        <v>757</v>
      </c>
      <c r="M425" s="129" t="s">
        <v>36</v>
      </c>
    </row>
    <row r="426" spans="1:13" s="133" customFormat="1" ht="15" customHeight="1" x14ac:dyDescent="0.25">
      <c r="A426" s="365">
        <v>29</v>
      </c>
      <c r="B426" s="331">
        <v>42255</v>
      </c>
      <c r="C426" s="333" t="s">
        <v>2442</v>
      </c>
      <c r="D426" s="331" t="s">
        <v>481</v>
      </c>
      <c r="E426" s="334" t="s">
        <v>114</v>
      </c>
      <c r="F426" s="335" t="s">
        <v>535</v>
      </c>
      <c r="G426" s="336" t="s">
        <v>551</v>
      </c>
      <c r="H426" s="337">
        <v>41477</v>
      </c>
      <c r="I426" s="331">
        <v>1</v>
      </c>
      <c r="J426" s="326">
        <v>33370</v>
      </c>
      <c r="K426" s="326">
        <v>33370</v>
      </c>
      <c r="L426" s="225" t="s">
        <v>757</v>
      </c>
      <c r="M426" s="129" t="s">
        <v>36</v>
      </c>
    </row>
    <row r="427" spans="1:13" s="133" customFormat="1" ht="15" customHeight="1" x14ac:dyDescent="0.25">
      <c r="A427" s="365">
        <v>30</v>
      </c>
      <c r="B427" s="331">
        <v>43041</v>
      </c>
      <c r="C427" s="333" t="s">
        <v>2443</v>
      </c>
      <c r="D427" s="331" t="s">
        <v>473</v>
      </c>
      <c r="E427" s="334" t="s">
        <v>574</v>
      </c>
      <c r="F427" s="335" t="s">
        <v>1642</v>
      </c>
      <c r="G427" s="336" t="s">
        <v>2094</v>
      </c>
      <c r="H427" s="337">
        <v>41479</v>
      </c>
      <c r="I427" s="331">
        <v>2</v>
      </c>
      <c r="J427" s="326">
        <v>49701</v>
      </c>
      <c r="K427" s="326">
        <v>99402</v>
      </c>
      <c r="L427" s="225" t="s">
        <v>757</v>
      </c>
      <c r="M427" s="129" t="s">
        <v>36</v>
      </c>
    </row>
    <row r="428" spans="1:13" s="133" customFormat="1" ht="15" customHeight="1" x14ac:dyDescent="0.25">
      <c r="A428" s="365">
        <v>31</v>
      </c>
      <c r="B428" s="331">
        <v>39752</v>
      </c>
      <c r="C428" s="333" t="s">
        <v>2444</v>
      </c>
      <c r="D428" s="331" t="s">
        <v>481</v>
      </c>
      <c r="E428" s="334" t="s">
        <v>574</v>
      </c>
      <c r="F428" s="335" t="s">
        <v>524</v>
      </c>
      <c r="G428" s="336" t="s">
        <v>566</v>
      </c>
      <c r="H428" s="337">
        <v>41464</v>
      </c>
      <c r="I428" s="331">
        <v>1</v>
      </c>
      <c r="J428" s="326">
        <v>49701</v>
      </c>
      <c r="K428" s="326">
        <v>49701</v>
      </c>
      <c r="L428" s="225" t="s">
        <v>757</v>
      </c>
      <c r="M428" s="129" t="s">
        <v>36</v>
      </c>
    </row>
    <row r="429" spans="1:13" s="133" customFormat="1" ht="15" customHeight="1" x14ac:dyDescent="0.25">
      <c r="A429" s="365">
        <v>32</v>
      </c>
      <c r="B429" s="331">
        <v>42013</v>
      </c>
      <c r="C429" s="333" t="s">
        <v>2445</v>
      </c>
      <c r="D429" s="331" t="s">
        <v>481</v>
      </c>
      <c r="E429" s="334" t="s">
        <v>574</v>
      </c>
      <c r="F429" s="335" t="s">
        <v>524</v>
      </c>
      <c r="G429" s="336" t="s">
        <v>2446</v>
      </c>
      <c r="H429" s="337">
        <v>41473</v>
      </c>
      <c r="I429" s="331">
        <v>1</v>
      </c>
      <c r="J429" s="326">
        <v>49701</v>
      </c>
      <c r="K429" s="326">
        <v>49701</v>
      </c>
      <c r="L429" s="225" t="s">
        <v>757</v>
      </c>
      <c r="M429" s="129" t="s">
        <v>36</v>
      </c>
    </row>
    <row r="430" spans="1:13" s="133" customFormat="1" ht="15" customHeight="1" x14ac:dyDescent="0.25">
      <c r="A430" s="365">
        <v>33</v>
      </c>
      <c r="B430" s="331">
        <v>37573</v>
      </c>
      <c r="C430" s="333" t="s">
        <v>2447</v>
      </c>
      <c r="D430" s="331" t="s">
        <v>473</v>
      </c>
      <c r="E430" s="334" t="s">
        <v>534</v>
      </c>
      <c r="F430" s="335" t="s">
        <v>439</v>
      </c>
      <c r="G430" s="336" t="s">
        <v>551</v>
      </c>
      <c r="H430" s="337">
        <v>41456</v>
      </c>
      <c r="I430" s="331">
        <v>1</v>
      </c>
      <c r="J430" s="326">
        <v>30429</v>
      </c>
      <c r="K430" s="326">
        <v>30429</v>
      </c>
      <c r="L430" s="225" t="s">
        <v>757</v>
      </c>
      <c r="M430" s="129" t="s">
        <v>36</v>
      </c>
    </row>
    <row r="431" spans="1:13" s="133" customFormat="1" ht="15" customHeight="1" x14ac:dyDescent="0.25">
      <c r="A431" s="365">
        <v>34</v>
      </c>
      <c r="B431" s="331">
        <v>41169</v>
      </c>
      <c r="C431" s="333" t="s">
        <v>2447</v>
      </c>
      <c r="D431" s="331" t="s">
        <v>473</v>
      </c>
      <c r="E431" s="334" t="s">
        <v>114</v>
      </c>
      <c r="F431" s="335" t="s">
        <v>416</v>
      </c>
      <c r="G431" s="336" t="s">
        <v>2448</v>
      </c>
      <c r="H431" s="337">
        <v>41470</v>
      </c>
      <c r="I431" s="331">
        <v>1</v>
      </c>
      <c r="J431" s="326">
        <v>33370</v>
      </c>
      <c r="K431" s="326">
        <v>33370</v>
      </c>
      <c r="L431" s="225" t="s">
        <v>757</v>
      </c>
      <c r="M431" s="129" t="s">
        <v>36</v>
      </c>
    </row>
    <row r="432" spans="1:13" s="133" customFormat="1" ht="15" customHeight="1" x14ac:dyDescent="0.25">
      <c r="A432" s="365">
        <v>35</v>
      </c>
      <c r="B432" s="331">
        <v>39582</v>
      </c>
      <c r="C432" s="333" t="s">
        <v>2449</v>
      </c>
      <c r="D432" s="331" t="s">
        <v>481</v>
      </c>
      <c r="E432" s="334" t="s">
        <v>114</v>
      </c>
      <c r="F432" s="335" t="s">
        <v>401</v>
      </c>
      <c r="G432" s="336" t="s">
        <v>2450</v>
      </c>
      <c r="H432" s="337">
        <v>41464</v>
      </c>
      <c r="I432" s="331">
        <v>1</v>
      </c>
      <c r="J432" s="326">
        <v>33370</v>
      </c>
      <c r="K432" s="326">
        <v>33370</v>
      </c>
      <c r="L432" s="225" t="s">
        <v>757</v>
      </c>
      <c r="M432" s="129" t="s">
        <v>36</v>
      </c>
    </row>
    <row r="433" spans="1:13" s="133" customFormat="1" ht="15" customHeight="1" x14ac:dyDescent="0.25">
      <c r="A433" s="365">
        <v>36</v>
      </c>
      <c r="B433" s="331">
        <v>42910</v>
      </c>
      <c r="C433" s="333" t="s">
        <v>2451</v>
      </c>
      <c r="D433" s="331" t="s">
        <v>473</v>
      </c>
      <c r="E433" s="334" t="s">
        <v>115</v>
      </c>
      <c r="F433" s="335" t="s">
        <v>559</v>
      </c>
      <c r="G433" s="336" t="s">
        <v>1056</v>
      </c>
      <c r="H433" s="337">
        <v>41478</v>
      </c>
      <c r="I433" s="331">
        <v>1</v>
      </c>
      <c r="J433" s="326">
        <v>5274</v>
      </c>
      <c r="K433" s="326">
        <v>5274</v>
      </c>
      <c r="L433" s="225" t="s">
        <v>757</v>
      </c>
      <c r="M433" s="129" t="s">
        <v>36</v>
      </c>
    </row>
    <row r="434" spans="1:13" s="133" customFormat="1" ht="15" customHeight="1" x14ac:dyDescent="0.25">
      <c r="A434" s="365">
        <v>37</v>
      </c>
      <c r="B434" s="331">
        <v>42910</v>
      </c>
      <c r="C434" s="333" t="s">
        <v>2451</v>
      </c>
      <c r="D434" s="331" t="s">
        <v>473</v>
      </c>
      <c r="E434" s="334" t="s">
        <v>574</v>
      </c>
      <c r="F434" s="335" t="s">
        <v>416</v>
      </c>
      <c r="G434" s="336" t="s">
        <v>551</v>
      </c>
      <c r="H434" s="337">
        <v>41478</v>
      </c>
      <c r="I434" s="331">
        <v>1</v>
      </c>
      <c r="J434" s="326">
        <v>49701</v>
      </c>
      <c r="K434" s="326">
        <v>49701</v>
      </c>
      <c r="L434" s="225" t="s">
        <v>757</v>
      </c>
      <c r="M434" s="129" t="s">
        <v>36</v>
      </c>
    </row>
    <row r="435" spans="1:13" s="133" customFormat="1" ht="15" customHeight="1" x14ac:dyDescent="0.25">
      <c r="A435" s="365">
        <v>38</v>
      </c>
      <c r="B435" s="331">
        <v>44081</v>
      </c>
      <c r="C435" s="333" t="s">
        <v>2452</v>
      </c>
      <c r="D435" s="331" t="s">
        <v>473</v>
      </c>
      <c r="E435" s="334" t="s">
        <v>202</v>
      </c>
      <c r="F435" s="335" t="s">
        <v>412</v>
      </c>
      <c r="G435" s="336"/>
      <c r="H435" s="337">
        <v>41484</v>
      </c>
      <c r="I435" s="331">
        <v>1</v>
      </c>
      <c r="J435" s="326">
        <v>17244</v>
      </c>
      <c r="K435" s="326">
        <v>17244</v>
      </c>
      <c r="L435" s="225" t="s">
        <v>757</v>
      </c>
      <c r="M435" s="129" t="s">
        <v>36</v>
      </c>
    </row>
    <row r="436" spans="1:13" s="133" customFormat="1" ht="15" customHeight="1" x14ac:dyDescent="0.25">
      <c r="A436" s="365">
        <v>39</v>
      </c>
      <c r="B436" s="331">
        <v>42933</v>
      </c>
      <c r="C436" s="333" t="s">
        <v>848</v>
      </c>
      <c r="D436" s="331" t="s">
        <v>473</v>
      </c>
      <c r="E436" s="334" t="s">
        <v>114</v>
      </c>
      <c r="F436" s="335" t="s">
        <v>380</v>
      </c>
      <c r="G436" s="336" t="s">
        <v>2094</v>
      </c>
      <c r="H436" s="337">
        <v>41479</v>
      </c>
      <c r="I436" s="331">
        <v>1</v>
      </c>
      <c r="J436" s="326">
        <v>33370</v>
      </c>
      <c r="K436" s="326">
        <v>33370</v>
      </c>
      <c r="L436" s="225" t="s">
        <v>757</v>
      </c>
      <c r="M436" s="129" t="s">
        <v>36</v>
      </c>
    </row>
    <row r="437" spans="1:13" s="133" customFormat="1" ht="15" customHeight="1" x14ac:dyDescent="0.25">
      <c r="A437" s="365">
        <v>40</v>
      </c>
      <c r="B437" s="331">
        <v>40844</v>
      </c>
      <c r="C437" s="333" t="s">
        <v>2453</v>
      </c>
      <c r="D437" s="331" t="s">
        <v>473</v>
      </c>
      <c r="E437" s="334" t="s">
        <v>115</v>
      </c>
      <c r="F437" s="335" t="s">
        <v>428</v>
      </c>
      <c r="G437" s="336" t="s">
        <v>2064</v>
      </c>
      <c r="H437" s="337">
        <v>41470</v>
      </c>
      <c r="I437" s="331">
        <v>1</v>
      </c>
      <c r="J437" s="326">
        <v>5274</v>
      </c>
      <c r="K437" s="326">
        <v>5274</v>
      </c>
      <c r="L437" s="225" t="s">
        <v>757</v>
      </c>
      <c r="M437" s="129" t="s">
        <v>36</v>
      </c>
    </row>
    <row r="438" spans="1:13" s="133" customFormat="1" ht="15" customHeight="1" x14ac:dyDescent="0.25">
      <c r="A438" s="365">
        <v>41</v>
      </c>
      <c r="B438" s="331">
        <v>42892</v>
      </c>
      <c r="C438" s="333" t="s">
        <v>2454</v>
      </c>
      <c r="D438" s="331" t="s">
        <v>1746</v>
      </c>
      <c r="E438" s="334" t="s">
        <v>577</v>
      </c>
      <c r="F438" s="335" t="s">
        <v>368</v>
      </c>
      <c r="G438" s="336"/>
      <c r="H438" s="337">
        <v>41478</v>
      </c>
      <c r="I438" s="331">
        <v>1</v>
      </c>
      <c r="J438" s="326">
        <v>25800</v>
      </c>
      <c r="K438" s="326">
        <v>25800</v>
      </c>
      <c r="L438" s="225" t="s">
        <v>757</v>
      </c>
      <c r="M438" s="129" t="s">
        <v>36</v>
      </c>
    </row>
    <row r="439" spans="1:13" s="133" customFormat="1" ht="15" customHeight="1" x14ac:dyDescent="0.25">
      <c r="A439" s="365">
        <v>42</v>
      </c>
      <c r="B439" s="331">
        <v>38059</v>
      </c>
      <c r="C439" s="333" t="s">
        <v>2418</v>
      </c>
      <c r="D439" s="331" t="s">
        <v>473</v>
      </c>
      <c r="E439" s="334" t="s">
        <v>1050</v>
      </c>
      <c r="F439" s="335" t="s">
        <v>407</v>
      </c>
      <c r="G439" s="336" t="s">
        <v>2148</v>
      </c>
      <c r="H439" s="337">
        <v>41456</v>
      </c>
      <c r="I439" s="331">
        <v>1</v>
      </c>
      <c r="J439" s="326">
        <v>57960</v>
      </c>
      <c r="K439" s="326">
        <v>57960</v>
      </c>
      <c r="L439" s="225" t="s">
        <v>757</v>
      </c>
      <c r="M439" s="129" t="s">
        <v>36</v>
      </c>
    </row>
    <row r="440" spans="1:13" s="133" customFormat="1" ht="15" customHeight="1" x14ac:dyDescent="0.25">
      <c r="A440" s="365">
        <v>43</v>
      </c>
      <c r="B440" s="331">
        <v>38960</v>
      </c>
      <c r="C440" s="333" t="s">
        <v>2455</v>
      </c>
      <c r="D440" s="331" t="s">
        <v>481</v>
      </c>
      <c r="E440" s="334" t="s">
        <v>574</v>
      </c>
      <c r="F440" s="335" t="s">
        <v>428</v>
      </c>
      <c r="G440" s="336" t="s">
        <v>566</v>
      </c>
      <c r="H440" s="337">
        <v>41460</v>
      </c>
      <c r="I440" s="331">
        <v>1</v>
      </c>
      <c r="J440" s="326">
        <v>49701</v>
      </c>
      <c r="K440" s="326">
        <v>49701</v>
      </c>
      <c r="L440" s="225" t="s">
        <v>757</v>
      </c>
      <c r="M440" s="129" t="s">
        <v>36</v>
      </c>
    </row>
    <row r="441" spans="1:13" s="133" customFormat="1" ht="15" customHeight="1" x14ac:dyDescent="0.25">
      <c r="A441" s="365">
        <v>44</v>
      </c>
      <c r="B441" s="331">
        <v>39676</v>
      </c>
      <c r="C441" s="333" t="s">
        <v>2456</v>
      </c>
      <c r="D441" s="331" t="s">
        <v>473</v>
      </c>
      <c r="E441" s="334" t="s">
        <v>202</v>
      </c>
      <c r="F441" s="335" t="s">
        <v>642</v>
      </c>
      <c r="G441" s="336"/>
      <c r="H441" s="337">
        <v>41465</v>
      </c>
      <c r="I441" s="331">
        <v>1</v>
      </c>
      <c r="J441" s="326">
        <v>17244</v>
      </c>
      <c r="K441" s="326">
        <v>17244</v>
      </c>
      <c r="L441" s="225" t="s">
        <v>757</v>
      </c>
      <c r="M441" s="129" t="s">
        <v>36</v>
      </c>
    </row>
    <row r="442" spans="1:13" s="133" customFormat="1" ht="15" customHeight="1" x14ac:dyDescent="0.25">
      <c r="A442" s="365">
        <v>45</v>
      </c>
      <c r="B442" s="331">
        <v>38142</v>
      </c>
      <c r="C442" s="333" t="s">
        <v>2457</v>
      </c>
      <c r="D442" s="331" t="s">
        <v>473</v>
      </c>
      <c r="E442" s="334" t="s">
        <v>574</v>
      </c>
      <c r="F442" s="335" t="s">
        <v>559</v>
      </c>
      <c r="G442" s="336" t="s">
        <v>551</v>
      </c>
      <c r="H442" s="337">
        <v>41457</v>
      </c>
      <c r="I442" s="331">
        <v>1</v>
      </c>
      <c r="J442" s="326">
        <v>49701</v>
      </c>
      <c r="K442" s="326">
        <v>49701</v>
      </c>
      <c r="L442" s="225" t="s">
        <v>757</v>
      </c>
      <c r="M442" s="129" t="s">
        <v>36</v>
      </c>
    </row>
    <row r="443" spans="1:13" s="133" customFormat="1" ht="15" customHeight="1" x14ac:dyDescent="0.25">
      <c r="A443" s="365">
        <v>46</v>
      </c>
      <c r="B443" s="331">
        <v>40043</v>
      </c>
      <c r="C443" s="333" t="s">
        <v>2457</v>
      </c>
      <c r="D443" s="331" t="s">
        <v>473</v>
      </c>
      <c r="E443" s="334" t="s">
        <v>534</v>
      </c>
      <c r="F443" s="335" t="s">
        <v>524</v>
      </c>
      <c r="G443" s="336" t="s">
        <v>551</v>
      </c>
      <c r="H443" s="337">
        <v>41465</v>
      </c>
      <c r="I443" s="331">
        <v>1</v>
      </c>
      <c r="J443" s="326">
        <v>30429</v>
      </c>
      <c r="K443" s="326">
        <v>30429</v>
      </c>
      <c r="L443" s="225" t="s">
        <v>757</v>
      </c>
      <c r="M443" s="129" t="s">
        <v>36</v>
      </c>
    </row>
    <row r="444" spans="1:13" s="133" customFormat="1" ht="15" customHeight="1" x14ac:dyDescent="0.25">
      <c r="A444" s="365">
        <v>47</v>
      </c>
      <c r="B444" s="331">
        <v>40047</v>
      </c>
      <c r="C444" s="333" t="s">
        <v>2458</v>
      </c>
      <c r="D444" s="331" t="s">
        <v>473</v>
      </c>
      <c r="E444" s="334" t="s">
        <v>115</v>
      </c>
      <c r="F444" s="335" t="s">
        <v>2459</v>
      </c>
      <c r="G444" s="336" t="s">
        <v>2064</v>
      </c>
      <c r="H444" s="337">
        <v>41464</v>
      </c>
      <c r="I444" s="331">
        <v>4</v>
      </c>
      <c r="J444" s="326">
        <v>5274</v>
      </c>
      <c r="K444" s="326">
        <v>21096</v>
      </c>
      <c r="L444" s="225" t="s">
        <v>757</v>
      </c>
      <c r="M444" s="129" t="s">
        <v>36</v>
      </c>
    </row>
    <row r="445" spans="1:13" s="133" customFormat="1" ht="15" customHeight="1" x14ac:dyDescent="0.25">
      <c r="A445" s="365">
        <v>48</v>
      </c>
      <c r="B445" s="331">
        <v>41499</v>
      </c>
      <c r="C445" s="333" t="s">
        <v>2460</v>
      </c>
      <c r="D445" s="331" t="s">
        <v>481</v>
      </c>
      <c r="E445" s="334" t="s">
        <v>534</v>
      </c>
      <c r="F445" s="335" t="s">
        <v>508</v>
      </c>
      <c r="G445" s="336" t="s">
        <v>551</v>
      </c>
      <c r="H445" s="337">
        <v>41472</v>
      </c>
      <c r="I445" s="331">
        <v>1</v>
      </c>
      <c r="J445" s="326">
        <v>30429</v>
      </c>
      <c r="K445" s="326">
        <v>30429</v>
      </c>
      <c r="L445" s="225" t="s">
        <v>757</v>
      </c>
      <c r="M445" s="129" t="s">
        <v>36</v>
      </c>
    </row>
    <row r="446" spans="1:13" s="239" customFormat="1" ht="15" customHeight="1" x14ac:dyDescent="0.25">
      <c r="A446" s="365">
        <v>49</v>
      </c>
      <c r="B446" s="331">
        <v>38918</v>
      </c>
      <c r="C446" s="333" t="s">
        <v>2461</v>
      </c>
      <c r="D446" s="331" t="s">
        <v>481</v>
      </c>
      <c r="E446" s="334" t="s">
        <v>202</v>
      </c>
      <c r="F446" s="335" t="s">
        <v>508</v>
      </c>
      <c r="G446" s="336"/>
      <c r="H446" s="337">
        <v>41460</v>
      </c>
      <c r="I446" s="331">
        <v>1</v>
      </c>
      <c r="J446" s="326">
        <v>17244</v>
      </c>
      <c r="K446" s="326">
        <v>17244</v>
      </c>
      <c r="L446" s="225" t="s">
        <v>757</v>
      </c>
      <c r="M446" s="129" t="s">
        <v>36</v>
      </c>
    </row>
    <row r="447" spans="1:13" s="239" customFormat="1" ht="15" customHeight="1" x14ac:dyDescent="0.25">
      <c r="A447" s="365">
        <v>50</v>
      </c>
      <c r="B447" s="331">
        <v>40486</v>
      </c>
      <c r="C447" s="333" t="s">
        <v>2462</v>
      </c>
      <c r="D447" s="331" t="s">
        <v>481</v>
      </c>
      <c r="E447" s="334" t="s">
        <v>235</v>
      </c>
      <c r="F447" s="335" t="s">
        <v>366</v>
      </c>
      <c r="G447" s="336"/>
      <c r="H447" s="337">
        <v>41466</v>
      </c>
      <c r="I447" s="331">
        <v>1</v>
      </c>
      <c r="J447" s="326">
        <v>10401</v>
      </c>
      <c r="K447" s="326">
        <v>10401</v>
      </c>
      <c r="L447" s="225" t="s">
        <v>757</v>
      </c>
      <c r="M447" s="129" t="s">
        <v>36</v>
      </c>
    </row>
    <row r="448" spans="1:13" s="239" customFormat="1" ht="15" customHeight="1" x14ac:dyDescent="0.25">
      <c r="A448" s="365">
        <v>51</v>
      </c>
      <c r="B448" s="331">
        <v>44454</v>
      </c>
      <c r="C448" s="333" t="s">
        <v>2463</v>
      </c>
      <c r="D448" s="331" t="s">
        <v>481</v>
      </c>
      <c r="E448" s="334" t="s">
        <v>577</v>
      </c>
      <c r="F448" s="335" t="s">
        <v>368</v>
      </c>
      <c r="G448" s="336"/>
      <c r="H448" s="337">
        <v>41485</v>
      </c>
      <c r="I448" s="331">
        <v>1</v>
      </c>
      <c r="J448" s="326">
        <v>25800</v>
      </c>
      <c r="K448" s="326">
        <v>25800</v>
      </c>
      <c r="L448" s="225" t="s">
        <v>757</v>
      </c>
      <c r="M448" s="129" t="s">
        <v>36</v>
      </c>
    </row>
    <row r="449" spans="1:13" s="239" customFormat="1" ht="15" customHeight="1" x14ac:dyDescent="0.25">
      <c r="A449" s="365">
        <v>52</v>
      </c>
      <c r="B449" s="331">
        <v>43081</v>
      </c>
      <c r="C449" s="333" t="s">
        <v>2464</v>
      </c>
      <c r="D449" s="331" t="s">
        <v>481</v>
      </c>
      <c r="E449" s="334" t="s">
        <v>115</v>
      </c>
      <c r="F449" s="335" t="s">
        <v>439</v>
      </c>
      <c r="G449" s="336" t="s">
        <v>1061</v>
      </c>
      <c r="H449" s="337">
        <v>41479</v>
      </c>
      <c r="I449" s="331">
        <v>1</v>
      </c>
      <c r="J449" s="326">
        <v>5274</v>
      </c>
      <c r="K449" s="326">
        <v>5274</v>
      </c>
      <c r="L449" s="225" t="s">
        <v>757</v>
      </c>
      <c r="M449" s="129" t="s">
        <v>36</v>
      </c>
    </row>
    <row r="450" spans="1:13" s="239" customFormat="1" ht="15" customHeight="1" x14ac:dyDescent="0.25">
      <c r="A450" s="365">
        <v>53</v>
      </c>
      <c r="B450" s="331">
        <v>41134</v>
      </c>
      <c r="C450" s="333" t="s">
        <v>2465</v>
      </c>
      <c r="D450" s="331" t="s">
        <v>481</v>
      </c>
      <c r="E450" s="334" t="s">
        <v>215</v>
      </c>
      <c r="F450" s="335" t="s">
        <v>366</v>
      </c>
      <c r="G450" s="336" t="s">
        <v>2466</v>
      </c>
      <c r="H450" s="337">
        <v>41470</v>
      </c>
      <c r="I450" s="331">
        <v>1</v>
      </c>
      <c r="J450" s="326">
        <v>44597</v>
      </c>
      <c r="K450" s="326">
        <v>44597</v>
      </c>
      <c r="L450" s="225" t="s">
        <v>757</v>
      </c>
      <c r="M450" s="129" t="s">
        <v>36</v>
      </c>
    </row>
    <row r="451" spans="1:13" s="239" customFormat="1" ht="15" customHeight="1" x14ac:dyDescent="0.25">
      <c r="A451" s="365">
        <v>54</v>
      </c>
      <c r="B451" s="331">
        <v>379772</v>
      </c>
      <c r="C451" s="333" t="s">
        <v>2467</v>
      </c>
      <c r="D451" s="331" t="s">
        <v>481</v>
      </c>
      <c r="E451" s="334" t="s">
        <v>534</v>
      </c>
      <c r="F451" s="335" t="s">
        <v>559</v>
      </c>
      <c r="G451" s="336" t="s">
        <v>2468</v>
      </c>
      <c r="H451" s="337">
        <v>41456</v>
      </c>
      <c r="I451" s="331">
        <v>1</v>
      </c>
      <c r="J451" s="326">
        <v>30429</v>
      </c>
      <c r="K451" s="326">
        <v>30429</v>
      </c>
      <c r="L451" s="225" t="s">
        <v>757</v>
      </c>
      <c r="M451" s="129" t="s">
        <v>36</v>
      </c>
    </row>
    <row r="452" spans="1:13" s="239" customFormat="1" ht="15" customHeight="1" x14ac:dyDescent="0.25">
      <c r="A452" s="365">
        <v>55</v>
      </c>
      <c r="B452" s="331">
        <v>38058</v>
      </c>
      <c r="C452" s="333" t="s">
        <v>1241</v>
      </c>
      <c r="D452" s="331" t="s">
        <v>481</v>
      </c>
      <c r="E452" s="334" t="s">
        <v>574</v>
      </c>
      <c r="F452" s="335" t="s">
        <v>524</v>
      </c>
      <c r="G452" s="336" t="s">
        <v>566</v>
      </c>
      <c r="H452" s="337">
        <v>41453</v>
      </c>
      <c r="I452" s="331">
        <v>1</v>
      </c>
      <c r="J452" s="326">
        <v>49701</v>
      </c>
      <c r="K452" s="326">
        <v>49701</v>
      </c>
      <c r="L452" s="225" t="s">
        <v>757</v>
      </c>
      <c r="M452" s="129" t="s">
        <v>36</v>
      </c>
    </row>
    <row r="453" spans="1:13" s="239" customFormat="1" ht="15" customHeight="1" x14ac:dyDescent="0.25">
      <c r="A453" s="365">
        <v>56</v>
      </c>
      <c r="B453" s="331">
        <v>41486</v>
      </c>
      <c r="C453" s="333" t="s">
        <v>1241</v>
      </c>
      <c r="D453" s="331" t="s">
        <v>481</v>
      </c>
      <c r="E453" s="334" t="s">
        <v>574</v>
      </c>
      <c r="F453" s="335" t="s">
        <v>469</v>
      </c>
      <c r="G453" s="336" t="s">
        <v>551</v>
      </c>
      <c r="H453" s="337">
        <v>41472</v>
      </c>
      <c r="I453" s="331">
        <v>1</v>
      </c>
      <c r="J453" s="326">
        <v>49701</v>
      </c>
      <c r="K453" s="326">
        <v>49701</v>
      </c>
      <c r="L453" s="225" t="s">
        <v>757</v>
      </c>
      <c r="M453" s="129" t="s">
        <v>36</v>
      </c>
    </row>
    <row r="454" spans="1:13" s="239" customFormat="1" ht="15" customHeight="1" x14ac:dyDescent="0.25">
      <c r="A454" s="365">
        <v>57</v>
      </c>
      <c r="B454" s="331">
        <v>10329</v>
      </c>
      <c r="C454" s="333" t="s">
        <v>2469</v>
      </c>
      <c r="D454" s="331" t="s">
        <v>473</v>
      </c>
      <c r="E454" s="334" t="s">
        <v>114</v>
      </c>
      <c r="F454" s="335" t="s">
        <v>414</v>
      </c>
      <c r="G454" s="336" t="s">
        <v>2094</v>
      </c>
      <c r="H454" s="337">
        <v>41465</v>
      </c>
      <c r="I454" s="331">
        <v>1</v>
      </c>
      <c r="J454" s="326">
        <v>33370</v>
      </c>
      <c r="K454" s="326">
        <v>33370</v>
      </c>
      <c r="L454" s="225" t="s">
        <v>757</v>
      </c>
      <c r="M454" s="129" t="s">
        <v>36</v>
      </c>
    </row>
    <row r="455" spans="1:13" s="239" customFormat="1" ht="15" customHeight="1" x14ac:dyDescent="0.25">
      <c r="A455" s="365">
        <v>58</v>
      </c>
      <c r="B455" s="331">
        <v>40343</v>
      </c>
      <c r="C455" s="333" t="s">
        <v>2470</v>
      </c>
      <c r="D455" s="331" t="s">
        <v>473</v>
      </c>
      <c r="E455" s="334" t="s">
        <v>115</v>
      </c>
      <c r="F455" s="335" t="s">
        <v>439</v>
      </c>
      <c r="G455" s="336" t="s">
        <v>2064</v>
      </c>
      <c r="H455" s="337">
        <v>41470</v>
      </c>
      <c r="I455" s="331">
        <v>1</v>
      </c>
      <c r="J455" s="326">
        <v>5274</v>
      </c>
      <c r="K455" s="326">
        <v>5274</v>
      </c>
      <c r="L455" s="225" t="s">
        <v>757</v>
      </c>
      <c r="M455" s="129" t="s">
        <v>36</v>
      </c>
    </row>
    <row r="456" spans="1:13" s="239" customFormat="1" ht="15" customHeight="1" x14ac:dyDescent="0.25">
      <c r="A456" s="365">
        <v>59</v>
      </c>
      <c r="B456" s="331">
        <v>38403</v>
      </c>
      <c r="C456" s="333" t="s">
        <v>2471</v>
      </c>
      <c r="D456" s="331" t="s">
        <v>481</v>
      </c>
      <c r="E456" s="334" t="s">
        <v>574</v>
      </c>
      <c r="F456" s="335" t="s">
        <v>2472</v>
      </c>
      <c r="G456" s="336" t="s">
        <v>2473</v>
      </c>
      <c r="H456" s="337">
        <v>41458</v>
      </c>
      <c r="I456" s="331">
        <v>2</v>
      </c>
      <c r="J456" s="326">
        <v>49701</v>
      </c>
      <c r="K456" s="326">
        <v>99402</v>
      </c>
      <c r="L456" s="225" t="s">
        <v>757</v>
      </c>
      <c r="M456" s="129" t="s">
        <v>36</v>
      </c>
    </row>
    <row r="457" spans="1:13" s="239" customFormat="1" ht="15" customHeight="1" x14ac:dyDescent="0.25">
      <c r="A457" s="365">
        <v>60</v>
      </c>
      <c r="B457" s="331">
        <v>43909</v>
      </c>
      <c r="C457" s="333" t="s">
        <v>2474</v>
      </c>
      <c r="D457" s="331" t="s">
        <v>481</v>
      </c>
      <c r="E457" s="334" t="s">
        <v>574</v>
      </c>
      <c r="F457" s="335" t="s">
        <v>508</v>
      </c>
      <c r="G457" s="336" t="s">
        <v>551</v>
      </c>
      <c r="H457" s="337">
        <v>41481</v>
      </c>
      <c r="I457" s="331">
        <v>1</v>
      </c>
      <c r="J457" s="326">
        <v>49701</v>
      </c>
      <c r="K457" s="326">
        <v>49701</v>
      </c>
      <c r="L457" s="225" t="s">
        <v>757</v>
      </c>
      <c r="M457" s="129" t="s">
        <v>36</v>
      </c>
    </row>
    <row r="458" spans="1:13" s="239" customFormat="1" ht="15" customHeight="1" x14ac:dyDescent="0.25">
      <c r="A458" s="365">
        <v>61</v>
      </c>
      <c r="B458" s="331">
        <v>42136</v>
      </c>
      <c r="C458" s="333" t="s">
        <v>1321</v>
      </c>
      <c r="D458" s="331" t="s">
        <v>473</v>
      </c>
      <c r="E458" s="334" t="s">
        <v>114</v>
      </c>
      <c r="F458" s="335" t="s">
        <v>469</v>
      </c>
      <c r="G458" s="336" t="s">
        <v>2094</v>
      </c>
      <c r="H458" s="337">
        <v>41474</v>
      </c>
      <c r="I458" s="331">
        <v>1</v>
      </c>
      <c r="J458" s="326">
        <v>33370</v>
      </c>
      <c r="K458" s="326">
        <v>33370</v>
      </c>
      <c r="L458" s="225" t="s">
        <v>757</v>
      </c>
      <c r="M458" s="129" t="s">
        <v>36</v>
      </c>
    </row>
    <row r="459" spans="1:13" s="239" customFormat="1" ht="15" customHeight="1" x14ac:dyDescent="0.25">
      <c r="A459" s="365">
        <v>62</v>
      </c>
      <c r="B459" s="331">
        <v>37851</v>
      </c>
      <c r="C459" s="333" t="s">
        <v>2475</v>
      </c>
      <c r="D459" s="331" t="s">
        <v>473</v>
      </c>
      <c r="E459" s="334" t="s">
        <v>534</v>
      </c>
      <c r="F459" s="335" t="s">
        <v>524</v>
      </c>
      <c r="G459" s="336" t="s">
        <v>551</v>
      </c>
      <c r="H459" s="337">
        <v>41456</v>
      </c>
      <c r="I459" s="331">
        <v>1</v>
      </c>
      <c r="J459" s="326">
        <v>30429</v>
      </c>
      <c r="K459" s="326">
        <v>30429</v>
      </c>
      <c r="L459" s="225" t="s">
        <v>757</v>
      </c>
      <c r="M459" s="129" t="s">
        <v>36</v>
      </c>
    </row>
    <row r="460" spans="1:13" s="239" customFormat="1" ht="15" customHeight="1" x14ac:dyDescent="0.25">
      <c r="A460" s="365">
        <v>63</v>
      </c>
      <c r="B460" s="331">
        <v>40346</v>
      </c>
      <c r="C460" s="333" t="s">
        <v>2476</v>
      </c>
      <c r="D460" s="331" t="s">
        <v>473</v>
      </c>
      <c r="E460" s="334" t="s">
        <v>115</v>
      </c>
      <c r="F460" s="335" t="s">
        <v>531</v>
      </c>
      <c r="G460" s="336" t="s">
        <v>1056</v>
      </c>
      <c r="H460" s="337">
        <v>41470</v>
      </c>
      <c r="I460" s="331">
        <v>1</v>
      </c>
      <c r="J460" s="326">
        <v>5274</v>
      </c>
      <c r="K460" s="326">
        <v>5274</v>
      </c>
      <c r="L460" s="225" t="s">
        <v>757</v>
      </c>
      <c r="M460" s="129" t="s">
        <v>36</v>
      </c>
    </row>
    <row r="461" spans="1:13" s="239" customFormat="1" ht="15" customHeight="1" x14ac:dyDescent="0.25">
      <c r="A461" s="365">
        <v>64</v>
      </c>
      <c r="B461" s="331">
        <v>43296</v>
      </c>
      <c r="C461" s="333" t="s">
        <v>2477</v>
      </c>
      <c r="D461" s="331" t="s">
        <v>473</v>
      </c>
      <c r="E461" s="334" t="s">
        <v>115</v>
      </c>
      <c r="F461" s="335" t="s">
        <v>559</v>
      </c>
      <c r="G461" s="336" t="s">
        <v>2064</v>
      </c>
      <c r="H461" s="337">
        <v>41481</v>
      </c>
      <c r="I461" s="331">
        <v>1</v>
      </c>
      <c r="J461" s="326">
        <v>5274</v>
      </c>
      <c r="K461" s="326">
        <v>5274</v>
      </c>
      <c r="L461" s="225" t="s">
        <v>757</v>
      </c>
      <c r="M461" s="129" t="s">
        <v>36</v>
      </c>
    </row>
    <row r="462" spans="1:13" s="239" customFormat="1" ht="15" customHeight="1" x14ac:dyDescent="0.25">
      <c r="A462" s="365">
        <v>65</v>
      </c>
      <c r="B462" s="331">
        <v>42912</v>
      </c>
      <c r="C462" s="333" t="s">
        <v>2478</v>
      </c>
      <c r="D462" s="331" t="s">
        <v>473</v>
      </c>
      <c r="E462" s="334" t="s">
        <v>574</v>
      </c>
      <c r="F462" s="335" t="s">
        <v>1375</v>
      </c>
      <c r="G462" s="336" t="s">
        <v>551</v>
      </c>
      <c r="H462" s="337">
        <v>41478</v>
      </c>
      <c r="I462" s="331">
        <v>2</v>
      </c>
      <c r="J462" s="326">
        <v>49701</v>
      </c>
      <c r="K462" s="326">
        <v>99402</v>
      </c>
      <c r="L462" s="225" t="s">
        <v>757</v>
      </c>
      <c r="M462" s="129" t="s">
        <v>36</v>
      </c>
    </row>
    <row r="463" spans="1:13" s="239" customFormat="1" ht="15" customHeight="1" x14ac:dyDescent="0.25">
      <c r="A463" s="365">
        <v>66</v>
      </c>
      <c r="B463" s="331">
        <v>37439</v>
      </c>
      <c r="C463" s="333" t="s">
        <v>2479</v>
      </c>
      <c r="D463" s="331" t="s">
        <v>481</v>
      </c>
      <c r="E463" s="334" t="s">
        <v>202</v>
      </c>
      <c r="F463" s="335" t="s">
        <v>565</v>
      </c>
      <c r="G463" s="336"/>
      <c r="H463" s="337">
        <v>41453</v>
      </c>
      <c r="I463" s="331">
        <v>1</v>
      </c>
      <c r="J463" s="326">
        <v>17244</v>
      </c>
      <c r="K463" s="326">
        <v>17244</v>
      </c>
      <c r="L463" s="225" t="s">
        <v>757</v>
      </c>
      <c r="M463" s="129" t="s">
        <v>36</v>
      </c>
    </row>
    <row r="464" spans="1:13" s="239" customFormat="1" ht="15" customHeight="1" x14ac:dyDescent="0.25">
      <c r="A464" s="365">
        <v>67</v>
      </c>
      <c r="B464" s="331">
        <v>44079</v>
      </c>
      <c r="C464" s="333" t="s">
        <v>1326</v>
      </c>
      <c r="D464" s="331" t="s">
        <v>473</v>
      </c>
      <c r="E464" s="334" t="s">
        <v>202</v>
      </c>
      <c r="F464" s="335" t="s">
        <v>389</v>
      </c>
      <c r="G464" s="336"/>
      <c r="H464" s="337">
        <v>41484</v>
      </c>
      <c r="I464" s="331">
        <v>1</v>
      </c>
      <c r="J464" s="326">
        <v>17244</v>
      </c>
      <c r="K464" s="326">
        <v>17244</v>
      </c>
      <c r="L464" s="225" t="s">
        <v>757</v>
      </c>
      <c r="M464" s="129" t="s">
        <v>36</v>
      </c>
    </row>
    <row r="465" spans="1:13" s="239" customFormat="1" ht="15" customHeight="1" thickBot="1" x14ac:dyDescent="0.3">
      <c r="A465" s="366">
        <v>68</v>
      </c>
      <c r="B465" s="367">
        <v>39264</v>
      </c>
      <c r="C465" s="368" t="s">
        <v>2480</v>
      </c>
      <c r="D465" s="367" t="s">
        <v>473</v>
      </c>
      <c r="E465" s="369" t="s">
        <v>114</v>
      </c>
      <c r="F465" s="370" t="s">
        <v>1831</v>
      </c>
      <c r="G465" s="371" t="s">
        <v>2094</v>
      </c>
      <c r="H465" s="372">
        <v>41463</v>
      </c>
      <c r="I465" s="367">
        <v>1</v>
      </c>
      <c r="J465" s="373">
        <v>33370</v>
      </c>
      <c r="K465" s="373">
        <v>33370</v>
      </c>
      <c r="L465" s="225" t="s">
        <v>757</v>
      </c>
      <c r="M465" s="129" t="s">
        <v>36</v>
      </c>
    </row>
    <row r="466" spans="1:13" s="239" customFormat="1" ht="15" customHeight="1" thickTop="1" x14ac:dyDescent="0.25">
      <c r="A466" s="374">
        <v>69</v>
      </c>
      <c r="B466" s="375">
        <v>41779</v>
      </c>
      <c r="C466" s="376" t="s">
        <v>2481</v>
      </c>
      <c r="D466" s="375" t="s">
        <v>481</v>
      </c>
      <c r="E466" s="377" t="s">
        <v>115</v>
      </c>
      <c r="F466" s="378" t="s">
        <v>524</v>
      </c>
      <c r="G466" s="379" t="s">
        <v>1061</v>
      </c>
      <c r="H466" s="380">
        <v>41474</v>
      </c>
      <c r="I466" s="375">
        <v>1</v>
      </c>
      <c r="J466" s="381">
        <v>5274</v>
      </c>
      <c r="K466" s="381">
        <v>5274</v>
      </c>
      <c r="L466" s="225" t="s">
        <v>785</v>
      </c>
      <c r="M466" s="129" t="s">
        <v>36</v>
      </c>
    </row>
    <row r="467" spans="1:13" s="239" customFormat="1" ht="15" customHeight="1" x14ac:dyDescent="0.25">
      <c r="A467" s="382">
        <v>70</v>
      </c>
      <c r="B467" s="232">
        <v>43743</v>
      </c>
      <c r="C467" s="233" t="s">
        <v>2482</v>
      </c>
      <c r="D467" s="232" t="s">
        <v>473</v>
      </c>
      <c r="E467" s="234" t="s">
        <v>202</v>
      </c>
      <c r="F467" s="235" t="s">
        <v>412</v>
      </c>
      <c r="G467" s="236"/>
      <c r="H467" s="237">
        <v>41481</v>
      </c>
      <c r="I467" s="232">
        <v>1</v>
      </c>
      <c r="J467" s="383">
        <v>17244</v>
      </c>
      <c r="K467" s="383">
        <v>17244</v>
      </c>
      <c r="L467" s="225" t="s">
        <v>785</v>
      </c>
      <c r="M467" s="129" t="s">
        <v>36</v>
      </c>
    </row>
    <row r="468" spans="1:13" s="239" customFormat="1" ht="15" customHeight="1" x14ac:dyDescent="0.25">
      <c r="A468" s="382">
        <v>71</v>
      </c>
      <c r="B468" s="232">
        <v>42155</v>
      </c>
      <c r="C468" s="233" t="s">
        <v>2483</v>
      </c>
      <c r="D468" s="232" t="s">
        <v>473</v>
      </c>
      <c r="E468" s="234" t="s">
        <v>115</v>
      </c>
      <c r="F468" s="235" t="s">
        <v>1020</v>
      </c>
      <c r="G468" s="236" t="s">
        <v>1056</v>
      </c>
      <c r="H468" s="237">
        <v>41477</v>
      </c>
      <c r="I468" s="232">
        <v>3</v>
      </c>
      <c r="J468" s="383">
        <v>5274</v>
      </c>
      <c r="K468" s="383">
        <v>15822</v>
      </c>
      <c r="L468" s="225" t="s">
        <v>785</v>
      </c>
      <c r="M468" s="129" t="s">
        <v>36</v>
      </c>
    </row>
    <row r="469" spans="1:13" s="239" customFormat="1" ht="15" customHeight="1" x14ac:dyDescent="0.25">
      <c r="A469" s="382">
        <v>72</v>
      </c>
      <c r="B469" s="232">
        <v>44248</v>
      </c>
      <c r="C469" s="233" t="s">
        <v>2484</v>
      </c>
      <c r="D469" s="232" t="s">
        <v>473</v>
      </c>
      <c r="E469" s="234" t="s">
        <v>534</v>
      </c>
      <c r="F469" s="235" t="s">
        <v>414</v>
      </c>
      <c r="G469" s="236" t="s">
        <v>560</v>
      </c>
      <c r="H469" s="237">
        <v>41484</v>
      </c>
      <c r="I469" s="232">
        <v>1</v>
      </c>
      <c r="J469" s="383">
        <v>30429</v>
      </c>
      <c r="K469" s="383">
        <v>30429</v>
      </c>
      <c r="L469" s="225" t="s">
        <v>785</v>
      </c>
      <c r="M469" s="129" t="s">
        <v>36</v>
      </c>
    </row>
    <row r="470" spans="1:13" s="239" customFormat="1" ht="15" customHeight="1" x14ac:dyDescent="0.25">
      <c r="A470" s="382">
        <v>73</v>
      </c>
      <c r="B470" s="232">
        <v>43572</v>
      </c>
      <c r="C470" s="233" t="s">
        <v>1243</v>
      </c>
      <c r="D470" s="232" t="s">
        <v>481</v>
      </c>
      <c r="E470" s="234" t="s">
        <v>534</v>
      </c>
      <c r="F470" s="235" t="s">
        <v>524</v>
      </c>
      <c r="G470" s="236" t="s">
        <v>551</v>
      </c>
      <c r="H470" s="237">
        <v>41481</v>
      </c>
      <c r="I470" s="232">
        <v>1</v>
      </c>
      <c r="J470" s="383">
        <v>30429</v>
      </c>
      <c r="K470" s="383">
        <v>30429</v>
      </c>
      <c r="L470" s="225" t="s">
        <v>785</v>
      </c>
      <c r="M470" s="129" t="s">
        <v>36</v>
      </c>
    </row>
    <row r="471" spans="1:13" s="239" customFormat="1" ht="15" customHeight="1" x14ac:dyDescent="0.25">
      <c r="A471" s="384">
        <v>74</v>
      </c>
      <c r="B471" s="134">
        <v>44912</v>
      </c>
      <c r="C471" s="136" t="s">
        <v>2485</v>
      </c>
      <c r="D471" s="134" t="s">
        <v>473</v>
      </c>
      <c r="E471" s="171" t="s">
        <v>115</v>
      </c>
      <c r="F471" s="138" t="s">
        <v>439</v>
      </c>
      <c r="G471" s="176" t="s">
        <v>2064</v>
      </c>
      <c r="H471" s="135">
        <v>41488</v>
      </c>
      <c r="I471" s="134">
        <v>1</v>
      </c>
      <c r="J471" s="362">
        <v>5274</v>
      </c>
      <c r="K471" s="362">
        <v>5274</v>
      </c>
      <c r="L471" s="225" t="s">
        <v>785</v>
      </c>
      <c r="M471" s="129" t="s">
        <v>36</v>
      </c>
    </row>
    <row r="472" spans="1:13" s="239" customFormat="1" ht="15" customHeight="1" x14ac:dyDescent="0.25">
      <c r="A472" s="384">
        <v>75</v>
      </c>
      <c r="B472" s="134">
        <v>44908</v>
      </c>
      <c r="C472" s="136" t="s">
        <v>2486</v>
      </c>
      <c r="D472" s="134" t="s">
        <v>473</v>
      </c>
      <c r="E472" s="171" t="s">
        <v>115</v>
      </c>
      <c r="F472" s="138" t="s">
        <v>531</v>
      </c>
      <c r="G472" s="176" t="s">
        <v>1056</v>
      </c>
      <c r="H472" s="135">
        <v>41491</v>
      </c>
      <c r="I472" s="134">
        <v>1</v>
      </c>
      <c r="J472" s="362">
        <v>5274</v>
      </c>
      <c r="K472" s="362">
        <v>5274</v>
      </c>
      <c r="L472" s="225" t="s">
        <v>785</v>
      </c>
      <c r="M472" s="129" t="s">
        <v>36</v>
      </c>
    </row>
    <row r="473" spans="1:13" s="239" customFormat="1" ht="15" customHeight="1" x14ac:dyDescent="0.25">
      <c r="A473" s="384">
        <v>76</v>
      </c>
      <c r="B473" s="134">
        <v>44804</v>
      </c>
      <c r="C473" s="136" t="s">
        <v>2487</v>
      </c>
      <c r="D473" s="134" t="s">
        <v>481</v>
      </c>
      <c r="E473" s="171" t="s">
        <v>574</v>
      </c>
      <c r="F473" s="138" t="s">
        <v>401</v>
      </c>
      <c r="G473" s="176" t="s">
        <v>566</v>
      </c>
      <c r="H473" s="135">
        <v>41486</v>
      </c>
      <c r="I473" s="134">
        <v>1</v>
      </c>
      <c r="J473" s="362">
        <v>49701</v>
      </c>
      <c r="K473" s="362">
        <v>49701</v>
      </c>
      <c r="L473" s="225" t="s">
        <v>785</v>
      </c>
      <c r="M473" s="129" t="s">
        <v>36</v>
      </c>
    </row>
    <row r="474" spans="1:13" s="239" customFormat="1" ht="15" customHeight="1" x14ac:dyDescent="0.25">
      <c r="A474" s="384">
        <v>77</v>
      </c>
      <c r="B474" s="134">
        <v>44781</v>
      </c>
      <c r="C474" s="136" t="s">
        <v>2488</v>
      </c>
      <c r="D474" s="134" t="s">
        <v>473</v>
      </c>
      <c r="E474" s="171" t="s">
        <v>115</v>
      </c>
      <c r="F474" s="138" t="s">
        <v>439</v>
      </c>
      <c r="G474" s="176" t="s">
        <v>1056</v>
      </c>
      <c r="H474" s="135">
        <v>41488</v>
      </c>
      <c r="I474" s="134">
        <v>1</v>
      </c>
      <c r="J474" s="362">
        <v>5274</v>
      </c>
      <c r="K474" s="362">
        <v>5274</v>
      </c>
      <c r="L474" s="225" t="s">
        <v>785</v>
      </c>
      <c r="M474" s="129" t="s">
        <v>36</v>
      </c>
    </row>
    <row r="475" spans="1:13" s="239" customFormat="1" ht="15" customHeight="1" x14ac:dyDescent="0.25">
      <c r="A475" s="384">
        <v>78</v>
      </c>
      <c r="B475" s="134">
        <v>44670</v>
      </c>
      <c r="C475" s="136" t="s">
        <v>2489</v>
      </c>
      <c r="D475" s="134" t="s">
        <v>471</v>
      </c>
      <c r="E475" s="171" t="s">
        <v>574</v>
      </c>
      <c r="F475" s="138" t="s">
        <v>508</v>
      </c>
      <c r="G475" s="176" t="s">
        <v>626</v>
      </c>
      <c r="H475" s="135">
        <v>41485</v>
      </c>
      <c r="I475" s="134">
        <v>1</v>
      </c>
      <c r="J475" s="362">
        <v>49701</v>
      </c>
      <c r="K475" s="362">
        <v>49701</v>
      </c>
      <c r="L475" s="225" t="s">
        <v>785</v>
      </c>
      <c r="M475" s="129" t="s">
        <v>36</v>
      </c>
    </row>
    <row r="476" spans="1:13" s="239" customFormat="1" ht="15" customHeight="1" x14ac:dyDescent="0.25">
      <c r="A476" s="384">
        <v>79</v>
      </c>
      <c r="B476" s="134">
        <v>44561</v>
      </c>
      <c r="C476" s="136" t="s">
        <v>2490</v>
      </c>
      <c r="D476" s="134" t="s">
        <v>473</v>
      </c>
      <c r="E476" s="171" t="s">
        <v>215</v>
      </c>
      <c r="F476" s="138" t="s">
        <v>368</v>
      </c>
      <c r="G476" s="176"/>
      <c r="H476" s="135">
        <v>41480</v>
      </c>
      <c r="I476" s="134">
        <v>1</v>
      </c>
      <c r="J476" s="362">
        <v>44597</v>
      </c>
      <c r="K476" s="362">
        <v>44597</v>
      </c>
      <c r="L476" s="225" t="s">
        <v>785</v>
      </c>
      <c r="M476" s="129" t="s">
        <v>36</v>
      </c>
    </row>
    <row r="477" spans="1:13" s="239" customFormat="1" ht="15" customHeight="1" x14ac:dyDescent="0.25">
      <c r="A477" s="384">
        <v>80</v>
      </c>
      <c r="B477" s="134">
        <v>45052</v>
      </c>
      <c r="C477" s="136" t="s">
        <v>2491</v>
      </c>
      <c r="D477" s="134" t="s">
        <v>471</v>
      </c>
      <c r="E477" s="171" t="s">
        <v>574</v>
      </c>
      <c r="F477" s="138" t="s">
        <v>428</v>
      </c>
      <c r="G477" s="176" t="s">
        <v>2450</v>
      </c>
      <c r="H477" s="135">
        <v>41486</v>
      </c>
      <c r="I477" s="134">
        <v>1</v>
      </c>
      <c r="J477" s="362">
        <v>49701</v>
      </c>
      <c r="K477" s="362">
        <v>49701</v>
      </c>
      <c r="L477" s="225" t="s">
        <v>785</v>
      </c>
      <c r="M477" s="129" t="s">
        <v>36</v>
      </c>
    </row>
    <row r="478" spans="1:13" s="239" customFormat="1" ht="15" customHeight="1" x14ac:dyDescent="0.25">
      <c r="A478" s="384">
        <v>81</v>
      </c>
      <c r="B478" s="134">
        <v>45032</v>
      </c>
      <c r="C478" s="136" t="s">
        <v>1270</v>
      </c>
      <c r="D478" s="134" t="s">
        <v>481</v>
      </c>
      <c r="E478" s="171" t="s">
        <v>115</v>
      </c>
      <c r="F478" s="138" t="s">
        <v>524</v>
      </c>
      <c r="G478" s="176" t="s">
        <v>1061</v>
      </c>
      <c r="H478" s="135">
        <v>41488</v>
      </c>
      <c r="I478" s="134">
        <v>1</v>
      </c>
      <c r="J478" s="362">
        <v>5274</v>
      </c>
      <c r="K478" s="362">
        <v>5274</v>
      </c>
      <c r="L478" s="225" t="s">
        <v>785</v>
      </c>
      <c r="M478" s="129" t="s">
        <v>36</v>
      </c>
    </row>
    <row r="479" spans="1:13" s="239" customFormat="1" ht="15" customHeight="1" x14ac:dyDescent="0.25">
      <c r="A479" s="384">
        <v>82</v>
      </c>
      <c r="B479" s="134">
        <v>45033</v>
      </c>
      <c r="C479" s="136" t="s">
        <v>2492</v>
      </c>
      <c r="D479" s="134" t="s">
        <v>473</v>
      </c>
      <c r="E479" s="171" t="s">
        <v>115</v>
      </c>
      <c r="F479" s="138" t="s">
        <v>2493</v>
      </c>
      <c r="G479" s="176" t="s">
        <v>2064</v>
      </c>
      <c r="H479" s="135">
        <v>41488</v>
      </c>
      <c r="I479" s="134">
        <v>3</v>
      </c>
      <c r="J479" s="362">
        <v>5274</v>
      </c>
      <c r="K479" s="362">
        <v>15822</v>
      </c>
      <c r="L479" s="225" t="s">
        <v>785</v>
      </c>
      <c r="M479" s="129" t="s">
        <v>36</v>
      </c>
    </row>
    <row r="480" spans="1:13" s="239" customFormat="1" ht="15" customHeight="1" x14ac:dyDescent="0.25">
      <c r="A480" s="384">
        <v>83</v>
      </c>
      <c r="B480" s="134">
        <v>45231</v>
      </c>
      <c r="C480" s="136" t="s">
        <v>2494</v>
      </c>
      <c r="D480" s="134" t="s">
        <v>481</v>
      </c>
      <c r="E480" s="171" t="s">
        <v>115</v>
      </c>
      <c r="F480" s="138" t="s">
        <v>412</v>
      </c>
      <c r="G480" s="176" t="s">
        <v>2064</v>
      </c>
      <c r="H480" s="135">
        <v>41488</v>
      </c>
      <c r="I480" s="134">
        <v>1</v>
      </c>
      <c r="J480" s="362">
        <v>5274</v>
      </c>
      <c r="K480" s="362">
        <v>5274</v>
      </c>
      <c r="L480" s="225" t="s">
        <v>785</v>
      </c>
      <c r="M480" s="129" t="s">
        <v>36</v>
      </c>
    </row>
    <row r="481" spans="1:13" s="239" customFormat="1" ht="15" customHeight="1" x14ac:dyDescent="0.25">
      <c r="A481" s="384">
        <v>84</v>
      </c>
      <c r="B481" s="134">
        <v>45151</v>
      </c>
      <c r="C481" s="136" t="s">
        <v>2495</v>
      </c>
      <c r="D481" s="134" t="s">
        <v>471</v>
      </c>
      <c r="E481" s="171" t="s">
        <v>574</v>
      </c>
      <c r="F481" s="138" t="s">
        <v>428</v>
      </c>
      <c r="G481" s="176" t="s">
        <v>551</v>
      </c>
      <c r="H481" s="135">
        <v>41487</v>
      </c>
      <c r="I481" s="134">
        <v>1</v>
      </c>
      <c r="J481" s="362">
        <v>49701</v>
      </c>
      <c r="K481" s="362">
        <v>49701</v>
      </c>
      <c r="L481" s="225" t="s">
        <v>785</v>
      </c>
      <c r="M481" s="129" t="s">
        <v>36</v>
      </c>
    </row>
    <row r="482" spans="1:13" s="239" customFormat="1" ht="15" customHeight="1" x14ac:dyDescent="0.25">
      <c r="A482" s="384">
        <v>85</v>
      </c>
      <c r="B482" s="134">
        <v>45135</v>
      </c>
      <c r="C482" s="136" t="s">
        <v>2496</v>
      </c>
      <c r="D482" s="134" t="s">
        <v>473</v>
      </c>
      <c r="E482" s="171" t="s">
        <v>574</v>
      </c>
      <c r="F482" s="138" t="s">
        <v>559</v>
      </c>
      <c r="G482" s="176" t="s">
        <v>551</v>
      </c>
      <c r="H482" s="135">
        <v>41487</v>
      </c>
      <c r="I482" s="134">
        <v>1</v>
      </c>
      <c r="J482" s="362">
        <v>49701</v>
      </c>
      <c r="K482" s="362">
        <v>49701</v>
      </c>
      <c r="L482" s="225" t="s">
        <v>785</v>
      </c>
      <c r="M482" s="129" t="s">
        <v>36</v>
      </c>
    </row>
    <row r="483" spans="1:13" s="239" customFormat="1" ht="15" customHeight="1" x14ac:dyDescent="0.25">
      <c r="A483" s="384">
        <v>86</v>
      </c>
      <c r="B483" s="134">
        <v>45578</v>
      </c>
      <c r="C483" s="136" t="s">
        <v>2433</v>
      </c>
      <c r="D483" s="134" t="s">
        <v>481</v>
      </c>
      <c r="E483" s="171" t="s">
        <v>574</v>
      </c>
      <c r="F483" s="138" t="s">
        <v>469</v>
      </c>
      <c r="G483" s="176" t="s">
        <v>566</v>
      </c>
      <c r="H483" s="135">
        <v>41488</v>
      </c>
      <c r="I483" s="134">
        <v>1</v>
      </c>
      <c r="J483" s="362">
        <v>49701</v>
      </c>
      <c r="K483" s="362">
        <v>49701</v>
      </c>
      <c r="L483" s="225" t="s">
        <v>785</v>
      </c>
      <c r="M483" s="129" t="s">
        <v>36</v>
      </c>
    </row>
    <row r="484" spans="1:13" s="239" customFormat="1" ht="15" customHeight="1" x14ac:dyDescent="0.25">
      <c r="A484" s="384">
        <v>87</v>
      </c>
      <c r="B484" s="134">
        <v>45111</v>
      </c>
      <c r="C484" s="136" t="s">
        <v>2491</v>
      </c>
      <c r="D484" s="134" t="s">
        <v>473</v>
      </c>
      <c r="E484" s="171" t="s">
        <v>574</v>
      </c>
      <c r="F484" s="138" t="s">
        <v>412</v>
      </c>
      <c r="G484" s="176" t="s">
        <v>2497</v>
      </c>
      <c r="H484" s="135">
        <v>41487</v>
      </c>
      <c r="I484" s="134">
        <v>1</v>
      </c>
      <c r="J484" s="362">
        <v>49701</v>
      </c>
      <c r="K484" s="362">
        <v>49701</v>
      </c>
      <c r="L484" s="225" t="s">
        <v>785</v>
      </c>
      <c r="M484" s="129" t="s">
        <v>36</v>
      </c>
    </row>
    <row r="485" spans="1:13" s="239" customFormat="1" ht="15" customHeight="1" x14ac:dyDescent="0.25">
      <c r="A485" s="384">
        <v>88</v>
      </c>
      <c r="B485" s="134">
        <v>45481</v>
      </c>
      <c r="C485" s="136" t="s">
        <v>2469</v>
      </c>
      <c r="D485" s="134" t="s">
        <v>473</v>
      </c>
      <c r="E485" s="171" t="s">
        <v>115</v>
      </c>
      <c r="F485" s="138" t="s">
        <v>442</v>
      </c>
      <c r="G485" s="176" t="s">
        <v>2064</v>
      </c>
      <c r="H485" s="135">
        <v>41487</v>
      </c>
      <c r="I485" s="134">
        <v>1</v>
      </c>
      <c r="J485" s="362">
        <v>5274</v>
      </c>
      <c r="K485" s="362">
        <v>5274</v>
      </c>
      <c r="L485" s="225" t="s">
        <v>785</v>
      </c>
      <c r="M485" s="129" t="s">
        <v>36</v>
      </c>
    </row>
    <row r="486" spans="1:13" s="239" customFormat="1" ht="15" customHeight="1" x14ac:dyDescent="0.25">
      <c r="A486" s="384">
        <v>89</v>
      </c>
      <c r="B486" s="134">
        <v>45463</v>
      </c>
      <c r="C486" s="136" t="s">
        <v>2498</v>
      </c>
      <c r="D486" s="134" t="s">
        <v>481</v>
      </c>
      <c r="E486" s="171" t="s">
        <v>574</v>
      </c>
      <c r="F486" s="138" t="s">
        <v>524</v>
      </c>
      <c r="G486" s="176" t="s">
        <v>566</v>
      </c>
      <c r="H486" s="135">
        <v>41488</v>
      </c>
      <c r="I486" s="134">
        <v>1</v>
      </c>
      <c r="J486" s="362">
        <v>49701</v>
      </c>
      <c r="K486" s="362">
        <v>49701</v>
      </c>
      <c r="L486" s="225" t="s">
        <v>785</v>
      </c>
      <c r="M486" s="129" t="s">
        <v>36</v>
      </c>
    </row>
    <row r="487" spans="1:13" s="239" customFormat="1" ht="15" customHeight="1" x14ac:dyDescent="0.25">
      <c r="A487" s="384">
        <v>90</v>
      </c>
      <c r="B487" s="134">
        <v>45438</v>
      </c>
      <c r="C487" s="136" t="s">
        <v>2499</v>
      </c>
      <c r="D487" s="134" t="s">
        <v>473</v>
      </c>
      <c r="E487" s="171" t="s">
        <v>574</v>
      </c>
      <c r="F487" s="138" t="s">
        <v>416</v>
      </c>
      <c r="G487" s="176" t="s">
        <v>551</v>
      </c>
      <c r="H487" s="135">
        <v>41488</v>
      </c>
      <c r="I487" s="134">
        <v>1</v>
      </c>
      <c r="J487" s="362">
        <v>49701</v>
      </c>
      <c r="K487" s="362">
        <v>49701</v>
      </c>
      <c r="L487" s="225" t="s">
        <v>785</v>
      </c>
      <c r="M487" s="129" t="s">
        <v>36</v>
      </c>
    </row>
    <row r="488" spans="1:13" s="239" customFormat="1" ht="15" customHeight="1" x14ac:dyDescent="0.25">
      <c r="A488" s="384">
        <v>91</v>
      </c>
      <c r="B488" s="134">
        <v>45698</v>
      </c>
      <c r="C488" s="136" t="s">
        <v>2427</v>
      </c>
      <c r="D488" s="134" t="s">
        <v>481</v>
      </c>
      <c r="E488" s="171" t="s">
        <v>114</v>
      </c>
      <c r="F488" s="138" t="s">
        <v>1198</v>
      </c>
      <c r="G488" s="176" t="s">
        <v>2094</v>
      </c>
      <c r="H488" s="135">
        <v>41491</v>
      </c>
      <c r="I488" s="134">
        <v>2</v>
      </c>
      <c r="J488" s="362">
        <v>33370</v>
      </c>
      <c r="K488" s="362">
        <v>66740</v>
      </c>
      <c r="L488" s="225" t="s">
        <v>785</v>
      </c>
      <c r="M488" s="129" t="s">
        <v>36</v>
      </c>
    </row>
    <row r="489" spans="1:13" s="239" customFormat="1" ht="15" customHeight="1" x14ac:dyDescent="0.25">
      <c r="A489" s="384">
        <v>92</v>
      </c>
      <c r="B489" s="134">
        <v>46001</v>
      </c>
      <c r="C489" s="136" t="s">
        <v>2500</v>
      </c>
      <c r="D489" s="134" t="s">
        <v>473</v>
      </c>
      <c r="E489" s="171" t="s">
        <v>115</v>
      </c>
      <c r="F489" s="138" t="s">
        <v>2472</v>
      </c>
      <c r="G489" s="176" t="s">
        <v>2094</v>
      </c>
      <c r="H489" s="135">
        <v>41491</v>
      </c>
      <c r="I489" s="134">
        <v>2</v>
      </c>
      <c r="J489" s="362">
        <v>5274</v>
      </c>
      <c r="K489" s="362">
        <v>10548</v>
      </c>
      <c r="L489" s="225" t="s">
        <v>785</v>
      </c>
      <c r="M489" s="129" t="s">
        <v>36</v>
      </c>
    </row>
    <row r="490" spans="1:13" s="239" customFormat="1" ht="15" customHeight="1" x14ac:dyDescent="0.25">
      <c r="A490" s="384">
        <v>93</v>
      </c>
      <c r="B490" s="134">
        <v>46011</v>
      </c>
      <c r="C490" s="136" t="s">
        <v>2501</v>
      </c>
      <c r="D490" s="134" t="s">
        <v>481</v>
      </c>
      <c r="E490" s="171" t="s">
        <v>574</v>
      </c>
      <c r="F490" s="138" t="s">
        <v>469</v>
      </c>
      <c r="G490" s="176" t="s">
        <v>580</v>
      </c>
      <c r="H490" s="135">
        <v>41461</v>
      </c>
      <c r="I490" s="134">
        <v>1</v>
      </c>
      <c r="J490" s="362">
        <v>49701</v>
      </c>
      <c r="K490" s="362">
        <v>49701</v>
      </c>
      <c r="L490" s="225" t="s">
        <v>785</v>
      </c>
      <c r="M490" s="129" t="s">
        <v>36</v>
      </c>
    </row>
    <row r="491" spans="1:13" s="239" customFormat="1" ht="15" customHeight="1" x14ac:dyDescent="0.25">
      <c r="A491" s="384">
        <v>94</v>
      </c>
      <c r="B491" s="134">
        <v>45842</v>
      </c>
      <c r="C491" s="136" t="s">
        <v>2502</v>
      </c>
      <c r="D491" s="134" t="s">
        <v>473</v>
      </c>
      <c r="E491" s="171" t="s">
        <v>115</v>
      </c>
      <c r="F491" s="138" t="s">
        <v>2503</v>
      </c>
      <c r="G491" s="176" t="s">
        <v>2104</v>
      </c>
      <c r="H491" s="135">
        <v>41491</v>
      </c>
      <c r="I491" s="134">
        <v>2</v>
      </c>
      <c r="J491" s="362">
        <v>5274</v>
      </c>
      <c r="K491" s="362">
        <v>10548</v>
      </c>
      <c r="L491" s="225" t="s">
        <v>785</v>
      </c>
      <c r="M491" s="129" t="s">
        <v>36</v>
      </c>
    </row>
    <row r="492" spans="1:13" s="239" customFormat="1" ht="15" customHeight="1" x14ac:dyDescent="0.25">
      <c r="A492" s="384">
        <v>95</v>
      </c>
      <c r="B492" s="134">
        <v>46652</v>
      </c>
      <c r="C492" s="136" t="s">
        <v>2504</v>
      </c>
      <c r="D492" s="134" t="s">
        <v>473</v>
      </c>
      <c r="E492" s="171" t="s">
        <v>534</v>
      </c>
      <c r="F492" s="138" t="s">
        <v>2505</v>
      </c>
      <c r="G492" s="176" t="s">
        <v>1945</v>
      </c>
      <c r="H492" s="135">
        <v>41493</v>
      </c>
      <c r="I492" s="134">
        <v>2</v>
      </c>
      <c r="J492" s="362">
        <v>30429</v>
      </c>
      <c r="K492" s="362">
        <v>60858</v>
      </c>
      <c r="L492" s="225" t="s">
        <v>785</v>
      </c>
      <c r="M492" s="129" t="s">
        <v>36</v>
      </c>
    </row>
    <row r="493" spans="1:13" s="239" customFormat="1" ht="15" customHeight="1" x14ac:dyDescent="0.25">
      <c r="A493" s="384">
        <v>96</v>
      </c>
      <c r="B493" s="134">
        <v>46374</v>
      </c>
      <c r="C493" s="136" t="s">
        <v>2506</v>
      </c>
      <c r="D493" s="134" t="s">
        <v>475</v>
      </c>
      <c r="E493" s="171" t="s">
        <v>186</v>
      </c>
      <c r="F493" s="138" t="s">
        <v>442</v>
      </c>
      <c r="G493" s="176" t="s">
        <v>2507</v>
      </c>
      <c r="H493" s="135">
        <v>41492</v>
      </c>
      <c r="I493" s="134">
        <v>1</v>
      </c>
      <c r="J493" s="362">
        <v>42601</v>
      </c>
      <c r="K493" s="362">
        <v>42601</v>
      </c>
      <c r="L493" s="225" t="s">
        <v>785</v>
      </c>
      <c r="M493" s="129" t="s">
        <v>36</v>
      </c>
    </row>
    <row r="494" spans="1:13" s="239" customFormat="1" ht="15" customHeight="1" x14ac:dyDescent="0.25">
      <c r="A494" s="384">
        <v>97</v>
      </c>
      <c r="B494" s="134">
        <v>46334</v>
      </c>
      <c r="C494" s="136" t="s">
        <v>2508</v>
      </c>
      <c r="D494" s="134" t="s">
        <v>481</v>
      </c>
      <c r="E494" s="171" t="s">
        <v>186</v>
      </c>
      <c r="F494" s="138" t="s">
        <v>439</v>
      </c>
      <c r="G494" s="176" t="s">
        <v>639</v>
      </c>
      <c r="H494" s="135">
        <v>41493</v>
      </c>
      <c r="I494" s="134">
        <v>1</v>
      </c>
      <c r="J494" s="362">
        <v>42601</v>
      </c>
      <c r="K494" s="362">
        <v>42601</v>
      </c>
      <c r="L494" s="225" t="s">
        <v>785</v>
      </c>
      <c r="M494" s="129" t="s">
        <v>36</v>
      </c>
    </row>
    <row r="495" spans="1:13" s="239" customFormat="1" ht="15" customHeight="1" x14ac:dyDescent="0.25">
      <c r="A495" s="384">
        <v>98</v>
      </c>
      <c r="B495" s="134">
        <v>46879</v>
      </c>
      <c r="C495" s="136" t="s">
        <v>2509</v>
      </c>
      <c r="D495" s="134" t="s">
        <v>481</v>
      </c>
      <c r="E495" s="171" t="s">
        <v>574</v>
      </c>
      <c r="F495" s="138" t="s">
        <v>416</v>
      </c>
      <c r="G495" s="176" t="s">
        <v>551</v>
      </c>
      <c r="H495" s="135">
        <v>41494</v>
      </c>
      <c r="I495" s="134">
        <v>1</v>
      </c>
      <c r="J495" s="362">
        <v>49701</v>
      </c>
      <c r="K495" s="362">
        <v>49701</v>
      </c>
      <c r="L495" s="225" t="s">
        <v>785</v>
      </c>
      <c r="M495" s="129" t="s">
        <v>36</v>
      </c>
    </row>
    <row r="496" spans="1:13" s="239" customFormat="1" ht="15" customHeight="1" x14ac:dyDescent="0.25">
      <c r="A496" s="384">
        <v>99</v>
      </c>
      <c r="B496" s="134">
        <v>46901</v>
      </c>
      <c r="C496" s="136" t="s">
        <v>2510</v>
      </c>
      <c r="D496" s="134" t="s">
        <v>473</v>
      </c>
      <c r="E496" s="171" t="s">
        <v>574</v>
      </c>
      <c r="F496" s="138" t="s">
        <v>2511</v>
      </c>
      <c r="G496" s="176" t="s">
        <v>2497</v>
      </c>
      <c r="H496" s="135">
        <v>41494</v>
      </c>
      <c r="I496" s="134">
        <v>2</v>
      </c>
      <c r="J496" s="362">
        <v>49701</v>
      </c>
      <c r="K496" s="362">
        <v>99402</v>
      </c>
      <c r="L496" s="225" t="s">
        <v>785</v>
      </c>
      <c r="M496" s="129" t="s">
        <v>36</v>
      </c>
    </row>
    <row r="497" spans="1:13" s="239" customFormat="1" ht="15" customHeight="1" x14ac:dyDescent="0.25">
      <c r="A497" s="384">
        <v>100</v>
      </c>
      <c r="B497" s="134">
        <v>47051</v>
      </c>
      <c r="C497" s="136" t="s">
        <v>2434</v>
      </c>
      <c r="D497" s="134" t="s">
        <v>473</v>
      </c>
      <c r="E497" s="171" t="s">
        <v>114</v>
      </c>
      <c r="F497" s="138" t="s">
        <v>416</v>
      </c>
      <c r="G497" s="176" t="s">
        <v>580</v>
      </c>
      <c r="H497" s="135">
        <v>41495</v>
      </c>
      <c r="I497" s="134">
        <v>1</v>
      </c>
      <c r="J497" s="362">
        <v>33370</v>
      </c>
      <c r="K497" s="362">
        <v>33370</v>
      </c>
      <c r="L497" s="225" t="s">
        <v>785</v>
      </c>
      <c r="M497" s="129" t="s">
        <v>36</v>
      </c>
    </row>
    <row r="498" spans="1:13" s="239" customFormat="1" ht="15" customHeight="1" x14ac:dyDescent="0.25">
      <c r="A498" s="384">
        <v>101</v>
      </c>
      <c r="B498" s="134">
        <v>47287</v>
      </c>
      <c r="C498" s="136" t="s">
        <v>1390</v>
      </c>
      <c r="D498" s="134" t="s">
        <v>473</v>
      </c>
      <c r="E498" s="171" t="s">
        <v>115</v>
      </c>
      <c r="F498" s="138" t="s">
        <v>2512</v>
      </c>
      <c r="G498" s="176" t="s">
        <v>2064</v>
      </c>
      <c r="H498" s="135">
        <v>41498</v>
      </c>
      <c r="I498" s="134">
        <v>2</v>
      </c>
      <c r="J498" s="362">
        <v>5274</v>
      </c>
      <c r="K498" s="362">
        <v>10548</v>
      </c>
      <c r="L498" s="225" t="s">
        <v>785</v>
      </c>
      <c r="M498" s="129" t="s">
        <v>36</v>
      </c>
    </row>
    <row r="499" spans="1:13" s="239" customFormat="1" ht="15" customHeight="1" x14ac:dyDescent="0.25">
      <c r="A499" s="384">
        <v>102</v>
      </c>
      <c r="B499" s="134">
        <v>47314</v>
      </c>
      <c r="C499" s="136" t="s">
        <v>2513</v>
      </c>
      <c r="D499" s="134" t="s">
        <v>473</v>
      </c>
      <c r="E499" s="171" t="s">
        <v>577</v>
      </c>
      <c r="F499" s="138" t="s">
        <v>368</v>
      </c>
      <c r="G499" s="176"/>
      <c r="H499" s="135">
        <v>41498</v>
      </c>
      <c r="I499" s="134">
        <v>1</v>
      </c>
      <c r="J499" s="362">
        <v>25800</v>
      </c>
      <c r="K499" s="362">
        <v>25800</v>
      </c>
      <c r="L499" s="225" t="s">
        <v>785</v>
      </c>
      <c r="M499" s="129" t="s">
        <v>36</v>
      </c>
    </row>
    <row r="500" spans="1:13" s="239" customFormat="1" ht="15" customHeight="1" x14ac:dyDescent="0.25">
      <c r="A500" s="384">
        <v>103</v>
      </c>
      <c r="B500" s="134">
        <v>47654</v>
      </c>
      <c r="C500" s="136" t="s">
        <v>2514</v>
      </c>
      <c r="D500" s="134" t="s">
        <v>473</v>
      </c>
      <c r="E500" s="171" t="s">
        <v>114</v>
      </c>
      <c r="F500" s="138" t="s">
        <v>559</v>
      </c>
      <c r="G500" s="176" t="s">
        <v>2515</v>
      </c>
      <c r="H500" s="135">
        <v>41498</v>
      </c>
      <c r="I500" s="134">
        <v>1</v>
      </c>
      <c r="J500" s="362">
        <v>33370</v>
      </c>
      <c r="K500" s="362">
        <v>33370</v>
      </c>
      <c r="L500" s="225" t="s">
        <v>785</v>
      </c>
      <c r="M500" s="129" t="s">
        <v>36</v>
      </c>
    </row>
    <row r="501" spans="1:13" s="239" customFormat="1" ht="15" customHeight="1" x14ac:dyDescent="0.25">
      <c r="A501" s="384">
        <v>104</v>
      </c>
      <c r="B501" s="134">
        <v>47630</v>
      </c>
      <c r="C501" s="136" t="s">
        <v>2451</v>
      </c>
      <c r="D501" s="134" t="s">
        <v>473</v>
      </c>
      <c r="E501" s="171" t="s">
        <v>114</v>
      </c>
      <c r="F501" s="138" t="s">
        <v>559</v>
      </c>
      <c r="G501" s="176" t="s">
        <v>2516</v>
      </c>
      <c r="H501" s="135">
        <v>41498</v>
      </c>
      <c r="I501" s="134">
        <v>1</v>
      </c>
      <c r="J501" s="362">
        <v>33370</v>
      </c>
      <c r="K501" s="362">
        <v>33370</v>
      </c>
      <c r="L501" s="225" t="s">
        <v>785</v>
      </c>
      <c r="M501" s="129" t="s">
        <v>36</v>
      </c>
    </row>
    <row r="502" spans="1:13" s="239" customFormat="1" ht="15" customHeight="1" x14ac:dyDescent="0.25">
      <c r="A502" s="384">
        <v>105</v>
      </c>
      <c r="B502" s="134">
        <v>47949</v>
      </c>
      <c r="C502" s="136" t="s">
        <v>2444</v>
      </c>
      <c r="D502" s="134" t="s">
        <v>502</v>
      </c>
      <c r="E502" s="171" t="s">
        <v>577</v>
      </c>
      <c r="F502" s="138" t="s">
        <v>368</v>
      </c>
      <c r="G502" s="176"/>
      <c r="H502" s="135">
        <v>41499</v>
      </c>
      <c r="I502" s="134">
        <v>1</v>
      </c>
      <c r="J502" s="362">
        <v>25800</v>
      </c>
      <c r="K502" s="362">
        <v>25800</v>
      </c>
      <c r="L502" s="225" t="s">
        <v>785</v>
      </c>
      <c r="M502" s="129" t="s">
        <v>36</v>
      </c>
    </row>
    <row r="503" spans="1:13" s="239" customFormat="1" ht="15" customHeight="1" x14ac:dyDescent="0.25">
      <c r="A503" s="384">
        <v>106</v>
      </c>
      <c r="B503" s="134">
        <v>48007</v>
      </c>
      <c r="C503" s="136" t="s">
        <v>2517</v>
      </c>
      <c r="D503" s="134" t="s">
        <v>481</v>
      </c>
      <c r="E503" s="171" t="s">
        <v>534</v>
      </c>
      <c r="F503" s="138" t="s">
        <v>412</v>
      </c>
      <c r="G503" s="176" t="s">
        <v>551</v>
      </c>
      <c r="H503" s="135">
        <v>41499</v>
      </c>
      <c r="I503" s="134">
        <v>1</v>
      </c>
      <c r="J503" s="362">
        <v>30429</v>
      </c>
      <c r="K503" s="362">
        <v>30429</v>
      </c>
      <c r="L503" s="225" t="s">
        <v>785</v>
      </c>
      <c r="M503" s="129" t="s">
        <v>36</v>
      </c>
    </row>
    <row r="504" spans="1:13" s="239" customFormat="1" ht="15" customHeight="1" x14ac:dyDescent="0.25">
      <c r="A504" s="384">
        <v>107</v>
      </c>
      <c r="B504" s="134">
        <v>47684</v>
      </c>
      <c r="C504" s="136" t="s">
        <v>2441</v>
      </c>
      <c r="D504" s="134" t="s">
        <v>473</v>
      </c>
      <c r="E504" s="171" t="s">
        <v>574</v>
      </c>
      <c r="F504" s="138" t="s">
        <v>642</v>
      </c>
      <c r="G504" s="176" t="s">
        <v>1945</v>
      </c>
      <c r="H504" s="135">
        <v>41498</v>
      </c>
      <c r="I504" s="134">
        <v>1</v>
      </c>
      <c r="J504" s="362">
        <v>49701</v>
      </c>
      <c r="K504" s="362">
        <v>49701</v>
      </c>
      <c r="L504" s="225" t="s">
        <v>785</v>
      </c>
      <c r="M504" s="129" t="s">
        <v>36</v>
      </c>
    </row>
    <row r="505" spans="1:13" s="239" customFormat="1" ht="15" customHeight="1" x14ac:dyDescent="0.25">
      <c r="A505" s="384">
        <v>108</v>
      </c>
      <c r="B505" s="134">
        <v>47868</v>
      </c>
      <c r="C505" s="136" t="s">
        <v>2455</v>
      </c>
      <c r="D505" s="134" t="s">
        <v>481</v>
      </c>
      <c r="E505" s="171" t="s">
        <v>115</v>
      </c>
      <c r="F505" s="138" t="s">
        <v>439</v>
      </c>
      <c r="G505" s="176" t="s">
        <v>2064</v>
      </c>
      <c r="H505" s="135">
        <v>41499</v>
      </c>
      <c r="I505" s="134">
        <v>1</v>
      </c>
      <c r="J505" s="362">
        <v>5274</v>
      </c>
      <c r="K505" s="362">
        <v>5274</v>
      </c>
      <c r="L505" s="225" t="s">
        <v>785</v>
      </c>
      <c r="M505" s="129" t="s">
        <v>36</v>
      </c>
    </row>
    <row r="506" spans="1:13" s="239" customFormat="1" ht="15" customHeight="1" x14ac:dyDescent="0.25">
      <c r="A506" s="384">
        <v>109</v>
      </c>
      <c r="B506" s="134">
        <v>48029</v>
      </c>
      <c r="C506" s="136" t="s">
        <v>2518</v>
      </c>
      <c r="D506" s="134" t="s">
        <v>473</v>
      </c>
      <c r="E506" s="171" t="s">
        <v>577</v>
      </c>
      <c r="F506" s="138" t="s">
        <v>368</v>
      </c>
      <c r="G506" s="176"/>
      <c r="H506" s="135">
        <v>41499</v>
      </c>
      <c r="I506" s="134">
        <v>1</v>
      </c>
      <c r="J506" s="362">
        <v>25800</v>
      </c>
      <c r="K506" s="362">
        <v>25800</v>
      </c>
      <c r="L506" s="225" t="s">
        <v>785</v>
      </c>
      <c r="M506" s="129" t="s">
        <v>36</v>
      </c>
    </row>
    <row r="507" spans="1:13" s="239" customFormat="1" ht="15" customHeight="1" x14ac:dyDescent="0.25">
      <c r="A507" s="384">
        <v>110</v>
      </c>
      <c r="B507" s="134">
        <v>48211</v>
      </c>
      <c r="C507" s="136" t="s">
        <v>2471</v>
      </c>
      <c r="D507" s="134" t="s">
        <v>481</v>
      </c>
      <c r="E507" s="171" t="s">
        <v>574</v>
      </c>
      <c r="F507" s="138" t="s">
        <v>559</v>
      </c>
      <c r="G507" s="176" t="s">
        <v>566</v>
      </c>
      <c r="H507" s="135">
        <v>41504</v>
      </c>
      <c r="I507" s="134">
        <v>1</v>
      </c>
      <c r="J507" s="362">
        <v>49701</v>
      </c>
      <c r="K507" s="362">
        <v>49701</v>
      </c>
      <c r="L507" s="225" t="s">
        <v>785</v>
      </c>
      <c r="M507" s="129" t="s">
        <v>36</v>
      </c>
    </row>
    <row r="508" spans="1:13" s="239" customFormat="1" ht="15" customHeight="1" x14ac:dyDescent="0.25">
      <c r="A508" s="384">
        <v>111</v>
      </c>
      <c r="B508" s="134">
        <v>48345</v>
      </c>
      <c r="C508" s="136" t="s">
        <v>1406</v>
      </c>
      <c r="D508" s="134" t="s">
        <v>481</v>
      </c>
      <c r="E508" s="171" t="s">
        <v>215</v>
      </c>
      <c r="F508" s="138" t="s">
        <v>384</v>
      </c>
      <c r="G508" s="176" t="s">
        <v>2104</v>
      </c>
      <c r="H508" s="135">
        <v>41500</v>
      </c>
      <c r="I508" s="134">
        <v>2</v>
      </c>
      <c r="J508" s="362">
        <v>44597</v>
      </c>
      <c r="K508" s="362">
        <v>89194</v>
      </c>
      <c r="L508" s="225" t="s">
        <v>785</v>
      </c>
      <c r="M508" s="129" t="s">
        <v>36</v>
      </c>
    </row>
    <row r="509" spans="1:13" s="239" customFormat="1" ht="15" customHeight="1" x14ac:dyDescent="0.25">
      <c r="A509" s="384">
        <v>112</v>
      </c>
      <c r="B509" s="134">
        <v>48535</v>
      </c>
      <c r="C509" s="136" t="s">
        <v>2519</v>
      </c>
      <c r="D509" s="134" t="s">
        <v>481</v>
      </c>
      <c r="E509" s="171" t="s">
        <v>115</v>
      </c>
      <c r="F509" s="138" t="s">
        <v>2520</v>
      </c>
      <c r="G509" s="176" t="s">
        <v>1061</v>
      </c>
      <c r="H509" s="135">
        <v>41502</v>
      </c>
      <c r="I509" s="134">
        <v>2</v>
      </c>
      <c r="J509" s="362">
        <v>5274</v>
      </c>
      <c r="K509" s="362">
        <v>10548</v>
      </c>
      <c r="L509" s="225" t="s">
        <v>785</v>
      </c>
      <c r="M509" s="129" t="s">
        <v>36</v>
      </c>
    </row>
    <row r="510" spans="1:13" s="239" customFormat="1" ht="15" customHeight="1" x14ac:dyDescent="0.25">
      <c r="A510" s="384">
        <v>113</v>
      </c>
      <c r="B510" s="134">
        <v>46049</v>
      </c>
      <c r="C510" s="136" t="s">
        <v>2521</v>
      </c>
      <c r="D510" s="134" t="s">
        <v>1746</v>
      </c>
      <c r="E510" s="171" t="s">
        <v>577</v>
      </c>
      <c r="F510" s="138" t="s">
        <v>368</v>
      </c>
      <c r="G510" s="176"/>
      <c r="H510" s="135">
        <v>41491</v>
      </c>
      <c r="I510" s="134">
        <v>1</v>
      </c>
      <c r="J510" s="362">
        <v>25800</v>
      </c>
      <c r="K510" s="362">
        <v>25800</v>
      </c>
      <c r="L510" s="225" t="s">
        <v>785</v>
      </c>
      <c r="M510" s="129" t="s">
        <v>36</v>
      </c>
    </row>
    <row r="511" spans="1:13" s="239" customFormat="1" ht="15" customHeight="1" x14ac:dyDescent="0.25">
      <c r="A511" s="384">
        <v>114</v>
      </c>
      <c r="B511" s="134">
        <v>48650</v>
      </c>
      <c r="C511" s="136" t="s">
        <v>2522</v>
      </c>
      <c r="D511" s="134" t="s">
        <v>471</v>
      </c>
      <c r="E511" s="171" t="s">
        <v>574</v>
      </c>
      <c r="F511" s="138" t="s">
        <v>508</v>
      </c>
      <c r="G511" s="176" t="s">
        <v>2523</v>
      </c>
      <c r="H511" s="135">
        <v>41500</v>
      </c>
      <c r="I511" s="134">
        <v>1</v>
      </c>
      <c r="J511" s="362">
        <v>49701</v>
      </c>
      <c r="K511" s="362">
        <v>49701</v>
      </c>
      <c r="L511" s="225" t="s">
        <v>785</v>
      </c>
      <c r="M511" s="129" t="s">
        <v>36</v>
      </c>
    </row>
    <row r="512" spans="1:13" s="239" customFormat="1" ht="15" customHeight="1" x14ac:dyDescent="0.25">
      <c r="A512" s="384">
        <v>115</v>
      </c>
      <c r="B512" s="134">
        <v>48777</v>
      </c>
      <c r="C512" s="136" t="s">
        <v>2524</v>
      </c>
      <c r="D512" s="134" t="s">
        <v>481</v>
      </c>
      <c r="E512" s="171" t="s">
        <v>186</v>
      </c>
      <c r="F512" s="138" t="s">
        <v>524</v>
      </c>
      <c r="G512" s="176" t="s">
        <v>2525</v>
      </c>
      <c r="H512" s="135">
        <v>41502</v>
      </c>
      <c r="I512" s="134">
        <v>1</v>
      </c>
      <c r="J512" s="362">
        <v>42601</v>
      </c>
      <c r="K512" s="362">
        <v>42601</v>
      </c>
      <c r="L512" s="225" t="s">
        <v>785</v>
      </c>
      <c r="M512" s="129" t="s">
        <v>36</v>
      </c>
    </row>
    <row r="513" spans="1:13" s="239" customFormat="1" ht="15" customHeight="1" x14ac:dyDescent="0.25">
      <c r="A513" s="384">
        <v>116</v>
      </c>
      <c r="B513" s="134">
        <v>48836</v>
      </c>
      <c r="C513" s="136" t="s">
        <v>1588</v>
      </c>
      <c r="D513" s="134" t="s">
        <v>481</v>
      </c>
      <c r="E513" s="171" t="s">
        <v>534</v>
      </c>
      <c r="F513" s="138" t="s">
        <v>591</v>
      </c>
      <c r="G513" s="176" t="s">
        <v>566</v>
      </c>
      <c r="H513" s="135">
        <v>41502</v>
      </c>
      <c r="I513" s="134">
        <v>1</v>
      </c>
      <c r="J513" s="362">
        <v>30429</v>
      </c>
      <c r="K513" s="362">
        <v>30429</v>
      </c>
      <c r="L513" s="225" t="s">
        <v>785</v>
      </c>
      <c r="M513" s="129" t="s">
        <v>36</v>
      </c>
    </row>
    <row r="514" spans="1:13" s="239" customFormat="1" ht="15" customHeight="1" x14ac:dyDescent="0.25">
      <c r="A514" s="384">
        <v>117</v>
      </c>
      <c r="B514" s="134">
        <v>48813</v>
      </c>
      <c r="C514" s="136" t="s">
        <v>2501</v>
      </c>
      <c r="D514" s="134" t="s">
        <v>481</v>
      </c>
      <c r="E514" s="171" t="s">
        <v>577</v>
      </c>
      <c r="F514" s="138" t="s">
        <v>368</v>
      </c>
      <c r="G514" s="176"/>
      <c r="H514" s="135">
        <v>41502</v>
      </c>
      <c r="I514" s="134">
        <v>1</v>
      </c>
      <c r="J514" s="362">
        <v>25800</v>
      </c>
      <c r="K514" s="362">
        <v>25800</v>
      </c>
      <c r="L514" s="225" t="s">
        <v>785</v>
      </c>
      <c r="M514" s="129" t="s">
        <v>36</v>
      </c>
    </row>
    <row r="515" spans="1:13" s="239" customFormat="1" ht="15" customHeight="1" x14ac:dyDescent="0.25">
      <c r="A515" s="384">
        <v>118</v>
      </c>
      <c r="B515" s="134">
        <v>48854</v>
      </c>
      <c r="C515" s="136" t="s">
        <v>2526</v>
      </c>
      <c r="D515" s="134" t="s">
        <v>473</v>
      </c>
      <c r="E515" s="171" t="s">
        <v>115</v>
      </c>
      <c r="F515" s="138" t="s">
        <v>524</v>
      </c>
      <c r="G515" s="176" t="s">
        <v>2466</v>
      </c>
      <c r="H515" s="135">
        <v>41496</v>
      </c>
      <c r="I515" s="134">
        <v>1</v>
      </c>
      <c r="J515" s="362">
        <v>5274</v>
      </c>
      <c r="K515" s="362">
        <v>5274</v>
      </c>
      <c r="L515" s="225" t="s">
        <v>785</v>
      </c>
      <c r="M515" s="129" t="s">
        <v>36</v>
      </c>
    </row>
    <row r="516" spans="1:13" s="239" customFormat="1" ht="15" customHeight="1" x14ac:dyDescent="0.25">
      <c r="A516" s="384">
        <v>119</v>
      </c>
      <c r="B516" s="134">
        <v>49046</v>
      </c>
      <c r="C516" s="136" t="s">
        <v>2498</v>
      </c>
      <c r="D516" s="134" t="s">
        <v>481</v>
      </c>
      <c r="E516" s="171" t="s">
        <v>574</v>
      </c>
      <c r="F516" s="138" t="s">
        <v>508</v>
      </c>
      <c r="G516" s="176" t="s">
        <v>566</v>
      </c>
      <c r="H516" s="135">
        <v>41502</v>
      </c>
      <c r="I516" s="134">
        <v>1</v>
      </c>
      <c r="J516" s="362">
        <v>49701</v>
      </c>
      <c r="K516" s="362">
        <v>49701</v>
      </c>
      <c r="L516" s="225" t="s">
        <v>785</v>
      </c>
      <c r="M516" s="129" t="s">
        <v>36</v>
      </c>
    </row>
    <row r="517" spans="1:13" s="239" customFormat="1" ht="15" customHeight="1" x14ac:dyDescent="0.25">
      <c r="A517" s="384">
        <v>120</v>
      </c>
      <c r="B517" s="134">
        <v>49035</v>
      </c>
      <c r="C517" s="136" t="s">
        <v>2527</v>
      </c>
      <c r="D517" s="134" t="s">
        <v>475</v>
      </c>
      <c r="E517" s="171" t="s">
        <v>215</v>
      </c>
      <c r="F517" s="138" t="s">
        <v>368</v>
      </c>
      <c r="G517" s="176" t="s">
        <v>2064</v>
      </c>
      <c r="H517" s="135">
        <v>41502</v>
      </c>
      <c r="I517" s="134">
        <v>1</v>
      </c>
      <c r="J517" s="362">
        <v>44597</v>
      </c>
      <c r="K517" s="362">
        <v>44597</v>
      </c>
      <c r="L517" s="225" t="s">
        <v>785</v>
      </c>
      <c r="M517" s="129" t="s">
        <v>36</v>
      </c>
    </row>
    <row r="518" spans="1:13" s="239" customFormat="1" ht="15" customHeight="1" x14ac:dyDescent="0.25">
      <c r="A518" s="384">
        <v>121</v>
      </c>
      <c r="B518" s="134">
        <v>49800</v>
      </c>
      <c r="C518" s="136" t="s">
        <v>2460</v>
      </c>
      <c r="D518" s="134" t="s">
        <v>475</v>
      </c>
      <c r="E518" s="171" t="s">
        <v>115</v>
      </c>
      <c r="F518" s="138" t="s">
        <v>389</v>
      </c>
      <c r="G518" s="176" t="s">
        <v>1061</v>
      </c>
      <c r="H518" s="135">
        <v>41507</v>
      </c>
      <c r="I518" s="134">
        <v>1</v>
      </c>
      <c r="J518" s="362">
        <v>5274</v>
      </c>
      <c r="K518" s="362">
        <v>5274</v>
      </c>
      <c r="L518" s="225" t="s">
        <v>785</v>
      </c>
      <c r="M518" s="129" t="s">
        <v>36</v>
      </c>
    </row>
    <row r="519" spans="1:13" s="239" customFormat="1" ht="15" customHeight="1" x14ac:dyDescent="0.25">
      <c r="A519" s="384">
        <v>122</v>
      </c>
      <c r="B519" s="134">
        <v>49802</v>
      </c>
      <c r="C519" s="136" t="s">
        <v>2528</v>
      </c>
      <c r="D519" s="134" t="s">
        <v>475</v>
      </c>
      <c r="E519" s="171" t="s">
        <v>115</v>
      </c>
      <c r="F519" s="138" t="s">
        <v>442</v>
      </c>
      <c r="G519" s="176" t="s">
        <v>2098</v>
      </c>
      <c r="H519" s="135">
        <v>41507</v>
      </c>
      <c r="I519" s="134">
        <v>1</v>
      </c>
      <c r="J519" s="362">
        <v>5274</v>
      </c>
      <c r="K519" s="362">
        <v>5274</v>
      </c>
      <c r="L519" s="225" t="s">
        <v>785</v>
      </c>
      <c r="M519" s="129" t="s">
        <v>36</v>
      </c>
    </row>
    <row r="520" spans="1:13" s="239" customFormat="1" ht="15" customHeight="1" x14ac:dyDescent="0.25">
      <c r="A520" s="384">
        <v>123</v>
      </c>
      <c r="B520" s="134">
        <v>49820</v>
      </c>
      <c r="C520" s="136" t="s">
        <v>2529</v>
      </c>
      <c r="D520" s="134" t="s">
        <v>481</v>
      </c>
      <c r="E520" s="171" t="s">
        <v>574</v>
      </c>
      <c r="F520" s="138" t="s">
        <v>559</v>
      </c>
      <c r="G520" s="176" t="s">
        <v>563</v>
      </c>
      <c r="H520" s="135">
        <v>41506</v>
      </c>
      <c r="I520" s="134">
        <v>1</v>
      </c>
      <c r="J520" s="362">
        <v>49701</v>
      </c>
      <c r="K520" s="362">
        <v>49701</v>
      </c>
      <c r="L520" s="225" t="s">
        <v>785</v>
      </c>
      <c r="M520" s="129" t="s">
        <v>36</v>
      </c>
    </row>
    <row r="521" spans="1:13" s="239" customFormat="1" ht="15" customHeight="1" x14ac:dyDescent="0.25">
      <c r="A521" s="384">
        <v>124</v>
      </c>
      <c r="B521" s="134">
        <v>49248</v>
      </c>
      <c r="C521" s="136" t="s">
        <v>2530</v>
      </c>
      <c r="D521" s="134" t="s">
        <v>481</v>
      </c>
      <c r="E521" s="171" t="s">
        <v>186</v>
      </c>
      <c r="F521" s="138" t="s">
        <v>508</v>
      </c>
      <c r="G521" s="176" t="s">
        <v>2531</v>
      </c>
      <c r="H521" s="135">
        <v>41505</v>
      </c>
      <c r="I521" s="134">
        <v>1</v>
      </c>
      <c r="J521" s="362">
        <v>42601</v>
      </c>
      <c r="K521" s="362">
        <v>42601</v>
      </c>
      <c r="L521" s="225" t="s">
        <v>785</v>
      </c>
      <c r="M521" s="129" t="s">
        <v>36</v>
      </c>
    </row>
    <row r="522" spans="1:13" s="239" customFormat="1" ht="15" customHeight="1" x14ac:dyDescent="0.25">
      <c r="A522" s="384">
        <v>125</v>
      </c>
      <c r="B522" s="134">
        <v>49220</v>
      </c>
      <c r="C522" s="136" t="s">
        <v>2532</v>
      </c>
      <c r="D522" s="134" t="s">
        <v>473</v>
      </c>
      <c r="E522" s="171" t="s">
        <v>574</v>
      </c>
      <c r="F522" s="138" t="s">
        <v>469</v>
      </c>
      <c r="G522" s="176" t="s">
        <v>2325</v>
      </c>
      <c r="H522" s="135">
        <v>41505</v>
      </c>
      <c r="I522" s="134">
        <v>1</v>
      </c>
      <c r="J522" s="362">
        <v>49701</v>
      </c>
      <c r="K522" s="362">
        <v>49701</v>
      </c>
      <c r="L522" s="225" t="s">
        <v>785</v>
      </c>
      <c r="M522" s="129" t="s">
        <v>36</v>
      </c>
    </row>
    <row r="523" spans="1:13" s="239" customFormat="1" ht="15" customHeight="1" x14ac:dyDescent="0.25">
      <c r="A523" s="384">
        <v>126</v>
      </c>
      <c r="B523" s="134">
        <v>49295</v>
      </c>
      <c r="C523" s="136" t="s">
        <v>2533</v>
      </c>
      <c r="D523" s="134" t="s">
        <v>481</v>
      </c>
      <c r="E523" s="171" t="s">
        <v>202</v>
      </c>
      <c r="F523" s="138" t="s">
        <v>642</v>
      </c>
      <c r="G523" s="176"/>
      <c r="H523" s="135">
        <v>41505</v>
      </c>
      <c r="I523" s="134">
        <v>1</v>
      </c>
      <c r="J523" s="362">
        <v>17244</v>
      </c>
      <c r="K523" s="362">
        <v>17244</v>
      </c>
      <c r="L523" s="225" t="s">
        <v>785</v>
      </c>
      <c r="M523" s="129" t="s">
        <v>36</v>
      </c>
    </row>
    <row r="524" spans="1:13" s="239" customFormat="1" ht="15" customHeight="1" x14ac:dyDescent="0.25">
      <c r="A524" s="384">
        <v>127</v>
      </c>
      <c r="B524" s="134">
        <v>49346</v>
      </c>
      <c r="C524" s="136" t="s">
        <v>937</v>
      </c>
      <c r="D524" s="134" t="s">
        <v>473</v>
      </c>
      <c r="E524" s="171" t="s">
        <v>115</v>
      </c>
      <c r="F524" s="138" t="s">
        <v>407</v>
      </c>
      <c r="G524" s="176" t="s">
        <v>2534</v>
      </c>
      <c r="H524" s="135">
        <v>41505</v>
      </c>
      <c r="I524" s="134">
        <v>1</v>
      </c>
      <c r="J524" s="362">
        <v>5274</v>
      </c>
      <c r="K524" s="362">
        <v>5274</v>
      </c>
      <c r="L524" s="225" t="s">
        <v>785</v>
      </c>
      <c r="M524" s="129" t="s">
        <v>36</v>
      </c>
    </row>
    <row r="525" spans="1:13" s="239" customFormat="1" ht="15" customHeight="1" x14ac:dyDescent="0.25">
      <c r="A525" s="384">
        <v>128</v>
      </c>
      <c r="B525" s="134">
        <v>49704</v>
      </c>
      <c r="C525" s="136" t="s">
        <v>1355</v>
      </c>
      <c r="D525" s="134" t="s">
        <v>473</v>
      </c>
      <c r="E525" s="171" t="s">
        <v>202</v>
      </c>
      <c r="F525" s="138" t="s">
        <v>428</v>
      </c>
      <c r="G525" s="176"/>
      <c r="H525" s="135">
        <v>41506</v>
      </c>
      <c r="I525" s="134">
        <v>1</v>
      </c>
      <c r="J525" s="362">
        <v>17244</v>
      </c>
      <c r="K525" s="362">
        <v>17244</v>
      </c>
      <c r="L525" s="225" t="s">
        <v>785</v>
      </c>
      <c r="M525" s="129" t="s">
        <v>36</v>
      </c>
    </row>
    <row r="526" spans="1:13" s="239" customFormat="1" ht="15" customHeight="1" x14ac:dyDescent="0.25">
      <c r="A526" s="384">
        <v>129</v>
      </c>
      <c r="B526" s="134">
        <v>49462</v>
      </c>
      <c r="C526" s="136" t="s">
        <v>2485</v>
      </c>
      <c r="D526" s="134" t="s">
        <v>473</v>
      </c>
      <c r="E526" s="171" t="s">
        <v>574</v>
      </c>
      <c r="F526" s="138" t="s">
        <v>559</v>
      </c>
      <c r="G526" s="176" t="s">
        <v>626</v>
      </c>
      <c r="H526" s="135">
        <v>41506</v>
      </c>
      <c r="I526" s="134">
        <v>1</v>
      </c>
      <c r="J526" s="362">
        <v>49701</v>
      </c>
      <c r="K526" s="362">
        <v>49701</v>
      </c>
      <c r="L526" s="225" t="s">
        <v>785</v>
      </c>
      <c r="M526" s="129" t="s">
        <v>36</v>
      </c>
    </row>
    <row r="527" spans="1:13" s="239" customFormat="1" ht="15" customHeight="1" x14ac:dyDescent="0.25">
      <c r="A527" s="384">
        <v>130</v>
      </c>
      <c r="B527" s="134">
        <v>49469</v>
      </c>
      <c r="C527" s="136" t="s">
        <v>2535</v>
      </c>
      <c r="D527" s="134" t="s">
        <v>473</v>
      </c>
      <c r="E527" s="171" t="s">
        <v>1129</v>
      </c>
      <c r="F527" s="138" t="s">
        <v>1001</v>
      </c>
      <c r="G527" s="176" t="s">
        <v>580</v>
      </c>
      <c r="H527" s="135">
        <v>41507</v>
      </c>
      <c r="I527" s="134">
        <v>4</v>
      </c>
      <c r="J527" s="362">
        <v>49701</v>
      </c>
      <c r="K527" s="362">
        <v>198804</v>
      </c>
      <c r="L527" s="225" t="s">
        <v>785</v>
      </c>
      <c r="M527" s="129" t="s">
        <v>36</v>
      </c>
    </row>
    <row r="528" spans="1:13" s="239" customFormat="1" ht="15" customHeight="1" x14ac:dyDescent="0.25">
      <c r="A528" s="384">
        <v>131</v>
      </c>
      <c r="B528" s="134">
        <v>50371</v>
      </c>
      <c r="C528" s="136" t="s">
        <v>2536</v>
      </c>
      <c r="D528" s="134" t="s">
        <v>481</v>
      </c>
      <c r="E528" s="171" t="s">
        <v>230</v>
      </c>
      <c r="F528" s="138" t="s">
        <v>368</v>
      </c>
      <c r="G528" s="176"/>
      <c r="H528" s="135">
        <v>41508</v>
      </c>
      <c r="I528" s="134">
        <v>1</v>
      </c>
      <c r="J528" s="362">
        <v>17244</v>
      </c>
      <c r="K528" s="362">
        <v>17244</v>
      </c>
      <c r="L528" s="225" t="s">
        <v>785</v>
      </c>
      <c r="M528" s="129" t="s">
        <v>36</v>
      </c>
    </row>
    <row r="529" spans="1:13" s="239" customFormat="1" ht="15" customHeight="1" x14ac:dyDescent="0.25">
      <c r="A529" s="384">
        <v>132</v>
      </c>
      <c r="B529" s="134">
        <v>50509</v>
      </c>
      <c r="C529" s="136" t="s">
        <v>2537</v>
      </c>
      <c r="D529" s="134" t="s">
        <v>473</v>
      </c>
      <c r="E529" s="171" t="s">
        <v>114</v>
      </c>
      <c r="F529" s="138" t="s">
        <v>531</v>
      </c>
      <c r="G529" s="176" t="s">
        <v>2094</v>
      </c>
      <c r="H529" s="135">
        <v>41509</v>
      </c>
      <c r="I529" s="134">
        <v>1</v>
      </c>
      <c r="J529" s="362">
        <v>33370</v>
      </c>
      <c r="K529" s="362">
        <v>33370</v>
      </c>
      <c r="L529" s="225" t="s">
        <v>785</v>
      </c>
      <c r="M529" s="129" t="s">
        <v>36</v>
      </c>
    </row>
    <row r="530" spans="1:13" s="239" customFormat="1" ht="15" customHeight="1" x14ac:dyDescent="0.25">
      <c r="A530" s="384">
        <v>133</v>
      </c>
      <c r="B530" s="134">
        <v>50702</v>
      </c>
      <c r="C530" s="136" t="s">
        <v>2538</v>
      </c>
      <c r="D530" s="134" t="s">
        <v>481</v>
      </c>
      <c r="E530" s="171" t="s">
        <v>114</v>
      </c>
      <c r="F530" s="138" t="s">
        <v>412</v>
      </c>
      <c r="G530" s="176" t="s">
        <v>639</v>
      </c>
      <c r="H530" s="135">
        <v>41509</v>
      </c>
      <c r="I530" s="134">
        <v>1</v>
      </c>
      <c r="J530" s="362">
        <v>33370</v>
      </c>
      <c r="K530" s="362">
        <v>33370</v>
      </c>
      <c r="L530" s="225" t="s">
        <v>785</v>
      </c>
      <c r="M530" s="129" t="s">
        <v>36</v>
      </c>
    </row>
    <row r="531" spans="1:13" s="239" customFormat="1" ht="15" customHeight="1" x14ac:dyDescent="0.25">
      <c r="A531" s="384">
        <v>134</v>
      </c>
      <c r="B531" s="134">
        <v>50674</v>
      </c>
      <c r="C531" s="136" t="s">
        <v>2539</v>
      </c>
      <c r="D531" s="134" t="s">
        <v>481</v>
      </c>
      <c r="E531" s="171" t="s">
        <v>574</v>
      </c>
      <c r="F531" s="138" t="s">
        <v>524</v>
      </c>
      <c r="G531" s="176" t="s">
        <v>580</v>
      </c>
      <c r="H531" s="135">
        <v>41509</v>
      </c>
      <c r="I531" s="134">
        <v>1</v>
      </c>
      <c r="J531" s="362">
        <v>49701</v>
      </c>
      <c r="K531" s="362">
        <v>49701</v>
      </c>
      <c r="L531" s="225" t="s">
        <v>785</v>
      </c>
      <c r="M531" s="129" t="s">
        <v>36</v>
      </c>
    </row>
    <row r="532" spans="1:13" s="133" customFormat="1" ht="15" customHeight="1" x14ac:dyDescent="0.25">
      <c r="A532" s="384">
        <v>135</v>
      </c>
      <c r="B532" s="134">
        <v>50534</v>
      </c>
      <c r="C532" s="136" t="s">
        <v>2540</v>
      </c>
      <c r="D532" s="134" t="s">
        <v>481</v>
      </c>
      <c r="E532" s="171" t="s">
        <v>202</v>
      </c>
      <c r="F532" s="138" t="s">
        <v>565</v>
      </c>
      <c r="G532" s="176"/>
      <c r="H532" s="135">
        <v>41509</v>
      </c>
      <c r="I532" s="134">
        <v>1</v>
      </c>
      <c r="J532" s="362">
        <v>17244</v>
      </c>
      <c r="K532" s="362">
        <v>17244</v>
      </c>
      <c r="L532" s="225" t="s">
        <v>785</v>
      </c>
      <c r="M532" s="129" t="s">
        <v>36</v>
      </c>
    </row>
    <row r="533" spans="1:13" s="133" customFormat="1" ht="15" customHeight="1" x14ac:dyDescent="0.25">
      <c r="A533" s="384">
        <v>136</v>
      </c>
      <c r="B533" s="134">
        <v>50998</v>
      </c>
      <c r="C533" s="136" t="s">
        <v>2541</v>
      </c>
      <c r="D533" s="134" t="s">
        <v>481</v>
      </c>
      <c r="E533" s="171" t="s">
        <v>679</v>
      </c>
      <c r="F533" s="138" t="s">
        <v>384</v>
      </c>
      <c r="G533" s="176" t="s">
        <v>2104</v>
      </c>
      <c r="H533" s="135">
        <v>41512</v>
      </c>
      <c r="I533" s="134">
        <v>2</v>
      </c>
      <c r="J533" s="362">
        <v>55058</v>
      </c>
      <c r="K533" s="362">
        <v>110116</v>
      </c>
      <c r="L533" s="225" t="s">
        <v>785</v>
      </c>
      <c r="M533" s="129" t="s">
        <v>36</v>
      </c>
    </row>
    <row r="534" spans="1:13" s="133" customFormat="1" ht="15" customHeight="1" x14ac:dyDescent="0.25">
      <c r="A534" s="384">
        <v>137</v>
      </c>
      <c r="B534" s="134">
        <v>50949</v>
      </c>
      <c r="C534" s="136" t="s">
        <v>2542</v>
      </c>
      <c r="D534" s="134" t="s">
        <v>481</v>
      </c>
      <c r="E534" s="171" t="s">
        <v>186</v>
      </c>
      <c r="F534" s="138" t="s">
        <v>2543</v>
      </c>
      <c r="G534" s="176" t="s">
        <v>2094</v>
      </c>
      <c r="H534" s="135">
        <v>41509</v>
      </c>
      <c r="I534" s="134">
        <v>4</v>
      </c>
      <c r="J534" s="362">
        <v>42601</v>
      </c>
      <c r="K534" s="362">
        <v>170404</v>
      </c>
      <c r="L534" s="225" t="s">
        <v>785</v>
      </c>
      <c r="M534" s="129" t="s">
        <v>36</v>
      </c>
    </row>
    <row r="535" spans="1:13" s="133" customFormat="1" ht="15" customHeight="1" x14ac:dyDescent="0.25">
      <c r="A535" s="384">
        <v>138</v>
      </c>
      <c r="B535" s="134">
        <v>51200</v>
      </c>
      <c r="C535" s="136" t="s">
        <v>2544</v>
      </c>
      <c r="D535" s="134" t="s">
        <v>473</v>
      </c>
      <c r="E535" s="171" t="s">
        <v>202</v>
      </c>
      <c r="F535" s="138" t="s">
        <v>416</v>
      </c>
      <c r="G535" s="176"/>
      <c r="H535" s="135">
        <v>41512</v>
      </c>
      <c r="I535" s="134">
        <v>1</v>
      </c>
      <c r="J535" s="362">
        <v>17244</v>
      </c>
      <c r="K535" s="362">
        <v>17244</v>
      </c>
      <c r="L535" s="225" t="s">
        <v>785</v>
      </c>
      <c r="M535" s="129" t="s">
        <v>36</v>
      </c>
    </row>
    <row r="536" spans="1:13" s="133" customFormat="1" ht="15" customHeight="1" x14ac:dyDescent="0.25">
      <c r="A536" s="384">
        <v>139</v>
      </c>
      <c r="B536" s="134">
        <v>51183</v>
      </c>
      <c r="C536" s="136" t="s">
        <v>2545</v>
      </c>
      <c r="D536" s="134" t="s">
        <v>473</v>
      </c>
      <c r="E536" s="171" t="s">
        <v>577</v>
      </c>
      <c r="F536" s="138" t="s">
        <v>368</v>
      </c>
      <c r="G536" s="176"/>
      <c r="H536" s="135">
        <v>41512</v>
      </c>
      <c r="I536" s="134">
        <v>1</v>
      </c>
      <c r="J536" s="362">
        <v>25800</v>
      </c>
      <c r="K536" s="362">
        <v>25800</v>
      </c>
      <c r="L536" s="225" t="s">
        <v>785</v>
      </c>
      <c r="M536" s="129" t="s">
        <v>36</v>
      </c>
    </row>
    <row r="537" spans="1:13" s="133" customFormat="1" ht="15" customHeight="1" x14ac:dyDescent="0.25">
      <c r="A537" s="384">
        <v>140</v>
      </c>
      <c r="B537" s="134">
        <v>51523</v>
      </c>
      <c r="C537" s="136" t="s">
        <v>2546</v>
      </c>
      <c r="D537" s="134" t="s">
        <v>473</v>
      </c>
      <c r="E537" s="171" t="s">
        <v>534</v>
      </c>
      <c r="F537" s="138" t="s">
        <v>524</v>
      </c>
      <c r="G537" s="176" t="s">
        <v>580</v>
      </c>
      <c r="H537" s="135">
        <v>41513</v>
      </c>
      <c r="I537" s="134">
        <v>1</v>
      </c>
      <c r="J537" s="362">
        <v>30429</v>
      </c>
      <c r="K537" s="362">
        <v>30429</v>
      </c>
      <c r="L537" s="225" t="s">
        <v>785</v>
      </c>
      <c r="M537" s="129" t="s">
        <v>36</v>
      </c>
    </row>
    <row r="538" spans="1:13" s="133" customFormat="1" ht="15" customHeight="1" x14ac:dyDescent="0.25">
      <c r="A538" s="384">
        <v>141</v>
      </c>
      <c r="B538" s="134">
        <v>51387</v>
      </c>
      <c r="C538" s="136" t="s">
        <v>2419</v>
      </c>
      <c r="D538" s="134" t="s">
        <v>473</v>
      </c>
      <c r="E538" s="171" t="s">
        <v>115</v>
      </c>
      <c r="F538" s="138" t="s">
        <v>2459</v>
      </c>
      <c r="G538" s="176" t="s">
        <v>2064</v>
      </c>
      <c r="H538" s="135">
        <v>41513</v>
      </c>
      <c r="I538" s="134">
        <v>4</v>
      </c>
      <c r="J538" s="362">
        <v>5274</v>
      </c>
      <c r="K538" s="362">
        <v>21096</v>
      </c>
      <c r="L538" s="225" t="s">
        <v>785</v>
      </c>
      <c r="M538" s="129" t="s">
        <v>36</v>
      </c>
    </row>
    <row r="539" spans="1:13" s="133" customFormat="1" ht="15" customHeight="1" x14ac:dyDescent="0.25">
      <c r="A539" s="384">
        <v>142</v>
      </c>
      <c r="B539" s="134">
        <v>51380</v>
      </c>
      <c r="C539" s="136" t="s">
        <v>2469</v>
      </c>
      <c r="D539" s="134" t="s">
        <v>473</v>
      </c>
      <c r="E539" s="171" t="s">
        <v>114</v>
      </c>
      <c r="F539" s="138" t="s">
        <v>442</v>
      </c>
      <c r="G539" s="176" t="s">
        <v>557</v>
      </c>
      <c r="H539" s="135">
        <v>41512</v>
      </c>
      <c r="I539" s="134">
        <v>1</v>
      </c>
      <c r="J539" s="362">
        <v>33370</v>
      </c>
      <c r="K539" s="362">
        <v>33370</v>
      </c>
      <c r="L539" s="225" t="s">
        <v>785</v>
      </c>
      <c r="M539" s="129" t="s">
        <v>36</v>
      </c>
    </row>
    <row r="540" spans="1:13" s="133" customFormat="1" ht="15" customHeight="1" x14ac:dyDescent="0.25">
      <c r="A540" s="384">
        <v>143</v>
      </c>
      <c r="B540" s="134">
        <v>51553</v>
      </c>
      <c r="C540" s="136" t="s">
        <v>2455</v>
      </c>
      <c r="D540" s="134" t="s">
        <v>481</v>
      </c>
      <c r="E540" s="171" t="s">
        <v>114</v>
      </c>
      <c r="F540" s="138" t="s">
        <v>439</v>
      </c>
      <c r="G540" s="176" t="s">
        <v>580</v>
      </c>
      <c r="H540" s="135">
        <v>41513</v>
      </c>
      <c r="I540" s="134">
        <v>1</v>
      </c>
      <c r="J540" s="362">
        <v>33370</v>
      </c>
      <c r="K540" s="362">
        <v>33370</v>
      </c>
      <c r="L540" s="225" t="s">
        <v>785</v>
      </c>
      <c r="M540" s="129" t="s">
        <v>36</v>
      </c>
    </row>
    <row r="541" spans="1:13" s="133" customFormat="1" ht="15" customHeight="1" x14ac:dyDescent="0.25">
      <c r="A541" s="384">
        <v>144</v>
      </c>
      <c r="B541" s="134">
        <v>51561</v>
      </c>
      <c r="C541" s="136" t="s">
        <v>2547</v>
      </c>
      <c r="D541" s="134" t="s">
        <v>481</v>
      </c>
      <c r="E541" s="171" t="s">
        <v>202</v>
      </c>
      <c r="F541" s="138" t="s">
        <v>508</v>
      </c>
      <c r="G541" s="176"/>
      <c r="H541" s="135">
        <v>41513</v>
      </c>
      <c r="I541" s="134">
        <v>1</v>
      </c>
      <c r="J541" s="362">
        <v>17244</v>
      </c>
      <c r="K541" s="362">
        <v>17244</v>
      </c>
      <c r="L541" s="225" t="s">
        <v>785</v>
      </c>
      <c r="M541" s="129" t="s">
        <v>36</v>
      </c>
    </row>
    <row r="542" spans="1:13" s="133" customFormat="1" ht="15" customHeight="1" x14ac:dyDescent="0.25">
      <c r="A542" s="384">
        <v>145</v>
      </c>
      <c r="B542" s="134">
        <v>51568</v>
      </c>
      <c r="C542" s="136" t="s">
        <v>2548</v>
      </c>
      <c r="D542" s="134" t="s">
        <v>481</v>
      </c>
      <c r="E542" s="171" t="s">
        <v>574</v>
      </c>
      <c r="F542" s="138" t="s">
        <v>414</v>
      </c>
      <c r="G542" s="176" t="s">
        <v>580</v>
      </c>
      <c r="H542" s="135">
        <v>41513</v>
      </c>
      <c r="I542" s="134">
        <v>1</v>
      </c>
      <c r="J542" s="362">
        <v>49701</v>
      </c>
      <c r="K542" s="362">
        <v>49701</v>
      </c>
      <c r="L542" s="225" t="s">
        <v>785</v>
      </c>
      <c r="M542" s="129" t="s">
        <v>36</v>
      </c>
    </row>
    <row r="543" spans="1:13" s="133" customFormat="1" ht="15" customHeight="1" x14ac:dyDescent="0.25">
      <c r="A543" s="384">
        <v>146</v>
      </c>
      <c r="B543" s="134">
        <v>51571</v>
      </c>
      <c r="C543" s="136" t="s">
        <v>2549</v>
      </c>
      <c r="D543" s="134" t="s">
        <v>481</v>
      </c>
      <c r="E543" s="171" t="s">
        <v>574</v>
      </c>
      <c r="F543" s="138" t="s">
        <v>414</v>
      </c>
      <c r="G543" s="176" t="s">
        <v>2109</v>
      </c>
      <c r="H543" s="135">
        <v>41513</v>
      </c>
      <c r="I543" s="134">
        <v>1</v>
      </c>
      <c r="J543" s="362">
        <v>49701</v>
      </c>
      <c r="K543" s="362">
        <v>49701</v>
      </c>
      <c r="L543" s="225" t="s">
        <v>785</v>
      </c>
      <c r="M543" s="129" t="s">
        <v>36</v>
      </c>
    </row>
    <row r="544" spans="1:13" s="133" customFormat="1" ht="15" customHeight="1" x14ac:dyDescent="0.25">
      <c r="A544" s="384">
        <v>147</v>
      </c>
      <c r="B544" s="134">
        <v>51848</v>
      </c>
      <c r="C544" s="136" t="s">
        <v>2550</v>
      </c>
      <c r="D544" s="134" t="s">
        <v>481</v>
      </c>
      <c r="E544" s="171" t="s">
        <v>215</v>
      </c>
      <c r="F544" s="138" t="s">
        <v>366</v>
      </c>
      <c r="G544" s="176" t="s">
        <v>2094</v>
      </c>
      <c r="H544" s="135">
        <v>41514</v>
      </c>
      <c r="I544" s="134">
        <v>1</v>
      </c>
      <c r="J544" s="362">
        <v>44597</v>
      </c>
      <c r="K544" s="362">
        <v>44597</v>
      </c>
      <c r="L544" s="225" t="s">
        <v>785</v>
      </c>
      <c r="M544" s="129" t="s">
        <v>36</v>
      </c>
    </row>
    <row r="545" spans="1:13" s="133" customFormat="1" ht="15" customHeight="1" x14ac:dyDescent="0.25">
      <c r="A545" s="384">
        <v>148</v>
      </c>
      <c r="B545" s="134">
        <v>51946</v>
      </c>
      <c r="C545" s="136" t="s">
        <v>2551</v>
      </c>
      <c r="D545" s="134" t="s">
        <v>473</v>
      </c>
      <c r="E545" s="171" t="s">
        <v>534</v>
      </c>
      <c r="F545" s="138" t="s">
        <v>428</v>
      </c>
      <c r="G545" s="176" t="s">
        <v>580</v>
      </c>
      <c r="H545" s="135">
        <v>41514</v>
      </c>
      <c r="I545" s="134">
        <v>1</v>
      </c>
      <c r="J545" s="362">
        <v>30429</v>
      </c>
      <c r="K545" s="362">
        <v>30429</v>
      </c>
      <c r="L545" s="225" t="s">
        <v>785</v>
      </c>
      <c r="M545" s="129" t="s">
        <v>36</v>
      </c>
    </row>
    <row r="546" spans="1:13" s="133" customFormat="1" ht="15" customHeight="1" x14ac:dyDescent="0.25">
      <c r="A546" s="384">
        <v>149</v>
      </c>
      <c r="B546" s="134">
        <v>52399</v>
      </c>
      <c r="C546" s="136" t="s">
        <v>2552</v>
      </c>
      <c r="D546" s="134" t="s">
        <v>473</v>
      </c>
      <c r="E546" s="171" t="s">
        <v>202</v>
      </c>
      <c r="F546" s="138" t="s">
        <v>414</v>
      </c>
      <c r="G546" s="176"/>
      <c r="H546" s="135">
        <v>41516</v>
      </c>
      <c r="I546" s="134">
        <v>1</v>
      </c>
      <c r="J546" s="362">
        <v>17244</v>
      </c>
      <c r="K546" s="362">
        <v>17244</v>
      </c>
      <c r="L546" s="225" t="s">
        <v>785</v>
      </c>
      <c r="M546" s="129" t="s">
        <v>36</v>
      </c>
    </row>
    <row r="547" spans="1:13" s="133" customFormat="1" ht="15" customHeight="1" x14ac:dyDescent="0.25">
      <c r="A547" s="384">
        <v>150</v>
      </c>
      <c r="B547" s="134">
        <v>52519</v>
      </c>
      <c r="C547" s="136" t="s">
        <v>2553</v>
      </c>
      <c r="D547" s="134" t="s">
        <v>481</v>
      </c>
      <c r="E547" s="171" t="s">
        <v>115</v>
      </c>
      <c r="F547" s="138" t="s">
        <v>439</v>
      </c>
      <c r="G547" s="176" t="s">
        <v>2104</v>
      </c>
      <c r="H547" s="135">
        <v>41516</v>
      </c>
      <c r="I547" s="134">
        <v>1</v>
      </c>
      <c r="J547" s="362">
        <v>5274</v>
      </c>
      <c r="K547" s="362">
        <v>5274</v>
      </c>
      <c r="L547" s="225" t="s">
        <v>785</v>
      </c>
      <c r="M547" s="129" t="s">
        <v>36</v>
      </c>
    </row>
    <row r="548" spans="1:13" s="133" customFormat="1" ht="15" customHeight="1" x14ac:dyDescent="0.25">
      <c r="A548" s="384">
        <v>151</v>
      </c>
      <c r="B548" s="134">
        <v>52645</v>
      </c>
      <c r="C548" s="136" t="s">
        <v>2554</v>
      </c>
      <c r="D548" s="134" t="s">
        <v>473</v>
      </c>
      <c r="E548" s="171" t="s">
        <v>577</v>
      </c>
      <c r="F548" s="138" t="s">
        <v>368</v>
      </c>
      <c r="G548" s="176"/>
      <c r="H548" s="135">
        <v>41516</v>
      </c>
      <c r="I548" s="134">
        <v>1</v>
      </c>
      <c r="J548" s="362">
        <v>25800</v>
      </c>
      <c r="K548" s="362">
        <v>25800</v>
      </c>
      <c r="L548" s="225" t="s">
        <v>785</v>
      </c>
      <c r="M548" s="129" t="s">
        <v>36</v>
      </c>
    </row>
    <row r="549" spans="1:13" s="133" customFormat="1" ht="15" customHeight="1" x14ac:dyDescent="0.25">
      <c r="A549" s="384">
        <v>152</v>
      </c>
      <c r="B549" s="134">
        <v>52696</v>
      </c>
      <c r="C549" s="136" t="s">
        <v>1270</v>
      </c>
      <c r="D549" s="134" t="s">
        <v>481</v>
      </c>
      <c r="E549" s="171" t="s">
        <v>114</v>
      </c>
      <c r="F549" s="138" t="s">
        <v>524</v>
      </c>
      <c r="G549" s="176" t="s">
        <v>2072</v>
      </c>
      <c r="H549" s="135">
        <v>41516</v>
      </c>
      <c r="I549" s="134">
        <v>1</v>
      </c>
      <c r="J549" s="362">
        <v>33370</v>
      </c>
      <c r="K549" s="362">
        <v>33370</v>
      </c>
      <c r="L549" s="225" t="s">
        <v>785</v>
      </c>
      <c r="M549" s="129" t="s">
        <v>36</v>
      </c>
    </row>
    <row r="550" spans="1:13" s="133" customFormat="1" ht="15" customHeight="1" thickBot="1" x14ac:dyDescent="0.3">
      <c r="A550" s="385">
        <v>153</v>
      </c>
      <c r="B550" s="386">
        <v>45657</v>
      </c>
      <c r="C550" s="387" t="s">
        <v>2555</v>
      </c>
      <c r="D550" s="386" t="s">
        <v>481</v>
      </c>
      <c r="E550" s="388" t="s">
        <v>114</v>
      </c>
      <c r="F550" s="389" t="s">
        <v>428</v>
      </c>
      <c r="G550" s="390" t="s">
        <v>566</v>
      </c>
      <c r="H550" s="391">
        <v>41488</v>
      </c>
      <c r="I550" s="386">
        <v>1</v>
      </c>
      <c r="J550" s="392">
        <v>33370</v>
      </c>
      <c r="K550" s="392">
        <v>33370</v>
      </c>
      <c r="L550" s="225" t="s">
        <v>785</v>
      </c>
      <c r="M550" s="129" t="s">
        <v>36</v>
      </c>
    </row>
    <row r="551" spans="1:13" s="133" customFormat="1" ht="15" customHeight="1" thickTop="1" x14ac:dyDescent="0.25">
      <c r="A551" s="375">
        <v>154</v>
      </c>
      <c r="B551" s="375">
        <v>57374</v>
      </c>
      <c r="C551" s="376" t="s">
        <v>2500</v>
      </c>
      <c r="D551" s="375" t="s">
        <v>473</v>
      </c>
      <c r="E551" s="377" t="s">
        <v>114</v>
      </c>
      <c r="F551" s="378" t="s">
        <v>565</v>
      </c>
      <c r="G551" s="379" t="s">
        <v>2556</v>
      </c>
      <c r="H551" s="380">
        <v>41540</v>
      </c>
      <c r="I551" s="375">
        <v>1</v>
      </c>
      <c r="J551" s="381">
        <v>33370</v>
      </c>
      <c r="K551" s="381">
        <v>33370</v>
      </c>
      <c r="L551" s="225" t="s">
        <v>614</v>
      </c>
      <c r="M551" s="129" t="s">
        <v>36</v>
      </c>
    </row>
    <row r="552" spans="1:13" s="133" customFormat="1" ht="15" customHeight="1" x14ac:dyDescent="0.25">
      <c r="A552" s="134">
        <v>155</v>
      </c>
      <c r="B552" s="134">
        <v>53471</v>
      </c>
      <c r="C552" s="136" t="s">
        <v>2557</v>
      </c>
      <c r="D552" s="134" t="s">
        <v>481</v>
      </c>
      <c r="E552" s="171" t="s">
        <v>574</v>
      </c>
      <c r="F552" s="138" t="s">
        <v>416</v>
      </c>
      <c r="G552" s="176" t="s">
        <v>566</v>
      </c>
      <c r="H552" s="135">
        <v>41520</v>
      </c>
      <c r="I552" s="134">
        <v>1</v>
      </c>
      <c r="J552" s="362">
        <v>49701</v>
      </c>
      <c r="K552" s="362">
        <v>49701</v>
      </c>
      <c r="L552" s="225" t="s">
        <v>614</v>
      </c>
      <c r="M552" s="129" t="s">
        <v>36</v>
      </c>
    </row>
    <row r="553" spans="1:13" s="133" customFormat="1" ht="15" customHeight="1" x14ac:dyDescent="0.25">
      <c r="A553" s="134">
        <v>156</v>
      </c>
      <c r="B553" s="134">
        <v>56903</v>
      </c>
      <c r="C553" s="136" t="s">
        <v>2558</v>
      </c>
      <c r="D553" s="134" t="s">
        <v>473</v>
      </c>
      <c r="E553" s="171" t="s">
        <v>574</v>
      </c>
      <c r="F553" s="138" t="s">
        <v>559</v>
      </c>
      <c r="G553" s="176" t="s">
        <v>732</v>
      </c>
      <c r="H553" s="135">
        <v>41534</v>
      </c>
      <c r="I553" s="134">
        <v>1</v>
      </c>
      <c r="J553" s="362">
        <v>49701</v>
      </c>
      <c r="K553" s="362">
        <v>49701</v>
      </c>
      <c r="L553" s="225" t="s">
        <v>614</v>
      </c>
      <c r="M553" s="129" t="s">
        <v>36</v>
      </c>
    </row>
    <row r="554" spans="1:13" s="133" customFormat="1" ht="15" customHeight="1" x14ac:dyDescent="0.25">
      <c r="A554" s="134">
        <v>157</v>
      </c>
      <c r="B554" s="134">
        <v>50280</v>
      </c>
      <c r="C554" s="136" t="s">
        <v>2559</v>
      </c>
      <c r="D554" s="134" t="s">
        <v>694</v>
      </c>
      <c r="E554" s="171" t="s">
        <v>577</v>
      </c>
      <c r="F554" s="138" t="s">
        <v>368</v>
      </c>
      <c r="G554" s="176"/>
      <c r="H554" s="135">
        <v>41509</v>
      </c>
      <c r="I554" s="134">
        <v>1</v>
      </c>
      <c r="J554" s="362">
        <v>25800</v>
      </c>
      <c r="K554" s="362">
        <v>25800</v>
      </c>
      <c r="L554" s="225" t="s">
        <v>614</v>
      </c>
      <c r="M554" s="129" t="s">
        <v>36</v>
      </c>
    </row>
    <row r="555" spans="1:13" s="133" customFormat="1" ht="15" customHeight="1" x14ac:dyDescent="0.25">
      <c r="A555" s="134">
        <v>158</v>
      </c>
      <c r="B555" s="134">
        <v>56937</v>
      </c>
      <c r="C555" s="136" t="s">
        <v>2560</v>
      </c>
      <c r="D555" s="134" t="s">
        <v>481</v>
      </c>
      <c r="E555" s="171" t="s">
        <v>534</v>
      </c>
      <c r="F555" s="138" t="s">
        <v>428</v>
      </c>
      <c r="G555" s="176" t="s">
        <v>566</v>
      </c>
      <c r="H555" s="135">
        <v>41533</v>
      </c>
      <c r="I555" s="134">
        <v>1</v>
      </c>
      <c r="J555" s="362">
        <v>30429</v>
      </c>
      <c r="K555" s="362">
        <v>30429</v>
      </c>
      <c r="L555" s="225" t="s">
        <v>614</v>
      </c>
      <c r="M555" s="129" t="s">
        <v>36</v>
      </c>
    </row>
    <row r="556" spans="1:13" s="133" customFormat="1" ht="15" customHeight="1" x14ac:dyDescent="0.25">
      <c r="A556" s="134">
        <v>159</v>
      </c>
      <c r="B556" s="134">
        <v>58100</v>
      </c>
      <c r="C556" s="136" t="s">
        <v>2561</v>
      </c>
      <c r="D556" s="134" t="s">
        <v>473</v>
      </c>
      <c r="E556" s="171" t="s">
        <v>574</v>
      </c>
      <c r="F556" s="138" t="s">
        <v>559</v>
      </c>
      <c r="G556" s="176" t="s">
        <v>2562</v>
      </c>
      <c r="H556" s="135">
        <v>41542</v>
      </c>
      <c r="I556" s="134">
        <v>1</v>
      </c>
      <c r="J556" s="362">
        <v>49701</v>
      </c>
      <c r="K556" s="362">
        <v>49701</v>
      </c>
      <c r="L556" s="225" t="s">
        <v>614</v>
      </c>
      <c r="M556" s="129" t="s">
        <v>36</v>
      </c>
    </row>
    <row r="557" spans="1:13" s="133" customFormat="1" ht="15" customHeight="1" x14ac:dyDescent="0.25">
      <c r="A557" s="134">
        <v>160</v>
      </c>
      <c r="B557" s="134">
        <v>55476</v>
      </c>
      <c r="C557" s="136" t="s">
        <v>2563</v>
      </c>
      <c r="D557" s="134" t="s">
        <v>481</v>
      </c>
      <c r="E557" s="171" t="s">
        <v>534</v>
      </c>
      <c r="F557" s="138" t="s">
        <v>524</v>
      </c>
      <c r="G557" s="176" t="s">
        <v>566</v>
      </c>
      <c r="H557" s="135">
        <v>41527</v>
      </c>
      <c r="I557" s="134">
        <v>1</v>
      </c>
      <c r="J557" s="362">
        <v>30429</v>
      </c>
      <c r="K557" s="362">
        <v>30429</v>
      </c>
      <c r="L557" s="225" t="s">
        <v>614</v>
      </c>
      <c r="M557" s="129" t="s">
        <v>36</v>
      </c>
    </row>
    <row r="558" spans="1:13" s="133" customFormat="1" ht="15" customHeight="1" x14ac:dyDescent="0.25">
      <c r="A558" s="134">
        <v>161</v>
      </c>
      <c r="B558" s="134">
        <v>55888</v>
      </c>
      <c r="C558" s="136" t="s">
        <v>2564</v>
      </c>
      <c r="D558" s="134" t="s">
        <v>481</v>
      </c>
      <c r="E558" s="171" t="s">
        <v>574</v>
      </c>
      <c r="F558" s="138" t="s">
        <v>412</v>
      </c>
      <c r="G558" s="176" t="s">
        <v>563</v>
      </c>
      <c r="H558" s="135">
        <v>41528</v>
      </c>
      <c r="I558" s="134">
        <v>1</v>
      </c>
      <c r="J558" s="362">
        <v>49701</v>
      </c>
      <c r="K558" s="362">
        <v>49701</v>
      </c>
      <c r="L558" s="225" t="s">
        <v>614</v>
      </c>
      <c r="M558" s="129" t="s">
        <v>36</v>
      </c>
    </row>
    <row r="559" spans="1:13" s="133" customFormat="1" ht="15" customHeight="1" x14ac:dyDescent="0.25">
      <c r="A559" s="134">
        <v>162</v>
      </c>
      <c r="B559" s="134">
        <v>49954</v>
      </c>
      <c r="C559" s="136" t="s">
        <v>2565</v>
      </c>
      <c r="D559" s="134" t="s">
        <v>473</v>
      </c>
      <c r="E559" s="171" t="s">
        <v>574</v>
      </c>
      <c r="F559" s="138" t="s">
        <v>508</v>
      </c>
      <c r="G559" s="176" t="s">
        <v>2566</v>
      </c>
      <c r="H559" s="135">
        <v>41507</v>
      </c>
      <c r="I559" s="134">
        <v>1</v>
      </c>
      <c r="J559" s="362">
        <v>49701</v>
      </c>
      <c r="K559" s="362">
        <v>49701</v>
      </c>
      <c r="L559" s="225" t="s">
        <v>614</v>
      </c>
      <c r="M559" s="129" t="s">
        <v>36</v>
      </c>
    </row>
    <row r="560" spans="1:13" s="133" customFormat="1" ht="15" customHeight="1" x14ac:dyDescent="0.25">
      <c r="A560" s="134">
        <v>163</v>
      </c>
      <c r="B560" s="134">
        <v>58231</v>
      </c>
      <c r="C560" s="136" t="s">
        <v>2567</v>
      </c>
      <c r="D560" s="134" t="s">
        <v>473</v>
      </c>
      <c r="E560" s="171" t="s">
        <v>574</v>
      </c>
      <c r="F560" s="138" t="s">
        <v>559</v>
      </c>
      <c r="G560" s="176" t="s">
        <v>2568</v>
      </c>
      <c r="H560" s="135">
        <v>41542</v>
      </c>
      <c r="I560" s="134">
        <v>1</v>
      </c>
      <c r="J560" s="362">
        <v>49701</v>
      </c>
      <c r="K560" s="362">
        <v>49701</v>
      </c>
      <c r="L560" s="225" t="s">
        <v>614</v>
      </c>
      <c r="M560" s="129" t="s">
        <v>36</v>
      </c>
    </row>
    <row r="561" spans="1:13" s="133" customFormat="1" ht="15" customHeight="1" x14ac:dyDescent="0.25">
      <c r="A561" s="134">
        <v>164</v>
      </c>
      <c r="B561" s="134">
        <v>53395</v>
      </c>
      <c r="C561" s="136" t="s">
        <v>2569</v>
      </c>
      <c r="D561" s="134" t="s">
        <v>481</v>
      </c>
      <c r="E561" s="171" t="s">
        <v>186</v>
      </c>
      <c r="F561" s="138" t="s">
        <v>2570</v>
      </c>
      <c r="G561" s="176"/>
      <c r="H561" s="135">
        <v>41520</v>
      </c>
      <c r="I561" s="134">
        <v>6</v>
      </c>
      <c r="J561" s="362">
        <v>42601</v>
      </c>
      <c r="K561" s="362">
        <v>255606</v>
      </c>
      <c r="L561" s="225" t="s">
        <v>614</v>
      </c>
      <c r="M561" s="129" t="s">
        <v>36</v>
      </c>
    </row>
    <row r="562" spans="1:13" s="133" customFormat="1" ht="15" customHeight="1" x14ac:dyDescent="0.25">
      <c r="A562" s="134">
        <v>165</v>
      </c>
      <c r="B562" s="134">
        <v>58686</v>
      </c>
      <c r="C562" s="136" t="s">
        <v>2571</v>
      </c>
      <c r="D562" s="134" t="s">
        <v>473</v>
      </c>
      <c r="E562" s="171" t="s">
        <v>202</v>
      </c>
      <c r="F562" s="138" t="s">
        <v>642</v>
      </c>
      <c r="G562" s="176"/>
      <c r="H562" s="135">
        <v>41547</v>
      </c>
      <c r="I562" s="134">
        <v>1</v>
      </c>
      <c r="J562" s="362">
        <v>17244</v>
      </c>
      <c r="K562" s="362">
        <v>17244</v>
      </c>
      <c r="L562" s="225" t="s">
        <v>614</v>
      </c>
      <c r="M562" s="129" t="s">
        <v>36</v>
      </c>
    </row>
    <row r="563" spans="1:13" s="133" customFormat="1" ht="15" customHeight="1" x14ac:dyDescent="0.25">
      <c r="A563" s="134">
        <v>166</v>
      </c>
      <c r="B563" s="134">
        <v>58237</v>
      </c>
      <c r="C563" s="136" t="s">
        <v>2572</v>
      </c>
      <c r="D563" s="134" t="s">
        <v>481</v>
      </c>
      <c r="E563" s="171" t="s">
        <v>114</v>
      </c>
      <c r="F563" s="138" t="s">
        <v>524</v>
      </c>
      <c r="G563" s="176" t="s">
        <v>563</v>
      </c>
      <c r="H563" s="135">
        <v>41542</v>
      </c>
      <c r="I563" s="134">
        <v>1</v>
      </c>
      <c r="J563" s="362">
        <v>33370</v>
      </c>
      <c r="K563" s="362">
        <v>33370</v>
      </c>
      <c r="L563" s="225" t="s">
        <v>614</v>
      </c>
      <c r="M563" s="129" t="s">
        <v>36</v>
      </c>
    </row>
    <row r="564" spans="1:13" s="133" customFormat="1" ht="15" customHeight="1" x14ac:dyDescent="0.25">
      <c r="A564" s="134">
        <v>167</v>
      </c>
      <c r="B564" s="134">
        <v>54339</v>
      </c>
      <c r="C564" s="136" t="s">
        <v>2526</v>
      </c>
      <c r="D564" s="134" t="s">
        <v>481</v>
      </c>
      <c r="E564" s="171" t="s">
        <v>115</v>
      </c>
      <c r="F564" s="138" t="s">
        <v>524</v>
      </c>
      <c r="G564" s="176" t="s">
        <v>2573</v>
      </c>
      <c r="H564" s="135">
        <v>41523</v>
      </c>
      <c r="I564" s="134">
        <v>1</v>
      </c>
      <c r="J564" s="362">
        <v>5274</v>
      </c>
      <c r="K564" s="362">
        <v>5274</v>
      </c>
      <c r="L564" s="225" t="s">
        <v>614</v>
      </c>
      <c r="M564" s="129" t="s">
        <v>36</v>
      </c>
    </row>
    <row r="565" spans="1:13" s="133" customFormat="1" ht="15" customHeight="1" x14ac:dyDescent="0.25">
      <c r="A565" s="134">
        <v>168</v>
      </c>
      <c r="B565" s="134">
        <v>57180</v>
      </c>
      <c r="C565" s="136" t="s">
        <v>2526</v>
      </c>
      <c r="D565" s="134" t="s">
        <v>473</v>
      </c>
      <c r="E565" s="171" t="s">
        <v>114</v>
      </c>
      <c r="F565" s="138" t="s">
        <v>524</v>
      </c>
      <c r="G565" s="176" t="s">
        <v>2574</v>
      </c>
      <c r="H565" s="135">
        <v>41540</v>
      </c>
      <c r="I565" s="134">
        <v>1</v>
      </c>
      <c r="J565" s="362">
        <v>33370</v>
      </c>
      <c r="K565" s="362">
        <v>33370</v>
      </c>
      <c r="L565" s="225" t="s">
        <v>614</v>
      </c>
      <c r="M565" s="129" t="s">
        <v>36</v>
      </c>
    </row>
    <row r="566" spans="1:13" s="133" customFormat="1" ht="15" customHeight="1" x14ac:dyDescent="0.25">
      <c r="A566" s="134">
        <v>169</v>
      </c>
      <c r="B566" s="134">
        <v>55373</v>
      </c>
      <c r="C566" s="136" t="s">
        <v>937</v>
      </c>
      <c r="D566" s="134" t="s">
        <v>473</v>
      </c>
      <c r="E566" s="171" t="s">
        <v>1050</v>
      </c>
      <c r="F566" s="138" t="s">
        <v>407</v>
      </c>
      <c r="G566" s="176"/>
      <c r="H566" s="135">
        <v>41527</v>
      </c>
      <c r="I566" s="134">
        <v>1</v>
      </c>
      <c r="J566" s="362">
        <v>57960</v>
      </c>
      <c r="K566" s="362">
        <v>57960</v>
      </c>
      <c r="L566" s="225" t="s">
        <v>614</v>
      </c>
      <c r="M566" s="129" t="s">
        <v>36</v>
      </c>
    </row>
    <row r="567" spans="1:13" s="133" customFormat="1" ht="15" customHeight="1" x14ac:dyDescent="0.25">
      <c r="A567" s="134">
        <v>170</v>
      </c>
      <c r="B567" s="134">
        <v>57284</v>
      </c>
      <c r="C567" s="136" t="s">
        <v>2575</v>
      </c>
      <c r="D567" s="134" t="s">
        <v>502</v>
      </c>
      <c r="E567" s="171" t="s">
        <v>577</v>
      </c>
      <c r="F567" s="138" t="s">
        <v>368</v>
      </c>
      <c r="G567" s="176"/>
      <c r="H567" s="135">
        <v>41540</v>
      </c>
      <c r="I567" s="134">
        <v>1</v>
      </c>
      <c r="J567" s="362">
        <v>25800</v>
      </c>
      <c r="K567" s="362">
        <v>25800</v>
      </c>
      <c r="L567" s="225" t="s">
        <v>614</v>
      </c>
      <c r="M567" s="129" t="s">
        <v>36</v>
      </c>
    </row>
    <row r="568" spans="1:13" s="133" customFormat="1" ht="15" customHeight="1" x14ac:dyDescent="0.25">
      <c r="A568" s="134">
        <v>171</v>
      </c>
      <c r="B568" s="134">
        <v>57326</v>
      </c>
      <c r="C568" s="136" t="s">
        <v>2576</v>
      </c>
      <c r="D568" s="134" t="s">
        <v>478</v>
      </c>
      <c r="E568" s="171" t="s">
        <v>115</v>
      </c>
      <c r="F568" s="138" t="s">
        <v>414</v>
      </c>
      <c r="G568" s="176" t="s">
        <v>2132</v>
      </c>
      <c r="H568" s="135">
        <v>41540</v>
      </c>
      <c r="I568" s="134">
        <v>1</v>
      </c>
      <c r="J568" s="362">
        <v>5274</v>
      </c>
      <c r="K568" s="362">
        <v>5274</v>
      </c>
      <c r="L568" s="225" t="s">
        <v>614</v>
      </c>
      <c r="M568" s="129" t="s">
        <v>36</v>
      </c>
    </row>
    <row r="569" spans="1:13" s="133" customFormat="1" ht="15" customHeight="1" x14ac:dyDescent="0.25">
      <c r="A569" s="134">
        <v>172</v>
      </c>
      <c r="B569" s="134">
        <v>55008</v>
      </c>
      <c r="C569" s="136" t="s">
        <v>2577</v>
      </c>
      <c r="D569" s="134" t="s">
        <v>473</v>
      </c>
      <c r="E569" s="171" t="s">
        <v>114</v>
      </c>
      <c r="F569" s="138" t="s">
        <v>2493</v>
      </c>
      <c r="G569" s="176"/>
      <c r="H569" s="135">
        <v>41526</v>
      </c>
      <c r="I569" s="134">
        <v>3</v>
      </c>
      <c r="J569" s="362">
        <v>33370</v>
      </c>
      <c r="K569" s="362">
        <v>100110</v>
      </c>
      <c r="L569" s="225" t="s">
        <v>614</v>
      </c>
      <c r="M569" s="129" t="s">
        <v>36</v>
      </c>
    </row>
    <row r="570" spans="1:13" s="133" customFormat="1" ht="15" customHeight="1" x14ac:dyDescent="0.25">
      <c r="A570" s="134">
        <v>173</v>
      </c>
      <c r="B570" s="134">
        <v>54310</v>
      </c>
      <c r="C570" s="136" t="s">
        <v>2578</v>
      </c>
      <c r="D570" s="134" t="s">
        <v>481</v>
      </c>
      <c r="E570" s="171" t="s">
        <v>115</v>
      </c>
      <c r="F570" s="138" t="s">
        <v>414</v>
      </c>
      <c r="G570" s="176" t="s">
        <v>2311</v>
      </c>
      <c r="H570" s="135">
        <v>41523</v>
      </c>
      <c r="I570" s="134">
        <v>1</v>
      </c>
      <c r="J570" s="362">
        <v>5274</v>
      </c>
      <c r="K570" s="362">
        <v>5274</v>
      </c>
      <c r="L570" s="225" t="s">
        <v>614</v>
      </c>
      <c r="M570" s="129" t="s">
        <v>36</v>
      </c>
    </row>
    <row r="571" spans="1:13" s="133" customFormat="1" ht="15" customHeight="1" x14ac:dyDescent="0.25">
      <c r="A571" s="232">
        <v>174</v>
      </c>
      <c r="B571" s="232">
        <v>56781</v>
      </c>
      <c r="C571" s="233" t="s">
        <v>2579</v>
      </c>
      <c r="D571" s="232" t="s">
        <v>473</v>
      </c>
      <c r="E571" s="234" t="s">
        <v>577</v>
      </c>
      <c r="F571" s="235" t="s">
        <v>368</v>
      </c>
      <c r="G571" s="236"/>
      <c r="H571" s="237">
        <v>41533</v>
      </c>
      <c r="I571" s="232">
        <v>1</v>
      </c>
      <c r="J571" s="383">
        <v>25800</v>
      </c>
      <c r="K571" s="383">
        <v>25800</v>
      </c>
      <c r="L571" s="225" t="s">
        <v>614</v>
      </c>
      <c r="M571" s="129" t="s">
        <v>36</v>
      </c>
    </row>
    <row r="572" spans="1:13" s="133" customFormat="1" ht="15" customHeight="1" x14ac:dyDescent="0.25">
      <c r="A572" s="232">
        <v>175</v>
      </c>
      <c r="B572" s="232">
        <v>56775</v>
      </c>
      <c r="C572" s="233" t="s">
        <v>2580</v>
      </c>
      <c r="D572" s="232" t="s">
        <v>473</v>
      </c>
      <c r="E572" s="234" t="s">
        <v>577</v>
      </c>
      <c r="F572" s="235" t="s">
        <v>368</v>
      </c>
      <c r="G572" s="236"/>
      <c r="H572" s="237">
        <v>41533</v>
      </c>
      <c r="I572" s="232">
        <v>1</v>
      </c>
      <c r="J572" s="383">
        <v>25800</v>
      </c>
      <c r="K572" s="383">
        <v>25800</v>
      </c>
      <c r="L572" s="225" t="s">
        <v>614</v>
      </c>
      <c r="M572" s="129" t="s">
        <v>36</v>
      </c>
    </row>
    <row r="573" spans="1:13" s="133" customFormat="1" ht="15" customHeight="1" x14ac:dyDescent="0.25">
      <c r="A573" s="232">
        <v>176</v>
      </c>
      <c r="B573" s="232">
        <v>49411</v>
      </c>
      <c r="C573" s="233" t="s">
        <v>2431</v>
      </c>
      <c r="D573" s="232" t="s">
        <v>473</v>
      </c>
      <c r="E573" s="234" t="s">
        <v>574</v>
      </c>
      <c r="F573" s="235" t="s">
        <v>2581</v>
      </c>
      <c r="G573" s="236" t="s">
        <v>2566</v>
      </c>
      <c r="H573" s="237">
        <v>41505</v>
      </c>
      <c r="I573" s="232">
        <v>2</v>
      </c>
      <c r="J573" s="383">
        <v>49701</v>
      </c>
      <c r="K573" s="383">
        <v>99402</v>
      </c>
      <c r="L573" s="225" t="s">
        <v>614</v>
      </c>
      <c r="M573" s="129" t="s">
        <v>36</v>
      </c>
    </row>
    <row r="574" spans="1:13" s="133" customFormat="1" ht="15" customHeight="1" x14ac:dyDescent="0.25">
      <c r="A574" s="232">
        <v>177</v>
      </c>
      <c r="B574" s="232">
        <v>56409</v>
      </c>
      <c r="C574" s="233" t="s">
        <v>2582</v>
      </c>
      <c r="D574" s="232" t="s">
        <v>473</v>
      </c>
      <c r="E574" s="234" t="s">
        <v>215</v>
      </c>
      <c r="F574" s="235" t="s">
        <v>384</v>
      </c>
      <c r="G574" s="236"/>
      <c r="H574" s="237">
        <v>41527</v>
      </c>
      <c r="I574" s="232">
        <v>2</v>
      </c>
      <c r="J574" s="383">
        <v>44597</v>
      </c>
      <c r="K574" s="383">
        <v>89194</v>
      </c>
      <c r="L574" s="225" t="s">
        <v>614</v>
      </c>
      <c r="M574" s="129" t="s">
        <v>36</v>
      </c>
    </row>
    <row r="575" spans="1:13" s="133" customFormat="1" ht="15" customHeight="1" x14ac:dyDescent="0.25">
      <c r="A575" s="232">
        <v>178</v>
      </c>
      <c r="B575" s="232">
        <v>49038</v>
      </c>
      <c r="C575" s="233" t="s">
        <v>2583</v>
      </c>
      <c r="D575" s="232" t="s">
        <v>471</v>
      </c>
      <c r="E575" s="234" t="s">
        <v>577</v>
      </c>
      <c r="F575" s="235" t="s">
        <v>368</v>
      </c>
      <c r="G575" s="236"/>
      <c r="H575" s="237">
        <v>41505</v>
      </c>
      <c r="I575" s="232">
        <v>1</v>
      </c>
      <c r="J575" s="383">
        <v>25800</v>
      </c>
      <c r="K575" s="383">
        <v>25800</v>
      </c>
      <c r="L575" s="225" t="s">
        <v>614</v>
      </c>
      <c r="M575" s="129" t="s">
        <v>36</v>
      </c>
    </row>
    <row r="576" spans="1:13" s="133" customFormat="1" ht="15" customHeight="1" x14ac:dyDescent="0.25">
      <c r="A576" s="232">
        <v>179</v>
      </c>
      <c r="B576" s="232">
        <v>45578</v>
      </c>
      <c r="C576" s="233" t="s">
        <v>2433</v>
      </c>
      <c r="D576" s="232" t="s">
        <v>481</v>
      </c>
      <c r="E576" s="234" t="s">
        <v>114</v>
      </c>
      <c r="F576" s="235" t="s">
        <v>414</v>
      </c>
      <c r="G576" s="236" t="s">
        <v>566</v>
      </c>
      <c r="H576" s="237">
        <v>41488</v>
      </c>
      <c r="I576" s="232">
        <v>1</v>
      </c>
      <c r="J576" s="383">
        <v>33370</v>
      </c>
      <c r="K576" s="383">
        <v>33370</v>
      </c>
      <c r="L576" s="225" t="s">
        <v>614</v>
      </c>
      <c r="M576" s="129" t="s">
        <v>36</v>
      </c>
    </row>
    <row r="577" spans="1:13" s="133" customFormat="1" ht="15" customHeight="1" x14ac:dyDescent="0.25">
      <c r="A577" s="232">
        <v>180</v>
      </c>
      <c r="B577" s="232">
        <v>50027</v>
      </c>
      <c r="C577" s="233" t="s">
        <v>2584</v>
      </c>
      <c r="D577" s="232" t="s">
        <v>473</v>
      </c>
      <c r="E577" s="234" t="s">
        <v>215</v>
      </c>
      <c r="F577" s="235" t="s">
        <v>384</v>
      </c>
      <c r="G577" s="236" t="s">
        <v>2064</v>
      </c>
      <c r="H577" s="237">
        <v>41507</v>
      </c>
      <c r="I577" s="232">
        <v>2</v>
      </c>
      <c r="J577" s="383">
        <v>44597</v>
      </c>
      <c r="K577" s="383">
        <v>89194</v>
      </c>
      <c r="L577" s="225" t="s">
        <v>614</v>
      </c>
      <c r="M577" s="129" t="s">
        <v>36</v>
      </c>
    </row>
    <row r="578" spans="1:13" s="133" customFormat="1" ht="15" customHeight="1" x14ac:dyDescent="0.25">
      <c r="A578" s="232">
        <v>181</v>
      </c>
      <c r="B578" s="232">
        <v>44940</v>
      </c>
      <c r="C578" s="233" t="s">
        <v>2435</v>
      </c>
      <c r="D578" s="232" t="s">
        <v>473</v>
      </c>
      <c r="E578" s="234" t="s">
        <v>190</v>
      </c>
      <c r="F578" s="235" t="s">
        <v>809</v>
      </c>
      <c r="G578" s="236" t="s">
        <v>2094</v>
      </c>
      <c r="H578" s="237">
        <v>41486</v>
      </c>
      <c r="I578" s="232">
        <v>3</v>
      </c>
      <c r="J578" s="383">
        <v>57960</v>
      </c>
      <c r="K578" s="383">
        <v>173880</v>
      </c>
      <c r="L578" s="225" t="s">
        <v>614</v>
      </c>
      <c r="M578" s="129" t="s">
        <v>36</v>
      </c>
    </row>
    <row r="579" spans="1:13" s="133" customFormat="1" ht="15" customHeight="1" x14ac:dyDescent="0.25">
      <c r="A579" s="232">
        <v>182</v>
      </c>
      <c r="B579" s="232">
        <v>50403</v>
      </c>
      <c r="C579" s="233" t="s">
        <v>2498</v>
      </c>
      <c r="D579" s="232" t="s">
        <v>481</v>
      </c>
      <c r="E579" s="234" t="s">
        <v>115</v>
      </c>
      <c r="F579" s="235" t="s">
        <v>442</v>
      </c>
      <c r="G579" s="236" t="s">
        <v>2104</v>
      </c>
      <c r="H579" s="237">
        <v>41509</v>
      </c>
      <c r="I579" s="232">
        <v>1</v>
      </c>
      <c r="J579" s="383">
        <v>5274</v>
      </c>
      <c r="K579" s="383">
        <v>5274</v>
      </c>
      <c r="L579" s="225" t="s">
        <v>614</v>
      </c>
      <c r="M579" s="129" t="s">
        <v>36</v>
      </c>
    </row>
    <row r="580" spans="1:13" s="133" customFormat="1" ht="15" customHeight="1" x14ac:dyDescent="0.25">
      <c r="A580" s="232">
        <v>183</v>
      </c>
      <c r="B580" s="232">
        <v>53030</v>
      </c>
      <c r="C580" s="233" t="s">
        <v>2481</v>
      </c>
      <c r="D580" s="232" t="s">
        <v>481</v>
      </c>
      <c r="E580" s="234" t="s">
        <v>114</v>
      </c>
      <c r="F580" s="235" t="s">
        <v>524</v>
      </c>
      <c r="G580" s="236" t="s">
        <v>675</v>
      </c>
      <c r="H580" s="237">
        <v>41487</v>
      </c>
      <c r="I580" s="232">
        <v>1</v>
      </c>
      <c r="J580" s="383">
        <v>33370</v>
      </c>
      <c r="K580" s="383">
        <v>33370</v>
      </c>
      <c r="L580" s="225" t="s">
        <v>614</v>
      </c>
      <c r="M580" s="129" t="s">
        <v>36</v>
      </c>
    </row>
    <row r="581" spans="1:13" s="133" customFormat="1" ht="15" customHeight="1" x14ac:dyDescent="0.25">
      <c r="A581" s="232">
        <v>184</v>
      </c>
      <c r="B581" s="232">
        <v>40842</v>
      </c>
      <c r="C581" s="233" t="s">
        <v>2440</v>
      </c>
      <c r="D581" s="232" t="s">
        <v>481</v>
      </c>
      <c r="E581" s="234" t="s">
        <v>115</v>
      </c>
      <c r="F581" s="235" t="s">
        <v>524</v>
      </c>
      <c r="G581" s="236" t="s">
        <v>2064</v>
      </c>
      <c r="H581" s="237">
        <v>41470</v>
      </c>
      <c r="I581" s="232">
        <v>1</v>
      </c>
      <c r="J581" s="383">
        <v>5274</v>
      </c>
      <c r="K581" s="383">
        <v>5274</v>
      </c>
      <c r="L581" s="225" t="s">
        <v>614</v>
      </c>
      <c r="M581" s="129" t="s">
        <v>36</v>
      </c>
    </row>
    <row r="582" spans="1:13" s="133" customFormat="1" ht="15" customHeight="1" x14ac:dyDescent="0.25">
      <c r="A582" s="134">
        <v>185</v>
      </c>
      <c r="B582" s="232">
        <v>56769</v>
      </c>
      <c r="C582" s="233" t="s">
        <v>2585</v>
      </c>
      <c r="D582" s="232" t="s">
        <v>481</v>
      </c>
      <c r="E582" s="234" t="s">
        <v>115</v>
      </c>
      <c r="F582" s="235" t="s">
        <v>389</v>
      </c>
      <c r="G582" s="236" t="s">
        <v>2132</v>
      </c>
      <c r="H582" s="237">
        <v>41540</v>
      </c>
      <c r="I582" s="232">
        <v>1</v>
      </c>
      <c r="J582" s="383">
        <v>5274</v>
      </c>
      <c r="K582" s="383">
        <v>5274</v>
      </c>
      <c r="L582" s="225" t="s">
        <v>614</v>
      </c>
      <c r="M582" s="129" t="s">
        <v>36</v>
      </c>
    </row>
    <row r="583" spans="1:13" s="133" customFormat="1" ht="15" customHeight="1" x14ac:dyDescent="0.25">
      <c r="A583" s="134">
        <v>186</v>
      </c>
      <c r="B583" s="134">
        <v>58639</v>
      </c>
      <c r="C583" s="136" t="s">
        <v>2517</v>
      </c>
      <c r="D583" s="134" t="s">
        <v>473</v>
      </c>
      <c r="E583" s="171" t="s">
        <v>114</v>
      </c>
      <c r="F583" s="138" t="s">
        <v>545</v>
      </c>
      <c r="G583" s="176" t="s">
        <v>2586</v>
      </c>
      <c r="H583" s="135">
        <v>41544</v>
      </c>
      <c r="I583" s="134">
        <v>1</v>
      </c>
      <c r="J583" s="362">
        <v>33370</v>
      </c>
      <c r="K583" s="362">
        <v>33370</v>
      </c>
      <c r="L583" s="225" t="s">
        <v>614</v>
      </c>
      <c r="M583" s="129" t="s">
        <v>36</v>
      </c>
    </row>
    <row r="584" spans="1:13" s="133" customFormat="1" ht="15" customHeight="1" x14ac:dyDescent="0.25">
      <c r="A584" s="134">
        <v>187</v>
      </c>
      <c r="B584" s="134">
        <v>57236</v>
      </c>
      <c r="C584" s="136" t="s">
        <v>1496</v>
      </c>
      <c r="D584" s="134" t="s">
        <v>481</v>
      </c>
      <c r="E584" s="171" t="s">
        <v>115</v>
      </c>
      <c r="F584" s="138" t="s">
        <v>1877</v>
      </c>
      <c r="G584" s="176"/>
      <c r="H584" s="135">
        <v>41540</v>
      </c>
      <c r="I584" s="134">
        <v>4</v>
      </c>
      <c r="J584" s="362">
        <v>5274</v>
      </c>
      <c r="K584" s="362">
        <v>21096</v>
      </c>
      <c r="L584" s="225" t="s">
        <v>614</v>
      </c>
      <c r="M584" s="129" t="s">
        <v>36</v>
      </c>
    </row>
    <row r="585" spans="1:13" s="133" customFormat="1" ht="15" customHeight="1" x14ac:dyDescent="0.25">
      <c r="A585" s="134">
        <v>188</v>
      </c>
      <c r="B585" s="134">
        <v>48536</v>
      </c>
      <c r="C585" s="136" t="s">
        <v>2587</v>
      </c>
      <c r="D585" s="134" t="s">
        <v>481</v>
      </c>
      <c r="E585" s="171" t="s">
        <v>115</v>
      </c>
      <c r="F585" s="138" t="s">
        <v>565</v>
      </c>
      <c r="G585" s="176" t="s">
        <v>2064</v>
      </c>
      <c r="H585" s="135">
        <v>41502</v>
      </c>
      <c r="I585" s="134">
        <v>1</v>
      </c>
      <c r="J585" s="362">
        <v>5274</v>
      </c>
      <c r="K585" s="362">
        <v>5274</v>
      </c>
      <c r="L585" s="225" t="s">
        <v>614</v>
      </c>
      <c r="M585" s="129" t="s">
        <v>36</v>
      </c>
    </row>
    <row r="586" spans="1:13" s="133" customFormat="1" ht="15" customHeight="1" x14ac:dyDescent="0.25">
      <c r="A586" s="134">
        <v>189</v>
      </c>
      <c r="B586" s="134">
        <v>41512</v>
      </c>
      <c r="C586" s="136" t="s">
        <v>2588</v>
      </c>
      <c r="D586" s="134" t="s">
        <v>481</v>
      </c>
      <c r="E586" s="171" t="s">
        <v>534</v>
      </c>
      <c r="F586" s="138" t="s">
        <v>412</v>
      </c>
      <c r="G586" s="176" t="s">
        <v>566</v>
      </c>
      <c r="H586" s="135">
        <v>41472</v>
      </c>
      <c r="I586" s="134">
        <v>1</v>
      </c>
      <c r="J586" s="362">
        <v>30429</v>
      </c>
      <c r="K586" s="362">
        <v>30429</v>
      </c>
      <c r="L586" s="225" t="s">
        <v>614</v>
      </c>
      <c r="M586" s="129" t="s">
        <v>36</v>
      </c>
    </row>
    <row r="587" spans="1:13" s="133" customFormat="1" ht="15" customHeight="1" x14ac:dyDescent="0.25">
      <c r="A587" s="134">
        <v>190</v>
      </c>
      <c r="B587" s="134">
        <v>58545</v>
      </c>
      <c r="C587" s="136" t="s">
        <v>2589</v>
      </c>
      <c r="D587" s="134" t="s">
        <v>481</v>
      </c>
      <c r="E587" s="171" t="s">
        <v>534</v>
      </c>
      <c r="F587" s="138" t="s">
        <v>524</v>
      </c>
      <c r="G587" s="176" t="s">
        <v>566</v>
      </c>
      <c r="H587" s="135">
        <v>41544</v>
      </c>
      <c r="I587" s="134">
        <v>1</v>
      </c>
      <c r="J587" s="362">
        <v>30429</v>
      </c>
      <c r="K587" s="362">
        <v>30429</v>
      </c>
      <c r="L587" s="225" t="s">
        <v>614</v>
      </c>
      <c r="M587" s="129" t="s">
        <v>36</v>
      </c>
    </row>
    <row r="588" spans="1:13" s="133" customFormat="1" ht="15" customHeight="1" x14ac:dyDescent="0.25">
      <c r="A588" s="134">
        <v>191</v>
      </c>
      <c r="B588" s="134">
        <v>58554</v>
      </c>
      <c r="C588" s="136" t="s">
        <v>2590</v>
      </c>
      <c r="D588" s="134" t="s">
        <v>481</v>
      </c>
      <c r="E588" s="171" t="s">
        <v>574</v>
      </c>
      <c r="F588" s="138" t="s">
        <v>559</v>
      </c>
      <c r="G588" s="176" t="s">
        <v>580</v>
      </c>
      <c r="H588" s="135">
        <v>41544</v>
      </c>
      <c r="I588" s="134">
        <v>1</v>
      </c>
      <c r="J588" s="362">
        <v>49701</v>
      </c>
      <c r="K588" s="362">
        <v>49701</v>
      </c>
      <c r="L588" s="225" t="s">
        <v>614</v>
      </c>
      <c r="M588" s="129" t="s">
        <v>36</v>
      </c>
    </row>
    <row r="589" spans="1:13" s="133" customFormat="1" ht="15" customHeight="1" x14ac:dyDescent="0.25">
      <c r="A589" s="134">
        <v>192</v>
      </c>
      <c r="B589" s="134">
        <v>49237</v>
      </c>
      <c r="C589" s="136" t="s">
        <v>2453</v>
      </c>
      <c r="D589" s="134" t="s">
        <v>473</v>
      </c>
      <c r="E589" s="171" t="s">
        <v>114</v>
      </c>
      <c r="F589" s="138" t="s">
        <v>428</v>
      </c>
      <c r="G589" s="176" t="s">
        <v>639</v>
      </c>
      <c r="H589" s="135">
        <v>41505</v>
      </c>
      <c r="I589" s="134">
        <v>1</v>
      </c>
      <c r="J589" s="362">
        <v>33370</v>
      </c>
      <c r="K589" s="362">
        <v>33370</v>
      </c>
      <c r="L589" s="225" t="s">
        <v>614</v>
      </c>
      <c r="M589" s="129" t="s">
        <v>36</v>
      </c>
    </row>
    <row r="590" spans="1:13" s="133" customFormat="1" ht="15" customHeight="1" x14ac:dyDescent="0.25">
      <c r="A590" s="134">
        <v>193</v>
      </c>
      <c r="B590" s="134">
        <v>57113</v>
      </c>
      <c r="C590" s="136" t="s">
        <v>2591</v>
      </c>
      <c r="D590" s="134" t="s">
        <v>473</v>
      </c>
      <c r="E590" s="171" t="s">
        <v>202</v>
      </c>
      <c r="F590" s="138" t="s">
        <v>2294</v>
      </c>
      <c r="G590" s="176"/>
      <c r="H590" s="135">
        <v>41533</v>
      </c>
      <c r="I590" s="134">
        <v>2</v>
      </c>
      <c r="J590" s="362">
        <v>17244</v>
      </c>
      <c r="K590" s="362">
        <v>34488</v>
      </c>
      <c r="L590" s="225" t="s">
        <v>614</v>
      </c>
      <c r="M590" s="129" t="s">
        <v>36</v>
      </c>
    </row>
    <row r="591" spans="1:13" s="133" customFormat="1" ht="15" customHeight="1" x14ac:dyDescent="0.25">
      <c r="A591" s="134">
        <v>194</v>
      </c>
      <c r="B591" s="134">
        <v>543060</v>
      </c>
      <c r="C591" s="136" t="s">
        <v>2592</v>
      </c>
      <c r="D591" s="134" t="s">
        <v>481</v>
      </c>
      <c r="E591" s="171" t="s">
        <v>115</v>
      </c>
      <c r="F591" s="138" t="s">
        <v>401</v>
      </c>
      <c r="G591" s="176" t="s">
        <v>2593</v>
      </c>
      <c r="H591" s="135">
        <v>41523</v>
      </c>
      <c r="I591" s="134">
        <v>1</v>
      </c>
      <c r="J591" s="362">
        <v>5274</v>
      </c>
      <c r="K591" s="362">
        <v>5274</v>
      </c>
      <c r="L591" s="225" t="s">
        <v>614</v>
      </c>
      <c r="M591" s="129" t="s">
        <v>36</v>
      </c>
    </row>
    <row r="592" spans="1:13" s="133" customFormat="1" ht="15" customHeight="1" x14ac:dyDescent="0.25">
      <c r="A592" s="134">
        <v>195</v>
      </c>
      <c r="B592" s="134">
        <v>53109</v>
      </c>
      <c r="C592" s="136" t="s">
        <v>2594</v>
      </c>
      <c r="D592" s="134" t="s">
        <v>481</v>
      </c>
      <c r="E592" s="171" t="s">
        <v>843</v>
      </c>
      <c r="F592" s="138" t="s">
        <v>384</v>
      </c>
      <c r="G592" s="176"/>
      <c r="H592" s="135">
        <v>41519</v>
      </c>
      <c r="I592" s="134">
        <v>2</v>
      </c>
      <c r="J592" s="362">
        <v>334719</v>
      </c>
      <c r="K592" s="362">
        <v>669438</v>
      </c>
      <c r="L592" s="225" t="s">
        <v>614</v>
      </c>
      <c r="M592" s="129" t="s">
        <v>36</v>
      </c>
    </row>
    <row r="593" spans="1:13" s="133" customFormat="1" ht="15" customHeight="1" x14ac:dyDescent="0.25">
      <c r="A593" s="134">
        <v>196</v>
      </c>
      <c r="B593" s="134">
        <v>43834</v>
      </c>
      <c r="C593" s="136" t="s">
        <v>2595</v>
      </c>
      <c r="D593" s="134" t="s">
        <v>488</v>
      </c>
      <c r="E593" s="171" t="s">
        <v>115</v>
      </c>
      <c r="F593" s="138" t="s">
        <v>2596</v>
      </c>
      <c r="G593" s="176" t="s">
        <v>2064</v>
      </c>
      <c r="H593" s="135">
        <v>41481</v>
      </c>
      <c r="I593" s="134">
        <v>4</v>
      </c>
      <c r="J593" s="362">
        <v>5274</v>
      </c>
      <c r="K593" s="362">
        <v>21096</v>
      </c>
      <c r="L593" s="225" t="s">
        <v>614</v>
      </c>
      <c r="M593" s="129" t="s">
        <v>36</v>
      </c>
    </row>
    <row r="594" spans="1:13" s="133" customFormat="1" ht="15" customHeight="1" x14ac:dyDescent="0.25">
      <c r="A594" s="134">
        <v>197</v>
      </c>
      <c r="B594" s="134">
        <v>56314</v>
      </c>
      <c r="C594" s="136" t="s">
        <v>1390</v>
      </c>
      <c r="D594" s="134" t="s">
        <v>473</v>
      </c>
      <c r="E594" s="171" t="s">
        <v>205</v>
      </c>
      <c r="F594" s="138" t="s">
        <v>508</v>
      </c>
      <c r="G594" s="176"/>
      <c r="H594" s="135">
        <v>41530</v>
      </c>
      <c r="I594" s="134">
        <v>1</v>
      </c>
      <c r="J594" s="362">
        <v>55062</v>
      </c>
      <c r="K594" s="362">
        <v>55062</v>
      </c>
      <c r="L594" s="225" t="s">
        <v>614</v>
      </c>
      <c r="M594" s="129" t="s">
        <v>36</v>
      </c>
    </row>
    <row r="595" spans="1:13" s="133" customFormat="1" ht="15" customHeight="1" x14ac:dyDescent="0.25">
      <c r="A595" s="134">
        <v>198</v>
      </c>
      <c r="B595" s="134">
        <v>58543</v>
      </c>
      <c r="C595" s="136" t="s">
        <v>1390</v>
      </c>
      <c r="D595" s="134" t="s">
        <v>473</v>
      </c>
      <c r="E595" s="171" t="s">
        <v>574</v>
      </c>
      <c r="F595" s="138" t="s">
        <v>412</v>
      </c>
      <c r="G595" s="176" t="s">
        <v>1282</v>
      </c>
      <c r="H595" s="135">
        <v>41543</v>
      </c>
      <c r="I595" s="134">
        <v>1</v>
      </c>
      <c r="J595" s="362">
        <v>49701</v>
      </c>
      <c r="K595" s="362">
        <v>49701</v>
      </c>
      <c r="L595" s="225" t="s">
        <v>614</v>
      </c>
      <c r="M595" s="129" t="s">
        <v>36</v>
      </c>
    </row>
    <row r="596" spans="1:13" s="133" customFormat="1" ht="15" customHeight="1" x14ac:dyDescent="0.25">
      <c r="A596" s="134">
        <v>199</v>
      </c>
      <c r="B596" s="134">
        <v>57669</v>
      </c>
      <c r="C596" s="136" t="s">
        <v>2597</v>
      </c>
      <c r="D596" s="134" t="s">
        <v>473</v>
      </c>
      <c r="E596" s="171" t="s">
        <v>534</v>
      </c>
      <c r="F596" s="138" t="s">
        <v>412</v>
      </c>
      <c r="G596" s="176" t="s">
        <v>557</v>
      </c>
      <c r="H596" s="135">
        <v>41541</v>
      </c>
      <c r="I596" s="134">
        <v>1</v>
      </c>
      <c r="J596" s="362">
        <v>30429</v>
      </c>
      <c r="K596" s="362">
        <v>30429</v>
      </c>
      <c r="L596" s="225" t="s">
        <v>614</v>
      </c>
      <c r="M596" s="129" t="s">
        <v>36</v>
      </c>
    </row>
    <row r="597" spans="1:13" s="133" customFormat="1" ht="15" customHeight="1" x14ac:dyDescent="0.25">
      <c r="A597" s="134">
        <v>200</v>
      </c>
      <c r="B597" s="134">
        <v>54969</v>
      </c>
      <c r="C597" s="136" t="s">
        <v>2528</v>
      </c>
      <c r="D597" s="134" t="s">
        <v>473</v>
      </c>
      <c r="E597" s="171" t="s">
        <v>1050</v>
      </c>
      <c r="F597" s="138" t="s">
        <v>442</v>
      </c>
      <c r="G597" s="176"/>
      <c r="H597" s="135">
        <v>41524</v>
      </c>
      <c r="I597" s="134">
        <v>1</v>
      </c>
      <c r="J597" s="362">
        <v>57960</v>
      </c>
      <c r="K597" s="362">
        <v>57960</v>
      </c>
      <c r="L597" s="225" t="s">
        <v>614</v>
      </c>
      <c r="M597" s="129" t="s">
        <v>36</v>
      </c>
    </row>
    <row r="598" spans="1:13" s="133" customFormat="1" ht="15" customHeight="1" x14ac:dyDescent="0.25">
      <c r="A598" s="134">
        <v>201</v>
      </c>
      <c r="B598" s="134">
        <v>53488</v>
      </c>
      <c r="C598" s="136" t="s">
        <v>2483</v>
      </c>
      <c r="D598" s="134" t="s">
        <v>473</v>
      </c>
      <c r="E598" s="171" t="s">
        <v>114</v>
      </c>
      <c r="F598" s="138" t="s">
        <v>1020</v>
      </c>
      <c r="G598" s="176"/>
      <c r="H598" s="135">
        <v>41520</v>
      </c>
      <c r="I598" s="134">
        <v>3</v>
      </c>
      <c r="J598" s="362">
        <v>33370</v>
      </c>
      <c r="K598" s="362">
        <v>100110</v>
      </c>
      <c r="L598" s="225" t="s">
        <v>614</v>
      </c>
      <c r="M598" s="129" t="s">
        <v>36</v>
      </c>
    </row>
    <row r="599" spans="1:13" s="133" customFormat="1" ht="15" customHeight="1" x14ac:dyDescent="0.25">
      <c r="A599" s="134">
        <v>202</v>
      </c>
      <c r="B599" s="134">
        <v>54836</v>
      </c>
      <c r="C599" s="136" t="s">
        <v>2598</v>
      </c>
      <c r="D599" s="134" t="s">
        <v>473</v>
      </c>
      <c r="E599" s="171" t="s">
        <v>574</v>
      </c>
      <c r="F599" s="138" t="s">
        <v>559</v>
      </c>
      <c r="G599" s="176" t="s">
        <v>675</v>
      </c>
      <c r="H599" s="135">
        <v>41526</v>
      </c>
      <c r="I599" s="134">
        <v>1</v>
      </c>
      <c r="J599" s="362">
        <v>49701</v>
      </c>
      <c r="K599" s="362">
        <v>49701</v>
      </c>
      <c r="L599" s="225" t="s">
        <v>614</v>
      </c>
      <c r="M599" s="129" t="s">
        <v>36</v>
      </c>
    </row>
    <row r="600" spans="1:13" s="133" customFormat="1" ht="15" customHeight="1" x14ac:dyDescent="0.25">
      <c r="A600" s="134">
        <v>203</v>
      </c>
      <c r="B600" s="134">
        <v>43265</v>
      </c>
      <c r="C600" s="136" t="s">
        <v>2535</v>
      </c>
      <c r="D600" s="134" t="s">
        <v>473</v>
      </c>
      <c r="E600" s="171" t="s">
        <v>115</v>
      </c>
      <c r="F600" s="138" t="s">
        <v>1001</v>
      </c>
      <c r="G600" s="176" t="s">
        <v>1056</v>
      </c>
      <c r="H600" s="135">
        <v>41481</v>
      </c>
      <c r="I600" s="134">
        <v>4</v>
      </c>
      <c r="J600" s="362">
        <v>5274</v>
      </c>
      <c r="K600" s="362">
        <v>21096</v>
      </c>
      <c r="L600" s="225" t="s">
        <v>614</v>
      </c>
      <c r="M600" s="129" t="s">
        <v>36</v>
      </c>
    </row>
    <row r="601" spans="1:13" s="133" customFormat="1" ht="15" customHeight="1" x14ac:dyDescent="0.25">
      <c r="A601" s="134">
        <v>204</v>
      </c>
      <c r="B601" s="134">
        <v>43973</v>
      </c>
      <c r="C601" s="136" t="s">
        <v>2599</v>
      </c>
      <c r="D601" s="134" t="s">
        <v>481</v>
      </c>
      <c r="E601" s="171" t="s">
        <v>115</v>
      </c>
      <c r="F601" s="138" t="s">
        <v>589</v>
      </c>
      <c r="G601" s="176" t="s">
        <v>2104</v>
      </c>
      <c r="H601" s="135">
        <v>41485</v>
      </c>
      <c r="I601" s="134">
        <v>2</v>
      </c>
      <c r="J601" s="362">
        <v>5274</v>
      </c>
      <c r="K601" s="362">
        <v>10548</v>
      </c>
      <c r="L601" s="225" t="s">
        <v>614</v>
      </c>
      <c r="M601" s="129" t="s">
        <v>36</v>
      </c>
    </row>
    <row r="602" spans="1:13" s="133" customFormat="1" ht="15" customHeight="1" x14ac:dyDescent="0.25">
      <c r="A602" s="134">
        <v>205</v>
      </c>
      <c r="B602" s="134">
        <v>58623</v>
      </c>
      <c r="C602" s="136" t="s">
        <v>2599</v>
      </c>
      <c r="D602" s="134" t="s">
        <v>481</v>
      </c>
      <c r="E602" s="171" t="s">
        <v>114</v>
      </c>
      <c r="F602" s="138" t="s">
        <v>428</v>
      </c>
      <c r="G602" s="176" t="s">
        <v>580</v>
      </c>
      <c r="H602" s="135">
        <v>41544</v>
      </c>
      <c r="I602" s="134">
        <v>1</v>
      </c>
      <c r="J602" s="362">
        <v>33370</v>
      </c>
      <c r="K602" s="362">
        <v>33370</v>
      </c>
      <c r="L602" s="225" t="s">
        <v>614</v>
      </c>
      <c r="M602" s="129" t="s">
        <v>36</v>
      </c>
    </row>
    <row r="603" spans="1:13" s="133" customFormat="1" ht="15" customHeight="1" x14ac:dyDescent="0.25">
      <c r="A603" s="134">
        <v>206</v>
      </c>
      <c r="B603" s="134">
        <v>57696</v>
      </c>
      <c r="C603" s="136" t="s">
        <v>2533</v>
      </c>
      <c r="D603" s="134" t="s">
        <v>481</v>
      </c>
      <c r="E603" s="171" t="s">
        <v>679</v>
      </c>
      <c r="F603" s="138" t="s">
        <v>384</v>
      </c>
      <c r="G603" s="176" t="s">
        <v>1056</v>
      </c>
      <c r="H603" s="135">
        <v>41540</v>
      </c>
      <c r="I603" s="134">
        <v>2</v>
      </c>
      <c r="J603" s="362">
        <v>55058</v>
      </c>
      <c r="K603" s="362">
        <v>110116</v>
      </c>
      <c r="L603" s="225" t="s">
        <v>614</v>
      </c>
      <c r="M603" s="129" t="s">
        <v>36</v>
      </c>
    </row>
    <row r="604" spans="1:13" s="133" customFormat="1" ht="15" customHeight="1" x14ac:dyDescent="0.25">
      <c r="A604" s="134">
        <v>207</v>
      </c>
      <c r="B604" s="134">
        <v>58157</v>
      </c>
      <c r="C604" s="136" t="s">
        <v>2600</v>
      </c>
      <c r="D604" s="134" t="s">
        <v>481</v>
      </c>
      <c r="E604" s="171" t="s">
        <v>115</v>
      </c>
      <c r="F604" s="138" t="s">
        <v>401</v>
      </c>
      <c r="G604" s="176" t="s">
        <v>2064</v>
      </c>
      <c r="H604" s="135">
        <v>41544</v>
      </c>
      <c r="I604" s="134">
        <v>1</v>
      </c>
      <c r="J604" s="362">
        <v>5274</v>
      </c>
      <c r="K604" s="362">
        <v>5274</v>
      </c>
      <c r="L604" s="225" t="s">
        <v>614</v>
      </c>
      <c r="M604" s="129" t="s">
        <v>36</v>
      </c>
    </row>
    <row r="605" spans="1:13" s="133" customFormat="1" ht="15" customHeight="1" x14ac:dyDescent="0.25">
      <c r="A605" s="134">
        <v>208</v>
      </c>
      <c r="B605" s="134">
        <v>45657</v>
      </c>
      <c r="C605" s="136" t="s">
        <v>2555</v>
      </c>
      <c r="D605" s="134" t="s">
        <v>481</v>
      </c>
      <c r="E605" s="171" t="s">
        <v>574</v>
      </c>
      <c r="F605" s="138" t="s">
        <v>401</v>
      </c>
      <c r="G605" s="176" t="s">
        <v>566</v>
      </c>
      <c r="H605" s="135">
        <v>41488</v>
      </c>
      <c r="I605" s="134">
        <v>1</v>
      </c>
      <c r="J605" s="362">
        <v>49701</v>
      </c>
      <c r="K605" s="362">
        <v>49701</v>
      </c>
      <c r="L605" s="225" t="s">
        <v>614</v>
      </c>
      <c r="M605" s="129" t="s">
        <v>36</v>
      </c>
    </row>
    <row r="606" spans="1:13" s="133" customFormat="1" ht="15" customHeight="1" x14ac:dyDescent="0.25">
      <c r="A606" s="134">
        <v>209</v>
      </c>
      <c r="B606" s="134">
        <v>55317</v>
      </c>
      <c r="C606" s="136" t="s">
        <v>2601</v>
      </c>
      <c r="D606" s="134" t="s">
        <v>473</v>
      </c>
      <c r="E606" s="171" t="s">
        <v>202</v>
      </c>
      <c r="F606" s="138" t="s">
        <v>416</v>
      </c>
      <c r="G606" s="176"/>
      <c r="H606" s="135">
        <v>41527</v>
      </c>
      <c r="I606" s="134">
        <v>1</v>
      </c>
      <c r="J606" s="362">
        <v>17244</v>
      </c>
      <c r="K606" s="362">
        <v>17244</v>
      </c>
      <c r="L606" s="225" t="s">
        <v>614</v>
      </c>
      <c r="M606" s="129" t="s">
        <v>36</v>
      </c>
    </row>
    <row r="607" spans="1:13" s="133" customFormat="1" ht="15" customHeight="1" x14ac:dyDescent="0.25">
      <c r="A607" s="134">
        <v>210</v>
      </c>
      <c r="B607" s="134">
        <v>56981</v>
      </c>
      <c r="C607" s="136" t="s">
        <v>2602</v>
      </c>
      <c r="D607" s="134" t="s">
        <v>473</v>
      </c>
      <c r="E607" s="171" t="s">
        <v>115</v>
      </c>
      <c r="F607" s="138" t="s">
        <v>401</v>
      </c>
      <c r="G607" s="176"/>
      <c r="H607" s="135">
        <v>41540</v>
      </c>
      <c r="I607" s="134">
        <v>1</v>
      </c>
      <c r="J607" s="362">
        <v>5274</v>
      </c>
      <c r="K607" s="362">
        <v>5274</v>
      </c>
      <c r="L607" s="225" t="s">
        <v>614</v>
      </c>
      <c r="M607" s="129" t="s">
        <v>36</v>
      </c>
    </row>
    <row r="608" spans="1:13" s="133" customFormat="1" ht="15" customHeight="1" x14ac:dyDescent="0.25">
      <c r="A608" s="134">
        <v>211</v>
      </c>
      <c r="B608" s="134">
        <v>59068</v>
      </c>
      <c r="C608" s="136" t="s">
        <v>2603</v>
      </c>
      <c r="D608" s="134" t="s">
        <v>473</v>
      </c>
      <c r="E608" s="171" t="s">
        <v>534</v>
      </c>
      <c r="F608" s="138" t="s">
        <v>412</v>
      </c>
      <c r="G608" s="176" t="s">
        <v>2604</v>
      </c>
      <c r="H608" s="135">
        <v>41547</v>
      </c>
      <c r="I608" s="134">
        <v>1</v>
      </c>
      <c r="J608" s="362">
        <v>30429</v>
      </c>
      <c r="K608" s="362">
        <v>30429</v>
      </c>
      <c r="L608" s="225" t="s">
        <v>614</v>
      </c>
      <c r="M608" s="129" t="s">
        <v>36</v>
      </c>
    </row>
    <row r="609" spans="1:13" s="133" customFormat="1" ht="15" customHeight="1" x14ac:dyDescent="0.25">
      <c r="A609" s="134">
        <v>212</v>
      </c>
      <c r="B609" s="134">
        <v>37470</v>
      </c>
      <c r="C609" s="136" t="s">
        <v>2605</v>
      </c>
      <c r="D609" s="134" t="s">
        <v>481</v>
      </c>
      <c r="E609" s="171" t="s">
        <v>195</v>
      </c>
      <c r="F609" s="176" t="s">
        <v>2606</v>
      </c>
      <c r="G609" s="176"/>
      <c r="H609" s="135">
        <v>41453</v>
      </c>
      <c r="I609" s="134">
        <v>4</v>
      </c>
      <c r="J609" s="362">
        <v>2739</v>
      </c>
      <c r="K609" s="362">
        <v>10956</v>
      </c>
      <c r="L609" s="225" t="s">
        <v>614</v>
      </c>
      <c r="M609" s="129" t="s">
        <v>36</v>
      </c>
    </row>
    <row r="610" spans="1:13" s="133" customFormat="1" ht="15" customHeight="1" x14ac:dyDescent="0.25">
      <c r="A610" s="134">
        <v>213</v>
      </c>
      <c r="B610" s="134">
        <v>52684</v>
      </c>
      <c r="C610" s="136" t="s">
        <v>2607</v>
      </c>
      <c r="D610" s="134" t="s">
        <v>481</v>
      </c>
      <c r="E610" s="171" t="s">
        <v>534</v>
      </c>
      <c r="F610" s="138" t="s">
        <v>565</v>
      </c>
      <c r="G610" s="176" t="s">
        <v>566</v>
      </c>
      <c r="H610" s="135">
        <v>41516</v>
      </c>
      <c r="I610" s="134">
        <v>1</v>
      </c>
      <c r="J610" s="362">
        <v>30429</v>
      </c>
      <c r="K610" s="362">
        <v>30429</v>
      </c>
      <c r="L610" s="225" t="s">
        <v>614</v>
      </c>
      <c r="M610" s="129" t="s">
        <v>36</v>
      </c>
    </row>
    <row r="611" spans="1:13" s="133" customFormat="1" ht="15" customHeight="1" x14ac:dyDescent="0.25">
      <c r="A611" s="134">
        <v>214</v>
      </c>
      <c r="B611" s="134">
        <v>59024</v>
      </c>
      <c r="C611" s="136" t="s">
        <v>2607</v>
      </c>
      <c r="D611" s="134" t="s">
        <v>481</v>
      </c>
      <c r="E611" s="171" t="s">
        <v>577</v>
      </c>
      <c r="F611" s="138" t="s">
        <v>368</v>
      </c>
      <c r="G611" s="176"/>
      <c r="H611" s="135">
        <v>41547</v>
      </c>
      <c r="I611" s="134">
        <v>1</v>
      </c>
      <c r="J611" s="362">
        <v>25800</v>
      </c>
      <c r="K611" s="362">
        <v>25800</v>
      </c>
      <c r="L611" s="225" t="s">
        <v>614</v>
      </c>
      <c r="M611" s="129" t="s">
        <v>36</v>
      </c>
    </row>
    <row r="612" spans="1:13" s="133" customFormat="1" ht="15" customHeight="1" x14ac:dyDescent="0.25">
      <c r="A612" s="134">
        <v>215</v>
      </c>
      <c r="B612" s="134">
        <v>57825</v>
      </c>
      <c r="C612" s="136" t="s">
        <v>2608</v>
      </c>
      <c r="D612" s="134" t="s">
        <v>473</v>
      </c>
      <c r="E612" s="171" t="s">
        <v>534</v>
      </c>
      <c r="F612" s="138" t="s">
        <v>469</v>
      </c>
      <c r="G612" s="176" t="s">
        <v>2609</v>
      </c>
      <c r="H612" s="135">
        <v>41542</v>
      </c>
      <c r="I612" s="134">
        <v>1</v>
      </c>
      <c r="J612" s="362">
        <v>30429</v>
      </c>
      <c r="K612" s="362">
        <v>30429</v>
      </c>
      <c r="L612" s="225" t="s">
        <v>614</v>
      </c>
      <c r="M612" s="129" t="s">
        <v>36</v>
      </c>
    </row>
    <row r="613" spans="1:13" s="133" customFormat="1" ht="15" customHeight="1" x14ac:dyDescent="0.25">
      <c r="A613" s="134">
        <v>216</v>
      </c>
      <c r="B613" s="134">
        <v>54211</v>
      </c>
      <c r="C613" s="136" t="s">
        <v>2610</v>
      </c>
      <c r="D613" s="134" t="s">
        <v>473</v>
      </c>
      <c r="E613" s="171" t="s">
        <v>202</v>
      </c>
      <c r="F613" s="138" t="s">
        <v>642</v>
      </c>
      <c r="G613" s="176"/>
      <c r="H613" s="135">
        <v>41522</v>
      </c>
      <c r="I613" s="134">
        <v>1</v>
      </c>
      <c r="J613" s="362">
        <v>17244</v>
      </c>
      <c r="K613" s="362">
        <v>17244</v>
      </c>
      <c r="L613" s="225" t="s">
        <v>614</v>
      </c>
      <c r="M613" s="129" t="s">
        <v>36</v>
      </c>
    </row>
    <row r="614" spans="1:13" s="133" customFormat="1" ht="15" customHeight="1" x14ac:dyDescent="0.25">
      <c r="A614" s="134">
        <v>217</v>
      </c>
      <c r="B614" s="134">
        <v>50111</v>
      </c>
      <c r="C614" s="136" t="s">
        <v>2611</v>
      </c>
      <c r="D614" s="134" t="s">
        <v>473</v>
      </c>
      <c r="E614" s="171" t="s">
        <v>115</v>
      </c>
      <c r="F614" s="138" t="s">
        <v>407</v>
      </c>
      <c r="G614" s="176" t="s">
        <v>2114</v>
      </c>
      <c r="H614" s="135">
        <v>41507</v>
      </c>
      <c r="I614" s="134">
        <v>1</v>
      </c>
      <c r="J614" s="362">
        <v>5274</v>
      </c>
      <c r="K614" s="362">
        <v>5274</v>
      </c>
      <c r="L614" s="225" t="s">
        <v>614</v>
      </c>
      <c r="M614" s="129" t="s">
        <v>36</v>
      </c>
    </row>
    <row r="615" spans="1:13" s="133" customFormat="1" ht="15" customHeight="1" x14ac:dyDescent="0.25">
      <c r="A615" s="134">
        <v>218</v>
      </c>
      <c r="B615" s="134">
        <v>56882</v>
      </c>
      <c r="C615" s="136" t="s">
        <v>2611</v>
      </c>
      <c r="D615" s="134" t="s">
        <v>473</v>
      </c>
      <c r="E615" s="171" t="s">
        <v>1050</v>
      </c>
      <c r="F615" s="138" t="s">
        <v>407</v>
      </c>
      <c r="G615" s="176"/>
      <c r="H615" s="135">
        <v>41533</v>
      </c>
      <c r="I615" s="134">
        <v>1</v>
      </c>
      <c r="J615" s="362">
        <v>57960</v>
      </c>
      <c r="K615" s="362">
        <v>57960</v>
      </c>
      <c r="L615" s="225" t="s">
        <v>614</v>
      </c>
      <c r="M615" s="129" t="s">
        <v>36</v>
      </c>
    </row>
    <row r="616" spans="1:13" s="133" customFormat="1" ht="16.5" customHeight="1" x14ac:dyDescent="0.25">
      <c r="A616" s="134">
        <v>219</v>
      </c>
      <c r="B616" s="134">
        <v>57505</v>
      </c>
      <c r="C616" s="136" t="s">
        <v>2612</v>
      </c>
      <c r="D616" s="134" t="s">
        <v>481</v>
      </c>
      <c r="E616" s="171" t="s">
        <v>534</v>
      </c>
      <c r="F616" s="138" t="s">
        <v>412</v>
      </c>
      <c r="G616" s="176" t="s">
        <v>566</v>
      </c>
      <c r="H616" s="135">
        <v>41540</v>
      </c>
      <c r="I616" s="134">
        <v>1</v>
      </c>
      <c r="J616" s="362">
        <v>30429</v>
      </c>
      <c r="K616" s="362">
        <v>30429</v>
      </c>
      <c r="L616" s="225" t="s">
        <v>614</v>
      </c>
      <c r="M616" s="129" t="s">
        <v>36</v>
      </c>
    </row>
    <row r="617" spans="1:13" s="133" customFormat="1" ht="15" customHeight="1" x14ac:dyDescent="0.25">
      <c r="A617" s="134">
        <v>220</v>
      </c>
      <c r="B617" s="134">
        <v>58398</v>
      </c>
      <c r="C617" s="136" t="s">
        <v>2613</v>
      </c>
      <c r="D617" s="134" t="s">
        <v>473</v>
      </c>
      <c r="E617" s="171" t="s">
        <v>534</v>
      </c>
      <c r="F617" s="138" t="s">
        <v>469</v>
      </c>
      <c r="G617" s="176" t="s">
        <v>2562</v>
      </c>
      <c r="H617" s="135">
        <v>41543</v>
      </c>
      <c r="I617" s="134">
        <v>1</v>
      </c>
      <c r="J617" s="362">
        <v>30429</v>
      </c>
      <c r="K617" s="362">
        <v>30429</v>
      </c>
      <c r="L617" s="225" t="s">
        <v>614</v>
      </c>
      <c r="M617" s="129" t="s">
        <v>36</v>
      </c>
    </row>
    <row r="618" spans="1:13" s="133" customFormat="1" ht="14.25" customHeight="1" x14ac:dyDescent="0.25">
      <c r="A618" s="134">
        <v>221</v>
      </c>
      <c r="B618" s="134">
        <v>57988</v>
      </c>
      <c r="C618" s="136" t="s">
        <v>2614</v>
      </c>
      <c r="D618" s="134" t="s">
        <v>473</v>
      </c>
      <c r="E618" s="171" t="s">
        <v>115</v>
      </c>
      <c r="F618" s="138" t="s">
        <v>1951</v>
      </c>
      <c r="G618" s="176" t="s">
        <v>2064</v>
      </c>
      <c r="H618" s="135">
        <v>41543</v>
      </c>
      <c r="I618" s="134">
        <v>2</v>
      </c>
      <c r="J618" s="362">
        <v>5274</v>
      </c>
      <c r="K618" s="362">
        <v>10548</v>
      </c>
      <c r="L618" s="225" t="s">
        <v>614</v>
      </c>
      <c r="M618" s="129" t="s">
        <v>36</v>
      </c>
    </row>
    <row r="619" spans="1:13" s="133" customFormat="1" ht="15" customHeight="1" x14ac:dyDescent="0.25">
      <c r="A619" s="134">
        <v>222</v>
      </c>
      <c r="B619" s="134">
        <v>59018</v>
      </c>
      <c r="C619" s="136" t="s">
        <v>2615</v>
      </c>
      <c r="D619" s="134" t="s">
        <v>473</v>
      </c>
      <c r="E619" s="171" t="s">
        <v>577</v>
      </c>
      <c r="F619" s="138" t="s">
        <v>368</v>
      </c>
      <c r="G619" s="176"/>
      <c r="H619" s="135">
        <v>41547</v>
      </c>
      <c r="I619" s="134">
        <v>1</v>
      </c>
      <c r="J619" s="362">
        <v>25800</v>
      </c>
      <c r="K619" s="362">
        <v>25800</v>
      </c>
      <c r="L619" s="225" t="s">
        <v>614</v>
      </c>
      <c r="M619" s="129" t="s">
        <v>36</v>
      </c>
    </row>
    <row r="620" spans="1:13" s="133" customFormat="1" ht="15" customHeight="1" x14ac:dyDescent="0.25">
      <c r="A620" s="134">
        <v>223</v>
      </c>
      <c r="B620" s="134">
        <v>56651</v>
      </c>
      <c r="C620" s="136" t="s">
        <v>2616</v>
      </c>
      <c r="D620" s="134" t="s">
        <v>481</v>
      </c>
      <c r="E620" s="171" t="s">
        <v>186</v>
      </c>
      <c r="F620" s="138" t="s">
        <v>2617</v>
      </c>
      <c r="G620" s="176"/>
      <c r="H620" s="135">
        <v>41530</v>
      </c>
      <c r="I620" s="134">
        <v>6</v>
      </c>
      <c r="J620" s="362">
        <v>42601</v>
      </c>
      <c r="K620" s="362">
        <v>255606</v>
      </c>
      <c r="L620" s="225" t="s">
        <v>614</v>
      </c>
      <c r="M620" s="129" t="s">
        <v>36</v>
      </c>
    </row>
    <row r="621" spans="1:13" s="133" customFormat="1" ht="15" customHeight="1" x14ac:dyDescent="0.25">
      <c r="A621" s="134">
        <v>224</v>
      </c>
      <c r="B621" s="134">
        <v>42077</v>
      </c>
      <c r="C621" s="136" t="s">
        <v>2618</v>
      </c>
      <c r="D621" s="134" t="s">
        <v>478</v>
      </c>
      <c r="E621" s="171" t="s">
        <v>215</v>
      </c>
      <c r="F621" s="138" t="s">
        <v>368</v>
      </c>
      <c r="G621" s="176"/>
      <c r="H621" s="135">
        <v>41474</v>
      </c>
      <c r="I621" s="134">
        <v>1</v>
      </c>
      <c r="J621" s="362">
        <v>44597</v>
      </c>
      <c r="K621" s="362">
        <v>44597</v>
      </c>
      <c r="L621" s="225" t="s">
        <v>614</v>
      </c>
      <c r="M621" s="129" t="s">
        <v>36</v>
      </c>
    </row>
    <row r="622" spans="1:13" s="133" customFormat="1" ht="15" customHeight="1" x14ac:dyDescent="0.25">
      <c r="A622" s="134">
        <v>225</v>
      </c>
      <c r="B622" s="134">
        <v>53121</v>
      </c>
      <c r="C622" s="136" t="s">
        <v>2470</v>
      </c>
      <c r="D622" s="134" t="s">
        <v>473</v>
      </c>
      <c r="E622" s="171" t="s">
        <v>114</v>
      </c>
      <c r="F622" s="138" t="s">
        <v>439</v>
      </c>
      <c r="G622" s="176"/>
      <c r="H622" s="135">
        <v>41519</v>
      </c>
      <c r="I622" s="134">
        <v>1</v>
      </c>
      <c r="J622" s="362">
        <v>33370</v>
      </c>
      <c r="K622" s="362">
        <v>33370</v>
      </c>
      <c r="L622" s="225" t="s">
        <v>614</v>
      </c>
      <c r="M622" s="129" t="s">
        <v>36</v>
      </c>
    </row>
    <row r="623" spans="1:13" s="133" customFormat="1" ht="15" customHeight="1" x14ac:dyDescent="0.25">
      <c r="A623" s="134">
        <v>226</v>
      </c>
      <c r="B623" s="134">
        <v>52983</v>
      </c>
      <c r="C623" s="136" t="s">
        <v>2485</v>
      </c>
      <c r="D623" s="134" t="s">
        <v>473</v>
      </c>
      <c r="E623" s="171" t="s">
        <v>114</v>
      </c>
      <c r="F623" s="138" t="s">
        <v>439</v>
      </c>
      <c r="G623" s="176" t="s">
        <v>2162</v>
      </c>
      <c r="H623" s="135">
        <v>41519</v>
      </c>
      <c r="I623" s="134">
        <v>1</v>
      </c>
      <c r="J623" s="362">
        <v>33370</v>
      </c>
      <c r="K623" s="362">
        <v>33370</v>
      </c>
      <c r="L623" s="225" t="s">
        <v>614</v>
      </c>
      <c r="M623" s="129" t="s">
        <v>36</v>
      </c>
    </row>
    <row r="624" spans="1:13" s="133" customFormat="1" ht="15" customHeight="1" x14ac:dyDescent="0.25">
      <c r="A624" s="134">
        <v>227</v>
      </c>
      <c r="B624" s="134">
        <v>54165</v>
      </c>
      <c r="C624" s="136" t="s">
        <v>2619</v>
      </c>
      <c r="D624" s="134" t="s">
        <v>471</v>
      </c>
      <c r="E624" s="171" t="s">
        <v>534</v>
      </c>
      <c r="F624" s="138" t="s">
        <v>414</v>
      </c>
      <c r="G624" s="176"/>
      <c r="H624" s="135">
        <v>41522</v>
      </c>
      <c r="I624" s="134">
        <v>1</v>
      </c>
      <c r="J624" s="362">
        <v>30429</v>
      </c>
      <c r="K624" s="362">
        <v>30429</v>
      </c>
      <c r="L624" s="225" t="s">
        <v>614</v>
      </c>
      <c r="M624" s="129" t="s">
        <v>36</v>
      </c>
    </row>
    <row r="625" spans="1:13" s="133" customFormat="1" ht="15" customHeight="1" x14ac:dyDescent="0.25">
      <c r="A625" s="134">
        <v>228</v>
      </c>
      <c r="B625" s="134">
        <v>56774</v>
      </c>
      <c r="C625" s="136" t="s">
        <v>2620</v>
      </c>
      <c r="D625" s="134" t="s">
        <v>481</v>
      </c>
      <c r="E625" s="171" t="s">
        <v>577</v>
      </c>
      <c r="F625" s="138" t="s">
        <v>368</v>
      </c>
      <c r="G625" s="176"/>
      <c r="H625" s="135">
        <v>41531</v>
      </c>
      <c r="I625" s="134">
        <v>1</v>
      </c>
      <c r="J625" s="362">
        <v>25800</v>
      </c>
      <c r="K625" s="362">
        <v>25800</v>
      </c>
      <c r="L625" s="225" t="s">
        <v>614</v>
      </c>
      <c r="M625" s="129" t="s">
        <v>36</v>
      </c>
    </row>
    <row r="626" spans="1:13" s="133" customFormat="1" ht="15" customHeight="1" x14ac:dyDescent="0.25">
      <c r="A626" s="134">
        <v>229</v>
      </c>
      <c r="B626" s="134">
        <v>52937</v>
      </c>
      <c r="C626" s="136" t="s">
        <v>2621</v>
      </c>
      <c r="D626" s="134" t="s">
        <v>481</v>
      </c>
      <c r="E626" s="171" t="s">
        <v>115</v>
      </c>
      <c r="F626" s="138" t="s">
        <v>404</v>
      </c>
      <c r="G626" s="176" t="s">
        <v>715</v>
      </c>
      <c r="H626" s="135">
        <v>41519</v>
      </c>
      <c r="I626" s="134">
        <v>1</v>
      </c>
      <c r="J626" s="362">
        <v>5274</v>
      </c>
      <c r="K626" s="362">
        <v>5274</v>
      </c>
      <c r="L626" s="225" t="s">
        <v>614</v>
      </c>
      <c r="M626" s="129" t="s">
        <v>36</v>
      </c>
    </row>
    <row r="627" spans="1:13" s="133" customFormat="1" ht="15" customHeight="1" x14ac:dyDescent="0.25">
      <c r="A627" s="134">
        <v>230</v>
      </c>
      <c r="B627" s="134">
        <v>55858</v>
      </c>
      <c r="C627" s="136" t="s">
        <v>2622</v>
      </c>
      <c r="D627" s="134" t="s">
        <v>473</v>
      </c>
      <c r="E627" s="171" t="s">
        <v>574</v>
      </c>
      <c r="F627" s="138" t="s">
        <v>469</v>
      </c>
      <c r="G627" s="176" t="s">
        <v>560</v>
      </c>
      <c r="H627" s="135">
        <v>41528</v>
      </c>
      <c r="I627" s="134">
        <v>1</v>
      </c>
      <c r="J627" s="362">
        <v>49701</v>
      </c>
      <c r="K627" s="362">
        <v>49701</v>
      </c>
      <c r="L627" s="225" t="s">
        <v>614</v>
      </c>
      <c r="M627" s="129" t="s">
        <v>36</v>
      </c>
    </row>
    <row r="628" spans="1:13" s="133" customFormat="1" ht="15" customHeight="1" x14ac:dyDescent="0.25">
      <c r="A628" s="134">
        <v>231</v>
      </c>
      <c r="B628" s="134">
        <v>42156</v>
      </c>
      <c r="C628" s="136" t="s">
        <v>1321</v>
      </c>
      <c r="D628" s="134" t="s">
        <v>481</v>
      </c>
      <c r="E628" s="171" t="s">
        <v>115</v>
      </c>
      <c r="F628" s="138" t="s">
        <v>397</v>
      </c>
      <c r="G628" s="176"/>
      <c r="H628" s="135">
        <v>41477</v>
      </c>
      <c r="I628" s="134">
        <v>2</v>
      </c>
      <c r="J628" s="362">
        <v>5274</v>
      </c>
      <c r="K628" s="362">
        <v>10548</v>
      </c>
      <c r="L628" s="225" t="s">
        <v>614</v>
      </c>
      <c r="M628" s="129" t="s">
        <v>36</v>
      </c>
    </row>
    <row r="629" spans="1:13" s="133" customFormat="1" ht="15" customHeight="1" x14ac:dyDescent="0.25">
      <c r="A629" s="134">
        <v>232</v>
      </c>
      <c r="B629" s="134">
        <v>57644</v>
      </c>
      <c r="C629" s="136" t="s">
        <v>2623</v>
      </c>
      <c r="D629" s="134" t="s">
        <v>473</v>
      </c>
      <c r="E629" s="171" t="s">
        <v>574</v>
      </c>
      <c r="F629" s="138" t="s">
        <v>414</v>
      </c>
      <c r="G629" s="176" t="s">
        <v>560</v>
      </c>
      <c r="H629" s="135">
        <v>41541</v>
      </c>
      <c r="I629" s="134">
        <v>1</v>
      </c>
      <c r="J629" s="362">
        <v>49701</v>
      </c>
      <c r="K629" s="362">
        <v>49701</v>
      </c>
      <c r="L629" s="225" t="s">
        <v>614</v>
      </c>
      <c r="M629" s="129" t="s">
        <v>36</v>
      </c>
    </row>
    <row r="630" spans="1:13" s="133" customFormat="1" ht="15" customHeight="1" x14ac:dyDescent="0.25">
      <c r="A630" s="134">
        <v>233</v>
      </c>
      <c r="B630" s="134">
        <v>55075</v>
      </c>
      <c r="C630" s="136" t="s">
        <v>2624</v>
      </c>
      <c r="D630" s="134" t="s">
        <v>481</v>
      </c>
      <c r="E630" s="171" t="s">
        <v>115</v>
      </c>
      <c r="F630" s="138" t="s">
        <v>428</v>
      </c>
      <c r="G630" s="176" t="s">
        <v>2625</v>
      </c>
      <c r="H630" s="135">
        <v>41527</v>
      </c>
      <c r="I630" s="134">
        <v>1</v>
      </c>
      <c r="J630" s="362">
        <v>5274</v>
      </c>
      <c r="K630" s="362">
        <v>5274</v>
      </c>
      <c r="L630" s="225" t="s">
        <v>614</v>
      </c>
      <c r="M630" s="129" t="s">
        <v>36</v>
      </c>
    </row>
    <row r="631" spans="1:13" s="133" customFormat="1" ht="15" customHeight="1" x14ac:dyDescent="0.25">
      <c r="A631" s="134">
        <v>234</v>
      </c>
      <c r="B631" s="134">
        <v>44561</v>
      </c>
      <c r="C631" s="136" t="s">
        <v>2490</v>
      </c>
      <c r="D631" s="134" t="s">
        <v>473</v>
      </c>
      <c r="E631" s="171" t="s">
        <v>679</v>
      </c>
      <c r="F631" s="138" t="s">
        <v>366</v>
      </c>
      <c r="G631" s="176"/>
      <c r="H631" s="135">
        <v>41480</v>
      </c>
      <c r="I631" s="134">
        <v>1</v>
      </c>
      <c r="J631" s="362">
        <v>55058</v>
      </c>
      <c r="K631" s="362">
        <v>55058</v>
      </c>
      <c r="L631" s="225" t="s">
        <v>614</v>
      </c>
      <c r="M631" s="129" t="s">
        <v>36</v>
      </c>
    </row>
    <row r="632" spans="1:13" s="133" customFormat="1" ht="15" customHeight="1" x14ac:dyDescent="0.25">
      <c r="A632" s="134">
        <v>235</v>
      </c>
      <c r="B632" s="134">
        <v>52860</v>
      </c>
      <c r="C632" s="136" t="s">
        <v>2626</v>
      </c>
      <c r="D632" s="134" t="s">
        <v>481</v>
      </c>
      <c r="E632" s="171" t="s">
        <v>115</v>
      </c>
      <c r="F632" s="138" t="s">
        <v>469</v>
      </c>
      <c r="G632" s="176" t="s">
        <v>1061</v>
      </c>
      <c r="H632" s="135">
        <v>41516</v>
      </c>
      <c r="I632" s="134">
        <v>1</v>
      </c>
      <c r="J632" s="362">
        <v>5274</v>
      </c>
      <c r="K632" s="362">
        <v>5274</v>
      </c>
      <c r="L632" s="225" t="s">
        <v>614</v>
      </c>
      <c r="M632" s="129" t="s">
        <v>36</v>
      </c>
    </row>
    <row r="633" spans="1:13" s="133" customFormat="1" ht="15" customHeight="1" x14ac:dyDescent="0.25">
      <c r="A633" s="134">
        <v>236</v>
      </c>
      <c r="B633" s="134">
        <v>44907</v>
      </c>
      <c r="C633" s="136" t="s">
        <v>2627</v>
      </c>
      <c r="D633" s="134" t="s">
        <v>481</v>
      </c>
      <c r="E633" s="171" t="s">
        <v>115</v>
      </c>
      <c r="F633" s="138" t="s">
        <v>642</v>
      </c>
      <c r="G633" s="176" t="s">
        <v>1061</v>
      </c>
      <c r="H633" s="135">
        <v>41488</v>
      </c>
      <c r="I633" s="134">
        <v>1</v>
      </c>
      <c r="J633" s="362">
        <v>5274</v>
      </c>
      <c r="K633" s="362">
        <v>5274</v>
      </c>
      <c r="L633" s="225" t="s">
        <v>614</v>
      </c>
      <c r="M633" s="129" t="s">
        <v>36</v>
      </c>
    </row>
    <row r="634" spans="1:13" s="133" customFormat="1" ht="15" customHeight="1" x14ac:dyDescent="0.25">
      <c r="A634" s="134">
        <v>237</v>
      </c>
      <c r="B634" s="134">
        <v>58757</v>
      </c>
      <c r="C634" s="136" t="s">
        <v>2628</v>
      </c>
      <c r="D634" s="134" t="s">
        <v>473</v>
      </c>
      <c r="E634" s="171" t="s">
        <v>115</v>
      </c>
      <c r="F634" s="138" t="s">
        <v>439</v>
      </c>
      <c r="G634" s="176" t="s">
        <v>2132</v>
      </c>
      <c r="H634" s="135">
        <v>41547</v>
      </c>
      <c r="I634" s="134">
        <v>1</v>
      </c>
      <c r="J634" s="362">
        <v>5274</v>
      </c>
      <c r="K634" s="362">
        <v>5274</v>
      </c>
      <c r="L634" s="225" t="s">
        <v>614</v>
      </c>
      <c r="M634" s="129" t="s">
        <v>36</v>
      </c>
    </row>
    <row r="635" spans="1:13" s="133" customFormat="1" ht="15" customHeight="1" x14ac:dyDescent="0.25">
      <c r="A635" s="134">
        <v>238</v>
      </c>
      <c r="B635" s="134">
        <v>54457</v>
      </c>
      <c r="C635" s="136" t="s">
        <v>2502</v>
      </c>
      <c r="D635" s="134" t="s">
        <v>473</v>
      </c>
      <c r="E635" s="171" t="s">
        <v>208</v>
      </c>
      <c r="F635" s="138" t="s">
        <v>565</v>
      </c>
      <c r="G635" s="176"/>
      <c r="H635" s="135">
        <v>41524</v>
      </c>
      <c r="I635" s="134">
        <v>1</v>
      </c>
      <c r="J635" s="362">
        <v>14099</v>
      </c>
      <c r="K635" s="362">
        <v>14099</v>
      </c>
      <c r="L635" s="225" t="s">
        <v>614</v>
      </c>
      <c r="M635" s="129" t="s">
        <v>36</v>
      </c>
    </row>
    <row r="636" spans="1:13" s="133" customFormat="1" ht="15" customHeight="1" thickBot="1" x14ac:dyDescent="0.3">
      <c r="A636" s="240">
        <v>239</v>
      </c>
      <c r="B636" s="240">
        <v>58289</v>
      </c>
      <c r="C636" s="241" t="s">
        <v>2629</v>
      </c>
      <c r="D636" s="240" t="s">
        <v>473</v>
      </c>
      <c r="E636" s="228" t="s">
        <v>186</v>
      </c>
      <c r="F636" s="242" t="s">
        <v>2630</v>
      </c>
      <c r="G636" s="229" t="s">
        <v>2094</v>
      </c>
      <c r="H636" s="243">
        <v>41542</v>
      </c>
      <c r="I636" s="240">
        <v>11</v>
      </c>
      <c r="J636" s="363">
        <v>42601</v>
      </c>
      <c r="K636" s="363">
        <v>468611</v>
      </c>
      <c r="L636" s="225" t="s">
        <v>614</v>
      </c>
      <c r="M636" s="129" t="s">
        <v>36</v>
      </c>
    </row>
    <row r="637" spans="1:13" s="133" customFormat="1" ht="15" customHeight="1" thickTop="1" x14ac:dyDescent="0.25">
      <c r="A637" s="393">
        <v>240</v>
      </c>
      <c r="B637" s="393">
        <v>59495</v>
      </c>
      <c r="C637" s="394" t="s">
        <v>2419</v>
      </c>
      <c r="D637" s="393" t="s">
        <v>473</v>
      </c>
      <c r="E637" s="395" t="s">
        <v>114</v>
      </c>
      <c r="F637" s="396" t="s">
        <v>2631</v>
      </c>
      <c r="G637" s="397" t="s">
        <v>2072</v>
      </c>
      <c r="H637" s="398">
        <v>41549</v>
      </c>
      <c r="I637" s="393">
        <v>5</v>
      </c>
      <c r="J637" s="399">
        <v>33370</v>
      </c>
      <c r="K637" s="400">
        <v>166850</v>
      </c>
      <c r="L637" s="269" t="s">
        <v>617</v>
      </c>
      <c r="M637" s="129" t="s">
        <v>36</v>
      </c>
    </row>
    <row r="638" spans="1:13" s="133" customFormat="1" ht="15" customHeight="1" x14ac:dyDescent="0.25">
      <c r="A638" s="121">
        <v>241</v>
      </c>
      <c r="B638" s="121">
        <v>65217</v>
      </c>
      <c r="C638" s="123" t="s">
        <v>2632</v>
      </c>
      <c r="D638" s="121" t="s">
        <v>478</v>
      </c>
      <c r="E638" s="149" t="s">
        <v>215</v>
      </c>
      <c r="F638" s="125" t="s">
        <v>366</v>
      </c>
      <c r="G638" s="270" t="s">
        <v>486</v>
      </c>
      <c r="H638" s="122">
        <v>41568</v>
      </c>
      <c r="I638" s="121">
        <v>1</v>
      </c>
      <c r="J638" s="401">
        <v>44597</v>
      </c>
      <c r="K638" s="402">
        <v>44597</v>
      </c>
      <c r="L638" s="269" t="s">
        <v>617</v>
      </c>
      <c r="M638" s="129" t="s">
        <v>36</v>
      </c>
    </row>
    <row r="639" spans="1:13" s="133" customFormat="1" ht="15" customHeight="1" x14ac:dyDescent="0.25">
      <c r="A639" s="273">
        <v>242</v>
      </c>
      <c r="B639" s="273">
        <v>63932</v>
      </c>
      <c r="C639" s="274" t="s">
        <v>2633</v>
      </c>
      <c r="D639" s="273" t="s">
        <v>481</v>
      </c>
      <c r="E639" s="275" t="s">
        <v>115</v>
      </c>
      <c r="F639" s="276" t="s">
        <v>389</v>
      </c>
      <c r="G639" s="277" t="s">
        <v>2634</v>
      </c>
      <c r="H639" s="278">
        <v>41563</v>
      </c>
      <c r="I639" s="273">
        <v>1</v>
      </c>
      <c r="J639" s="353">
        <v>5274</v>
      </c>
      <c r="K639" s="357">
        <v>5274</v>
      </c>
      <c r="L639" s="269" t="s">
        <v>617</v>
      </c>
      <c r="M639" s="129" t="s">
        <v>36</v>
      </c>
    </row>
    <row r="640" spans="1:13" s="133" customFormat="1" ht="15" customHeight="1" x14ac:dyDescent="0.25">
      <c r="A640" s="121">
        <v>243</v>
      </c>
      <c r="B640" s="121">
        <v>61501</v>
      </c>
      <c r="C640" s="123" t="s">
        <v>2635</v>
      </c>
      <c r="D640" s="121" t="s">
        <v>475</v>
      </c>
      <c r="E640" s="149" t="s">
        <v>215</v>
      </c>
      <c r="F640" s="125" t="s">
        <v>368</v>
      </c>
      <c r="G640" s="270" t="s">
        <v>2064</v>
      </c>
      <c r="H640" s="122">
        <v>41555</v>
      </c>
      <c r="I640" s="121">
        <v>1</v>
      </c>
      <c r="J640" s="401">
        <v>44597</v>
      </c>
      <c r="K640" s="402">
        <v>44597</v>
      </c>
      <c r="L640" s="269" t="s">
        <v>617</v>
      </c>
      <c r="M640" s="129" t="s">
        <v>36</v>
      </c>
    </row>
    <row r="641" spans="1:13" s="133" customFormat="1" ht="15" customHeight="1" x14ac:dyDescent="0.25">
      <c r="A641" s="273">
        <v>244</v>
      </c>
      <c r="B641" s="273">
        <v>63132</v>
      </c>
      <c r="C641" s="274" t="s">
        <v>2636</v>
      </c>
      <c r="D641" s="273" t="s">
        <v>471</v>
      </c>
      <c r="E641" s="275" t="s">
        <v>679</v>
      </c>
      <c r="F641" s="276" t="s">
        <v>384</v>
      </c>
      <c r="G641" s="277" t="s">
        <v>2466</v>
      </c>
      <c r="H641" s="278">
        <v>41564</v>
      </c>
      <c r="I641" s="273">
        <v>2</v>
      </c>
      <c r="J641" s="353">
        <v>55058</v>
      </c>
      <c r="K641" s="357">
        <v>110116</v>
      </c>
      <c r="L641" s="269" t="s">
        <v>617</v>
      </c>
      <c r="M641" s="129" t="s">
        <v>36</v>
      </c>
    </row>
    <row r="642" spans="1:13" s="133" customFormat="1" ht="15" customHeight="1" x14ac:dyDescent="0.25">
      <c r="A642" s="121">
        <v>245</v>
      </c>
      <c r="B642" s="273">
        <v>59917</v>
      </c>
      <c r="C642" s="274" t="s">
        <v>2560</v>
      </c>
      <c r="D642" s="273" t="s">
        <v>481</v>
      </c>
      <c r="E642" s="275" t="s">
        <v>534</v>
      </c>
      <c r="F642" s="276" t="s">
        <v>559</v>
      </c>
      <c r="G642" s="277" t="s">
        <v>566</v>
      </c>
      <c r="H642" s="278">
        <v>41549</v>
      </c>
      <c r="I642" s="273">
        <v>1</v>
      </c>
      <c r="J642" s="353">
        <v>30429</v>
      </c>
      <c r="K642" s="357">
        <v>30429</v>
      </c>
      <c r="L642" s="269" t="s">
        <v>617</v>
      </c>
      <c r="M642" s="129" t="s">
        <v>36</v>
      </c>
    </row>
    <row r="643" spans="1:13" s="133" customFormat="1" ht="15" customHeight="1" x14ac:dyDescent="0.25">
      <c r="A643" s="273">
        <v>246</v>
      </c>
      <c r="B643" s="273">
        <v>64116</v>
      </c>
      <c r="C643" s="274" t="s">
        <v>2637</v>
      </c>
      <c r="D643" s="273" t="s">
        <v>481</v>
      </c>
      <c r="E643" s="275" t="s">
        <v>574</v>
      </c>
      <c r="F643" s="276" t="s">
        <v>642</v>
      </c>
      <c r="G643" s="277" t="s">
        <v>580</v>
      </c>
      <c r="H643" s="278">
        <v>41563</v>
      </c>
      <c r="I643" s="273">
        <v>1</v>
      </c>
      <c r="J643" s="353">
        <v>49701</v>
      </c>
      <c r="K643" s="357">
        <v>49701</v>
      </c>
      <c r="L643" s="269" t="s">
        <v>617</v>
      </c>
      <c r="M643" s="129" t="s">
        <v>36</v>
      </c>
    </row>
    <row r="644" spans="1:13" s="133" customFormat="1" ht="15" customHeight="1" x14ac:dyDescent="0.25">
      <c r="A644" s="121">
        <v>247</v>
      </c>
      <c r="B644" s="273">
        <v>64496</v>
      </c>
      <c r="C644" s="274" t="s">
        <v>2638</v>
      </c>
      <c r="D644" s="273" t="s">
        <v>473</v>
      </c>
      <c r="E644" s="275" t="s">
        <v>115</v>
      </c>
      <c r="F644" s="276" t="s">
        <v>559</v>
      </c>
      <c r="G644" s="277"/>
      <c r="H644" s="278">
        <v>41565</v>
      </c>
      <c r="I644" s="273">
        <v>1</v>
      </c>
      <c r="J644" s="353">
        <v>5274</v>
      </c>
      <c r="K644" s="357">
        <v>5274</v>
      </c>
      <c r="L644" s="269" t="s">
        <v>617</v>
      </c>
      <c r="M644" s="129" t="s">
        <v>36</v>
      </c>
    </row>
    <row r="645" spans="1:13" s="133" customFormat="1" ht="15" customHeight="1" x14ac:dyDescent="0.25">
      <c r="A645" s="273">
        <v>248</v>
      </c>
      <c r="B645" s="273">
        <v>63017</v>
      </c>
      <c r="C645" s="274" t="s">
        <v>2639</v>
      </c>
      <c r="D645" s="273" t="s">
        <v>473</v>
      </c>
      <c r="E645" s="275" t="s">
        <v>534</v>
      </c>
      <c r="F645" s="276" t="s">
        <v>469</v>
      </c>
      <c r="G645" s="277" t="s">
        <v>560</v>
      </c>
      <c r="H645" s="278">
        <v>41561</v>
      </c>
      <c r="I645" s="273">
        <v>1</v>
      </c>
      <c r="J645" s="353">
        <v>30429</v>
      </c>
      <c r="K645" s="357">
        <v>30429</v>
      </c>
      <c r="L645" s="269" t="s">
        <v>617</v>
      </c>
      <c r="M645" s="129" t="s">
        <v>36</v>
      </c>
    </row>
    <row r="646" spans="1:13" s="133" customFormat="1" ht="15" customHeight="1" x14ac:dyDescent="0.25">
      <c r="A646" s="121">
        <v>249</v>
      </c>
      <c r="B646" s="273">
        <v>61385</v>
      </c>
      <c r="C646" s="274" t="s">
        <v>2640</v>
      </c>
      <c r="D646" s="273" t="s">
        <v>473</v>
      </c>
      <c r="E646" s="275" t="s">
        <v>115</v>
      </c>
      <c r="F646" s="276" t="s">
        <v>414</v>
      </c>
      <c r="G646" s="277" t="s">
        <v>2064</v>
      </c>
      <c r="H646" s="278">
        <v>41555</v>
      </c>
      <c r="I646" s="273">
        <v>1</v>
      </c>
      <c r="J646" s="353">
        <v>5274</v>
      </c>
      <c r="K646" s="357">
        <v>5274</v>
      </c>
      <c r="L646" s="269" t="s">
        <v>617</v>
      </c>
      <c r="M646" s="129" t="s">
        <v>36</v>
      </c>
    </row>
    <row r="647" spans="1:13" s="133" customFormat="1" ht="15" customHeight="1" x14ac:dyDescent="0.25">
      <c r="A647" s="273">
        <v>250</v>
      </c>
      <c r="B647" s="273">
        <v>65625</v>
      </c>
      <c r="C647" s="274" t="s">
        <v>2640</v>
      </c>
      <c r="D647" s="273" t="s">
        <v>473</v>
      </c>
      <c r="E647" s="275" t="s">
        <v>114</v>
      </c>
      <c r="F647" s="276" t="s">
        <v>414</v>
      </c>
      <c r="G647" s="277" t="s">
        <v>626</v>
      </c>
      <c r="H647" s="278">
        <v>41570</v>
      </c>
      <c r="I647" s="273">
        <v>1</v>
      </c>
      <c r="J647" s="353">
        <v>33370</v>
      </c>
      <c r="K647" s="357">
        <v>33370</v>
      </c>
      <c r="L647" s="269" t="s">
        <v>617</v>
      </c>
      <c r="M647" s="129" t="s">
        <v>36</v>
      </c>
    </row>
    <row r="648" spans="1:13" s="133" customFormat="1" ht="15" customHeight="1" x14ac:dyDescent="0.25">
      <c r="A648" s="121">
        <v>251</v>
      </c>
      <c r="B648" s="273">
        <v>66877</v>
      </c>
      <c r="C648" s="274" t="s">
        <v>2641</v>
      </c>
      <c r="D648" s="273" t="s">
        <v>473</v>
      </c>
      <c r="E648" s="275" t="s">
        <v>577</v>
      </c>
      <c r="F648" s="276" t="s">
        <v>368</v>
      </c>
      <c r="G648" s="277"/>
      <c r="H648" s="278">
        <v>41576</v>
      </c>
      <c r="I648" s="273">
        <v>1</v>
      </c>
      <c r="J648" s="353">
        <v>25800</v>
      </c>
      <c r="K648" s="357">
        <v>25800</v>
      </c>
      <c r="L648" s="269" t="s">
        <v>617</v>
      </c>
      <c r="M648" s="129" t="s">
        <v>36</v>
      </c>
    </row>
    <row r="649" spans="1:13" s="133" customFormat="1" ht="15" customHeight="1" x14ac:dyDescent="0.25">
      <c r="A649" s="273">
        <v>252</v>
      </c>
      <c r="B649" s="121">
        <v>45384</v>
      </c>
      <c r="C649" s="123" t="s">
        <v>2642</v>
      </c>
      <c r="D649" s="121" t="s">
        <v>473</v>
      </c>
      <c r="E649" s="149" t="s">
        <v>115</v>
      </c>
      <c r="F649" s="125" t="s">
        <v>442</v>
      </c>
      <c r="G649" s="270" t="s">
        <v>2064</v>
      </c>
      <c r="H649" s="122">
        <v>41491</v>
      </c>
      <c r="I649" s="121">
        <v>1</v>
      </c>
      <c r="J649" s="401">
        <v>5274</v>
      </c>
      <c r="K649" s="402">
        <v>5274</v>
      </c>
      <c r="L649" s="269" t="s">
        <v>617</v>
      </c>
      <c r="M649" s="129" t="s">
        <v>36</v>
      </c>
    </row>
    <row r="650" spans="1:13" s="133" customFormat="1" ht="15" customHeight="1" x14ac:dyDescent="0.25">
      <c r="A650" s="121">
        <v>253</v>
      </c>
      <c r="B650" s="121">
        <v>63754</v>
      </c>
      <c r="C650" s="123" t="s">
        <v>2643</v>
      </c>
      <c r="D650" s="121" t="s">
        <v>473</v>
      </c>
      <c r="E650" s="149" t="s">
        <v>115</v>
      </c>
      <c r="F650" s="125" t="s">
        <v>407</v>
      </c>
      <c r="G650" s="270" t="s">
        <v>2104</v>
      </c>
      <c r="H650" s="122">
        <v>41563</v>
      </c>
      <c r="I650" s="121">
        <v>1</v>
      </c>
      <c r="J650" s="401">
        <v>5274</v>
      </c>
      <c r="K650" s="402">
        <v>5274</v>
      </c>
      <c r="L650" s="269" t="s">
        <v>617</v>
      </c>
      <c r="M650" s="129" t="s">
        <v>36</v>
      </c>
    </row>
    <row r="651" spans="1:13" s="133" customFormat="1" ht="15" customHeight="1" x14ac:dyDescent="0.25">
      <c r="A651" s="273">
        <v>254</v>
      </c>
      <c r="B651" s="121">
        <v>64704</v>
      </c>
      <c r="C651" s="123" t="s">
        <v>2644</v>
      </c>
      <c r="D651" s="121" t="s">
        <v>481</v>
      </c>
      <c r="E651" s="149" t="s">
        <v>115</v>
      </c>
      <c r="F651" s="125" t="s">
        <v>416</v>
      </c>
      <c r="G651" s="270"/>
      <c r="H651" s="122">
        <v>41566</v>
      </c>
      <c r="I651" s="121">
        <v>1</v>
      </c>
      <c r="J651" s="401">
        <v>5274</v>
      </c>
      <c r="K651" s="402">
        <v>5274</v>
      </c>
      <c r="L651" s="269" t="s">
        <v>617</v>
      </c>
      <c r="M651" s="129" t="s">
        <v>36</v>
      </c>
    </row>
    <row r="652" spans="1:13" s="133" customFormat="1" ht="15" customHeight="1" x14ac:dyDescent="0.25">
      <c r="A652" s="273">
        <v>255</v>
      </c>
      <c r="B652" s="121">
        <v>57985</v>
      </c>
      <c r="C652" s="123" t="s">
        <v>2645</v>
      </c>
      <c r="D652" s="121" t="s">
        <v>473</v>
      </c>
      <c r="E652" s="149" t="s">
        <v>115</v>
      </c>
      <c r="F652" s="125" t="s">
        <v>508</v>
      </c>
      <c r="G652" s="270" t="s">
        <v>2064</v>
      </c>
      <c r="H652" s="122">
        <v>41543</v>
      </c>
      <c r="I652" s="121">
        <v>1</v>
      </c>
      <c r="J652" s="401">
        <v>5274</v>
      </c>
      <c r="K652" s="402">
        <v>5274</v>
      </c>
      <c r="L652" s="269" t="s">
        <v>617</v>
      </c>
      <c r="M652" s="129" t="s">
        <v>36</v>
      </c>
    </row>
    <row r="653" spans="1:13" s="133" customFormat="1" ht="15" customHeight="1" x14ac:dyDescent="0.25">
      <c r="A653" s="121">
        <v>256</v>
      </c>
      <c r="B653" s="121">
        <v>44836</v>
      </c>
      <c r="C653" s="123" t="s">
        <v>2646</v>
      </c>
      <c r="D653" s="121" t="s">
        <v>471</v>
      </c>
      <c r="E653" s="149" t="s">
        <v>577</v>
      </c>
      <c r="F653" s="125" t="s">
        <v>368</v>
      </c>
      <c r="G653" s="270"/>
      <c r="H653" s="122">
        <v>41487</v>
      </c>
      <c r="I653" s="121">
        <v>1</v>
      </c>
      <c r="J653" s="401">
        <v>25800</v>
      </c>
      <c r="K653" s="402">
        <v>25800</v>
      </c>
      <c r="L653" s="269" t="s">
        <v>617</v>
      </c>
      <c r="M653" s="129" t="s">
        <v>36</v>
      </c>
    </row>
    <row r="654" spans="1:13" s="133" customFormat="1" ht="15" customHeight="1" x14ac:dyDescent="0.25">
      <c r="A654" s="273">
        <v>257</v>
      </c>
      <c r="B654" s="121">
        <v>66033</v>
      </c>
      <c r="C654" s="123" t="s">
        <v>2647</v>
      </c>
      <c r="D654" s="121" t="s">
        <v>471</v>
      </c>
      <c r="E654" s="149" t="s">
        <v>577</v>
      </c>
      <c r="F654" s="125" t="s">
        <v>368</v>
      </c>
      <c r="G654" s="270"/>
      <c r="H654" s="122">
        <v>41571</v>
      </c>
      <c r="I654" s="121">
        <v>1</v>
      </c>
      <c r="J654" s="401">
        <v>25800</v>
      </c>
      <c r="K654" s="402">
        <v>25800</v>
      </c>
      <c r="L654" s="269" t="s">
        <v>617</v>
      </c>
      <c r="M654" s="129" t="s">
        <v>36</v>
      </c>
    </row>
    <row r="655" spans="1:13" s="133" customFormat="1" ht="15" customHeight="1" x14ac:dyDescent="0.25">
      <c r="A655" s="121">
        <v>258</v>
      </c>
      <c r="B655" s="121">
        <v>62725</v>
      </c>
      <c r="C655" s="123" t="s">
        <v>2648</v>
      </c>
      <c r="D655" s="121" t="s">
        <v>481</v>
      </c>
      <c r="E655" s="149" t="s">
        <v>534</v>
      </c>
      <c r="F655" s="125" t="s">
        <v>559</v>
      </c>
      <c r="G655" s="270" t="s">
        <v>566</v>
      </c>
      <c r="H655" s="122">
        <v>41558</v>
      </c>
      <c r="I655" s="121">
        <v>1</v>
      </c>
      <c r="J655" s="401">
        <v>30429</v>
      </c>
      <c r="K655" s="402">
        <v>30429</v>
      </c>
      <c r="L655" s="269" t="s">
        <v>617</v>
      </c>
      <c r="M655" s="129" t="s">
        <v>36</v>
      </c>
    </row>
    <row r="656" spans="1:13" s="133" customFormat="1" ht="15" customHeight="1" x14ac:dyDescent="0.25">
      <c r="A656" s="273">
        <v>259</v>
      </c>
      <c r="B656" s="121">
        <v>59992</v>
      </c>
      <c r="C656" s="123" t="s">
        <v>2649</v>
      </c>
      <c r="D656" s="121" t="s">
        <v>481</v>
      </c>
      <c r="E656" s="149" t="s">
        <v>115</v>
      </c>
      <c r="F656" s="125" t="s">
        <v>469</v>
      </c>
      <c r="G656" s="270" t="s">
        <v>1061</v>
      </c>
      <c r="H656" s="122">
        <v>41551</v>
      </c>
      <c r="I656" s="121">
        <v>1</v>
      </c>
      <c r="J656" s="401">
        <v>5274</v>
      </c>
      <c r="K656" s="402">
        <v>5274</v>
      </c>
      <c r="L656" s="269" t="s">
        <v>617</v>
      </c>
      <c r="M656" s="129" t="s">
        <v>36</v>
      </c>
    </row>
    <row r="657" spans="1:13" s="133" customFormat="1" ht="15" customHeight="1" x14ac:dyDescent="0.25">
      <c r="A657" s="273">
        <v>260</v>
      </c>
      <c r="B657" s="121">
        <v>61383</v>
      </c>
      <c r="C657" s="123" t="s">
        <v>2650</v>
      </c>
      <c r="D657" s="121" t="s">
        <v>481</v>
      </c>
      <c r="E657" s="149" t="s">
        <v>115</v>
      </c>
      <c r="F657" s="125" t="s">
        <v>591</v>
      </c>
      <c r="G657" s="270" t="s">
        <v>2064</v>
      </c>
      <c r="H657" s="122">
        <v>41556</v>
      </c>
      <c r="I657" s="121">
        <v>1</v>
      </c>
      <c r="J657" s="401">
        <v>5274</v>
      </c>
      <c r="K657" s="402">
        <v>5274</v>
      </c>
      <c r="L657" s="269" t="s">
        <v>617</v>
      </c>
      <c r="M657" s="129" t="s">
        <v>36</v>
      </c>
    </row>
    <row r="658" spans="1:13" s="133" customFormat="1" ht="15" customHeight="1" x14ac:dyDescent="0.25">
      <c r="A658" s="121">
        <v>261</v>
      </c>
      <c r="B658" s="121">
        <v>66182</v>
      </c>
      <c r="C658" s="123" t="s">
        <v>2650</v>
      </c>
      <c r="D658" s="121" t="s">
        <v>481</v>
      </c>
      <c r="E658" s="149" t="s">
        <v>114</v>
      </c>
      <c r="F658" s="125" t="s">
        <v>591</v>
      </c>
      <c r="G658" s="270" t="s">
        <v>557</v>
      </c>
      <c r="H658" s="122">
        <v>41571</v>
      </c>
      <c r="I658" s="121">
        <v>1</v>
      </c>
      <c r="J658" s="401">
        <v>33370</v>
      </c>
      <c r="K658" s="402">
        <v>33370</v>
      </c>
      <c r="L658" s="269" t="s">
        <v>617</v>
      </c>
      <c r="M658" s="129" t="s">
        <v>36</v>
      </c>
    </row>
    <row r="659" spans="1:13" s="133" customFormat="1" ht="15" customHeight="1" x14ac:dyDescent="0.25">
      <c r="A659" s="273">
        <v>262</v>
      </c>
      <c r="B659" s="121">
        <v>58716</v>
      </c>
      <c r="C659" s="123" t="s">
        <v>1524</v>
      </c>
      <c r="D659" s="121" t="s">
        <v>473</v>
      </c>
      <c r="E659" s="149" t="s">
        <v>115</v>
      </c>
      <c r="F659" s="125" t="s">
        <v>508</v>
      </c>
      <c r="G659" s="270" t="s">
        <v>2132</v>
      </c>
      <c r="H659" s="122">
        <v>41547</v>
      </c>
      <c r="I659" s="121">
        <v>1</v>
      </c>
      <c r="J659" s="401">
        <v>5274</v>
      </c>
      <c r="K659" s="402">
        <v>5274</v>
      </c>
      <c r="L659" s="269" t="s">
        <v>617</v>
      </c>
      <c r="M659" s="129" t="s">
        <v>36</v>
      </c>
    </row>
    <row r="660" spans="1:13" s="133" customFormat="1" ht="15" customHeight="1" x14ac:dyDescent="0.25">
      <c r="A660" s="121">
        <v>263</v>
      </c>
      <c r="B660" s="121">
        <v>66603</v>
      </c>
      <c r="C660" s="123" t="s">
        <v>1524</v>
      </c>
      <c r="D660" s="121" t="s">
        <v>473</v>
      </c>
      <c r="E660" s="149" t="s">
        <v>114</v>
      </c>
      <c r="F660" s="125" t="s">
        <v>508</v>
      </c>
      <c r="G660" s="270" t="s">
        <v>486</v>
      </c>
      <c r="H660" s="122">
        <v>41572</v>
      </c>
      <c r="I660" s="121">
        <v>1</v>
      </c>
      <c r="J660" s="401">
        <v>33370</v>
      </c>
      <c r="K660" s="402">
        <v>33370</v>
      </c>
      <c r="L660" s="269" t="s">
        <v>617</v>
      </c>
      <c r="M660" s="129" t="s">
        <v>36</v>
      </c>
    </row>
    <row r="661" spans="1:13" s="133" customFormat="1" ht="15" customHeight="1" x14ac:dyDescent="0.25">
      <c r="A661" s="273">
        <v>264</v>
      </c>
      <c r="B661" s="121">
        <v>66603</v>
      </c>
      <c r="C661" s="123" t="s">
        <v>1524</v>
      </c>
      <c r="D661" s="121" t="s">
        <v>473</v>
      </c>
      <c r="E661" s="149" t="s">
        <v>574</v>
      </c>
      <c r="F661" s="125" t="s">
        <v>389</v>
      </c>
      <c r="G661" s="270" t="s">
        <v>486</v>
      </c>
      <c r="H661" s="122">
        <v>41572</v>
      </c>
      <c r="I661" s="121">
        <v>1</v>
      </c>
      <c r="J661" s="401">
        <v>49701</v>
      </c>
      <c r="K661" s="402">
        <v>49701</v>
      </c>
      <c r="L661" s="269" t="s">
        <v>617</v>
      </c>
      <c r="M661" s="129" t="s">
        <v>36</v>
      </c>
    </row>
    <row r="662" spans="1:13" s="133" customFormat="1" ht="15" customHeight="1" x14ac:dyDescent="0.25">
      <c r="A662" s="121">
        <v>265</v>
      </c>
      <c r="B662" s="121">
        <v>61330</v>
      </c>
      <c r="C662" s="123" t="s">
        <v>2651</v>
      </c>
      <c r="D662" s="121" t="s">
        <v>473</v>
      </c>
      <c r="E662" s="149" t="s">
        <v>235</v>
      </c>
      <c r="F662" s="125" t="s">
        <v>384</v>
      </c>
      <c r="G662" s="270"/>
      <c r="H662" s="122">
        <v>41554</v>
      </c>
      <c r="I662" s="121">
        <v>2</v>
      </c>
      <c r="J662" s="401">
        <v>10401</v>
      </c>
      <c r="K662" s="402">
        <v>20802</v>
      </c>
      <c r="L662" s="269" t="s">
        <v>617</v>
      </c>
      <c r="M662" s="129" t="s">
        <v>36</v>
      </c>
    </row>
    <row r="663" spans="1:13" s="133" customFormat="1" ht="15" customHeight="1" x14ac:dyDescent="0.25">
      <c r="A663" s="273">
        <v>266</v>
      </c>
      <c r="B663" s="121">
        <v>64877</v>
      </c>
      <c r="C663" s="123" t="s">
        <v>2652</v>
      </c>
      <c r="D663" s="121" t="s">
        <v>481</v>
      </c>
      <c r="E663" s="149" t="s">
        <v>534</v>
      </c>
      <c r="F663" s="125" t="s">
        <v>414</v>
      </c>
      <c r="G663" s="270" t="s">
        <v>551</v>
      </c>
      <c r="H663" s="122">
        <v>41565</v>
      </c>
      <c r="I663" s="121">
        <v>1</v>
      </c>
      <c r="J663" s="401">
        <v>30429</v>
      </c>
      <c r="K663" s="402">
        <v>30429</v>
      </c>
      <c r="L663" s="269" t="s">
        <v>617</v>
      </c>
      <c r="M663" s="129" t="s">
        <v>36</v>
      </c>
    </row>
    <row r="664" spans="1:13" s="133" customFormat="1" ht="15" customHeight="1" x14ac:dyDescent="0.25">
      <c r="A664" s="121">
        <v>267</v>
      </c>
      <c r="B664" s="121">
        <v>50403</v>
      </c>
      <c r="C664" s="123" t="s">
        <v>2498</v>
      </c>
      <c r="D664" s="121" t="s">
        <v>481</v>
      </c>
      <c r="E664" s="149" t="s">
        <v>115</v>
      </c>
      <c r="F664" s="125" t="s">
        <v>407</v>
      </c>
      <c r="G664" s="270" t="s">
        <v>2104</v>
      </c>
      <c r="H664" s="122">
        <v>41509</v>
      </c>
      <c r="I664" s="121">
        <v>1</v>
      </c>
      <c r="J664" s="401">
        <v>5274</v>
      </c>
      <c r="K664" s="402">
        <v>5274</v>
      </c>
      <c r="L664" s="269" t="s">
        <v>617</v>
      </c>
      <c r="M664" s="129" t="s">
        <v>36</v>
      </c>
    </row>
    <row r="665" spans="1:13" s="133" customFormat="1" ht="15" customHeight="1" x14ac:dyDescent="0.25">
      <c r="A665" s="273">
        <v>268</v>
      </c>
      <c r="B665" s="121">
        <v>54576</v>
      </c>
      <c r="C665" s="123" t="s">
        <v>2498</v>
      </c>
      <c r="D665" s="121" t="s">
        <v>481</v>
      </c>
      <c r="E665" s="149" t="s">
        <v>190</v>
      </c>
      <c r="F665" s="125" t="s">
        <v>407</v>
      </c>
      <c r="G665" s="270"/>
      <c r="H665" s="122">
        <v>41523</v>
      </c>
      <c r="I665" s="121">
        <v>1</v>
      </c>
      <c r="J665" s="401">
        <v>57960</v>
      </c>
      <c r="K665" s="402">
        <v>57960</v>
      </c>
      <c r="L665" s="269" t="s">
        <v>617</v>
      </c>
      <c r="M665" s="129" t="s">
        <v>36</v>
      </c>
    </row>
    <row r="666" spans="1:13" s="133" customFormat="1" ht="15" customHeight="1" x14ac:dyDescent="0.25">
      <c r="A666" s="121">
        <v>269</v>
      </c>
      <c r="B666" s="121">
        <v>54576</v>
      </c>
      <c r="C666" s="123" t="s">
        <v>2498</v>
      </c>
      <c r="D666" s="121" t="s">
        <v>481</v>
      </c>
      <c r="E666" s="149" t="s">
        <v>180</v>
      </c>
      <c r="F666" s="125" t="s">
        <v>442</v>
      </c>
      <c r="G666" s="270"/>
      <c r="H666" s="122">
        <v>41523</v>
      </c>
      <c r="I666" s="121">
        <v>1</v>
      </c>
      <c r="J666" s="401">
        <v>55062</v>
      </c>
      <c r="K666" s="402">
        <v>55062</v>
      </c>
      <c r="L666" s="269" t="s">
        <v>617</v>
      </c>
      <c r="M666" s="129" t="s">
        <v>36</v>
      </c>
    </row>
    <row r="667" spans="1:13" s="133" customFormat="1" ht="15" customHeight="1" x14ac:dyDescent="0.25">
      <c r="A667" s="273">
        <v>270</v>
      </c>
      <c r="B667" s="121">
        <v>59918</v>
      </c>
      <c r="C667" s="123" t="s">
        <v>1490</v>
      </c>
      <c r="D667" s="121" t="s">
        <v>473</v>
      </c>
      <c r="E667" s="149" t="s">
        <v>574</v>
      </c>
      <c r="F667" s="125" t="s">
        <v>524</v>
      </c>
      <c r="G667" s="270" t="s">
        <v>2140</v>
      </c>
      <c r="H667" s="122">
        <v>41549</v>
      </c>
      <c r="I667" s="121">
        <v>1</v>
      </c>
      <c r="J667" s="401">
        <v>49701</v>
      </c>
      <c r="K667" s="402">
        <v>49701</v>
      </c>
      <c r="L667" s="269" t="s">
        <v>617</v>
      </c>
      <c r="M667" s="129" t="s">
        <v>36</v>
      </c>
    </row>
    <row r="668" spans="1:13" s="133" customFormat="1" ht="15" customHeight="1" x14ac:dyDescent="0.25">
      <c r="A668" s="121">
        <v>271</v>
      </c>
      <c r="B668" s="121">
        <v>61883</v>
      </c>
      <c r="C668" s="123" t="s">
        <v>2653</v>
      </c>
      <c r="D668" s="121" t="s">
        <v>473</v>
      </c>
      <c r="E668" s="149" t="s">
        <v>574</v>
      </c>
      <c r="F668" s="125" t="s">
        <v>428</v>
      </c>
      <c r="G668" s="270" t="s">
        <v>626</v>
      </c>
      <c r="H668" s="122">
        <v>41556</v>
      </c>
      <c r="I668" s="121">
        <v>1</v>
      </c>
      <c r="J668" s="401">
        <v>49701</v>
      </c>
      <c r="K668" s="402">
        <v>49701</v>
      </c>
      <c r="L668" s="269" t="s">
        <v>617</v>
      </c>
      <c r="M668" s="129" t="s">
        <v>36</v>
      </c>
    </row>
    <row r="669" spans="1:13" s="133" customFormat="1" ht="15" customHeight="1" x14ac:dyDescent="0.25">
      <c r="A669" s="121">
        <v>272</v>
      </c>
      <c r="B669" s="121">
        <v>66508</v>
      </c>
      <c r="C669" s="123" t="s">
        <v>2654</v>
      </c>
      <c r="D669" s="121" t="s">
        <v>473</v>
      </c>
      <c r="E669" s="149" t="s">
        <v>679</v>
      </c>
      <c r="F669" s="125" t="s">
        <v>366</v>
      </c>
      <c r="G669" s="270" t="s">
        <v>486</v>
      </c>
      <c r="H669" s="122">
        <v>41572</v>
      </c>
      <c r="I669" s="121">
        <v>1</v>
      </c>
      <c r="J669" s="401">
        <v>55058</v>
      </c>
      <c r="K669" s="402">
        <v>55058</v>
      </c>
      <c r="L669" s="269" t="s">
        <v>617</v>
      </c>
      <c r="M669" s="129" t="s">
        <v>36</v>
      </c>
    </row>
    <row r="670" spans="1:13" s="133" customFormat="1" ht="15" customHeight="1" x14ac:dyDescent="0.25">
      <c r="A670" s="273">
        <v>273</v>
      </c>
      <c r="B670" s="121">
        <v>63355</v>
      </c>
      <c r="C670" s="123" t="s">
        <v>1496</v>
      </c>
      <c r="D670" s="121" t="s">
        <v>481</v>
      </c>
      <c r="E670" s="149" t="s">
        <v>2655</v>
      </c>
      <c r="F670" s="125" t="s">
        <v>2656</v>
      </c>
      <c r="G670" s="270" t="s">
        <v>414</v>
      </c>
      <c r="H670" s="122">
        <v>41562</v>
      </c>
      <c r="I670" s="121">
        <v>4</v>
      </c>
      <c r="J670" s="401">
        <v>23836</v>
      </c>
      <c r="K670" s="402">
        <v>95344</v>
      </c>
      <c r="L670" s="269" t="s">
        <v>617</v>
      </c>
      <c r="M670" s="129" t="s">
        <v>36</v>
      </c>
    </row>
    <row r="671" spans="1:13" s="133" customFormat="1" ht="15" customHeight="1" x14ac:dyDescent="0.25">
      <c r="A671" s="121">
        <v>274</v>
      </c>
      <c r="B671" s="121">
        <v>67607</v>
      </c>
      <c r="C671" s="123" t="s">
        <v>1496</v>
      </c>
      <c r="D671" s="121" t="s">
        <v>481</v>
      </c>
      <c r="E671" s="149" t="s">
        <v>114</v>
      </c>
      <c r="F671" s="125" t="s">
        <v>1877</v>
      </c>
      <c r="G671" s="270" t="s">
        <v>626</v>
      </c>
      <c r="H671" s="122">
        <v>41576</v>
      </c>
      <c r="I671" s="121">
        <v>1</v>
      </c>
      <c r="J671" s="401">
        <v>33370</v>
      </c>
      <c r="K671" s="402">
        <v>33370</v>
      </c>
      <c r="L671" s="269" t="s">
        <v>617</v>
      </c>
      <c r="M671" s="129" t="s">
        <v>36</v>
      </c>
    </row>
    <row r="672" spans="1:13" s="403" customFormat="1" ht="15" customHeight="1" x14ac:dyDescent="0.25">
      <c r="A672" s="273">
        <v>275</v>
      </c>
      <c r="B672" s="121">
        <v>60103</v>
      </c>
      <c r="C672" s="123" t="s">
        <v>2657</v>
      </c>
      <c r="D672" s="121" t="s">
        <v>473</v>
      </c>
      <c r="E672" s="149" t="s">
        <v>534</v>
      </c>
      <c r="F672" s="125" t="s">
        <v>439</v>
      </c>
      <c r="G672" s="270" t="s">
        <v>2091</v>
      </c>
      <c r="H672" s="122">
        <v>41549</v>
      </c>
      <c r="I672" s="121">
        <v>1</v>
      </c>
      <c r="J672" s="401">
        <v>30429</v>
      </c>
      <c r="K672" s="402">
        <v>30429</v>
      </c>
      <c r="L672" s="269" t="s">
        <v>617</v>
      </c>
      <c r="M672" s="129" t="s">
        <v>36</v>
      </c>
    </row>
    <row r="673" spans="1:13" s="403" customFormat="1" ht="15" customHeight="1" x14ac:dyDescent="0.25">
      <c r="A673" s="121">
        <v>276</v>
      </c>
      <c r="B673" s="121">
        <v>64659</v>
      </c>
      <c r="C673" s="123" t="s">
        <v>2658</v>
      </c>
      <c r="D673" s="121" t="s">
        <v>471</v>
      </c>
      <c r="E673" s="149" t="s">
        <v>577</v>
      </c>
      <c r="F673" s="125" t="s">
        <v>368</v>
      </c>
      <c r="G673" s="270"/>
      <c r="H673" s="122">
        <v>41565</v>
      </c>
      <c r="I673" s="121">
        <v>1</v>
      </c>
      <c r="J673" s="401">
        <v>25800</v>
      </c>
      <c r="K673" s="402">
        <v>25800</v>
      </c>
      <c r="L673" s="269" t="s">
        <v>617</v>
      </c>
      <c r="M673" s="129" t="s">
        <v>36</v>
      </c>
    </row>
    <row r="674" spans="1:13" s="403" customFormat="1" ht="15" customHeight="1" x14ac:dyDescent="0.25">
      <c r="A674" s="273">
        <v>277</v>
      </c>
      <c r="B674" s="121">
        <v>66805</v>
      </c>
      <c r="C674" s="123" t="s">
        <v>2659</v>
      </c>
      <c r="D674" s="121" t="s">
        <v>481</v>
      </c>
      <c r="E674" s="149" t="s">
        <v>574</v>
      </c>
      <c r="F674" s="125" t="s">
        <v>559</v>
      </c>
      <c r="G674" s="270" t="s">
        <v>734</v>
      </c>
      <c r="H674" s="122">
        <v>41572</v>
      </c>
      <c r="I674" s="121">
        <v>1</v>
      </c>
      <c r="J674" s="401">
        <v>49701</v>
      </c>
      <c r="K674" s="402">
        <v>49701</v>
      </c>
      <c r="L674" s="269" t="s">
        <v>617</v>
      </c>
      <c r="M674" s="129" t="s">
        <v>36</v>
      </c>
    </row>
    <row r="675" spans="1:13" s="403" customFormat="1" ht="15" customHeight="1" x14ac:dyDescent="0.25">
      <c r="A675" s="121">
        <v>278</v>
      </c>
      <c r="B675" s="121">
        <v>63716</v>
      </c>
      <c r="C675" s="123" t="s">
        <v>2660</v>
      </c>
      <c r="D675" s="121" t="s">
        <v>473</v>
      </c>
      <c r="E675" s="149" t="s">
        <v>574</v>
      </c>
      <c r="F675" s="125" t="s">
        <v>508</v>
      </c>
      <c r="G675" s="270" t="s">
        <v>560</v>
      </c>
      <c r="H675" s="122">
        <v>41563</v>
      </c>
      <c r="I675" s="121">
        <v>1</v>
      </c>
      <c r="J675" s="401">
        <v>49701</v>
      </c>
      <c r="K675" s="402">
        <v>49701</v>
      </c>
      <c r="L675" s="269" t="s">
        <v>617</v>
      </c>
      <c r="M675" s="129" t="s">
        <v>36</v>
      </c>
    </row>
    <row r="676" spans="1:13" s="403" customFormat="1" ht="15" customHeight="1" x14ac:dyDescent="0.25">
      <c r="A676" s="273">
        <v>279</v>
      </c>
      <c r="B676" s="121">
        <v>66540</v>
      </c>
      <c r="C676" s="123" t="s">
        <v>2506</v>
      </c>
      <c r="D676" s="121" t="s">
        <v>481</v>
      </c>
      <c r="E676" s="149" t="s">
        <v>1050</v>
      </c>
      <c r="F676" s="125" t="s">
        <v>407</v>
      </c>
      <c r="G676" s="270" t="s">
        <v>594</v>
      </c>
      <c r="H676" s="122">
        <v>41572</v>
      </c>
      <c r="I676" s="121">
        <v>1</v>
      </c>
      <c r="J676" s="401">
        <v>57960</v>
      </c>
      <c r="K676" s="402">
        <v>57960</v>
      </c>
      <c r="L676" s="269" t="s">
        <v>617</v>
      </c>
      <c r="M676" s="129" t="s">
        <v>36</v>
      </c>
    </row>
    <row r="677" spans="1:13" s="403" customFormat="1" ht="15" customHeight="1" x14ac:dyDescent="0.25">
      <c r="A677" s="273">
        <v>280</v>
      </c>
      <c r="B677" s="121">
        <v>62902</v>
      </c>
      <c r="C677" s="123" t="s">
        <v>2661</v>
      </c>
      <c r="D677" s="121" t="s">
        <v>481</v>
      </c>
      <c r="E677" s="149" t="s">
        <v>202</v>
      </c>
      <c r="F677" s="125" t="s">
        <v>524</v>
      </c>
      <c r="G677" s="270"/>
      <c r="H677" s="122">
        <v>41558</v>
      </c>
      <c r="I677" s="121">
        <v>1</v>
      </c>
      <c r="J677" s="401">
        <v>17244</v>
      </c>
      <c r="K677" s="402">
        <v>17244</v>
      </c>
      <c r="L677" s="269" t="s">
        <v>617</v>
      </c>
      <c r="M677" s="129" t="s">
        <v>36</v>
      </c>
    </row>
    <row r="678" spans="1:13" s="403" customFormat="1" ht="15" customHeight="1" x14ac:dyDescent="0.25">
      <c r="A678" s="121">
        <v>281</v>
      </c>
      <c r="B678" s="121">
        <v>63850</v>
      </c>
      <c r="C678" s="123" t="s">
        <v>2662</v>
      </c>
      <c r="D678" s="121" t="s">
        <v>481</v>
      </c>
      <c r="E678" s="149" t="s">
        <v>115</v>
      </c>
      <c r="F678" s="125" t="s">
        <v>2493</v>
      </c>
      <c r="G678" s="270" t="s">
        <v>1061</v>
      </c>
      <c r="H678" s="122">
        <v>41563</v>
      </c>
      <c r="I678" s="121">
        <v>3</v>
      </c>
      <c r="J678" s="401">
        <v>5274</v>
      </c>
      <c r="K678" s="402">
        <v>15822</v>
      </c>
      <c r="L678" s="269" t="s">
        <v>617</v>
      </c>
      <c r="M678" s="129" t="s">
        <v>36</v>
      </c>
    </row>
    <row r="679" spans="1:13" s="403" customFormat="1" ht="15" customHeight="1" x14ac:dyDescent="0.25">
      <c r="A679" s="273">
        <v>282</v>
      </c>
      <c r="B679" s="121">
        <v>56321</v>
      </c>
      <c r="C679" s="123" t="s">
        <v>1267</v>
      </c>
      <c r="D679" s="121" t="s">
        <v>1313</v>
      </c>
      <c r="E679" s="149" t="s">
        <v>215</v>
      </c>
      <c r="F679" s="125" t="s">
        <v>366</v>
      </c>
      <c r="G679" s="270" t="s">
        <v>486</v>
      </c>
      <c r="H679" s="122">
        <v>41530</v>
      </c>
      <c r="I679" s="121">
        <v>1</v>
      </c>
      <c r="J679" s="401">
        <v>44597</v>
      </c>
      <c r="K679" s="402">
        <v>44597</v>
      </c>
      <c r="L679" s="269" t="s">
        <v>617</v>
      </c>
      <c r="M679" s="129" t="s">
        <v>36</v>
      </c>
    </row>
    <row r="680" spans="1:13" s="403" customFormat="1" ht="15" customHeight="1" x14ac:dyDescent="0.25">
      <c r="A680" s="121">
        <v>283</v>
      </c>
      <c r="B680" s="121">
        <v>64432</v>
      </c>
      <c r="C680" s="123" t="s">
        <v>2663</v>
      </c>
      <c r="D680" s="121" t="s">
        <v>475</v>
      </c>
      <c r="E680" s="149" t="s">
        <v>186</v>
      </c>
      <c r="F680" s="125" t="s">
        <v>524</v>
      </c>
      <c r="G680" s="270"/>
      <c r="H680" s="122">
        <v>41564</v>
      </c>
      <c r="I680" s="121">
        <v>1</v>
      </c>
      <c r="J680" s="401">
        <v>42601</v>
      </c>
      <c r="K680" s="402">
        <v>42601</v>
      </c>
      <c r="L680" s="269" t="s">
        <v>617</v>
      </c>
      <c r="M680" s="129" t="s">
        <v>36</v>
      </c>
    </row>
    <row r="681" spans="1:13" s="403" customFormat="1" ht="15" customHeight="1" x14ac:dyDescent="0.25">
      <c r="A681" s="273">
        <v>284</v>
      </c>
      <c r="B681" s="121">
        <v>65516</v>
      </c>
      <c r="C681" s="123" t="s">
        <v>2664</v>
      </c>
      <c r="D681" s="121" t="s">
        <v>36</v>
      </c>
      <c r="E681" s="149" t="s">
        <v>115</v>
      </c>
      <c r="F681" s="125" t="s">
        <v>389</v>
      </c>
      <c r="G681" s="270" t="s">
        <v>486</v>
      </c>
      <c r="H681" s="122">
        <v>41570</v>
      </c>
      <c r="I681" s="121">
        <v>1</v>
      </c>
      <c r="J681" s="401">
        <v>5274</v>
      </c>
      <c r="K681" s="402">
        <v>5274</v>
      </c>
      <c r="L681" s="269" t="s">
        <v>617</v>
      </c>
      <c r="M681" s="129" t="s">
        <v>36</v>
      </c>
    </row>
    <row r="682" spans="1:13" s="403" customFormat="1" ht="15" customHeight="1" x14ac:dyDescent="0.25">
      <c r="A682" s="121">
        <v>285</v>
      </c>
      <c r="B682" s="121">
        <v>67328</v>
      </c>
      <c r="C682" s="123" t="s">
        <v>2665</v>
      </c>
      <c r="D682" s="121" t="s">
        <v>473</v>
      </c>
      <c r="E682" s="149" t="s">
        <v>202</v>
      </c>
      <c r="F682" s="125" t="s">
        <v>565</v>
      </c>
      <c r="G682" s="270"/>
      <c r="H682" s="122">
        <v>41576</v>
      </c>
      <c r="I682" s="121">
        <v>1</v>
      </c>
      <c r="J682" s="401">
        <v>17244</v>
      </c>
      <c r="K682" s="402">
        <v>17244</v>
      </c>
      <c r="L682" s="269" t="s">
        <v>617</v>
      </c>
      <c r="M682" s="129" t="s">
        <v>36</v>
      </c>
    </row>
    <row r="683" spans="1:13" s="403" customFormat="1" ht="15" customHeight="1" x14ac:dyDescent="0.25">
      <c r="A683" s="273">
        <v>286</v>
      </c>
      <c r="B683" s="121">
        <v>60083</v>
      </c>
      <c r="C683" s="123" t="s">
        <v>2592</v>
      </c>
      <c r="D683" s="121" t="s">
        <v>481</v>
      </c>
      <c r="E683" s="149" t="s">
        <v>114</v>
      </c>
      <c r="F683" s="125" t="s">
        <v>416</v>
      </c>
      <c r="G683" s="270" t="s">
        <v>580</v>
      </c>
      <c r="H683" s="122">
        <v>41550</v>
      </c>
      <c r="I683" s="121">
        <v>1</v>
      </c>
      <c r="J683" s="401">
        <v>33370</v>
      </c>
      <c r="K683" s="402">
        <v>33370</v>
      </c>
      <c r="L683" s="269" t="s">
        <v>617</v>
      </c>
      <c r="M683" s="129" t="s">
        <v>36</v>
      </c>
    </row>
    <row r="684" spans="1:13" s="403" customFormat="1" ht="15" customHeight="1" x14ac:dyDescent="0.25">
      <c r="A684" s="121">
        <v>287</v>
      </c>
      <c r="B684" s="121">
        <v>61096</v>
      </c>
      <c r="C684" s="123" t="s">
        <v>2666</v>
      </c>
      <c r="D684" s="121" t="s">
        <v>473</v>
      </c>
      <c r="E684" s="149" t="s">
        <v>115</v>
      </c>
      <c r="F684" s="125" t="s">
        <v>2316</v>
      </c>
      <c r="G684" s="270" t="s">
        <v>2064</v>
      </c>
      <c r="H684" s="122">
        <v>41555</v>
      </c>
      <c r="I684" s="121">
        <v>1</v>
      </c>
      <c r="J684" s="401">
        <v>5274</v>
      </c>
      <c r="K684" s="402">
        <v>5274</v>
      </c>
      <c r="L684" s="269" t="s">
        <v>617</v>
      </c>
      <c r="M684" s="129" t="s">
        <v>36</v>
      </c>
    </row>
    <row r="685" spans="1:13" s="403" customFormat="1" ht="15" customHeight="1" x14ac:dyDescent="0.25">
      <c r="A685" s="273">
        <v>288</v>
      </c>
      <c r="B685" s="121">
        <v>49887</v>
      </c>
      <c r="C685" s="123" t="s">
        <v>2667</v>
      </c>
      <c r="D685" s="121" t="s">
        <v>471</v>
      </c>
      <c r="E685" s="149" t="s">
        <v>215</v>
      </c>
      <c r="F685" s="125" t="s">
        <v>368</v>
      </c>
      <c r="G685" s="270" t="s">
        <v>2064</v>
      </c>
      <c r="H685" s="122">
        <v>41507</v>
      </c>
      <c r="I685" s="121">
        <v>1</v>
      </c>
      <c r="J685" s="401">
        <v>44597</v>
      </c>
      <c r="K685" s="402">
        <v>44597</v>
      </c>
      <c r="L685" s="269" t="s">
        <v>617</v>
      </c>
      <c r="M685" s="129" t="s">
        <v>36</v>
      </c>
    </row>
    <row r="686" spans="1:13" s="403" customFormat="1" ht="15" customHeight="1" x14ac:dyDescent="0.25">
      <c r="A686" s="121">
        <v>289</v>
      </c>
      <c r="B686" s="121">
        <v>60749</v>
      </c>
      <c r="C686" s="123" t="s">
        <v>1390</v>
      </c>
      <c r="D686" s="121" t="s">
        <v>473</v>
      </c>
      <c r="E686" s="149" t="s">
        <v>115</v>
      </c>
      <c r="F686" s="125" t="s">
        <v>2668</v>
      </c>
      <c r="G686" s="270" t="s">
        <v>2064</v>
      </c>
      <c r="H686" s="122">
        <v>41554</v>
      </c>
      <c r="I686" s="121">
        <v>2</v>
      </c>
      <c r="J686" s="401">
        <v>5274</v>
      </c>
      <c r="K686" s="402">
        <v>10548</v>
      </c>
      <c r="L686" s="269" t="s">
        <v>617</v>
      </c>
      <c r="M686" s="129" t="s">
        <v>36</v>
      </c>
    </row>
    <row r="687" spans="1:13" s="403" customFormat="1" ht="15" customHeight="1" x14ac:dyDescent="0.25">
      <c r="A687" s="273">
        <v>290</v>
      </c>
      <c r="B687" s="121">
        <v>66250</v>
      </c>
      <c r="C687" s="123" t="s">
        <v>2669</v>
      </c>
      <c r="D687" s="121" t="s">
        <v>481</v>
      </c>
      <c r="E687" s="149" t="s">
        <v>115</v>
      </c>
      <c r="F687" s="125" t="s">
        <v>524</v>
      </c>
      <c r="G687" s="270" t="s">
        <v>1247</v>
      </c>
      <c r="H687" s="122">
        <v>41572</v>
      </c>
      <c r="I687" s="121">
        <v>1</v>
      </c>
      <c r="J687" s="401">
        <v>5274</v>
      </c>
      <c r="K687" s="402">
        <v>5274</v>
      </c>
      <c r="L687" s="269" t="s">
        <v>617</v>
      </c>
      <c r="M687" s="129" t="s">
        <v>36</v>
      </c>
    </row>
    <row r="688" spans="1:13" s="403" customFormat="1" ht="15" customHeight="1" x14ac:dyDescent="0.25">
      <c r="A688" s="121">
        <v>291</v>
      </c>
      <c r="B688" s="121">
        <v>64694</v>
      </c>
      <c r="C688" s="123" t="s">
        <v>2670</v>
      </c>
      <c r="D688" s="121" t="s">
        <v>481</v>
      </c>
      <c r="E688" s="149" t="s">
        <v>115</v>
      </c>
      <c r="F688" s="125" t="s">
        <v>642</v>
      </c>
      <c r="G688" s="270"/>
      <c r="H688" s="122">
        <v>41568</v>
      </c>
      <c r="I688" s="121">
        <v>1</v>
      </c>
      <c r="J688" s="401">
        <v>5274</v>
      </c>
      <c r="K688" s="402">
        <v>5274</v>
      </c>
      <c r="L688" s="269" t="s">
        <v>617</v>
      </c>
      <c r="M688" s="129" t="s">
        <v>36</v>
      </c>
    </row>
    <row r="689" spans="1:13" s="403" customFormat="1" ht="15" customHeight="1" x14ac:dyDescent="0.25">
      <c r="A689" s="273">
        <v>292</v>
      </c>
      <c r="B689" s="121">
        <v>58623</v>
      </c>
      <c r="C689" s="123" t="s">
        <v>2599</v>
      </c>
      <c r="D689" s="121" t="s">
        <v>481</v>
      </c>
      <c r="E689" s="149" t="s">
        <v>114</v>
      </c>
      <c r="F689" s="125" t="s">
        <v>524</v>
      </c>
      <c r="G689" s="270" t="s">
        <v>580</v>
      </c>
      <c r="H689" s="122">
        <v>41544</v>
      </c>
      <c r="I689" s="121">
        <v>1</v>
      </c>
      <c r="J689" s="401">
        <v>33370</v>
      </c>
      <c r="K689" s="402">
        <v>33370</v>
      </c>
      <c r="L689" s="269" t="s">
        <v>617</v>
      </c>
      <c r="M689" s="129" t="s">
        <v>36</v>
      </c>
    </row>
    <row r="690" spans="1:13" s="403" customFormat="1" ht="15" customHeight="1" x14ac:dyDescent="0.25">
      <c r="A690" s="121">
        <v>293</v>
      </c>
      <c r="B690" s="121">
        <v>63072</v>
      </c>
      <c r="C690" s="123" t="s">
        <v>1312</v>
      </c>
      <c r="D690" s="121" t="s">
        <v>473</v>
      </c>
      <c r="E690" s="149" t="s">
        <v>115</v>
      </c>
      <c r="F690" s="125" t="s">
        <v>559</v>
      </c>
      <c r="G690" s="270" t="s">
        <v>2104</v>
      </c>
      <c r="H690" s="122">
        <v>41562</v>
      </c>
      <c r="I690" s="121">
        <v>1</v>
      </c>
      <c r="J690" s="401">
        <v>5274</v>
      </c>
      <c r="K690" s="402">
        <v>5274</v>
      </c>
      <c r="L690" s="269" t="s">
        <v>617</v>
      </c>
      <c r="M690" s="129" t="s">
        <v>36</v>
      </c>
    </row>
    <row r="691" spans="1:13" s="403" customFormat="1" ht="15" customHeight="1" x14ac:dyDescent="0.25">
      <c r="A691" s="273">
        <v>294</v>
      </c>
      <c r="B691" s="121">
        <v>56407</v>
      </c>
      <c r="C691" s="123" t="s">
        <v>2527</v>
      </c>
      <c r="D691" s="121" t="s">
        <v>475</v>
      </c>
      <c r="E691" s="149" t="s">
        <v>679</v>
      </c>
      <c r="F691" s="125" t="s">
        <v>366</v>
      </c>
      <c r="G691" s="270"/>
      <c r="H691" s="122">
        <v>41530</v>
      </c>
      <c r="I691" s="121">
        <v>1</v>
      </c>
      <c r="J691" s="401">
        <v>55058</v>
      </c>
      <c r="K691" s="402">
        <v>55058</v>
      </c>
      <c r="L691" s="269" t="s">
        <v>617</v>
      </c>
      <c r="M691" s="129" t="s">
        <v>36</v>
      </c>
    </row>
    <row r="692" spans="1:13" s="403" customFormat="1" ht="15" customHeight="1" x14ac:dyDescent="0.25">
      <c r="A692" s="121">
        <v>295</v>
      </c>
      <c r="B692" s="121">
        <v>48646</v>
      </c>
      <c r="C692" s="123" t="s">
        <v>2671</v>
      </c>
      <c r="D692" s="121" t="s">
        <v>471</v>
      </c>
      <c r="E692" s="149" t="s">
        <v>574</v>
      </c>
      <c r="F692" s="125" t="s">
        <v>389</v>
      </c>
      <c r="G692" s="270" t="s">
        <v>2094</v>
      </c>
      <c r="H692" s="122">
        <v>41500</v>
      </c>
      <c r="I692" s="121">
        <v>1</v>
      </c>
      <c r="J692" s="401">
        <v>49701</v>
      </c>
      <c r="K692" s="402">
        <v>49701</v>
      </c>
      <c r="L692" s="269" t="s">
        <v>617</v>
      </c>
      <c r="M692" s="129" t="s">
        <v>36</v>
      </c>
    </row>
    <row r="693" spans="1:13" s="403" customFormat="1" ht="15" customHeight="1" x14ac:dyDescent="0.25">
      <c r="A693" s="273">
        <v>296</v>
      </c>
      <c r="B693" s="121">
        <v>67699</v>
      </c>
      <c r="C693" s="123" t="s">
        <v>2672</v>
      </c>
      <c r="D693" s="121" t="s">
        <v>478</v>
      </c>
      <c r="E693" s="149" t="s">
        <v>215</v>
      </c>
      <c r="F693" s="125" t="s">
        <v>368</v>
      </c>
      <c r="G693" s="270" t="s">
        <v>2032</v>
      </c>
      <c r="H693" s="122">
        <v>41577</v>
      </c>
      <c r="I693" s="121">
        <v>1</v>
      </c>
      <c r="J693" s="401">
        <v>44597</v>
      </c>
      <c r="K693" s="402">
        <v>44597</v>
      </c>
      <c r="L693" s="269" t="s">
        <v>617</v>
      </c>
      <c r="M693" s="129" t="s">
        <v>36</v>
      </c>
    </row>
    <row r="694" spans="1:13" s="403" customFormat="1" ht="15" customHeight="1" x14ac:dyDescent="0.25">
      <c r="A694" s="121">
        <v>297</v>
      </c>
      <c r="B694" s="121">
        <v>65025</v>
      </c>
      <c r="C694" s="123" t="s">
        <v>2673</v>
      </c>
      <c r="D694" s="121" t="s">
        <v>473</v>
      </c>
      <c r="E694" s="149" t="s">
        <v>574</v>
      </c>
      <c r="F694" s="125" t="s">
        <v>524</v>
      </c>
      <c r="G694" s="270" t="s">
        <v>557</v>
      </c>
      <c r="H694" s="122">
        <v>41568</v>
      </c>
      <c r="I694" s="121">
        <v>1</v>
      </c>
      <c r="J694" s="401">
        <v>49701</v>
      </c>
      <c r="K694" s="402">
        <v>49701</v>
      </c>
      <c r="L694" s="269" t="s">
        <v>617</v>
      </c>
      <c r="M694" s="129" t="s">
        <v>36</v>
      </c>
    </row>
    <row r="695" spans="1:13" s="403" customFormat="1" ht="15" customHeight="1" x14ac:dyDescent="0.25">
      <c r="A695" s="273">
        <v>298</v>
      </c>
      <c r="B695" s="121">
        <v>60552</v>
      </c>
      <c r="C695" s="123" t="s">
        <v>2674</v>
      </c>
      <c r="D695" s="121" t="s">
        <v>475</v>
      </c>
      <c r="E695" s="149" t="s">
        <v>115</v>
      </c>
      <c r="F695" s="125" t="s">
        <v>442</v>
      </c>
      <c r="G695" s="270" t="s">
        <v>2064</v>
      </c>
      <c r="H695" s="122">
        <v>41555</v>
      </c>
      <c r="I695" s="121">
        <v>1</v>
      </c>
      <c r="J695" s="401">
        <v>5274</v>
      </c>
      <c r="K695" s="402">
        <v>5274</v>
      </c>
      <c r="L695" s="269" t="s">
        <v>617</v>
      </c>
      <c r="M695" s="129" t="s">
        <v>36</v>
      </c>
    </row>
    <row r="696" spans="1:13" s="403" customFormat="1" ht="15" customHeight="1" x14ac:dyDescent="0.25">
      <c r="A696" s="121">
        <v>299</v>
      </c>
      <c r="B696" s="121">
        <v>65833</v>
      </c>
      <c r="C696" s="123" t="s">
        <v>2600</v>
      </c>
      <c r="D696" s="121" t="s">
        <v>481</v>
      </c>
      <c r="E696" s="149" t="s">
        <v>114</v>
      </c>
      <c r="F696" s="125" t="s">
        <v>401</v>
      </c>
      <c r="G696" s="270" t="s">
        <v>1282</v>
      </c>
      <c r="H696" s="122">
        <v>41570</v>
      </c>
      <c r="I696" s="121">
        <v>1</v>
      </c>
      <c r="J696" s="401">
        <v>33370</v>
      </c>
      <c r="K696" s="402">
        <v>33370</v>
      </c>
      <c r="L696" s="269" t="s">
        <v>617</v>
      </c>
      <c r="M696" s="129" t="s">
        <v>36</v>
      </c>
    </row>
    <row r="697" spans="1:13" s="403" customFormat="1" ht="15" customHeight="1" x14ac:dyDescent="0.25">
      <c r="A697" s="273">
        <v>300</v>
      </c>
      <c r="B697" s="121">
        <v>61690</v>
      </c>
      <c r="C697" s="123" t="s">
        <v>2675</v>
      </c>
      <c r="D697" s="121" t="s">
        <v>481</v>
      </c>
      <c r="E697" s="149" t="s">
        <v>534</v>
      </c>
      <c r="F697" s="125" t="s">
        <v>469</v>
      </c>
      <c r="G697" s="270" t="s">
        <v>551</v>
      </c>
      <c r="H697" s="122">
        <v>41556</v>
      </c>
      <c r="I697" s="121">
        <v>1</v>
      </c>
      <c r="J697" s="401">
        <v>30429</v>
      </c>
      <c r="K697" s="402">
        <v>30429</v>
      </c>
      <c r="L697" s="269" t="s">
        <v>617</v>
      </c>
      <c r="M697" s="129" t="s">
        <v>36</v>
      </c>
    </row>
    <row r="698" spans="1:13" s="403" customFormat="1" ht="15" customHeight="1" x14ac:dyDescent="0.25">
      <c r="A698" s="121">
        <v>301</v>
      </c>
      <c r="B698" s="121">
        <v>60308</v>
      </c>
      <c r="C698" s="123" t="s">
        <v>2676</v>
      </c>
      <c r="D698" s="121" t="s">
        <v>478</v>
      </c>
      <c r="E698" s="149" t="s">
        <v>215</v>
      </c>
      <c r="F698" s="125" t="s">
        <v>368</v>
      </c>
      <c r="G698" s="270" t="s">
        <v>2064</v>
      </c>
      <c r="H698" s="122">
        <v>41550</v>
      </c>
      <c r="I698" s="121">
        <v>1</v>
      </c>
      <c r="J698" s="401">
        <v>44597</v>
      </c>
      <c r="K698" s="402">
        <v>44597</v>
      </c>
      <c r="L698" s="269" t="s">
        <v>617</v>
      </c>
      <c r="M698" s="129" t="s">
        <v>36</v>
      </c>
    </row>
    <row r="699" spans="1:13" s="403" customFormat="1" ht="15" customHeight="1" x14ac:dyDescent="0.25">
      <c r="A699" s="273">
        <v>302</v>
      </c>
      <c r="B699" s="121">
        <v>48421</v>
      </c>
      <c r="C699" s="123" t="s">
        <v>2677</v>
      </c>
      <c r="D699" s="121" t="s">
        <v>471</v>
      </c>
      <c r="E699" s="149" t="s">
        <v>577</v>
      </c>
      <c r="F699" s="125" t="s">
        <v>368</v>
      </c>
      <c r="G699" s="270"/>
      <c r="H699" s="122">
        <v>41500</v>
      </c>
      <c r="I699" s="121">
        <v>1</v>
      </c>
      <c r="J699" s="401">
        <v>25800</v>
      </c>
      <c r="K699" s="402">
        <v>25800</v>
      </c>
      <c r="L699" s="269" t="s">
        <v>617</v>
      </c>
      <c r="M699" s="129" t="s">
        <v>36</v>
      </c>
    </row>
    <row r="700" spans="1:13" s="403" customFormat="1" ht="15" customHeight="1" x14ac:dyDescent="0.25">
      <c r="A700" s="121">
        <v>303</v>
      </c>
      <c r="B700" s="121">
        <v>63020</v>
      </c>
      <c r="C700" s="123" t="s">
        <v>2678</v>
      </c>
      <c r="D700" s="121" t="s">
        <v>473</v>
      </c>
      <c r="E700" s="149" t="s">
        <v>534</v>
      </c>
      <c r="F700" s="125" t="s">
        <v>428</v>
      </c>
      <c r="G700" s="270" t="s">
        <v>2679</v>
      </c>
      <c r="H700" s="122">
        <v>41561</v>
      </c>
      <c r="I700" s="121">
        <v>1</v>
      </c>
      <c r="J700" s="401">
        <v>30429</v>
      </c>
      <c r="K700" s="402">
        <v>30429</v>
      </c>
      <c r="L700" s="269" t="s">
        <v>617</v>
      </c>
      <c r="M700" s="129" t="s">
        <v>36</v>
      </c>
    </row>
    <row r="701" spans="1:13" s="403" customFormat="1" ht="15" customHeight="1" x14ac:dyDescent="0.25">
      <c r="A701" s="273">
        <v>304</v>
      </c>
      <c r="B701" s="121">
        <v>63104</v>
      </c>
      <c r="C701" s="123" t="s">
        <v>2602</v>
      </c>
      <c r="D701" s="121" t="s">
        <v>473</v>
      </c>
      <c r="E701" s="149" t="s">
        <v>114</v>
      </c>
      <c r="F701" s="125" t="s">
        <v>401</v>
      </c>
      <c r="G701" s="270" t="s">
        <v>2680</v>
      </c>
      <c r="H701" s="122">
        <v>41561</v>
      </c>
      <c r="I701" s="121">
        <v>1</v>
      </c>
      <c r="J701" s="401">
        <v>33370</v>
      </c>
      <c r="K701" s="402">
        <v>33370</v>
      </c>
      <c r="L701" s="269" t="s">
        <v>617</v>
      </c>
      <c r="M701" s="129" t="s">
        <v>36</v>
      </c>
    </row>
    <row r="702" spans="1:13" s="403" customFormat="1" ht="15" customHeight="1" x14ac:dyDescent="0.25">
      <c r="A702" s="121">
        <v>305</v>
      </c>
      <c r="B702" s="121">
        <v>54982</v>
      </c>
      <c r="C702" s="123" t="s">
        <v>2681</v>
      </c>
      <c r="D702" s="121" t="s">
        <v>478</v>
      </c>
      <c r="E702" s="149" t="s">
        <v>115</v>
      </c>
      <c r="F702" s="125" t="s">
        <v>531</v>
      </c>
      <c r="G702" s="270" t="s">
        <v>1247</v>
      </c>
      <c r="H702" s="122">
        <v>41526</v>
      </c>
      <c r="I702" s="121">
        <v>1</v>
      </c>
      <c r="J702" s="401">
        <v>5274</v>
      </c>
      <c r="K702" s="402">
        <v>5274</v>
      </c>
      <c r="L702" s="269" t="s">
        <v>617</v>
      </c>
      <c r="M702" s="129" t="s">
        <v>36</v>
      </c>
    </row>
    <row r="703" spans="1:13" s="403" customFormat="1" ht="15" customHeight="1" x14ac:dyDescent="0.25">
      <c r="A703" s="273">
        <v>306</v>
      </c>
      <c r="B703" s="121">
        <v>64490</v>
      </c>
      <c r="C703" s="123" t="s">
        <v>577</v>
      </c>
      <c r="D703" s="121" t="s">
        <v>502</v>
      </c>
      <c r="E703" s="149" t="s">
        <v>577</v>
      </c>
      <c r="F703" s="125" t="s">
        <v>368</v>
      </c>
      <c r="G703" s="270"/>
      <c r="H703" s="122">
        <v>41564</v>
      </c>
      <c r="I703" s="121">
        <v>1</v>
      </c>
      <c r="J703" s="401">
        <v>25800</v>
      </c>
      <c r="K703" s="402">
        <v>25800</v>
      </c>
      <c r="L703" s="269" t="s">
        <v>617</v>
      </c>
      <c r="M703" s="129" t="s">
        <v>36</v>
      </c>
    </row>
    <row r="704" spans="1:13" s="403" customFormat="1" ht="15" customHeight="1" x14ac:dyDescent="0.25">
      <c r="A704" s="121">
        <v>307</v>
      </c>
      <c r="B704" s="121">
        <v>61057</v>
      </c>
      <c r="C704" s="123" t="s">
        <v>2682</v>
      </c>
      <c r="D704" s="121" t="s">
        <v>473</v>
      </c>
      <c r="E704" s="149" t="s">
        <v>534</v>
      </c>
      <c r="F704" s="125" t="s">
        <v>414</v>
      </c>
      <c r="G704" s="270" t="s">
        <v>639</v>
      </c>
      <c r="H704" s="122">
        <v>41554</v>
      </c>
      <c r="I704" s="121">
        <v>1</v>
      </c>
      <c r="J704" s="401">
        <v>30429</v>
      </c>
      <c r="K704" s="402">
        <v>30429</v>
      </c>
      <c r="L704" s="269" t="s">
        <v>617</v>
      </c>
      <c r="M704" s="129" t="s">
        <v>36</v>
      </c>
    </row>
    <row r="705" spans="1:13" s="133" customFormat="1" ht="15" customHeight="1" x14ac:dyDescent="0.25">
      <c r="A705" s="273">
        <v>308</v>
      </c>
      <c r="B705" s="121">
        <v>67599</v>
      </c>
      <c r="C705" s="123" t="s">
        <v>2683</v>
      </c>
      <c r="D705" s="121" t="s">
        <v>471</v>
      </c>
      <c r="E705" s="149" t="s">
        <v>577</v>
      </c>
      <c r="F705" s="125" t="s">
        <v>368</v>
      </c>
      <c r="G705" s="270"/>
      <c r="H705" s="122">
        <v>41577</v>
      </c>
      <c r="I705" s="121">
        <v>1</v>
      </c>
      <c r="J705" s="401">
        <v>25800</v>
      </c>
      <c r="K705" s="402">
        <v>25800</v>
      </c>
      <c r="L705" s="269" t="s">
        <v>617</v>
      </c>
      <c r="M705" s="129" t="s">
        <v>36</v>
      </c>
    </row>
    <row r="706" spans="1:13" s="403" customFormat="1" ht="15" customHeight="1" x14ac:dyDescent="0.25">
      <c r="A706" s="121">
        <v>309</v>
      </c>
      <c r="B706" s="121">
        <v>64646</v>
      </c>
      <c r="C706" s="123" t="s">
        <v>2684</v>
      </c>
      <c r="D706" s="121" t="s">
        <v>473</v>
      </c>
      <c r="E706" s="149" t="s">
        <v>577</v>
      </c>
      <c r="F706" s="125" t="s">
        <v>368</v>
      </c>
      <c r="G706" s="270"/>
      <c r="H706" s="122">
        <v>41565</v>
      </c>
      <c r="I706" s="121">
        <v>1</v>
      </c>
      <c r="J706" s="401">
        <v>25800</v>
      </c>
      <c r="K706" s="402">
        <v>25800</v>
      </c>
      <c r="L706" s="269" t="s">
        <v>617</v>
      </c>
      <c r="M706" s="129" t="s">
        <v>36</v>
      </c>
    </row>
    <row r="707" spans="1:13" s="403" customFormat="1" ht="15" customHeight="1" x14ac:dyDescent="0.25">
      <c r="A707" s="273">
        <v>310</v>
      </c>
      <c r="B707" s="121">
        <v>37470</v>
      </c>
      <c r="C707" s="123" t="s">
        <v>2605</v>
      </c>
      <c r="D707" s="121" t="s">
        <v>481</v>
      </c>
      <c r="E707" s="149" t="s">
        <v>195</v>
      </c>
      <c r="F707" s="125" t="s">
        <v>439</v>
      </c>
      <c r="G707" s="270"/>
      <c r="H707" s="122">
        <v>41453</v>
      </c>
      <c r="I707" s="121">
        <v>1</v>
      </c>
      <c r="J707" s="401">
        <v>2739</v>
      </c>
      <c r="K707" s="402">
        <v>2739</v>
      </c>
      <c r="L707" s="269" t="s">
        <v>617</v>
      </c>
      <c r="M707" s="129" t="s">
        <v>36</v>
      </c>
    </row>
    <row r="708" spans="1:13" s="403" customFormat="1" ht="15" customHeight="1" x14ac:dyDescent="0.25">
      <c r="A708" s="121">
        <v>311</v>
      </c>
      <c r="B708" s="121">
        <v>61529</v>
      </c>
      <c r="C708" s="123" t="s">
        <v>2550</v>
      </c>
      <c r="D708" s="121" t="s">
        <v>481</v>
      </c>
      <c r="E708" s="149" t="s">
        <v>215</v>
      </c>
      <c r="F708" s="125" t="s">
        <v>368</v>
      </c>
      <c r="G708" s="270" t="s">
        <v>2064</v>
      </c>
      <c r="H708" s="122">
        <v>41556</v>
      </c>
      <c r="I708" s="121">
        <v>1</v>
      </c>
      <c r="J708" s="401">
        <v>44597</v>
      </c>
      <c r="K708" s="402">
        <v>44597</v>
      </c>
      <c r="L708" s="269" t="s">
        <v>617</v>
      </c>
      <c r="M708" s="129" t="s">
        <v>36</v>
      </c>
    </row>
    <row r="709" spans="1:13" s="403" customFormat="1" ht="15" customHeight="1" x14ac:dyDescent="0.25">
      <c r="A709" s="273">
        <v>312</v>
      </c>
      <c r="B709" s="121">
        <v>68117</v>
      </c>
      <c r="C709" s="123" t="s">
        <v>2685</v>
      </c>
      <c r="D709" s="121" t="s">
        <v>481</v>
      </c>
      <c r="E709" s="149" t="s">
        <v>202</v>
      </c>
      <c r="F709" s="125" t="s">
        <v>414</v>
      </c>
      <c r="G709" s="270"/>
      <c r="H709" s="122">
        <v>41578</v>
      </c>
      <c r="I709" s="121">
        <v>1</v>
      </c>
      <c r="J709" s="401">
        <v>17244</v>
      </c>
      <c r="K709" s="402">
        <v>17244</v>
      </c>
      <c r="L709" s="269" t="s">
        <v>617</v>
      </c>
      <c r="M709" s="129" t="s">
        <v>36</v>
      </c>
    </row>
    <row r="710" spans="1:13" s="403" customFormat="1" ht="15" customHeight="1" x14ac:dyDescent="0.25">
      <c r="A710" s="121">
        <v>313</v>
      </c>
      <c r="B710" s="121">
        <v>66632</v>
      </c>
      <c r="C710" s="123" t="s">
        <v>2686</v>
      </c>
      <c r="D710" s="121" t="s">
        <v>473</v>
      </c>
      <c r="E710" s="149" t="s">
        <v>115</v>
      </c>
      <c r="F710" s="125" t="s">
        <v>416</v>
      </c>
      <c r="G710" s="270" t="s">
        <v>486</v>
      </c>
      <c r="H710" s="122">
        <v>41576</v>
      </c>
      <c r="I710" s="121">
        <v>1</v>
      </c>
      <c r="J710" s="401">
        <v>5274</v>
      </c>
      <c r="K710" s="402">
        <v>5274</v>
      </c>
      <c r="L710" s="269" t="s">
        <v>617</v>
      </c>
      <c r="M710" s="129" t="s">
        <v>36</v>
      </c>
    </row>
    <row r="711" spans="1:13" s="403" customFormat="1" ht="15" customHeight="1" x14ac:dyDescent="0.25">
      <c r="A711" s="273">
        <v>314</v>
      </c>
      <c r="B711" s="121">
        <v>67639</v>
      </c>
      <c r="C711" s="123" t="s">
        <v>2687</v>
      </c>
      <c r="D711" s="121" t="s">
        <v>481</v>
      </c>
      <c r="E711" s="149" t="s">
        <v>574</v>
      </c>
      <c r="F711" s="125" t="s">
        <v>524</v>
      </c>
      <c r="G711" s="270" t="s">
        <v>580</v>
      </c>
      <c r="H711" s="122">
        <v>41576</v>
      </c>
      <c r="I711" s="121">
        <v>1</v>
      </c>
      <c r="J711" s="401">
        <v>49701</v>
      </c>
      <c r="K711" s="402">
        <v>49701</v>
      </c>
      <c r="L711" s="269" t="s">
        <v>617</v>
      </c>
      <c r="M711" s="129" t="s">
        <v>36</v>
      </c>
    </row>
    <row r="712" spans="1:13" s="403" customFormat="1" ht="15" customHeight="1" x14ac:dyDescent="0.25">
      <c r="A712" s="121">
        <v>315</v>
      </c>
      <c r="B712" s="121">
        <v>62728</v>
      </c>
      <c r="C712" s="123" t="s">
        <v>2614</v>
      </c>
      <c r="D712" s="121" t="s">
        <v>473</v>
      </c>
      <c r="E712" s="149" t="s">
        <v>202</v>
      </c>
      <c r="F712" s="125" t="s">
        <v>527</v>
      </c>
      <c r="G712" s="270"/>
      <c r="H712" s="122">
        <v>41561</v>
      </c>
      <c r="I712" s="121">
        <v>1</v>
      </c>
      <c r="J712" s="401">
        <v>17244</v>
      </c>
      <c r="K712" s="402">
        <v>17244</v>
      </c>
      <c r="L712" s="269" t="s">
        <v>617</v>
      </c>
      <c r="M712" s="129" t="s">
        <v>36</v>
      </c>
    </row>
    <row r="713" spans="1:13" s="403" customFormat="1" ht="15" customHeight="1" x14ac:dyDescent="0.25">
      <c r="A713" s="273">
        <v>316</v>
      </c>
      <c r="B713" s="121">
        <v>65078</v>
      </c>
      <c r="C713" s="123" t="s">
        <v>2614</v>
      </c>
      <c r="D713" s="121" t="s">
        <v>473</v>
      </c>
      <c r="E713" s="149" t="s">
        <v>114</v>
      </c>
      <c r="F713" s="125" t="s">
        <v>1951</v>
      </c>
      <c r="G713" s="270"/>
      <c r="H713" s="122">
        <v>41568</v>
      </c>
      <c r="I713" s="121">
        <v>2</v>
      </c>
      <c r="J713" s="401">
        <v>33370</v>
      </c>
      <c r="K713" s="402">
        <v>66740</v>
      </c>
      <c r="L713" s="269" t="s">
        <v>617</v>
      </c>
      <c r="M713" s="129" t="s">
        <v>36</v>
      </c>
    </row>
    <row r="714" spans="1:13" s="403" customFormat="1" ht="15" customHeight="1" x14ac:dyDescent="0.25">
      <c r="A714" s="121">
        <v>317</v>
      </c>
      <c r="B714" s="121">
        <v>61785</v>
      </c>
      <c r="C714" s="123" t="s">
        <v>2688</v>
      </c>
      <c r="D714" s="121" t="s">
        <v>481</v>
      </c>
      <c r="E714" s="149" t="s">
        <v>534</v>
      </c>
      <c r="F714" s="125" t="s">
        <v>508</v>
      </c>
      <c r="G714" s="270" t="s">
        <v>566</v>
      </c>
      <c r="H714" s="122">
        <v>41556</v>
      </c>
      <c r="I714" s="121">
        <v>1</v>
      </c>
      <c r="J714" s="401">
        <v>30429</v>
      </c>
      <c r="K714" s="402">
        <v>30429</v>
      </c>
      <c r="L714" s="269" t="s">
        <v>617</v>
      </c>
      <c r="M714" s="129" t="s">
        <v>36</v>
      </c>
    </row>
    <row r="715" spans="1:13" s="403" customFormat="1" ht="15" customHeight="1" x14ac:dyDescent="0.25">
      <c r="A715" s="273">
        <v>318</v>
      </c>
      <c r="B715" s="121">
        <v>65089</v>
      </c>
      <c r="C715" s="123" t="s">
        <v>2689</v>
      </c>
      <c r="D715" s="121" t="s">
        <v>481</v>
      </c>
      <c r="E715" s="149" t="s">
        <v>577</v>
      </c>
      <c r="F715" s="125" t="s">
        <v>368</v>
      </c>
      <c r="G715" s="270"/>
      <c r="H715" s="122">
        <v>41570</v>
      </c>
      <c r="I715" s="121">
        <v>1</v>
      </c>
      <c r="J715" s="401">
        <v>25800</v>
      </c>
      <c r="K715" s="402">
        <v>25800</v>
      </c>
      <c r="L715" s="269" t="s">
        <v>617</v>
      </c>
      <c r="M715" s="129" t="s">
        <v>36</v>
      </c>
    </row>
    <row r="716" spans="1:13" s="403" customFormat="1" ht="15" customHeight="1" x14ac:dyDescent="0.25">
      <c r="A716" s="121">
        <v>319</v>
      </c>
      <c r="B716" s="121">
        <v>55521</v>
      </c>
      <c r="C716" s="123" t="s">
        <v>2690</v>
      </c>
      <c r="D716" s="121" t="s">
        <v>471</v>
      </c>
      <c r="E716" s="149" t="s">
        <v>114</v>
      </c>
      <c r="F716" s="125" t="s">
        <v>531</v>
      </c>
      <c r="G716" s="270"/>
      <c r="H716" s="122">
        <v>41527</v>
      </c>
      <c r="I716" s="121">
        <v>1</v>
      </c>
      <c r="J716" s="401">
        <v>33370</v>
      </c>
      <c r="K716" s="402">
        <v>33370</v>
      </c>
      <c r="L716" s="269" t="s">
        <v>617</v>
      </c>
      <c r="M716" s="129" t="s">
        <v>36</v>
      </c>
    </row>
    <row r="717" spans="1:13" s="403" customFormat="1" ht="15" customHeight="1" x14ac:dyDescent="0.25">
      <c r="A717" s="273">
        <v>320</v>
      </c>
      <c r="B717" s="121">
        <v>65188</v>
      </c>
      <c r="C717" s="123" t="s">
        <v>1445</v>
      </c>
      <c r="D717" s="121" t="s">
        <v>481</v>
      </c>
      <c r="E717" s="149" t="s">
        <v>115</v>
      </c>
      <c r="F717" s="125" t="s">
        <v>439</v>
      </c>
      <c r="G717" s="270" t="s">
        <v>1247</v>
      </c>
      <c r="H717" s="122">
        <v>41569</v>
      </c>
      <c r="I717" s="121">
        <v>1</v>
      </c>
      <c r="J717" s="401">
        <v>5274</v>
      </c>
      <c r="K717" s="402">
        <v>5274</v>
      </c>
      <c r="L717" s="269" t="s">
        <v>617</v>
      </c>
      <c r="M717" s="129" t="s">
        <v>36</v>
      </c>
    </row>
    <row r="718" spans="1:13" s="403" customFormat="1" ht="15" customHeight="1" x14ac:dyDescent="0.25">
      <c r="A718" s="121">
        <v>321</v>
      </c>
      <c r="B718" s="121">
        <v>60230</v>
      </c>
      <c r="C718" s="123" t="s">
        <v>1320</v>
      </c>
      <c r="D718" s="121" t="s">
        <v>481</v>
      </c>
      <c r="E718" s="149" t="s">
        <v>202</v>
      </c>
      <c r="F718" s="125" t="s">
        <v>642</v>
      </c>
      <c r="G718" s="270"/>
      <c r="H718" s="122">
        <v>41551</v>
      </c>
      <c r="I718" s="121">
        <v>1</v>
      </c>
      <c r="J718" s="401">
        <v>17244</v>
      </c>
      <c r="K718" s="402">
        <v>17244</v>
      </c>
      <c r="L718" s="269" t="s">
        <v>617</v>
      </c>
      <c r="M718" s="129" t="s">
        <v>36</v>
      </c>
    </row>
    <row r="719" spans="1:13" s="403" customFormat="1" ht="15" customHeight="1" x14ac:dyDescent="0.25">
      <c r="A719" s="273">
        <v>322</v>
      </c>
      <c r="B719" s="121">
        <v>62866</v>
      </c>
      <c r="C719" s="123" t="s">
        <v>2691</v>
      </c>
      <c r="D719" s="121" t="s">
        <v>475</v>
      </c>
      <c r="E719" s="149" t="s">
        <v>115</v>
      </c>
      <c r="F719" s="125" t="s">
        <v>442</v>
      </c>
      <c r="G719" s="270" t="s">
        <v>1061</v>
      </c>
      <c r="H719" s="122">
        <v>41563</v>
      </c>
      <c r="I719" s="121">
        <v>1</v>
      </c>
      <c r="J719" s="401">
        <v>5274</v>
      </c>
      <c r="K719" s="402">
        <v>5274</v>
      </c>
      <c r="L719" s="269" t="s">
        <v>617</v>
      </c>
      <c r="M719" s="129" t="s">
        <v>36</v>
      </c>
    </row>
    <row r="720" spans="1:13" s="403" customFormat="1" ht="15" customHeight="1" x14ac:dyDescent="0.25">
      <c r="A720" s="121">
        <v>323</v>
      </c>
      <c r="B720" s="121">
        <v>59708</v>
      </c>
      <c r="C720" s="123" t="s">
        <v>2692</v>
      </c>
      <c r="D720" s="121" t="s">
        <v>473</v>
      </c>
      <c r="E720" s="149" t="s">
        <v>202</v>
      </c>
      <c r="F720" s="125" t="s">
        <v>535</v>
      </c>
      <c r="G720" s="270" t="s">
        <v>2094</v>
      </c>
      <c r="H720" s="122">
        <v>41548</v>
      </c>
      <c r="I720" s="121">
        <v>1</v>
      </c>
      <c r="J720" s="401">
        <v>17244</v>
      </c>
      <c r="K720" s="402">
        <v>17244</v>
      </c>
      <c r="L720" s="269" t="s">
        <v>617</v>
      </c>
      <c r="M720" s="129" t="s">
        <v>36</v>
      </c>
    </row>
    <row r="721" spans="1:13" s="403" customFormat="1" ht="15" customHeight="1" x14ac:dyDescent="0.25">
      <c r="A721" s="273">
        <v>324</v>
      </c>
      <c r="B721" s="121">
        <v>64181</v>
      </c>
      <c r="C721" s="123" t="s">
        <v>2693</v>
      </c>
      <c r="D721" s="121" t="s">
        <v>1313</v>
      </c>
      <c r="E721" s="149" t="s">
        <v>217</v>
      </c>
      <c r="F721" s="125" t="s">
        <v>368</v>
      </c>
      <c r="G721" s="270" t="s">
        <v>2064</v>
      </c>
      <c r="H721" s="122">
        <v>41565</v>
      </c>
      <c r="I721" s="121">
        <v>1</v>
      </c>
      <c r="J721" s="401">
        <v>22299</v>
      </c>
      <c r="K721" s="402">
        <v>22299</v>
      </c>
      <c r="L721" s="269" t="s">
        <v>617</v>
      </c>
      <c r="M721" s="129" t="s">
        <v>36</v>
      </c>
    </row>
    <row r="722" spans="1:13" s="403" customFormat="1" ht="15" customHeight="1" x14ac:dyDescent="0.25">
      <c r="A722" s="121">
        <v>325</v>
      </c>
      <c r="B722" s="121">
        <v>62312</v>
      </c>
      <c r="C722" s="123" t="s">
        <v>2694</v>
      </c>
      <c r="D722" s="121" t="s">
        <v>481</v>
      </c>
      <c r="E722" s="149" t="s">
        <v>115</v>
      </c>
      <c r="F722" s="125" t="s">
        <v>559</v>
      </c>
      <c r="G722" s="270" t="s">
        <v>1061</v>
      </c>
      <c r="H722" s="122">
        <v>41558</v>
      </c>
      <c r="I722" s="121">
        <v>1</v>
      </c>
      <c r="J722" s="401">
        <v>5274</v>
      </c>
      <c r="K722" s="402">
        <v>5274</v>
      </c>
      <c r="L722" s="269" t="s">
        <v>617</v>
      </c>
      <c r="M722" s="129" t="s">
        <v>36</v>
      </c>
    </row>
    <row r="723" spans="1:13" s="403" customFormat="1" ht="15" customHeight="1" x14ac:dyDescent="0.25">
      <c r="A723" s="273">
        <v>326</v>
      </c>
      <c r="B723" s="121">
        <v>65487</v>
      </c>
      <c r="C723" s="123" t="s">
        <v>2695</v>
      </c>
      <c r="D723" s="121" t="s">
        <v>473</v>
      </c>
      <c r="E723" s="149" t="s">
        <v>574</v>
      </c>
      <c r="F723" s="125" t="s">
        <v>2407</v>
      </c>
      <c r="G723" s="270" t="s">
        <v>2531</v>
      </c>
      <c r="H723" s="122">
        <v>41569</v>
      </c>
      <c r="I723" s="121">
        <v>2</v>
      </c>
      <c r="J723" s="401">
        <v>49701</v>
      </c>
      <c r="K723" s="402">
        <v>99402</v>
      </c>
      <c r="L723" s="269" t="s">
        <v>617</v>
      </c>
      <c r="M723" s="129" t="s">
        <v>36</v>
      </c>
    </row>
    <row r="724" spans="1:13" s="403" customFormat="1" ht="15" customHeight="1" x14ac:dyDescent="0.25">
      <c r="A724" s="121">
        <v>327</v>
      </c>
      <c r="B724" s="121">
        <v>61494</v>
      </c>
      <c r="C724" s="123" t="s">
        <v>2624</v>
      </c>
      <c r="D724" s="121" t="s">
        <v>481</v>
      </c>
      <c r="E724" s="149" t="s">
        <v>114</v>
      </c>
      <c r="F724" s="125" t="s">
        <v>428</v>
      </c>
      <c r="G724" s="270" t="s">
        <v>1056</v>
      </c>
      <c r="H724" s="122">
        <v>41555</v>
      </c>
      <c r="I724" s="121">
        <v>1</v>
      </c>
      <c r="J724" s="401">
        <v>33370</v>
      </c>
      <c r="K724" s="402">
        <v>33370</v>
      </c>
      <c r="L724" s="269" t="s">
        <v>617</v>
      </c>
      <c r="M724" s="129" t="s">
        <v>36</v>
      </c>
    </row>
    <row r="725" spans="1:13" s="403" customFormat="1" ht="15" customHeight="1" x14ac:dyDescent="0.25">
      <c r="A725" s="273">
        <v>328</v>
      </c>
      <c r="B725" s="121">
        <v>61494</v>
      </c>
      <c r="C725" s="123" t="s">
        <v>2624</v>
      </c>
      <c r="D725" s="121" t="s">
        <v>481</v>
      </c>
      <c r="E725" s="149" t="s">
        <v>534</v>
      </c>
      <c r="F725" s="125" t="s">
        <v>401</v>
      </c>
      <c r="G725" s="270" t="s">
        <v>2696</v>
      </c>
      <c r="H725" s="122">
        <v>41555</v>
      </c>
      <c r="I725" s="121">
        <v>1</v>
      </c>
      <c r="J725" s="401">
        <v>30429</v>
      </c>
      <c r="K725" s="402">
        <v>30429</v>
      </c>
      <c r="L725" s="269" t="s">
        <v>617</v>
      </c>
      <c r="M725" s="129" t="s">
        <v>36</v>
      </c>
    </row>
    <row r="726" spans="1:13" s="403" customFormat="1" ht="15" customHeight="1" x14ac:dyDescent="0.25">
      <c r="A726" s="121">
        <v>329</v>
      </c>
      <c r="B726" s="121">
        <v>66606</v>
      </c>
      <c r="C726" s="123" t="s">
        <v>2626</v>
      </c>
      <c r="D726" s="121" t="s">
        <v>481</v>
      </c>
      <c r="E726" s="149" t="s">
        <v>114</v>
      </c>
      <c r="F726" s="125" t="s">
        <v>469</v>
      </c>
      <c r="G726" s="270" t="s">
        <v>580</v>
      </c>
      <c r="H726" s="122">
        <v>41572</v>
      </c>
      <c r="I726" s="121">
        <v>1</v>
      </c>
      <c r="J726" s="401">
        <v>33370</v>
      </c>
      <c r="K726" s="402">
        <v>33370</v>
      </c>
      <c r="L726" s="269" t="s">
        <v>617</v>
      </c>
      <c r="M726" s="129" t="s">
        <v>36</v>
      </c>
    </row>
    <row r="727" spans="1:13" s="403" customFormat="1" ht="15" customHeight="1" x14ac:dyDescent="0.25">
      <c r="A727" s="273">
        <v>330</v>
      </c>
      <c r="B727" s="121">
        <v>62971</v>
      </c>
      <c r="C727" s="123" t="s">
        <v>2697</v>
      </c>
      <c r="D727" s="121" t="s">
        <v>473</v>
      </c>
      <c r="E727" s="149" t="s">
        <v>577</v>
      </c>
      <c r="F727" s="125" t="s">
        <v>368</v>
      </c>
      <c r="G727" s="270"/>
      <c r="H727" s="122">
        <v>41561</v>
      </c>
      <c r="I727" s="121">
        <v>1</v>
      </c>
      <c r="J727" s="401">
        <v>25800</v>
      </c>
      <c r="K727" s="402">
        <v>25800</v>
      </c>
      <c r="L727" s="269" t="s">
        <v>617</v>
      </c>
      <c r="M727" s="129" t="s">
        <v>36</v>
      </c>
    </row>
    <row r="728" spans="1:13" s="403" customFormat="1" ht="15" customHeight="1" x14ac:dyDescent="0.25">
      <c r="A728" s="121">
        <v>331</v>
      </c>
      <c r="B728" s="121">
        <v>66617</v>
      </c>
      <c r="C728" s="123" t="s">
        <v>2698</v>
      </c>
      <c r="D728" s="121" t="s">
        <v>473</v>
      </c>
      <c r="E728" s="149" t="s">
        <v>115</v>
      </c>
      <c r="F728" s="125" t="s">
        <v>414</v>
      </c>
      <c r="G728" s="270" t="s">
        <v>486</v>
      </c>
      <c r="H728" s="122">
        <v>41575</v>
      </c>
      <c r="I728" s="121">
        <v>1</v>
      </c>
      <c r="J728" s="401">
        <v>5274</v>
      </c>
      <c r="K728" s="402">
        <v>5274</v>
      </c>
      <c r="L728" s="269" t="s">
        <v>617</v>
      </c>
      <c r="M728" s="129" t="s">
        <v>36</v>
      </c>
    </row>
    <row r="729" spans="1:13" s="403" customFormat="1" ht="15" customHeight="1" x14ac:dyDescent="0.25">
      <c r="A729" s="273">
        <v>332</v>
      </c>
      <c r="B729" s="121">
        <v>61170</v>
      </c>
      <c r="C729" s="123" t="s">
        <v>2699</v>
      </c>
      <c r="D729" s="121" t="s">
        <v>473</v>
      </c>
      <c r="E729" s="149" t="s">
        <v>115</v>
      </c>
      <c r="F729" s="125" t="s">
        <v>428</v>
      </c>
      <c r="G729" s="270" t="s">
        <v>2064</v>
      </c>
      <c r="H729" s="122">
        <v>41555</v>
      </c>
      <c r="I729" s="121">
        <v>1</v>
      </c>
      <c r="J729" s="401">
        <v>5274</v>
      </c>
      <c r="K729" s="402">
        <v>5274</v>
      </c>
      <c r="L729" s="269" t="s">
        <v>617</v>
      </c>
      <c r="M729" s="129" t="s">
        <v>36</v>
      </c>
    </row>
    <row r="730" spans="1:13" s="403" customFormat="1" ht="15" customHeight="1" x14ac:dyDescent="0.25">
      <c r="A730" s="121">
        <v>333</v>
      </c>
      <c r="B730" s="121">
        <v>60818</v>
      </c>
      <c r="C730" s="123" t="s">
        <v>2700</v>
      </c>
      <c r="D730" s="121" t="s">
        <v>473</v>
      </c>
      <c r="E730" s="149" t="s">
        <v>577</v>
      </c>
      <c r="F730" s="125" t="s">
        <v>368</v>
      </c>
      <c r="G730" s="270"/>
      <c r="H730" s="122">
        <v>41554</v>
      </c>
      <c r="I730" s="121">
        <v>1</v>
      </c>
      <c r="J730" s="401">
        <v>25800</v>
      </c>
      <c r="K730" s="402">
        <v>25800</v>
      </c>
      <c r="L730" s="269" t="s">
        <v>617</v>
      </c>
      <c r="M730" s="129" t="s">
        <v>36</v>
      </c>
    </row>
    <row r="731" spans="1:13" s="403" customFormat="1" ht="15" customHeight="1" x14ac:dyDescent="0.25">
      <c r="A731" s="273">
        <v>334</v>
      </c>
      <c r="B731" s="121">
        <v>49857</v>
      </c>
      <c r="C731" s="123" t="s">
        <v>2701</v>
      </c>
      <c r="D731" s="121" t="s">
        <v>473</v>
      </c>
      <c r="E731" s="149" t="s">
        <v>115</v>
      </c>
      <c r="F731" s="125" t="s">
        <v>469</v>
      </c>
      <c r="G731" s="270" t="s">
        <v>2098</v>
      </c>
      <c r="H731" s="122">
        <v>41507</v>
      </c>
      <c r="I731" s="121">
        <v>1</v>
      </c>
      <c r="J731" s="401">
        <v>5274</v>
      </c>
      <c r="K731" s="402">
        <v>5274</v>
      </c>
      <c r="L731" s="269" t="s">
        <v>617</v>
      </c>
      <c r="M731" s="129" t="s">
        <v>36</v>
      </c>
    </row>
    <row r="732" spans="1:13" s="403" customFormat="1" ht="15" customHeight="1" x14ac:dyDescent="0.25">
      <c r="A732" s="273">
        <v>335</v>
      </c>
      <c r="B732" s="121">
        <v>49891</v>
      </c>
      <c r="C732" s="123" t="s">
        <v>2702</v>
      </c>
      <c r="D732" s="121" t="s">
        <v>473</v>
      </c>
      <c r="E732" s="149" t="s">
        <v>115</v>
      </c>
      <c r="F732" s="125" t="s">
        <v>559</v>
      </c>
      <c r="G732" s="270" t="s">
        <v>2098</v>
      </c>
      <c r="H732" s="122">
        <v>41507</v>
      </c>
      <c r="I732" s="121">
        <v>1</v>
      </c>
      <c r="J732" s="401">
        <v>5274</v>
      </c>
      <c r="K732" s="402">
        <v>5274</v>
      </c>
      <c r="L732" s="269" t="s">
        <v>617</v>
      </c>
      <c r="M732" s="129" t="s">
        <v>36</v>
      </c>
    </row>
    <row r="733" spans="1:13" s="403" customFormat="1" ht="15" customHeight="1" x14ac:dyDescent="0.25">
      <c r="A733" s="273">
        <v>336</v>
      </c>
      <c r="B733" s="121">
        <v>59594</v>
      </c>
      <c r="C733" s="123" t="s">
        <v>2703</v>
      </c>
      <c r="D733" s="121" t="s">
        <v>473</v>
      </c>
      <c r="E733" s="149" t="s">
        <v>534</v>
      </c>
      <c r="F733" s="125" t="s">
        <v>524</v>
      </c>
      <c r="G733" s="270" t="s">
        <v>580</v>
      </c>
      <c r="H733" s="122">
        <v>41549</v>
      </c>
      <c r="I733" s="121">
        <v>1</v>
      </c>
      <c r="J733" s="401">
        <v>30429</v>
      </c>
      <c r="K733" s="402">
        <v>30429</v>
      </c>
      <c r="L733" s="269" t="s">
        <v>617</v>
      </c>
      <c r="M733" s="129" t="s">
        <v>36</v>
      </c>
    </row>
    <row r="734" spans="1:13" s="403" customFormat="1" ht="15" customHeight="1" x14ac:dyDescent="0.25">
      <c r="A734" s="273">
        <v>337</v>
      </c>
      <c r="B734" s="121">
        <v>60727</v>
      </c>
      <c r="C734" s="123" t="s">
        <v>2704</v>
      </c>
      <c r="D734" s="121" t="s">
        <v>478</v>
      </c>
      <c r="E734" s="149" t="s">
        <v>217</v>
      </c>
      <c r="F734" s="125" t="s">
        <v>368</v>
      </c>
      <c r="G734" s="270" t="s">
        <v>2064</v>
      </c>
      <c r="H734" s="122">
        <v>41551</v>
      </c>
      <c r="I734" s="121">
        <v>1</v>
      </c>
      <c r="J734" s="401">
        <v>22299</v>
      </c>
      <c r="K734" s="402">
        <v>22299</v>
      </c>
      <c r="L734" s="269" t="s">
        <v>617</v>
      </c>
      <c r="M734" s="129" t="s">
        <v>36</v>
      </c>
    </row>
    <row r="735" spans="1:13" s="403" customFormat="1" ht="15" customHeight="1" x14ac:dyDescent="0.25">
      <c r="A735" s="281">
        <v>338</v>
      </c>
      <c r="B735" s="404">
        <v>65050</v>
      </c>
      <c r="C735" s="405" t="s">
        <v>2705</v>
      </c>
      <c r="D735" s="404" t="s">
        <v>478</v>
      </c>
      <c r="E735" s="406" t="s">
        <v>115</v>
      </c>
      <c r="F735" s="407" t="s">
        <v>2316</v>
      </c>
      <c r="G735" s="408" t="s">
        <v>486</v>
      </c>
      <c r="H735" s="409">
        <v>41568</v>
      </c>
      <c r="I735" s="404">
        <v>1</v>
      </c>
      <c r="J735" s="410">
        <v>5274</v>
      </c>
      <c r="K735" s="411">
        <v>5274</v>
      </c>
      <c r="L735" s="269" t="s">
        <v>617</v>
      </c>
      <c r="M735" s="129" t="s">
        <v>36</v>
      </c>
    </row>
    <row r="736" spans="1:13" s="403" customFormat="1" ht="15" customHeight="1" x14ac:dyDescent="0.25">
      <c r="A736" s="121">
        <v>339</v>
      </c>
      <c r="B736" s="121">
        <v>68542</v>
      </c>
      <c r="C736" s="123" t="s">
        <v>2706</v>
      </c>
      <c r="D736" s="121" t="s">
        <v>473</v>
      </c>
      <c r="E736" s="149" t="s">
        <v>115</v>
      </c>
      <c r="F736" s="125" t="s">
        <v>469</v>
      </c>
      <c r="G736" s="270" t="s">
        <v>486</v>
      </c>
      <c r="H736" s="122">
        <v>41583</v>
      </c>
      <c r="I736" s="121">
        <v>1</v>
      </c>
      <c r="J736" s="401">
        <v>5274</v>
      </c>
      <c r="K736" s="402">
        <v>5274</v>
      </c>
      <c r="L736" s="269" t="s">
        <v>957</v>
      </c>
      <c r="M736" s="129" t="s">
        <v>36</v>
      </c>
    </row>
    <row r="737" spans="1:13" s="403" customFormat="1" ht="15" customHeight="1" x14ac:dyDescent="0.25">
      <c r="A737" s="121">
        <v>340</v>
      </c>
      <c r="B737" s="121">
        <v>75714</v>
      </c>
      <c r="C737" s="123" t="s">
        <v>2706</v>
      </c>
      <c r="D737" s="121" t="s">
        <v>473</v>
      </c>
      <c r="E737" s="149" t="s">
        <v>114</v>
      </c>
      <c r="F737" s="125" t="s">
        <v>469</v>
      </c>
      <c r="G737" s="270"/>
      <c r="H737" s="122">
        <v>41606</v>
      </c>
      <c r="I737" s="121">
        <v>1</v>
      </c>
      <c r="J737" s="401">
        <v>33370</v>
      </c>
      <c r="K737" s="402">
        <v>33370</v>
      </c>
      <c r="L737" s="269" t="s">
        <v>957</v>
      </c>
      <c r="M737" s="129" t="s">
        <v>36</v>
      </c>
    </row>
    <row r="738" spans="1:13" ht="13.5" customHeight="1" x14ac:dyDescent="0.25">
      <c r="A738" s="273">
        <v>341</v>
      </c>
      <c r="B738" s="121">
        <v>75714</v>
      </c>
      <c r="C738" s="123" t="s">
        <v>2706</v>
      </c>
      <c r="D738" s="121" t="s">
        <v>473</v>
      </c>
      <c r="E738" s="149" t="s">
        <v>574</v>
      </c>
      <c r="F738" s="125" t="s">
        <v>2407</v>
      </c>
      <c r="G738" s="270" t="s">
        <v>2094</v>
      </c>
      <c r="H738" s="122">
        <v>41606</v>
      </c>
      <c r="I738" s="121">
        <v>2</v>
      </c>
      <c r="J738" s="401">
        <v>49701</v>
      </c>
      <c r="K738" s="402">
        <v>99402</v>
      </c>
      <c r="L738" s="269" t="s">
        <v>957</v>
      </c>
      <c r="M738" s="129" t="s">
        <v>36</v>
      </c>
    </row>
    <row r="739" spans="1:13" x14ac:dyDescent="0.25">
      <c r="A739" s="121">
        <v>342</v>
      </c>
      <c r="B739" s="121">
        <v>75500</v>
      </c>
      <c r="C739" s="123" t="s">
        <v>2638</v>
      </c>
      <c r="D739" s="121" t="s">
        <v>473</v>
      </c>
      <c r="E739" s="149" t="s">
        <v>114</v>
      </c>
      <c r="F739" s="125" t="s">
        <v>559</v>
      </c>
      <c r="G739" s="270"/>
      <c r="H739" s="122">
        <v>41605</v>
      </c>
      <c r="I739" s="121">
        <v>1</v>
      </c>
      <c r="J739" s="401">
        <v>33370</v>
      </c>
      <c r="K739" s="402">
        <v>33370</v>
      </c>
      <c r="L739" s="269" t="s">
        <v>957</v>
      </c>
      <c r="M739" s="129" t="s">
        <v>36</v>
      </c>
    </row>
    <row r="740" spans="1:13" x14ac:dyDescent="0.25">
      <c r="A740" s="273">
        <v>343</v>
      </c>
      <c r="B740" s="121">
        <v>75500</v>
      </c>
      <c r="C740" s="123" t="s">
        <v>2638</v>
      </c>
      <c r="D740" s="121" t="s">
        <v>473</v>
      </c>
      <c r="E740" s="149" t="s">
        <v>534</v>
      </c>
      <c r="F740" s="125" t="s">
        <v>642</v>
      </c>
      <c r="G740" s="270" t="s">
        <v>580</v>
      </c>
      <c r="H740" s="122">
        <v>41605</v>
      </c>
      <c r="I740" s="121">
        <v>1</v>
      </c>
      <c r="J740" s="401">
        <v>30429</v>
      </c>
      <c r="K740" s="402">
        <v>30429</v>
      </c>
      <c r="L740" s="269" t="s">
        <v>957</v>
      </c>
      <c r="M740" s="129" t="s">
        <v>36</v>
      </c>
    </row>
    <row r="741" spans="1:13" x14ac:dyDescent="0.25">
      <c r="A741" s="273">
        <v>344</v>
      </c>
      <c r="B741" s="121">
        <v>70919</v>
      </c>
      <c r="C741" s="123" t="s">
        <v>2707</v>
      </c>
      <c r="D741" s="121" t="s">
        <v>481</v>
      </c>
      <c r="E741" s="149" t="s">
        <v>115</v>
      </c>
      <c r="F741" s="125" t="s">
        <v>428</v>
      </c>
      <c r="G741" s="270" t="s">
        <v>715</v>
      </c>
      <c r="H741" s="122">
        <v>41591</v>
      </c>
      <c r="I741" s="121">
        <v>1</v>
      </c>
      <c r="J741" s="401">
        <v>5274</v>
      </c>
      <c r="K741" s="402">
        <v>5274</v>
      </c>
      <c r="L741" s="269" t="s">
        <v>957</v>
      </c>
      <c r="M741" s="129" t="s">
        <v>36</v>
      </c>
    </row>
    <row r="742" spans="1:13" x14ac:dyDescent="0.25">
      <c r="A742" s="273">
        <v>345</v>
      </c>
      <c r="B742" s="121">
        <v>69360</v>
      </c>
      <c r="C742" s="123" t="s">
        <v>2708</v>
      </c>
      <c r="D742" s="121" t="s">
        <v>473</v>
      </c>
      <c r="E742" s="149" t="s">
        <v>190</v>
      </c>
      <c r="F742" s="125" t="s">
        <v>407</v>
      </c>
      <c r="G742" s="270" t="s">
        <v>563</v>
      </c>
      <c r="H742" s="122">
        <v>41585</v>
      </c>
      <c r="I742" s="121">
        <v>1</v>
      </c>
      <c r="J742" s="401">
        <v>57960</v>
      </c>
      <c r="K742" s="402">
        <v>57960</v>
      </c>
      <c r="L742" s="269" t="s">
        <v>957</v>
      </c>
      <c r="M742" s="129" t="s">
        <v>36</v>
      </c>
    </row>
    <row r="743" spans="1:13" x14ac:dyDescent="0.25">
      <c r="A743" s="273">
        <v>346</v>
      </c>
      <c r="B743" s="121">
        <v>71516</v>
      </c>
      <c r="C743" s="123" t="s">
        <v>2649</v>
      </c>
      <c r="D743" s="121" t="s">
        <v>481</v>
      </c>
      <c r="E743" s="149" t="s">
        <v>114</v>
      </c>
      <c r="F743" s="125" t="s">
        <v>469</v>
      </c>
      <c r="G743" s="270" t="s">
        <v>563</v>
      </c>
      <c r="H743" s="122">
        <v>41593</v>
      </c>
      <c r="I743" s="121">
        <v>1</v>
      </c>
      <c r="J743" s="401">
        <v>33370</v>
      </c>
      <c r="K743" s="402">
        <v>33370</v>
      </c>
      <c r="L743" s="269" t="s">
        <v>957</v>
      </c>
      <c r="M743" s="129" t="s">
        <v>36</v>
      </c>
    </row>
    <row r="744" spans="1:13" x14ac:dyDescent="0.25">
      <c r="A744" s="273">
        <v>347</v>
      </c>
      <c r="B744" s="121">
        <v>69556</v>
      </c>
      <c r="C744" s="123" t="s">
        <v>2709</v>
      </c>
      <c r="D744" s="121" t="s">
        <v>473</v>
      </c>
      <c r="E744" s="149" t="s">
        <v>115</v>
      </c>
      <c r="F744" s="125" t="s">
        <v>397</v>
      </c>
      <c r="G744" s="270" t="s">
        <v>483</v>
      </c>
      <c r="H744" s="122">
        <v>41589</v>
      </c>
      <c r="I744" s="121">
        <v>2</v>
      </c>
      <c r="J744" s="401">
        <v>5274</v>
      </c>
      <c r="K744" s="402">
        <v>10548</v>
      </c>
      <c r="L744" s="269" t="s">
        <v>957</v>
      </c>
      <c r="M744" s="129" t="s">
        <v>36</v>
      </c>
    </row>
    <row r="745" spans="1:13" x14ac:dyDescent="0.25">
      <c r="A745" s="273">
        <v>348</v>
      </c>
      <c r="B745" s="121">
        <v>71904</v>
      </c>
      <c r="C745" s="123" t="s">
        <v>2709</v>
      </c>
      <c r="D745" s="121" t="s">
        <v>473</v>
      </c>
      <c r="E745" s="149" t="s">
        <v>1129</v>
      </c>
      <c r="F745" s="125" t="s">
        <v>397</v>
      </c>
      <c r="G745" s="270" t="s">
        <v>675</v>
      </c>
      <c r="H745" s="122">
        <v>41596</v>
      </c>
      <c r="I745" s="121">
        <v>2</v>
      </c>
      <c r="J745" s="401">
        <v>49701</v>
      </c>
      <c r="K745" s="402">
        <v>99402</v>
      </c>
      <c r="L745" s="269" t="s">
        <v>957</v>
      </c>
      <c r="M745" s="129" t="s">
        <v>36</v>
      </c>
    </row>
    <row r="746" spans="1:13" s="144" customFormat="1" ht="15" customHeight="1" x14ac:dyDescent="0.25">
      <c r="A746" s="273">
        <v>349</v>
      </c>
      <c r="B746" s="121">
        <v>75178</v>
      </c>
      <c r="C746" s="123" t="s">
        <v>2650</v>
      </c>
      <c r="D746" s="121" t="s">
        <v>481</v>
      </c>
      <c r="E746" s="149" t="s">
        <v>679</v>
      </c>
      <c r="F746" s="125" t="s">
        <v>482</v>
      </c>
      <c r="G746" s="270" t="s">
        <v>570</v>
      </c>
      <c r="H746" s="122">
        <v>41605</v>
      </c>
      <c r="I746" s="121">
        <v>2</v>
      </c>
      <c r="J746" s="401">
        <v>55058</v>
      </c>
      <c r="K746" s="402">
        <v>110116</v>
      </c>
      <c r="L746" s="269" t="s">
        <v>957</v>
      </c>
      <c r="M746" s="129" t="s">
        <v>36</v>
      </c>
    </row>
    <row r="747" spans="1:13" s="144" customFormat="1" ht="15" customHeight="1" x14ac:dyDescent="0.25">
      <c r="A747" s="273">
        <v>350</v>
      </c>
      <c r="B747" s="121">
        <v>68540</v>
      </c>
      <c r="C747" s="123" t="s">
        <v>1524</v>
      </c>
      <c r="D747" s="121" t="s">
        <v>475</v>
      </c>
      <c r="E747" s="149" t="s">
        <v>115</v>
      </c>
      <c r="F747" s="125" t="s">
        <v>439</v>
      </c>
      <c r="G747" s="270" t="s">
        <v>486</v>
      </c>
      <c r="H747" s="122">
        <v>41584</v>
      </c>
      <c r="I747" s="121">
        <v>1</v>
      </c>
      <c r="J747" s="401">
        <v>5274</v>
      </c>
      <c r="K747" s="402">
        <v>5274</v>
      </c>
      <c r="L747" s="269" t="s">
        <v>957</v>
      </c>
      <c r="M747" s="129" t="s">
        <v>36</v>
      </c>
    </row>
    <row r="748" spans="1:13" s="144" customFormat="1" ht="15" customHeight="1" x14ac:dyDescent="0.25">
      <c r="A748" s="273">
        <v>351</v>
      </c>
      <c r="B748" s="121">
        <v>75803</v>
      </c>
      <c r="C748" s="123" t="s">
        <v>2710</v>
      </c>
      <c r="D748" s="121" t="s">
        <v>481</v>
      </c>
      <c r="E748" s="149" t="s">
        <v>115</v>
      </c>
      <c r="F748" s="125" t="s">
        <v>642</v>
      </c>
      <c r="G748" s="270" t="s">
        <v>486</v>
      </c>
      <c r="H748" s="122">
        <v>41607</v>
      </c>
      <c r="I748" s="121">
        <v>1</v>
      </c>
      <c r="J748" s="401">
        <v>5274</v>
      </c>
      <c r="K748" s="402">
        <v>5274</v>
      </c>
      <c r="L748" s="269" t="s">
        <v>957</v>
      </c>
      <c r="M748" s="129" t="s">
        <v>36</v>
      </c>
    </row>
    <row r="749" spans="1:13" s="144" customFormat="1" ht="15" customHeight="1" x14ac:dyDescent="0.25">
      <c r="A749" s="273">
        <v>352</v>
      </c>
      <c r="B749" s="121">
        <v>70970</v>
      </c>
      <c r="C749" s="123" t="s">
        <v>2553</v>
      </c>
      <c r="D749" s="121" t="s">
        <v>481</v>
      </c>
      <c r="E749" s="149" t="s">
        <v>114</v>
      </c>
      <c r="F749" s="125" t="s">
        <v>439</v>
      </c>
      <c r="G749" s="270" t="s">
        <v>734</v>
      </c>
      <c r="H749" s="122">
        <v>41591</v>
      </c>
      <c r="I749" s="121">
        <v>1</v>
      </c>
      <c r="J749" s="401">
        <v>33370</v>
      </c>
      <c r="K749" s="402">
        <v>33370</v>
      </c>
      <c r="L749" s="269" t="s">
        <v>957</v>
      </c>
      <c r="M749" s="129" t="s">
        <v>36</v>
      </c>
    </row>
    <row r="750" spans="1:13" s="144" customFormat="1" ht="15" customHeight="1" x14ac:dyDescent="0.25">
      <c r="A750" s="273">
        <v>353</v>
      </c>
      <c r="B750" s="121">
        <v>70655</v>
      </c>
      <c r="C750" s="123" t="s">
        <v>2711</v>
      </c>
      <c r="D750" s="121" t="s">
        <v>473</v>
      </c>
      <c r="E750" s="149" t="s">
        <v>574</v>
      </c>
      <c r="F750" s="125" t="s">
        <v>439</v>
      </c>
      <c r="G750" s="270" t="s">
        <v>2712</v>
      </c>
      <c r="H750" s="122">
        <v>41590</v>
      </c>
      <c r="I750" s="121">
        <v>1</v>
      </c>
      <c r="J750" s="401">
        <v>49701</v>
      </c>
      <c r="K750" s="402">
        <v>49701</v>
      </c>
      <c r="L750" s="269" t="s">
        <v>957</v>
      </c>
      <c r="M750" s="129" t="s">
        <v>36</v>
      </c>
    </row>
    <row r="751" spans="1:13" x14ac:dyDescent="0.25">
      <c r="A751" s="273">
        <v>354</v>
      </c>
      <c r="B751" s="121">
        <v>72419</v>
      </c>
      <c r="C751" s="123" t="s">
        <v>2711</v>
      </c>
      <c r="D751" s="121" t="s">
        <v>473</v>
      </c>
      <c r="E751" s="149" t="s">
        <v>114</v>
      </c>
      <c r="F751" s="125" t="s">
        <v>2316</v>
      </c>
      <c r="G751" s="270" t="s">
        <v>2712</v>
      </c>
      <c r="H751" s="122">
        <v>41597</v>
      </c>
      <c r="I751" s="121">
        <v>1</v>
      </c>
      <c r="J751" s="401">
        <v>33370</v>
      </c>
      <c r="K751" s="402">
        <v>33370</v>
      </c>
      <c r="L751" s="269" t="s">
        <v>957</v>
      </c>
      <c r="M751" s="129" t="s">
        <v>36</v>
      </c>
    </row>
    <row r="752" spans="1:13" x14ac:dyDescent="0.25">
      <c r="A752" s="273">
        <v>355</v>
      </c>
      <c r="B752" s="121">
        <v>68672</v>
      </c>
      <c r="C752" s="123" t="s">
        <v>2711</v>
      </c>
      <c r="D752" s="121" t="s">
        <v>473</v>
      </c>
      <c r="E752" s="149" t="s">
        <v>115</v>
      </c>
      <c r="F752" s="125" t="s">
        <v>2316</v>
      </c>
      <c r="G752" s="270" t="s">
        <v>700</v>
      </c>
      <c r="H752" s="122">
        <v>41583</v>
      </c>
      <c r="I752" s="121">
        <v>1</v>
      </c>
      <c r="J752" s="401">
        <v>5274</v>
      </c>
      <c r="K752" s="402">
        <v>5274</v>
      </c>
      <c r="L752" s="269" t="s">
        <v>957</v>
      </c>
      <c r="M752" s="129" t="s">
        <v>36</v>
      </c>
    </row>
    <row r="753" spans="1:13" x14ac:dyDescent="0.25">
      <c r="A753" s="273">
        <v>356</v>
      </c>
      <c r="B753" s="121">
        <v>69380</v>
      </c>
      <c r="C753" s="123" t="s">
        <v>2713</v>
      </c>
      <c r="D753" s="121" t="s">
        <v>481</v>
      </c>
      <c r="E753" s="149" t="s">
        <v>115</v>
      </c>
      <c r="F753" s="125" t="s">
        <v>380</v>
      </c>
      <c r="G753" s="270" t="s">
        <v>715</v>
      </c>
      <c r="H753" s="122">
        <v>41586</v>
      </c>
      <c r="I753" s="121">
        <v>1</v>
      </c>
      <c r="J753" s="401">
        <v>5274</v>
      </c>
      <c r="K753" s="402">
        <v>5274</v>
      </c>
      <c r="L753" s="269" t="s">
        <v>957</v>
      </c>
      <c r="M753" s="129" t="s">
        <v>36</v>
      </c>
    </row>
    <row r="754" spans="1:13" x14ac:dyDescent="0.25">
      <c r="A754" s="273">
        <v>357</v>
      </c>
      <c r="B754" s="121">
        <v>71678</v>
      </c>
      <c r="C754" s="123" t="s">
        <v>2714</v>
      </c>
      <c r="D754" s="121" t="s">
        <v>481</v>
      </c>
      <c r="E754" s="149" t="s">
        <v>679</v>
      </c>
      <c r="F754" s="125" t="s">
        <v>482</v>
      </c>
      <c r="G754" s="270" t="s">
        <v>700</v>
      </c>
      <c r="H754" s="122">
        <v>41593</v>
      </c>
      <c r="I754" s="121">
        <v>2</v>
      </c>
      <c r="J754" s="401">
        <v>55058</v>
      </c>
      <c r="K754" s="402">
        <v>110116</v>
      </c>
      <c r="L754" s="269" t="s">
        <v>957</v>
      </c>
      <c r="M754" s="129" t="s">
        <v>36</v>
      </c>
    </row>
    <row r="755" spans="1:13" x14ac:dyDescent="0.25">
      <c r="A755" s="273">
        <v>358</v>
      </c>
      <c r="B755" s="121">
        <v>69535</v>
      </c>
      <c r="C755" s="123" t="s">
        <v>2715</v>
      </c>
      <c r="D755" s="121" t="s">
        <v>473</v>
      </c>
      <c r="E755" s="149" t="s">
        <v>115</v>
      </c>
      <c r="F755" s="125" t="s">
        <v>397</v>
      </c>
      <c r="G755" s="270" t="s">
        <v>740</v>
      </c>
      <c r="H755" s="122">
        <v>41586</v>
      </c>
      <c r="I755" s="121">
        <v>2</v>
      </c>
      <c r="J755" s="401">
        <v>5274</v>
      </c>
      <c r="K755" s="402">
        <v>10548</v>
      </c>
      <c r="L755" s="269" t="s">
        <v>957</v>
      </c>
      <c r="M755" s="129" t="s">
        <v>36</v>
      </c>
    </row>
    <row r="756" spans="1:13" x14ac:dyDescent="0.25">
      <c r="A756" s="273">
        <v>359</v>
      </c>
      <c r="B756" s="121">
        <v>75060</v>
      </c>
      <c r="C756" s="123" t="s">
        <v>2716</v>
      </c>
      <c r="D756" s="121" t="s">
        <v>481</v>
      </c>
      <c r="E756" s="149" t="s">
        <v>186</v>
      </c>
      <c r="F756" s="125" t="s">
        <v>1560</v>
      </c>
      <c r="G756" s="270" t="s">
        <v>626</v>
      </c>
      <c r="H756" s="122">
        <v>41604</v>
      </c>
      <c r="I756" s="121">
        <v>3</v>
      </c>
      <c r="J756" s="401">
        <v>42601</v>
      </c>
      <c r="K756" s="402">
        <v>127803</v>
      </c>
      <c r="L756" s="269" t="s">
        <v>957</v>
      </c>
      <c r="M756" s="129" t="s">
        <v>36</v>
      </c>
    </row>
    <row r="757" spans="1:13" x14ac:dyDescent="0.25">
      <c r="A757" s="273">
        <v>360</v>
      </c>
      <c r="B757" s="121">
        <v>71442</v>
      </c>
      <c r="C757" s="123" t="s">
        <v>2717</v>
      </c>
      <c r="D757" s="121" t="s">
        <v>481</v>
      </c>
      <c r="E757" s="149" t="s">
        <v>115</v>
      </c>
      <c r="F757" s="125" t="s">
        <v>508</v>
      </c>
      <c r="G757" s="270" t="s">
        <v>715</v>
      </c>
      <c r="H757" s="122">
        <v>41593</v>
      </c>
      <c r="I757" s="121">
        <v>1</v>
      </c>
      <c r="J757" s="401">
        <v>5274</v>
      </c>
      <c r="K757" s="402">
        <v>5274</v>
      </c>
      <c r="L757" s="269" t="s">
        <v>957</v>
      </c>
      <c r="M757" s="129" t="s">
        <v>36</v>
      </c>
    </row>
    <row r="758" spans="1:13" x14ac:dyDescent="0.25">
      <c r="A758" s="273">
        <v>361</v>
      </c>
      <c r="B758" s="121">
        <v>66239</v>
      </c>
      <c r="C758" s="123" t="s">
        <v>2718</v>
      </c>
      <c r="D758" s="121" t="s">
        <v>502</v>
      </c>
      <c r="E758" s="149" t="s">
        <v>577</v>
      </c>
      <c r="F758" s="125" t="s">
        <v>368</v>
      </c>
      <c r="G758" s="270"/>
      <c r="H758" s="122">
        <v>41572</v>
      </c>
      <c r="I758" s="121">
        <v>1</v>
      </c>
      <c r="J758" s="401">
        <v>25800</v>
      </c>
      <c r="K758" s="402">
        <v>25800</v>
      </c>
      <c r="L758" s="269" t="s">
        <v>957</v>
      </c>
      <c r="M758" s="129" t="s">
        <v>36</v>
      </c>
    </row>
    <row r="759" spans="1:13" x14ac:dyDescent="0.25">
      <c r="A759" s="273">
        <v>362</v>
      </c>
      <c r="B759" s="121">
        <v>70385</v>
      </c>
      <c r="C759" s="123" t="s">
        <v>2719</v>
      </c>
      <c r="D759" s="121" t="s">
        <v>473</v>
      </c>
      <c r="E759" s="149" t="s">
        <v>115</v>
      </c>
      <c r="F759" s="125" t="s">
        <v>469</v>
      </c>
      <c r="G759" s="270" t="s">
        <v>486</v>
      </c>
      <c r="H759" s="122">
        <v>41590</v>
      </c>
      <c r="I759" s="121">
        <v>1</v>
      </c>
      <c r="J759" s="401">
        <v>5274</v>
      </c>
      <c r="K759" s="402">
        <v>5274</v>
      </c>
      <c r="L759" s="269" t="s">
        <v>957</v>
      </c>
      <c r="M759" s="129" t="s">
        <v>36</v>
      </c>
    </row>
    <row r="760" spans="1:13" x14ac:dyDescent="0.25">
      <c r="A760" s="273">
        <v>363</v>
      </c>
      <c r="B760" s="121">
        <v>69127</v>
      </c>
      <c r="C760" s="123" t="s">
        <v>1496</v>
      </c>
      <c r="D760" s="121" t="s">
        <v>481</v>
      </c>
      <c r="E760" s="149" t="s">
        <v>215</v>
      </c>
      <c r="F760" s="125" t="s">
        <v>368</v>
      </c>
      <c r="G760" s="270" t="s">
        <v>700</v>
      </c>
      <c r="H760" s="122">
        <v>41584</v>
      </c>
      <c r="I760" s="121">
        <v>1</v>
      </c>
      <c r="J760" s="401">
        <v>44597</v>
      </c>
      <c r="K760" s="402">
        <v>44597</v>
      </c>
      <c r="L760" s="269" t="s">
        <v>957</v>
      </c>
      <c r="M760" s="129" t="s">
        <v>36</v>
      </c>
    </row>
    <row r="761" spans="1:13" x14ac:dyDescent="0.25">
      <c r="A761" s="273">
        <v>364</v>
      </c>
      <c r="B761" s="121">
        <v>74606</v>
      </c>
      <c r="C761" s="123" t="s">
        <v>2720</v>
      </c>
      <c r="D761" s="121" t="s">
        <v>473</v>
      </c>
      <c r="E761" s="149" t="s">
        <v>534</v>
      </c>
      <c r="F761" s="125" t="s">
        <v>439</v>
      </c>
      <c r="G761" s="270" t="s">
        <v>1266</v>
      </c>
      <c r="H761" s="122">
        <v>41603</v>
      </c>
      <c r="I761" s="121">
        <v>1</v>
      </c>
      <c r="J761" s="401">
        <v>30429</v>
      </c>
      <c r="K761" s="402">
        <v>30429</v>
      </c>
      <c r="L761" s="269" t="s">
        <v>957</v>
      </c>
      <c r="M761" s="129" t="s">
        <v>36</v>
      </c>
    </row>
    <row r="762" spans="1:13" x14ac:dyDescent="0.25">
      <c r="A762" s="273">
        <v>365</v>
      </c>
      <c r="B762" s="121">
        <v>69215</v>
      </c>
      <c r="C762" s="123" t="s">
        <v>2721</v>
      </c>
      <c r="D762" s="121" t="s">
        <v>473</v>
      </c>
      <c r="E762" s="149" t="s">
        <v>574</v>
      </c>
      <c r="F762" s="125" t="s">
        <v>559</v>
      </c>
      <c r="G762" s="270" t="s">
        <v>2679</v>
      </c>
      <c r="H762" s="122">
        <v>41280</v>
      </c>
      <c r="I762" s="121">
        <v>1</v>
      </c>
      <c r="J762" s="401">
        <v>49701</v>
      </c>
      <c r="K762" s="402">
        <v>49701</v>
      </c>
      <c r="L762" s="269" t="s">
        <v>957</v>
      </c>
      <c r="M762" s="129" t="s">
        <v>36</v>
      </c>
    </row>
    <row r="763" spans="1:13" x14ac:dyDescent="0.25">
      <c r="A763" s="273">
        <v>366</v>
      </c>
      <c r="B763" s="121">
        <v>76120</v>
      </c>
      <c r="C763" s="123" t="s">
        <v>2722</v>
      </c>
      <c r="D763" s="121" t="s">
        <v>473</v>
      </c>
      <c r="E763" s="149" t="s">
        <v>215</v>
      </c>
      <c r="F763" s="125" t="s">
        <v>368</v>
      </c>
      <c r="G763" s="270" t="s">
        <v>570</v>
      </c>
      <c r="H763" s="122">
        <v>41607</v>
      </c>
      <c r="I763" s="121">
        <v>1</v>
      </c>
      <c r="J763" s="401">
        <v>44597</v>
      </c>
      <c r="K763" s="402">
        <v>44597</v>
      </c>
      <c r="L763" s="269" t="s">
        <v>957</v>
      </c>
      <c r="M763" s="129" t="s">
        <v>36</v>
      </c>
    </row>
    <row r="764" spans="1:13" x14ac:dyDescent="0.25">
      <c r="A764" s="273">
        <v>367</v>
      </c>
      <c r="B764" s="121">
        <v>72420</v>
      </c>
      <c r="C764" s="123" t="s">
        <v>2723</v>
      </c>
      <c r="D764" s="121" t="s">
        <v>473</v>
      </c>
      <c r="E764" s="149" t="s">
        <v>205</v>
      </c>
      <c r="F764" s="125" t="s">
        <v>469</v>
      </c>
      <c r="G764" s="270" t="s">
        <v>2724</v>
      </c>
      <c r="H764" s="122">
        <v>41597</v>
      </c>
      <c r="I764" s="121">
        <v>1</v>
      </c>
      <c r="J764" s="401">
        <v>55062</v>
      </c>
      <c r="K764" s="402">
        <v>55062</v>
      </c>
      <c r="L764" s="269" t="s">
        <v>957</v>
      </c>
      <c r="M764" s="129" t="s">
        <v>36</v>
      </c>
    </row>
    <row r="765" spans="1:13" x14ac:dyDescent="0.25">
      <c r="A765" s="273">
        <v>368</v>
      </c>
      <c r="B765" s="121">
        <v>66736</v>
      </c>
      <c r="C765" s="123" t="s">
        <v>2725</v>
      </c>
      <c r="D765" s="121" t="s">
        <v>473</v>
      </c>
      <c r="E765" s="149" t="s">
        <v>115</v>
      </c>
      <c r="F765" s="125" t="s">
        <v>442</v>
      </c>
      <c r="G765" s="270" t="s">
        <v>483</v>
      </c>
      <c r="H765" s="122">
        <v>41575</v>
      </c>
      <c r="I765" s="121">
        <v>1</v>
      </c>
      <c r="J765" s="401">
        <v>5274</v>
      </c>
      <c r="K765" s="402">
        <v>5274</v>
      </c>
      <c r="L765" s="269" t="s">
        <v>957</v>
      </c>
      <c r="M765" s="129" t="s">
        <v>36</v>
      </c>
    </row>
    <row r="766" spans="1:13" x14ac:dyDescent="0.25">
      <c r="A766" s="273">
        <v>369</v>
      </c>
      <c r="B766" s="121">
        <v>72421</v>
      </c>
      <c r="C766" s="123" t="s">
        <v>2725</v>
      </c>
      <c r="D766" s="121" t="s">
        <v>473</v>
      </c>
      <c r="E766" s="149" t="s">
        <v>190</v>
      </c>
      <c r="F766" s="125" t="s">
        <v>407</v>
      </c>
      <c r="G766" s="270"/>
      <c r="H766" s="122">
        <v>41596</v>
      </c>
      <c r="I766" s="121">
        <v>1</v>
      </c>
      <c r="J766" s="401">
        <v>57960</v>
      </c>
      <c r="K766" s="402">
        <v>57960</v>
      </c>
      <c r="L766" s="269" t="s">
        <v>957</v>
      </c>
      <c r="M766" s="129" t="s">
        <v>36</v>
      </c>
    </row>
    <row r="767" spans="1:13" x14ac:dyDescent="0.25">
      <c r="A767" s="273">
        <v>370</v>
      </c>
      <c r="B767" s="121">
        <v>72421</v>
      </c>
      <c r="C767" s="123" t="s">
        <v>2725</v>
      </c>
      <c r="D767" s="121" t="s">
        <v>473</v>
      </c>
      <c r="E767" s="149" t="s">
        <v>215</v>
      </c>
      <c r="F767" s="125" t="s">
        <v>368</v>
      </c>
      <c r="G767" s="270"/>
      <c r="H767" s="122">
        <v>41596</v>
      </c>
      <c r="I767" s="121">
        <v>1</v>
      </c>
      <c r="J767" s="401">
        <v>44597</v>
      </c>
      <c r="K767" s="402">
        <v>44597</v>
      </c>
      <c r="L767" s="269" t="s">
        <v>957</v>
      </c>
      <c r="M767" s="129" t="s">
        <v>36</v>
      </c>
    </row>
    <row r="768" spans="1:13" x14ac:dyDescent="0.25">
      <c r="A768" s="273">
        <v>371</v>
      </c>
      <c r="B768" s="121">
        <v>76197</v>
      </c>
      <c r="C768" s="123" t="s">
        <v>2725</v>
      </c>
      <c r="D768" s="121" t="s">
        <v>473</v>
      </c>
      <c r="E768" s="149" t="s">
        <v>115</v>
      </c>
      <c r="F768" s="125" t="s">
        <v>442</v>
      </c>
      <c r="G768" s="270" t="s">
        <v>570</v>
      </c>
      <c r="H768" s="122">
        <v>41607</v>
      </c>
      <c r="I768" s="121">
        <v>1</v>
      </c>
      <c r="J768" s="401">
        <v>5274</v>
      </c>
      <c r="K768" s="402">
        <v>5274</v>
      </c>
      <c r="L768" s="269" t="s">
        <v>957</v>
      </c>
      <c r="M768" s="129" t="s">
        <v>36</v>
      </c>
    </row>
    <row r="769" spans="1:13" x14ac:dyDescent="0.25">
      <c r="A769" s="273">
        <v>372</v>
      </c>
      <c r="B769" s="121">
        <v>72923</v>
      </c>
      <c r="C769" s="123" t="s">
        <v>2726</v>
      </c>
      <c r="D769" s="121" t="s">
        <v>473</v>
      </c>
      <c r="E769" s="149" t="s">
        <v>577</v>
      </c>
      <c r="F769" s="125" t="s">
        <v>368</v>
      </c>
      <c r="G769" s="270"/>
      <c r="H769" s="122">
        <v>41598</v>
      </c>
      <c r="I769" s="121">
        <v>1</v>
      </c>
      <c r="J769" s="401">
        <v>25800</v>
      </c>
      <c r="K769" s="402">
        <v>25800</v>
      </c>
      <c r="L769" s="269" t="s">
        <v>957</v>
      </c>
      <c r="M769" s="129" t="s">
        <v>36</v>
      </c>
    </row>
    <row r="770" spans="1:13" x14ac:dyDescent="0.25">
      <c r="A770" s="273">
        <v>373</v>
      </c>
      <c r="B770" s="121">
        <v>6794</v>
      </c>
      <c r="C770" s="123" t="s">
        <v>2727</v>
      </c>
      <c r="D770" s="121" t="s">
        <v>471</v>
      </c>
      <c r="E770" s="149" t="s">
        <v>577</v>
      </c>
      <c r="F770" s="125" t="s">
        <v>368</v>
      </c>
      <c r="G770" s="270"/>
      <c r="H770" s="122">
        <v>41577</v>
      </c>
      <c r="I770" s="121">
        <v>1</v>
      </c>
      <c r="J770" s="401">
        <v>25800</v>
      </c>
      <c r="K770" s="402">
        <v>25800</v>
      </c>
      <c r="L770" s="269" t="s">
        <v>957</v>
      </c>
      <c r="M770" s="129" t="s">
        <v>36</v>
      </c>
    </row>
    <row r="771" spans="1:13" x14ac:dyDescent="0.25">
      <c r="A771" s="273">
        <v>374</v>
      </c>
      <c r="B771" s="121">
        <v>69894</v>
      </c>
      <c r="C771" s="123" t="s">
        <v>2662</v>
      </c>
      <c r="D771" s="121" t="s">
        <v>481</v>
      </c>
      <c r="E771" s="149" t="s">
        <v>574</v>
      </c>
      <c r="F771" s="125" t="s">
        <v>642</v>
      </c>
      <c r="G771" s="270"/>
      <c r="H771" s="122">
        <v>41586</v>
      </c>
      <c r="I771" s="121">
        <v>1</v>
      </c>
      <c r="J771" s="401">
        <v>49701</v>
      </c>
      <c r="K771" s="402">
        <v>49701</v>
      </c>
      <c r="L771" s="269" t="s">
        <v>957</v>
      </c>
      <c r="M771" s="129" t="s">
        <v>36</v>
      </c>
    </row>
    <row r="772" spans="1:13" x14ac:dyDescent="0.25">
      <c r="A772" s="273">
        <v>375</v>
      </c>
      <c r="B772" s="121">
        <v>73592</v>
      </c>
      <c r="C772" s="123" t="s">
        <v>2728</v>
      </c>
      <c r="D772" s="121" t="s">
        <v>481</v>
      </c>
      <c r="E772" s="149" t="s">
        <v>114</v>
      </c>
      <c r="F772" s="125" t="s">
        <v>2493</v>
      </c>
      <c r="G772" s="270" t="s">
        <v>2109</v>
      </c>
      <c r="H772" s="122">
        <v>41600</v>
      </c>
      <c r="I772" s="121">
        <v>3</v>
      </c>
      <c r="J772" s="401">
        <v>33370</v>
      </c>
      <c r="K772" s="402">
        <v>100110</v>
      </c>
      <c r="L772" s="269" t="s">
        <v>957</v>
      </c>
      <c r="M772" s="129" t="s">
        <v>36</v>
      </c>
    </row>
    <row r="773" spans="1:13" x14ac:dyDescent="0.25">
      <c r="A773" s="273">
        <v>376</v>
      </c>
      <c r="B773" s="121">
        <v>70130</v>
      </c>
      <c r="C773" s="123" t="s">
        <v>2729</v>
      </c>
      <c r="D773" s="121" t="s">
        <v>502</v>
      </c>
      <c r="E773" s="149" t="s">
        <v>577</v>
      </c>
      <c r="F773" s="125" t="s">
        <v>368</v>
      </c>
      <c r="G773" s="270"/>
      <c r="H773" s="122">
        <v>41590</v>
      </c>
      <c r="I773" s="121">
        <v>1</v>
      </c>
      <c r="J773" s="401">
        <v>25800</v>
      </c>
      <c r="K773" s="402">
        <v>25800</v>
      </c>
      <c r="L773" s="269" t="s">
        <v>957</v>
      </c>
      <c r="M773" s="129" t="s">
        <v>36</v>
      </c>
    </row>
    <row r="774" spans="1:13" x14ac:dyDescent="0.25">
      <c r="A774" s="273">
        <v>377</v>
      </c>
      <c r="B774" s="121">
        <v>68587</v>
      </c>
      <c r="C774" s="123" t="s">
        <v>2730</v>
      </c>
      <c r="D774" s="121" t="s">
        <v>481</v>
      </c>
      <c r="E774" s="149" t="s">
        <v>577</v>
      </c>
      <c r="F774" s="125" t="s">
        <v>368</v>
      </c>
      <c r="G774" s="270"/>
      <c r="H774" s="122">
        <v>41583</v>
      </c>
      <c r="I774" s="121">
        <v>1</v>
      </c>
      <c r="J774" s="401">
        <v>25800</v>
      </c>
      <c r="K774" s="402">
        <v>25800</v>
      </c>
      <c r="L774" s="269" t="s">
        <v>957</v>
      </c>
      <c r="M774" s="129" t="s">
        <v>36</v>
      </c>
    </row>
    <row r="775" spans="1:13" x14ac:dyDescent="0.25">
      <c r="A775" s="273">
        <v>378</v>
      </c>
      <c r="B775" s="121">
        <v>71643</v>
      </c>
      <c r="C775" s="123" t="s">
        <v>2666</v>
      </c>
      <c r="D775" s="121" t="s">
        <v>473</v>
      </c>
      <c r="E775" s="149" t="s">
        <v>114</v>
      </c>
      <c r="F775" s="125" t="s">
        <v>2316</v>
      </c>
      <c r="G775" s="270" t="s">
        <v>655</v>
      </c>
      <c r="H775" s="122">
        <v>41593</v>
      </c>
      <c r="I775" s="121">
        <v>1</v>
      </c>
      <c r="J775" s="401">
        <v>33370</v>
      </c>
      <c r="K775" s="402">
        <v>33370</v>
      </c>
      <c r="L775" s="269" t="s">
        <v>957</v>
      </c>
      <c r="M775" s="129" t="s">
        <v>36</v>
      </c>
    </row>
    <row r="776" spans="1:13" x14ac:dyDescent="0.25">
      <c r="A776" s="273">
        <v>379</v>
      </c>
      <c r="B776" s="121">
        <v>70634</v>
      </c>
      <c r="C776" s="123" t="s">
        <v>2731</v>
      </c>
      <c r="D776" s="121" t="s">
        <v>481</v>
      </c>
      <c r="E776" s="149" t="s">
        <v>186</v>
      </c>
      <c r="F776" s="125" t="s">
        <v>389</v>
      </c>
      <c r="G776" s="270" t="s">
        <v>734</v>
      </c>
      <c r="H776" s="122">
        <v>41590</v>
      </c>
      <c r="I776" s="121">
        <v>1</v>
      </c>
      <c r="J776" s="401">
        <v>42601</v>
      </c>
      <c r="K776" s="402">
        <v>42601</v>
      </c>
      <c r="L776" s="269" t="s">
        <v>957</v>
      </c>
      <c r="M776" s="129" t="s">
        <v>36</v>
      </c>
    </row>
    <row r="777" spans="1:13" x14ac:dyDescent="0.25">
      <c r="A777" s="273">
        <v>380</v>
      </c>
      <c r="B777" s="121">
        <v>76502</v>
      </c>
      <c r="C777" s="123" t="s">
        <v>2732</v>
      </c>
      <c r="D777" s="121" t="s">
        <v>481</v>
      </c>
      <c r="E777" s="149" t="s">
        <v>534</v>
      </c>
      <c r="F777" s="125" t="s">
        <v>642</v>
      </c>
      <c r="G777" s="270" t="s">
        <v>566</v>
      </c>
      <c r="H777" s="122">
        <v>41607</v>
      </c>
      <c r="I777" s="121">
        <v>1</v>
      </c>
      <c r="J777" s="401">
        <v>30429</v>
      </c>
      <c r="K777" s="402">
        <v>30429</v>
      </c>
      <c r="L777" s="269" t="s">
        <v>957</v>
      </c>
      <c r="M777" s="129" t="s">
        <v>36</v>
      </c>
    </row>
    <row r="778" spans="1:13" x14ac:dyDescent="0.25">
      <c r="A778" s="273">
        <v>381</v>
      </c>
      <c r="B778" s="121">
        <v>75855</v>
      </c>
      <c r="C778" s="123" t="s">
        <v>2733</v>
      </c>
      <c r="D778" s="121" t="s">
        <v>481</v>
      </c>
      <c r="E778" s="149" t="s">
        <v>115</v>
      </c>
      <c r="F778" s="125" t="s">
        <v>416</v>
      </c>
      <c r="G778" s="270" t="s">
        <v>715</v>
      </c>
      <c r="H778" s="122">
        <v>41607</v>
      </c>
      <c r="I778" s="121">
        <v>1</v>
      </c>
      <c r="J778" s="401">
        <v>5274</v>
      </c>
      <c r="K778" s="402">
        <v>5274</v>
      </c>
      <c r="L778" s="269" t="s">
        <v>957</v>
      </c>
      <c r="M778" s="129" t="s">
        <v>36</v>
      </c>
    </row>
    <row r="779" spans="1:13" x14ac:dyDescent="0.25">
      <c r="A779" s="273">
        <v>382</v>
      </c>
      <c r="B779" s="121">
        <v>71518</v>
      </c>
      <c r="C779" s="123" t="s">
        <v>2669</v>
      </c>
      <c r="D779" s="121" t="s">
        <v>481</v>
      </c>
      <c r="E779" s="149" t="s">
        <v>114</v>
      </c>
      <c r="F779" s="125" t="s">
        <v>524</v>
      </c>
      <c r="G779" s="270" t="s">
        <v>1266</v>
      </c>
      <c r="H779" s="122">
        <v>41593</v>
      </c>
      <c r="I779" s="121">
        <v>1</v>
      </c>
      <c r="J779" s="401">
        <v>33370</v>
      </c>
      <c r="K779" s="402">
        <v>33370</v>
      </c>
      <c r="L779" s="269" t="s">
        <v>957</v>
      </c>
      <c r="M779" s="129" t="s">
        <v>36</v>
      </c>
    </row>
    <row r="780" spans="1:13" x14ac:dyDescent="0.25">
      <c r="A780" s="273">
        <v>383</v>
      </c>
      <c r="B780" s="121">
        <v>70078</v>
      </c>
      <c r="C780" s="123" t="s">
        <v>2670</v>
      </c>
      <c r="D780" s="121" t="s">
        <v>481</v>
      </c>
      <c r="E780" s="149" t="s">
        <v>114</v>
      </c>
      <c r="F780" s="125" t="s">
        <v>642</v>
      </c>
      <c r="G780" s="270" t="s">
        <v>580</v>
      </c>
      <c r="H780" s="122">
        <v>41589</v>
      </c>
      <c r="I780" s="121">
        <v>1</v>
      </c>
      <c r="J780" s="401">
        <v>33370</v>
      </c>
      <c r="K780" s="402">
        <v>33370</v>
      </c>
      <c r="L780" s="269" t="s">
        <v>957</v>
      </c>
      <c r="M780" s="129" t="s">
        <v>36</v>
      </c>
    </row>
    <row r="781" spans="1:13" x14ac:dyDescent="0.25">
      <c r="A781" s="273">
        <v>384</v>
      </c>
      <c r="B781" s="121">
        <v>72994</v>
      </c>
      <c r="C781" s="123" t="s">
        <v>2734</v>
      </c>
      <c r="D781" s="121" t="s">
        <v>481</v>
      </c>
      <c r="E781" s="149" t="s">
        <v>115</v>
      </c>
      <c r="F781" s="125" t="s">
        <v>2511</v>
      </c>
      <c r="G781" s="270"/>
      <c r="H781" s="122">
        <v>41598</v>
      </c>
      <c r="I781" s="121">
        <v>2</v>
      </c>
      <c r="J781" s="401">
        <v>5274</v>
      </c>
      <c r="K781" s="402">
        <v>10548</v>
      </c>
      <c r="L781" s="269" t="s">
        <v>957</v>
      </c>
      <c r="M781" s="129" t="s">
        <v>36</v>
      </c>
    </row>
    <row r="782" spans="1:13" x14ac:dyDescent="0.25">
      <c r="A782" s="273">
        <v>385</v>
      </c>
      <c r="B782" s="121">
        <v>68565</v>
      </c>
      <c r="C782" s="123" t="s">
        <v>1312</v>
      </c>
      <c r="D782" s="121" t="s">
        <v>473</v>
      </c>
      <c r="E782" s="149" t="s">
        <v>114</v>
      </c>
      <c r="F782" s="125" t="s">
        <v>559</v>
      </c>
      <c r="G782" s="270" t="s">
        <v>626</v>
      </c>
      <c r="H782" s="122">
        <v>41583</v>
      </c>
      <c r="I782" s="121">
        <v>1</v>
      </c>
      <c r="J782" s="401">
        <v>33370</v>
      </c>
      <c r="K782" s="402">
        <v>33370</v>
      </c>
      <c r="L782" s="269" t="s">
        <v>957</v>
      </c>
      <c r="M782" s="129" t="s">
        <v>36</v>
      </c>
    </row>
    <row r="783" spans="1:13" x14ac:dyDescent="0.25">
      <c r="A783" s="273">
        <v>386</v>
      </c>
      <c r="B783" s="121">
        <v>69952</v>
      </c>
      <c r="C783" s="123" t="s">
        <v>1347</v>
      </c>
      <c r="D783" s="121" t="s">
        <v>481</v>
      </c>
      <c r="E783" s="149" t="s">
        <v>115</v>
      </c>
      <c r="F783" s="125" t="s">
        <v>469</v>
      </c>
      <c r="G783" s="270" t="s">
        <v>715</v>
      </c>
      <c r="H783" s="122">
        <v>41590</v>
      </c>
      <c r="I783" s="121">
        <v>1</v>
      </c>
      <c r="J783" s="401">
        <v>5274</v>
      </c>
      <c r="K783" s="402">
        <v>5274</v>
      </c>
      <c r="L783" s="269" t="s">
        <v>957</v>
      </c>
      <c r="M783" s="129" t="s">
        <v>36</v>
      </c>
    </row>
    <row r="784" spans="1:13" x14ac:dyDescent="0.25">
      <c r="A784" s="273">
        <v>387</v>
      </c>
      <c r="B784" s="121">
        <v>71559</v>
      </c>
      <c r="C784" s="123" t="s">
        <v>2735</v>
      </c>
      <c r="D784" s="121" t="s">
        <v>473</v>
      </c>
      <c r="E784" s="149" t="s">
        <v>115</v>
      </c>
      <c r="F784" s="125" t="s">
        <v>524</v>
      </c>
      <c r="G784" s="270" t="s">
        <v>715</v>
      </c>
      <c r="H784" s="122">
        <v>41593</v>
      </c>
      <c r="I784" s="121">
        <v>1</v>
      </c>
      <c r="J784" s="401">
        <v>5274</v>
      </c>
      <c r="K784" s="402">
        <v>5274</v>
      </c>
      <c r="L784" s="269" t="s">
        <v>957</v>
      </c>
      <c r="M784" s="129" t="s">
        <v>36</v>
      </c>
    </row>
    <row r="785" spans="1:13" x14ac:dyDescent="0.25">
      <c r="A785" s="273">
        <v>388</v>
      </c>
      <c r="B785" s="121">
        <v>68692</v>
      </c>
      <c r="C785" s="123" t="s">
        <v>2676</v>
      </c>
      <c r="D785" s="121" t="s">
        <v>481</v>
      </c>
      <c r="E785" s="149" t="s">
        <v>114</v>
      </c>
      <c r="F785" s="125" t="s">
        <v>469</v>
      </c>
      <c r="G785" s="270" t="s">
        <v>675</v>
      </c>
      <c r="H785" s="122">
        <v>41583</v>
      </c>
      <c r="I785" s="121">
        <v>1</v>
      </c>
      <c r="J785" s="401">
        <v>33370</v>
      </c>
      <c r="K785" s="402">
        <v>33370</v>
      </c>
      <c r="L785" s="269" t="s">
        <v>957</v>
      </c>
      <c r="M785" s="129" t="s">
        <v>36</v>
      </c>
    </row>
    <row r="786" spans="1:13" x14ac:dyDescent="0.25">
      <c r="A786" s="273">
        <v>389</v>
      </c>
      <c r="B786" s="121">
        <v>68852</v>
      </c>
      <c r="C786" s="123" t="s">
        <v>2736</v>
      </c>
      <c r="D786" s="121" t="s">
        <v>502</v>
      </c>
      <c r="E786" s="149" t="s">
        <v>577</v>
      </c>
      <c r="F786" s="125" t="s">
        <v>368</v>
      </c>
      <c r="G786" s="270"/>
      <c r="H786" s="122">
        <v>41583</v>
      </c>
      <c r="I786" s="121">
        <v>1</v>
      </c>
      <c r="J786" s="401">
        <v>25800</v>
      </c>
      <c r="K786" s="402">
        <v>25800</v>
      </c>
      <c r="L786" s="269" t="s">
        <v>957</v>
      </c>
      <c r="M786" s="129" t="s">
        <v>36</v>
      </c>
    </row>
    <row r="787" spans="1:13" x14ac:dyDescent="0.25">
      <c r="A787" s="273">
        <v>390</v>
      </c>
      <c r="B787" s="121">
        <v>71565</v>
      </c>
      <c r="C787" s="123" t="s">
        <v>2737</v>
      </c>
      <c r="D787" s="121" t="s">
        <v>473</v>
      </c>
      <c r="E787" s="149" t="s">
        <v>574</v>
      </c>
      <c r="F787" s="125" t="s">
        <v>416</v>
      </c>
      <c r="G787" s="270" t="s">
        <v>1266</v>
      </c>
      <c r="H787" s="122">
        <v>41593</v>
      </c>
      <c r="I787" s="121">
        <v>1</v>
      </c>
      <c r="J787" s="401">
        <v>49701</v>
      </c>
      <c r="K787" s="402">
        <v>49701</v>
      </c>
      <c r="L787" s="269" t="s">
        <v>957</v>
      </c>
      <c r="M787" s="129" t="s">
        <v>36</v>
      </c>
    </row>
    <row r="788" spans="1:13" x14ac:dyDescent="0.25">
      <c r="A788" s="273">
        <v>391</v>
      </c>
      <c r="B788" s="121">
        <v>71401</v>
      </c>
      <c r="C788" s="123" t="s">
        <v>2738</v>
      </c>
      <c r="D788" s="121" t="s">
        <v>478</v>
      </c>
      <c r="E788" s="149" t="s">
        <v>215</v>
      </c>
      <c r="F788" s="125" t="s">
        <v>368</v>
      </c>
      <c r="G788" s="270" t="s">
        <v>486</v>
      </c>
      <c r="H788" s="122">
        <v>41592</v>
      </c>
      <c r="I788" s="121">
        <v>1</v>
      </c>
      <c r="J788" s="401">
        <v>44597</v>
      </c>
      <c r="K788" s="402">
        <v>44597</v>
      </c>
      <c r="L788" s="269" t="s">
        <v>957</v>
      </c>
      <c r="M788" s="129" t="s">
        <v>36</v>
      </c>
    </row>
    <row r="789" spans="1:13" x14ac:dyDescent="0.25">
      <c r="A789" s="273">
        <v>392</v>
      </c>
      <c r="B789" s="121">
        <v>73543</v>
      </c>
      <c r="C789" s="123" t="s">
        <v>2739</v>
      </c>
      <c r="D789" s="121" t="s">
        <v>481</v>
      </c>
      <c r="E789" s="149" t="s">
        <v>114</v>
      </c>
      <c r="F789" s="125" t="s">
        <v>1095</v>
      </c>
      <c r="G789" s="270" t="s">
        <v>580</v>
      </c>
      <c r="H789" s="122">
        <v>41600</v>
      </c>
      <c r="I789" s="121">
        <v>2</v>
      </c>
      <c r="J789" s="401">
        <v>33370</v>
      </c>
      <c r="K789" s="402">
        <v>66740</v>
      </c>
      <c r="L789" s="269" t="s">
        <v>957</v>
      </c>
      <c r="M789" s="129" t="s">
        <v>36</v>
      </c>
    </row>
    <row r="790" spans="1:13" x14ac:dyDescent="0.25">
      <c r="A790" s="273">
        <v>393</v>
      </c>
      <c r="B790" s="121">
        <v>73698</v>
      </c>
      <c r="C790" s="123" t="s">
        <v>1348</v>
      </c>
      <c r="D790" s="121" t="s">
        <v>473</v>
      </c>
      <c r="E790" s="149" t="s">
        <v>115</v>
      </c>
      <c r="F790" s="125" t="s">
        <v>380</v>
      </c>
      <c r="G790" s="270"/>
      <c r="H790" s="122">
        <v>41600</v>
      </c>
      <c r="I790" s="121">
        <v>1</v>
      </c>
      <c r="J790" s="401">
        <v>5274</v>
      </c>
      <c r="K790" s="402">
        <v>5274</v>
      </c>
      <c r="L790" s="269" t="s">
        <v>957</v>
      </c>
      <c r="M790" s="129" t="s">
        <v>36</v>
      </c>
    </row>
    <row r="791" spans="1:13" x14ac:dyDescent="0.25">
      <c r="A791" s="273">
        <v>394</v>
      </c>
      <c r="B791" s="121">
        <v>71711</v>
      </c>
      <c r="C791" s="123" t="s">
        <v>2740</v>
      </c>
      <c r="D791" s="121" t="s">
        <v>473</v>
      </c>
      <c r="E791" s="149" t="s">
        <v>534</v>
      </c>
      <c r="F791" s="125" t="s">
        <v>428</v>
      </c>
      <c r="G791" s="270" t="s">
        <v>1991</v>
      </c>
      <c r="H791" s="122">
        <v>41593</v>
      </c>
      <c r="I791" s="121">
        <v>1</v>
      </c>
      <c r="J791" s="401">
        <v>30429</v>
      </c>
      <c r="K791" s="402">
        <v>30429</v>
      </c>
      <c r="L791" s="269" t="s">
        <v>957</v>
      </c>
      <c r="M791" s="129" t="s">
        <v>36</v>
      </c>
    </row>
    <row r="792" spans="1:13" x14ac:dyDescent="0.25">
      <c r="A792" s="273">
        <v>395</v>
      </c>
      <c r="B792" s="121">
        <v>71841</v>
      </c>
      <c r="C792" s="123" t="s">
        <v>1445</v>
      </c>
      <c r="D792" s="121" t="s">
        <v>481</v>
      </c>
      <c r="E792" s="149" t="s">
        <v>114</v>
      </c>
      <c r="F792" s="125" t="s">
        <v>439</v>
      </c>
      <c r="G792" s="270" t="s">
        <v>580</v>
      </c>
      <c r="H792" s="122">
        <v>41593</v>
      </c>
      <c r="I792" s="121">
        <v>1</v>
      </c>
      <c r="J792" s="401">
        <v>33370</v>
      </c>
      <c r="K792" s="402">
        <v>33370</v>
      </c>
      <c r="L792" s="269" t="s">
        <v>957</v>
      </c>
      <c r="M792" s="129" t="s">
        <v>36</v>
      </c>
    </row>
    <row r="793" spans="1:13" x14ac:dyDescent="0.25">
      <c r="A793" s="273">
        <v>396</v>
      </c>
      <c r="B793" s="121">
        <v>68701</v>
      </c>
      <c r="C793" s="123" t="s">
        <v>2692</v>
      </c>
      <c r="D793" s="121" t="s">
        <v>473</v>
      </c>
      <c r="E793" s="149" t="s">
        <v>679</v>
      </c>
      <c r="F793" s="125" t="s">
        <v>366</v>
      </c>
      <c r="G793" s="270" t="s">
        <v>486</v>
      </c>
      <c r="H793" s="122">
        <v>41583</v>
      </c>
      <c r="I793" s="121">
        <v>1</v>
      </c>
      <c r="J793" s="401">
        <v>55058</v>
      </c>
      <c r="K793" s="402">
        <v>55058</v>
      </c>
      <c r="L793" s="269" t="s">
        <v>957</v>
      </c>
      <c r="M793" s="129" t="s">
        <v>36</v>
      </c>
    </row>
    <row r="794" spans="1:13" x14ac:dyDescent="0.25">
      <c r="A794" s="273">
        <v>397</v>
      </c>
      <c r="B794" s="121">
        <v>69506</v>
      </c>
      <c r="C794" s="123" t="s">
        <v>2741</v>
      </c>
      <c r="D794" s="121" t="s">
        <v>481</v>
      </c>
      <c r="E794" s="149" t="s">
        <v>574</v>
      </c>
      <c r="F794" s="125" t="s">
        <v>439</v>
      </c>
      <c r="G794" s="270" t="s">
        <v>580</v>
      </c>
      <c r="H794" s="122">
        <v>41586</v>
      </c>
      <c r="I794" s="121">
        <v>1</v>
      </c>
      <c r="J794" s="401">
        <v>49701</v>
      </c>
      <c r="K794" s="402">
        <v>49701</v>
      </c>
      <c r="L794" s="269" t="s">
        <v>957</v>
      </c>
      <c r="M794" s="129" t="s">
        <v>36</v>
      </c>
    </row>
    <row r="795" spans="1:13" x14ac:dyDescent="0.25">
      <c r="A795" s="273">
        <v>398</v>
      </c>
      <c r="B795" s="121">
        <v>74871</v>
      </c>
      <c r="C795" s="123" t="s">
        <v>2742</v>
      </c>
      <c r="D795" s="121" t="s">
        <v>473</v>
      </c>
      <c r="E795" s="149" t="s">
        <v>215</v>
      </c>
      <c r="F795" s="125" t="s">
        <v>368</v>
      </c>
      <c r="G795" s="270" t="s">
        <v>570</v>
      </c>
      <c r="H795" s="122">
        <v>41604</v>
      </c>
      <c r="I795" s="121">
        <v>1</v>
      </c>
      <c r="J795" s="401">
        <v>44597</v>
      </c>
      <c r="K795" s="402">
        <v>44597</v>
      </c>
      <c r="L795" s="269" t="s">
        <v>957</v>
      </c>
      <c r="M795" s="129" t="s">
        <v>36</v>
      </c>
    </row>
    <row r="796" spans="1:13" x14ac:dyDescent="0.25">
      <c r="A796" s="273">
        <v>399</v>
      </c>
      <c r="B796" s="121">
        <v>74871</v>
      </c>
      <c r="C796" s="123" t="s">
        <v>2742</v>
      </c>
      <c r="D796" s="121" t="s">
        <v>473</v>
      </c>
      <c r="E796" s="149" t="s">
        <v>679</v>
      </c>
      <c r="F796" s="125" t="s">
        <v>366</v>
      </c>
      <c r="G796" s="270" t="s">
        <v>570</v>
      </c>
      <c r="H796" s="122">
        <v>41604</v>
      </c>
      <c r="I796" s="121">
        <v>1</v>
      </c>
      <c r="J796" s="401">
        <v>55058</v>
      </c>
      <c r="K796" s="402">
        <v>55058</v>
      </c>
      <c r="L796" s="269" t="s">
        <v>957</v>
      </c>
      <c r="M796" s="129" t="s">
        <v>36</v>
      </c>
    </row>
    <row r="797" spans="1:13" x14ac:dyDescent="0.25">
      <c r="A797" s="273">
        <v>400</v>
      </c>
      <c r="B797" s="121">
        <v>69953</v>
      </c>
      <c r="C797" s="123" t="s">
        <v>2743</v>
      </c>
      <c r="D797" s="121" t="s">
        <v>473</v>
      </c>
      <c r="E797" s="149" t="s">
        <v>115</v>
      </c>
      <c r="F797" s="125" t="s">
        <v>559</v>
      </c>
      <c r="G797" s="270" t="s">
        <v>486</v>
      </c>
      <c r="H797" s="122">
        <v>41590</v>
      </c>
      <c r="I797" s="121">
        <v>1</v>
      </c>
      <c r="J797" s="401">
        <v>5274</v>
      </c>
      <c r="K797" s="402">
        <v>5274</v>
      </c>
      <c r="L797" s="269" t="s">
        <v>957</v>
      </c>
      <c r="M797" s="129" t="s">
        <v>36</v>
      </c>
    </row>
    <row r="798" spans="1:13" x14ac:dyDescent="0.25">
      <c r="A798" s="273">
        <v>401</v>
      </c>
      <c r="B798" s="121">
        <v>69625</v>
      </c>
      <c r="C798" s="123" t="s">
        <v>2476</v>
      </c>
      <c r="D798" s="121" t="s">
        <v>473</v>
      </c>
      <c r="E798" s="149" t="s">
        <v>195</v>
      </c>
      <c r="F798" s="125" t="s">
        <v>1001</v>
      </c>
      <c r="G798" s="270"/>
      <c r="H798" s="122">
        <v>41282</v>
      </c>
      <c r="I798" s="121">
        <v>4</v>
      </c>
      <c r="J798" s="401">
        <v>2739</v>
      </c>
      <c r="K798" s="402">
        <v>10956</v>
      </c>
      <c r="L798" s="269" t="s">
        <v>957</v>
      </c>
      <c r="M798" s="129" t="s">
        <v>36</v>
      </c>
    </row>
    <row r="799" spans="1:13" x14ac:dyDescent="0.25">
      <c r="A799" s="273">
        <v>402</v>
      </c>
      <c r="B799" s="121">
        <v>70714</v>
      </c>
      <c r="C799" s="123" t="s">
        <v>2744</v>
      </c>
      <c r="D799" s="121" t="s">
        <v>1293</v>
      </c>
      <c r="E799" s="149" t="s">
        <v>195</v>
      </c>
      <c r="F799" s="125" t="s">
        <v>2012</v>
      </c>
      <c r="G799" s="270"/>
      <c r="H799" s="122">
        <v>41591</v>
      </c>
      <c r="I799" s="121">
        <v>6</v>
      </c>
      <c r="J799" s="401">
        <v>2739</v>
      </c>
      <c r="K799" s="402">
        <v>16434</v>
      </c>
      <c r="L799" s="269" t="s">
        <v>957</v>
      </c>
      <c r="M799" s="129" t="s">
        <v>36</v>
      </c>
    </row>
    <row r="800" spans="1:13" x14ac:dyDescent="0.25">
      <c r="A800" s="273">
        <v>403</v>
      </c>
      <c r="B800" s="121">
        <v>73095</v>
      </c>
      <c r="C800" s="123" t="s">
        <v>2745</v>
      </c>
      <c r="D800" s="121" t="s">
        <v>478</v>
      </c>
      <c r="E800" s="149" t="s">
        <v>115</v>
      </c>
      <c r="F800" s="125" t="s">
        <v>2746</v>
      </c>
      <c r="G800" s="270" t="s">
        <v>486</v>
      </c>
      <c r="H800" s="122">
        <v>41599</v>
      </c>
      <c r="I800" s="121">
        <v>3</v>
      </c>
      <c r="J800" s="401">
        <v>5274</v>
      </c>
      <c r="K800" s="402">
        <v>15822</v>
      </c>
      <c r="L800" s="269" t="s">
        <v>957</v>
      </c>
      <c r="M800" s="129" t="s">
        <v>36</v>
      </c>
    </row>
    <row r="801" spans="1:13" x14ac:dyDescent="0.25">
      <c r="A801" s="273">
        <v>404</v>
      </c>
      <c r="B801" s="121">
        <v>74932</v>
      </c>
      <c r="C801" s="123" t="s">
        <v>2502</v>
      </c>
      <c r="D801" s="121" t="s">
        <v>473</v>
      </c>
      <c r="E801" s="149" t="s">
        <v>114</v>
      </c>
      <c r="F801" s="125" t="s">
        <v>2503</v>
      </c>
      <c r="G801" s="270" t="s">
        <v>2747</v>
      </c>
      <c r="H801" s="122">
        <v>41604</v>
      </c>
      <c r="I801" s="121">
        <v>2</v>
      </c>
      <c r="J801" s="401">
        <v>33370</v>
      </c>
      <c r="K801" s="402">
        <v>66740</v>
      </c>
      <c r="L801" s="269" t="s">
        <v>957</v>
      </c>
      <c r="M801" s="129" t="s">
        <v>36</v>
      </c>
    </row>
    <row r="802" spans="1:13" x14ac:dyDescent="0.25">
      <c r="A802" s="273">
        <v>405</v>
      </c>
      <c r="B802" s="121">
        <v>66618</v>
      </c>
      <c r="C802" s="123" t="s">
        <v>2748</v>
      </c>
      <c r="D802" s="121" t="s">
        <v>473</v>
      </c>
      <c r="E802" s="149" t="s">
        <v>115</v>
      </c>
      <c r="F802" s="125" t="s">
        <v>508</v>
      </c>
      <c r="G802" s="270" t="s">
        <v>486</v>
      </c>
      <c r="H802" s="122">
        <v>41575</v>
      </c>
      <c r="I802" s="121">
        <v>1</v>
      </c>
      <c r="J802" s="401">
        <v>5274</v>
      </c>
      <c r="K802" s="402">
        <v>5274</v>
      </c>
      <c r="L802" s="269" t="s">
        <v>957</v>
      </c>
      <c r="M802" s="129" t="s">
        <v>36</v>
      </c>
    </row>
    <row r="803" spans="1:13" ht="13.5" thickBot="1" x14ac:dyDescent="0.3">
      <c r="A803" s="281">
        <v>406</v>
      </c>
      <c r="B803" s="404">
        <v>70138</v>
      </c>
      <c r="C803" s="405" t="s">
        <v>2748</v>
      </c>
      <c r="D803" s="404" t="s">
        <v>473</v>
      </c>
      <c r="E803" s="406" t="s">
        <v>114</v>
      </c>
      <c r="F803" s="407" t="s">
        <v>508</v>
      </c>
      <c r="G803" s="408" t="s">
        <v>2162</v>
      </c>
      <c r="H803" s="409">
        <v>41589</v>
      </c>
      <c r="I803" s="404">
        <v>1</v>
      </c>
      <c r="J803" s="410">
        <v>33370</v>
      </c>
      <c r="K803" s="411">
        <v>33370</v>
      </c>
      <c r="L803" s="412" t="s">
        <v>957</v>
      </c>
      <c r="M803" s="129" t="s">
        <v>36</v>
      </c>
    </row>
    <row r="804" spans="1:13" ht="12.75" customHeight="1" x14ac:dyDescent="0.25">
      <c r="A804" s="413">
        <v>407</v>
      </c>
      <c r="B804" s="413">
        <v>54392</v>
      </c>
      <c r="C804" s="414" t="s">
        <v>2488</v>
      </c>
      <c r="D804" s="413" t="s">
        <v>473</v>
      </c>
      <c r="E804" s="415" t="s">
        <v>114</v>
      </c>
      <c r="F804" s="416" t="s">
        <v>416</v>
      </c>
      <c r="G804" s="417" t="s">
        <v>560</v>
      </c>
      <c r="H804" s="418">
        <v>41551</v>
      </c>
      <c r="I804" s="413">
        <v>1</v>
      </c>
      <c r="J804" s="419">
        <v>33370</v>
      </c>
      <c r="K804" s="420">
        <v>33370</v>
      </c>
      <c r="L804" s="421" t="s">
        <v>620</v>
      </c>
      <c r="M804" s="129" t="s">
        <v>36</v>
      </c>
    </row>
    <row r="805" spans="1:13" x14ac:dyDescent="0.25">
      <c r="A805" s="121">
        <v>408</v>
      </c>
      <c r="B805" s="121">
        <v>72656</v>
      </c>
      <c r="C805" s="123" t="s">
        <v>2749</v>
      </c>
      <c r="D805" s="121" t="s">
        <v>1231</v>
      </c>
      <c r="E805" s="149" t="s">
        <v>577</v>
      </c>
      <c r="F805" s="125" t="s">
        <v>368</v>
      </c>
      <c r="G805" s="270"/>
      <c r="H805" s="122">
        <v>41598</v>
      </c>
      <c r="I805" s="121">
        <v>1</v>
      </c>
      <c r="J805" s="401">
        <v>25800</v>
      </c>
      <c r="K805" s="402">
        <v>25800</v>
      </c>
      <c r="L805" s="269" t="s">
        <v>620</v>
      </c>
      <c r="M805" s="129" t="s">
        <v>36</v>
      </c>
    </row>
    <row r="806" spans="1:13" x14ac:dyDescent="0.25">
      <c r="A806" s="121">
        <v>409</v>
      </c>
      <c r="B806" s="121">
        <v>68136</v>
      </c>
      <c r="C806" s="123" t="s">
        <v>2750</v>
      </c>
      <c r="D806" s="121" t="s">
        <v>481</v>
      </c>
      <c r="E806" s="149" t="s">
        <v>577</v>
      </c>
      <c r="F806" s="125" t="s">
        <v>368</v>
      </c>
      <c r="G806" s="270"/>
      <c r="H806" s="122">
        <v>41578</v>
      </c>
      <c r="I806" s="121">
        <v>1</v>
      </c>
      <c r="J806" s="401">
        <v>25800</v>
      </c>
      <c r="K806" s="402">
        <v>25800</v>
      </c>
      <c r="L806" s="269" t="s">
        <v>620</v>
      </c>
      <c r="M806" s="129" t="s">
        <v>36</v>
      </c>
    </row>
    <row r="807" spans="1:13" x14ac:dyDescent="0.25">
      <c r="A807" s="121">
        <v>412</v>
      </c>
      <c r="B807" s="121">
        <v>71911</v>
      </c>
      <c r="C807" s="123" t="s">
        <v>2751</v>
      </c>
      <c r="D807" s="121" t="s">
        <v>481</v>
      </c>
      <c r="E807" s="149" t="s">
        <v>574</v>
      </c>
      <c r="F807" s="125" t="s">
        <v>559</v>
      </c>
      <c r="G807" s="270" t="s">
        <v>580</v>
      </c>
      <c r="H807" s="122">
        <v>41593</v>
      </c>
      <c r="I807" s="121">
        <v>1</v>
      </c>
      <c r="J807" s="401">
        <v>49701</v>
      </c>
      <c r="K807" s="402">
        <v>49701</v>
      </c>
      <c r="L807" s="269" t="s">
        <v>620</v>
      </c>
      <c r="M807" s="129" t="s">
        <v>36</v>
      </c>
    </row>
    <row r="808" spans="1:13" x14ac:dyDescent="0.25">
      <c r="A808" s="121">
        <v>413</v>
      </c>
      <c r="B808" s="121">
        <v>76527</v>
      </c>
      <c r="C808" s="123" t="s">
        <v>2752</v>
      </c>
      <c r="D808" s="121" t="s">
        <v>478</v>
      </c>
      <c r="E808" s="149" t="s">
        <v>215</v>
      </c>
      <c r="F808" s="125" t="s">
        <v>366</v>
      </c>
      <c r="G808" s="270"/>
      <c r="H808" s="122">
        <v>41607</v>
      </c>
      <c r="I808" s="121">
        <v>1</v>
      </c>
      <c r="J808" s="401">
        <v>44597</v>
      </c>
      <c r="K808" s="402">
        <v>44597</v>
      </c>
      <c r="L808" s="269" t="s">
        <v>620</v>
      </c>
      <c r="M808" s="129" t="s">
        <v>36</v>
      </c>
    </row>
    <row r="809" spans="1:13" x14ac:dyDescent="0.25">
      <c r="A809" s="121">
        <v>414</v>
      </c>
      <c r="B809" s="121">
        <v>68701</v>
      </c>
      <c r="C809" s="123" t="s">
        <v>2692</v>
      </c>
      <c r="D809" s="121" t="s">
        <v>473</v>
      </c>
      <c r="E809" s="149" t="s">
        <v>215</v>
      </c>
      <c r="F809" s="125" t="s">
        <v>368</v>
      </c>
      <c r="G809" s="270" t="s">
        <v>486</v>
      </c>
      <c r="H809" s="122">
        <v>41583</v>
      </c>
      <c r="I809" s="121">
        <v>1</v>
      </c>
      <c r="J809" s="401">
        <v>44597</v>
      </c>
      <c r="K809" s="402">
        <v>44597</v>
      </c>
      <c r="L809" s="269" t="s">
        <v>620</v>
      </c>
      <c r="M809" s="129" t="s">
        <v>36</v>
      </c>
    </row>
    <row r="810" spans="1:13" x14ac:dyDescent="0.25">
      <c r="A810" s="121">
        <v>416</v>
      </c>
      <c r="B810" s="121">
        <v>72917</v>
      </c>
      <c r="C810" s="123" t="s">
        <v>2753</v>
      </c>
      <c r="D810" s="121" t="s">
        <v>471</v>
      </c>
      <c r="E810" s="149" t="s">
        <v>577</v>
      </c>
      <c r="F810" s="125" t="s">
        <v>368</v>
      </c>
      <c r="G810" s="270"/>
      <c r="H810" s="122">
        <v>41598</v>
      </c>
      <c r="I810" s="121">
        <v>1</v>
      </c>
      <c r="J810" s="401">
        <v>25800</v>
      </c>
      <c r="K810" s="402">
        <v>25800</v>
      </c>
      <c r="L810" s="269" t="s">
        <v>620</v>
      </c>
      <c r="M810" s="129" t="s">
        <v>36</v>
      </c>
    </row>
    <row r="811" spans="1:13" x14ac:dyDescent="0.25">
      <c r="A811" s="121">
        <v>417</v>
      </c>
      <c r="B811" s="121">
        <v>76777</v>
      </c>
      <c r="C811" s="123" t="s">
        <v>2754</v>
      </c>
      <c r="D811" s="121" t="s">
        <v>373</v>
      </c>
      <c r="E811" s="149" t="s">
        <v>534</v>
      </c>
      <c r="F811" s="125" t="s">
        <v>524</v>
      </c>
      <c r="G811" s="270" t="s">
        <v>551</v>
      </c>
      <c r="H811" s="122">
        <v>41610</v>
      </c>
      <c r="I811" s="121">
        <v>1</v>
      </c>
      <c r="J811" s="401">
        <v>30429</v>
      </c>
      <c r="K811" s="402">
        <v>30429</v>
      </c>
      <c r="L811" s="269" t="s">
        <v>620</v>
      </c>
      <c r="M811" s="129" t="s">
        <v>36</v>
      </c>
    </row>
    <row r="812" spans="1:13" x14ac:dyDescent="0.25">
      <c r="A812" s="121">
        <v>420</v>
      </c>
      <c r="B812" s="121">
        <v>77816</v>
      </c>
      <c r="C812" s="123" t="s">
        <v>1243</v>
      </c>
      <c r="D812" s="121" t="s">
        <v>1975</v>
      </c>
      <c r="E812" s="149" t="s">
        <v>115</v>
      </c>
      <c r="F812" s="125" t="s">
        <v>591</v>
      </c>
      <c r="G812" s="270" t="s">
        <v>486</v>
      </c>
      <c r="H812" s="122">
        <v>41613</v>
      </c>
      <c r="I812" s="121">
        <v>1</v>
      </c>
      <c r="J812" s="401">
        <v>5274</v>
      </c>
      <c r="K812" s="402">
        <v>5274</v>
      </c>
      <c r="L812" s="269" t="s">
        <v>620</v>
      </c>
      <c r="M812" s="129" t="s">
        <v>36</v>
      </c>
    </row>
    <row r="813" spans="1:13" x14ac:dyDescent="0.25">
      <c r="A813" s="121">
        <v>421</v>
      </c>
      <c r="B813" s="121">
        <v>76753</v>
      </c>
      <c r="C813" s="123" t="s">
        <v>2755</v>
      </c>
      <c r="D813" s="121" t="s">
        <v>473</v>
      </c>
      <c r="E813" s="149" t="s">
        <v>577</v>
      </c>
      <c r="F813" s="125" t="s">
        <v>368</v>
      </c>
      <c r="G813" s="270"/>
      <c r="H813" s="122">
        <v>41610</v>
      </c>
      <c r="I813" s="121">
        <v>1</v>
      </c>
      <c r="J813" s="401">
        <v>25800</v>
      </c>
      <c r="K813" s="402">
        <v>25800</v>
      </c>
      <c r="L813" s="269" t="s">
        <v>620</v>
      </c>
      <c r="M813" s="129" t="s">
        <v>36</v>
      </c>
    </row>
    <row r="814" spans="1:13" x14ac:dyDescent="0.25">
      <c r="A814" s="121">
        <v>422</v>
      </c>
      <c r="B814" s="121">
        <v>76928</v>
      </c>
      <c r="C814" s="123" t="s">
        <v>2698</v>
      </c>
      <c r="D814" s="121" t="s">
        <v>473</v>
      </c>
      <c r="E814" s="149" t="s">
        <v>114</v>
      </c>
      <c r="F814" s="125" t="s">
        <v>439</v>
      </c>
      <c r="G814" s="270"/>
      <c r="H814" s="122">
        <v>41611</v>
      </c>
      <c r="I814" s="121">
        <v>1</v>
      </c>
      <c r="J814" s="401">
        <v>33370</v>
      </c>
      <c r="K814" s="402">
        <v>33370</v>
      </c>
      <c r="L814" s="269" t="s">
        <v>620</v>
      </c>
      <c r="M814" s="129" t="s">
        <v>36</v>
      </c>
    </row>
    <row r="815" spans="1:13" x14ac:dyDescent="0.25">
      <c r="A815" s="121">
        <v>423</v>
      </c>
      <c r="B815" s="121">
        <v>77141</v>
      </c>
      <c r="C815" s="123" t="s">
        <v>2756</v>
      </c>
      <c r="D815" s="121" t="s">
        <v>481</v>
      </c>
      <c r="E815" s="149" t="s">
        <v>534</v>
      </c>
      <c r="F815" s="125" t="s">
        <v>591</v>
      </c>
      <c r="G815" s="270" t="s">
        <v>551</v>
      </c>
      <c r="H815" s="122">
        <v>41611</v>
      </c>
      <c r="I815" s="121">
        <v>1</v>
      </c>
      <c r="J815" s="401">
        <v>30429</v>
      </c>
      <c r="K815" s="402">
        <v>30429</v>
      </c>
      <c r="L815" s="269" t="s">
        <v>620</v>
      </c>
      <c r="M815" s="129" t="s">
        <v>36</v>
      </c>
    </row>
    <row r="816" spans="1:13" x14ac:dyDescent="0.25">
      <c r="A816" s="121">
        <v>424</v>
      </c>
      <c r="B816" s="121">
        <v>77640</v>
      </c>
      <c r="C816" s="123" t="s">
        <v>2757</v>
      </c>
      <c r="D816" s="121" t="s">
        <v>471</v>
      </c>
      <c r="E816" s="149" t="s">
        <v>577</v>
      </c>
      <c r="F816" s="125" t="s">
        <v>368</v>
      </c>
      <c r="G816" s="270"/>
      <c r="H816" s="122">
        <v>41612</v>
      </c>
      <c r="I816" s="121">
        <v>1</v>
      </c>
      <c r="J816" s="401">
        <v>25800</v>
      </c>
      <c r="K816" s="402">
        <v>25800</v>
      </c>
      <c r="L816" s="269" t="s">
        <v>620</v>
      </c>
      <c r="M816" s="129" t="s">
        <v>36</v>
      </c>
    </row>
    <row r="817" spans="1:13" x14ac:dyDescent="0.25">
      <c r="A817" s="121">
        <v>425</v>
      </c>
      <c r="B817" s="121">
        <v>77434</v>
      </c>
      <c r="C817" s="123" t="s">
        <v>2686</v>
      </c>
      <c r="D817" s="121" t="s">
        <v>473</v>
      </c>
      <c r="E817" s="149" t="s">
        <v>574</v>
      </c>
      <c r="F817" s="125" t="s">
        <v>416</v>
      </c>
      <c r="G817" s="270" t="s">
        <v>626</v>
      </c>
      <c r="H817" s="122">
        <v>41611</v>
      </c>
      <c r="I817" s="121">
        <v>1</v>
      </c>
      <c r="J817" s="401">
        <v>49701</v>
      </c>
      <c r="K817" s="402">
        <v>49701</v>
      </c>
      <c r="L817" s="269" t="s">
        <v>620</v>
      </c>
      <c r="M817" s="129" t="s">
        <v>36</v>
      </c>
    </row>
    <row r="818" spans="1:13" x14ac:dyDescent="0.25">
      <c r="A818" s="121">
        <v>428</v>
      </c>
      <c r="B818" s="121">
        <v>81117</v>
      </c>
      <c r="C818" s="123" t="s">
        <v>2758</v>
      </c>
      <c r="D818" s="121" t="s">
        <v>481</v>
      </c>
      <c r="E818" s="149" t="s">
        <v>215</v>
      </c>
      <c r="F818" s="125" t="s">
        <v>366</v>
      </c>
      <c r="G818" s="270" t="s">
        <v>486</v>
      </c>
      <c r="H818" s="122">
        <v>41621</v>
      </c>
      <c r="I818" s="121">
        <v>1</v>
      </c>
      <c r="J818" s="401">
        <v>44597</v>
      </c>
      <c r="K818" s="402">
        <v>44597</v>
      </c>
      <c r="L818" s="269" t="s">
        <v>620</v>
      </c>
      <c r="M818" s="129" t="s">
        <v>36</v>
      </c>
    </row>
    <row r="819" spans="1:13" x14ac:dyDescent="0.25">
      <c r="A819" s="121">
        <v>429</v>
      </c>
      <c r="B819" s="121">
        <v>81072</v>
      </c>
      <c r="C819" s="123" t="s">
        <v>2759</v>
      </c>
      <c r="D819" s="121" t="s">
        <v>481</v>
      </c>
      <c r="E819" s="149" t="s">
        <v>577</v>
      </c>
      <c r="F819" s="125" t="s">
        <v>368</v>
      </c>
      <c r="G819" s="270"/>
      <c r="H819" s="122">
        <v>41624</v>
      </c>
      <c r="I819" s="121">
        <v>1</v>
      </c>
      <c r="J819" s="401">
        <v>25800</v>
      </c>
      <c r="K819" s="402">
        <v>25800</v>
      </c>
      <c r="L819" s="269" t="s">
        <v>620</v>
      </c>
      <c r="M819" s="129" t="s">
        <v>36</v>
      </c>
    </row>
    <row r="820" spans="1:13" x14ac:dyDescent="0.25">
      <c r="A820" s="121">
        <v>430</v>
      </c>
      <c r="B820" s="121">
        <v>80194</v>
      </c>
      <c r="C820" s="123" t="s">
        <v>2760</v>
      </c>
      <c r="D820" s="121" t="s">
        <v>502</v>
      </c>
      <c r="E820" s="149" t="s">
        <v>577</v>
      </c>
      <c r="F820" s="125" t="s">
        <v>368</v>
      </c>
      <c r="G820" s="270"/>
      <c r="H820" s="122">
        <v>41620</v>
      </c>
      <c r="I820" s="121">
        <v>1</v>
      </c>
      <c r="J820" s="401">
        <v>25800</v>
      </c>
      <c r="K820" s="402">
        <v>25800</v>
      </c>
      <c r="L820" s="269" t="s">
        <v>620</v>
      </c>
      <c r="M820" s="129" t="s">
        <v>36</v>
      </c>
    </row>
    <row r="821" spans="1:13" x14ac:dyDescent="0.25">
      <c r="A821" s="121">
        <v>431</v>
      </c>
      <c r="B821" s="121">
        <v>79966</v>
      </c>
      <c r="C821" s="123" t="s">
        <v>1390</v>
      </c>
      <c r="D821" s="121" t="s">
        <v>473</v>
      </c>
      <c r="E821" s="149" t="s">
        <v>114</v>
      </c>
      <c r="F821" s="125" t="s">
        <v>2761</v>
      </c>
      <c r="G821" s="270" t="s">
        <v>2094</v>
      </c>
      <c r="H821" s="122">
        <v>41619</v>
      </c>
      <c r="I821" s="121">
        <v>3</v>
      </c>
      <c r="J821" s="401">
        <v>33370</v>
      </c>
      <c r="K821" s="402">
        <v>100110</v>
      </c>
      <c r="L821" s="269" t="s">
        <v>620</v>
      </c>
      <c r="M821" s="129" t="s">
        <v>36</v>
      </c>
    </row>
    <row r="822" spans="1:13" x14ac:dyDescent="0.25">
      <c r="A822" s="121">
        <v>432</v>
      </c>
      <c r="B822" s="121">
        <v>79836</v>
      </c>
      <c r="C822" s="123" t="s">
        <v>2713</v>
      </c>
      <c r="D822" s="121" t="s">
        <v>481</v>
      </c>
      <c r="E822" s="149" t="s">
        <v>115</v>
      </c>
      <c r="F822" s="125" t="s">
        <v>524</v>
      </c>
      <c r="G822" s="270" t="s">
        <v>486</v>
      </c>
      <c r="H822" s="122">
        <v>41619</v>
      </c>
      <c r="I822" s="121">
        <v>1</v>
      </c>
      <c r="J822" s="401">
        <v>5274</v>
      </c>
      <c r="K822" s="402">
        <v>5274</v>
      </c>
      <c r="L822" s="269" t="s">
        <v>620</v>
      </c>
      <c r="M822" s="129" t="s">
        <v>36</v>
      </c>
    </row>
    <row r="823" spans="1:13" x14ac:dyDescent="0.25">
      <c r="A823" s="121">
        <v>433</v>
      </c>
      <c r="B823" s="121">
        <v>79746</v>
      </c>
      <c r="C823" s="123" t="s">
        <v>2762</v>
      </c>
      <c r="D823" s="121" t="s">
        <v>481</v>
      </c>
      <c r="E823" s="149" t="s">
        <v>115</v>
      </c>
      <c r="F823" s="125" t="s">
        <v>416</v>
      </c>
      <c r="G823" s="270" t="s">
        <v>554</v>
      </c>
      <c r="H823" s="122">
        <v>41619</v>
      </c>
      <c r="I823" s="121">
        <v>1</v>
      </c>
      <c r="J823" s="401">
        <v>5274</v>
      </c>
      <c r="K823" s="402">
        <v>5274</v>
      </c>
      <c r="L823" s="269" t="s">
        <v>620</v>
      </c>
      <c r="M823" s="129" t="s">
        <v>36</v>
      </c>
    </row>
    <row r="824" spans="1:13" x14ac:dyDescent="0.25">
      <c r="A824" s="121">
        <v>436</v>
      </c>
      <c r="B824" s="121">
        <v>79471</v>
      </c>
      <c r="C824" s="123" t="s">
        <v>2743</v>
      </c>
      <c r="D824" s="121" t="s">
        <v>473</v>
      </c>
      <c r="E824" s="149" t="s">
        <v>114</v>
      </c>
      <c r="F824" s="125" t="s">
        <v>559</v>
      </c>
      <c r="G824" s="270" t="s">
        <v>626</v>
      </c>
      <c r="H824" s="122">
        <v>41618</v>
      </c>
      <c r="I824" s="121">
        <v>1</v>
      </c>
      <c r="J824" s="401">
        <v>33370</v>
      </c>
      <c r="K824" s="402">
        <v>33370</v>
      </c>
      <c r="L824" s="269" t="s">
        <v>620</v>
      </c>
      <c r="M824" s="129" t="s">
        <v>36</v>
      </c>
    </row>
    <row r="825" spans="1:13" x14ac:dyDescent="0.25">
      <c r="A825" s="121">
        <v>437</v>
      </c>
      <c r="B825" s="121">
        <v>78667</v>
      </c>
      <c r="C825" s="123" t="s">
        <v>2763</v>
      </c>
      <c r="D825" s="121" t="s">
        <v>471</v>
      </c>
      <c r="E825" s="149" t="s">
        <v>577</v>
      </c>
      <c r="F825" s="125" t="s">
        <v>368</v>
      </c>
      <c r="G825" s="270"/>
      <c r="H825" s="122">
        <v>41614</v>
      </c>
      <c r="I825" s="121">
        <v>1</v>
      </c>
      <c r="J825" s="401">
        <v>25800</v>
      </c>
      <c r="K825" s="402">
        <v>25800</v>
      </c>
      <c r="L825" s="269" t="s">
        <v>620</v>
      </c>
      <c r="M825" s="129" t="s">
        <v>36</v>
      </c>
    </row>
    <row r="826" spans="1:13" x14ac:dyDescent="0.25">
      <c r="A826" s="121">
        <v>438</v>
      </c>
      <c r="B826" s="121">
        <v>81621</v>
      </c>
      <c r="C826" s="123" t="s">
        <v>492</v>
      </c>
      <c r="D826" s="121" t="s">
        <v>488</v>
      </c>
      <c r="E826" s="149" t="s">
        <v>115</v>
      </c>
      <c r="F826" s="125" t="s">
        <v>2764</v>
      </c>
      <c r="G826" s="270" t="s">
        <v>570</v>
      </c>
      <c r="H826" s="122">
        <v>41625</v>
      </c>
      <c r="I826" s="121">
        <v>5</v>
      </c>
      <c r="J826" s="401">
        <v>5274</v>
      </c>
      <c r="K826" s="402">
        <v>26370</v>
      </c>
      <c r="L826" s="269" t="s">
        <v>620</v>
      </c>
      <c r="M826" s="129" t="s">
        <v>36</v>
      </c>
    </row>
    <row r="827" spans="1:13" x14ac:dyDescent="0.25">
      <c r="A827" s="121">
        <v>438</v>
      </c>
      <c r="B827" s="121">
        <v>81995</v>
      </c>
      <c r="C827" s="123" t="s">
        <v>2765</v>
      </c>
      <c r="D827" s="121" t="s">
        <v>481</v>
      </c>
      <c r="E827" s="149" t="s">
        <v>215</v>
      </c>
      <c r="F827" s="125" t="s">
        <v>482</v>
      </c>
      <c r="G827" s="270" t="s">
        <v>700</v>
      </c>
      <c r="H827" s="122">
        <v>41625</v>
      </c>
      <c r="I827" s="121">
        <v>2</v>
      </c>
      <c r="J827" s="401">
        <v>44597</v>
      </c>
      <c r="K827" s="402">
        <v>89194</v>
      </c>
      <c r="L827" s="269" t="s">
        <v>620</v>
      </c>
      <c r="M827" s="129" t="s">
        <v>36</v>
      </c>
    </row>
    <row r="828" spans="1:13" x14ac:dyDescent="0.25">
      <c r="A828" s="121">
        <v>438</v>
      </c>
      <c r="B828" s="121">
        <v>82721</v>
      </c>
      <c r="C828" s="123" t="s">
        <v>2766</v>
      </c>
      <c r="D828" s="121" t="s">
        <v>481</v>
      </c>
      <c r="E828" s="149" t="s">
        <v>577</v>
      </c>
      <c r="F828" s="125" t="s">
        <v>368</v>
      </c>
      <c r="G828" s="270"/>
      <c r="H828" s="122">
        <v>41628</v>
      </c>
      <c r="I828" s="121">
        <v>1</v>
      </c>
      <c r="J828" s="401">
        <v>25800</v>
      </c>
      <c r="K828" s="402">
        <v>25800</v>
      </c>
      <c r="L828" s="269" t="s">
        <v>620</v>
      </c>
      <c r="M828" s="129" t="s">
        <v>36</v>
      </c>
    </row>
    <row r="829" spans="1:13" x14ac:dyDescent="0.25">
      <c r="A829" s="121">
        <v>438</v>
      </c>
      <c r="B829" s="121">
        <v>83401</v>
      </c>
      <c r="C829" s="123" t="s">
        <v>2767</v>
      </c>
      <c r="D829" s="121" t="s">
        <v>473</v>
      </c>
      <c r="E829" s="149" t="s">
        <v>215</v>
      </c>
      <c r="F829" s="125" t="s">
        <v>368</v>
      </c>
      <c r="G829" s="270" t="s">
        <v>2768</v>
      </c>
      <c r="H829" s="122">
        <v>41628</v>
      </c>
      <c r="I829" s="121">
        <v>1</v>
      </c>
      <c r="J829" s="401">
        <v>44597</v>
      </c>
      <c r="K829" s="402">
        <v>44597</v>
      </c>
      <c r="L829" s="269" t="s">
        <v>620</v>
      </c>
      <c r="M829" s="129" t="s">
        <v>36</v>
      </c>
    </row>
    <row r="830" spans="1:13" x14ac:dyDescent="0.25">
      <c r="A830" s="121">
        <v>438</v>
      </c>
      <c r="B830" s="121">
        <v>84374</v>
      </c>
      <c r="C830" s="123" t="s">
        <v>2769</v>
      </c>
      <c r="D830" s="121" t="s">
        <v>473</v>
      </c>
      <c r="E830" s="149" t="s">
        <v>114</v>
      </c>
      <c r="F830" s="125" t="s">
        <v>412</v>
      </c>
      <c r="G830" s="270" t="s">
        <v>626</v>
      </c>
      <c r="H830" s="122">
        <v>41634</v>
      </c>
      <c r="I830" s="121">
        <v>1</v>
      </c>
      <c r="J830" s="401">
        <v>33370</v>
      </c>
      <c r="K830" s="402">
        <v>33370</v>
      </c>
      <c r="L830" s="269" t="s">
        <v>620</v>
      </c>
      <c r="M830" s="129" t="s">
        <v>36</v>
      </c>
    </row>
    <row r="831" spans="1:13" x14ac:dyDescent="0.25">
      <c r="A831" s="121">
        <v>438</v>
      </c>
      <c r="B831" s="121">
        <v>84378</v>
      </c>
      <c r="C831" s="123" t="s">
        <v>2719</v>
      </c>
      <c r="D831" s="121" t="s">
        <v>473</v>
      </c>
      <c r="E831" s="149" t="s">
        <v>114</v>
      </c>
      <c r="F831" s="125" t="s">
        <v>469</v>
      </c>
      <c r="G831" s="270" t="s">
        <v>2162</v>
      </c>
      <c r="H831" s="122">
        <v>41634</v>
      </c>
      <c r="I831" s="121">
        <v>1</v>
      </c>
      <c r="J831" s="401">
        <v>33370</v>
      </c>
      <c r="K831" s="402">
        <v>33370</v>
      </c>
      <c r="L831" s="269" t="s">
        <v>620</v>
      </c>
      <c r="M831" s="129" t="s">
        <v>36</v>
      </c>
    </row>
    <row r="832" spans="1:13" x14ac:dyDescent="0.25">
      <c r="A832" s="121">
        <v>438</v>
      </c>
      <c r="B832" s="121">
        <v>84343</v>
      </c>
      <c r="C832" s="123" t="s">
        <v>2770</v>
      </c>
      <c r="D832" s="121" t="s">
        <v>481</v>
      </c>
      <c r="E832" s="149" t="s">
        <v>215</v>
      </c>
      <c r="F832" s="125" t="s">
        <v>368</v>
      </c>
      <c r="G832" s="270" t="s">
        <v>718</v>
      </c>
      <c r="H832" s="122">
        <v>41634</v>
      </c>
      <c r="I832" s="121">
        <v>1</v>
      </c>
      <c r="J832" s="401">
        <v>44597</v>
      </c>
      <c r="K832" s="402">
        <v>44597</v>
      </c>
      <c r="L832" s="269" t="s">
        <v>620</v>
      </c>
      <c r="M832" s="129" t="s">
        <v>36</v>
      </c>
    </row>
    <row r="833" spans="1:13" x14ac:dyDescent="0.25">
      <c r="A833" s="121">
        <v>438</v>
      </c>
      <c r="B833" s="121">
        <v>84343</v>
      </c>
      <c r="C833" s="123" t="s">
        <v>2770</v>
      </c>
      <c r="D833" s="121" t="s">
        <v>481</v>
      </c>
      <c r="E833" s="149" t="s">
        <v>679</v>
      </c>
      <c r="F833" s="125" t="s">
        <v>366</v>
      </c>
      <c r="G833" s="270" t="s">
        <v>718</v>
      </c>
      <c r="H833" s="122">
        <v>41634</v>
      </c>
      <c r="I833" s="121">
        <v>1</v>
      </c>
      <c r="J833" s="401">
        <v>55058</v>
      </c>
      <c r="K833" s="402">
        <v>55058</v>
      </c>
      <c r="L833" s="269" t="s">
        <v>620</v>
      </c>
      <c r="M833" s="129" t="s">
        <v>36</v>
      </c>
    </row>
    <row r="834" spans="1:13" x14ac:dyDescent="0.25">
      <c r="A834" s="121">
        <v>438</v>
      </c>
      <c r="B834" s="121">
        <v>84780</v>
      </c>
      <c r="C834" s="123" t="s">
        <v>2771</v>
      </c>
      <c r="D834" s="121" t="s">
        <v>473</v>
      </c>
      <c r="E834" s="149" t="s">
        <v>215</v>
      </c>
      <c r="F834" s="125" t="s">
        <v>482</v>
      </c>
      <c r="G834" s="270" t="s">
        <v>700</v>
      </c>
      <c r="H834" s="122">
        <v>41635</v>
      </c>
      <c r="I834" s="121">
        <v>2</v>
      </c>
      <c r="J834" s="401">
        <v>44597</v>
      </c>
      <c r="K834" s="402">
        <v>89194</v>
      </c>
      <c r="L834" s="269" t="s">
        <v>620</v>
      </c>
      <c r="M834" s="129" t="s">
        <v>36</v>
      </c>
    </row>
    <row r="835" spans="1:13" x14ac:dyDescent="0.25">
      <c r="A835" s="121">
        <v>438</v>
      </c>
      <c r="B835" s="121">
        <v>84749</v>
      </c>
      <c r="C835" s="123" t="s">
        <v>1321</v>
      </c>
      <c r="D835" s="121" t="s">
        <v>481</v>
      </c>
      <c r="E835" s="149" t="s">
        <v>114</v>
      </c>
      <c r="F835" s="125" t="s">
        <v>397</v>
      </c>
      <c r="G835" s="270"/>
      <c r="H835" s="122">
        <v>41635</v>
      </c>
      <c r="I835" s="121">
        <v>2</v>
      </c>
      <c r="J835" s="401">
        <v>33370</v>
      </c>
      <c r="K835" s="402">
        <v>66740</v>
      </c>
      <c r="L835" s="269" t="s">
        <v>620</v>
      </c>
      <c r="M835" s="129" t="s">
        <v>36</v>
      </c>
    </row>
    <row r="836" spans="1:13" x14ac:dyDescent="0.25">
      <c r="A836" s="121">
        <v>438</v>
      </c>
      <c r="B836" s="121">
        <v>84672</v>
      </c>
      <c r="C836" s="123" t="s">
        <v>2772</v>
      </c>
      <c r="D836" s="121" t="s">
        <v>473</v>
      </c>
      <c r="E836" s="149" t="s">
        <v>215</v>
      </c>
      <c r="F836" s="125" t="s">
        <v>482</v>
      </c>
      <c r="G836" s="270" t="s">
        <v>486</v>
      </c>
      <c r="H836" s="122">
        <v>41635</v>
      </c>
      <c r="I836" s="121">
        <v>2</v>
      </c>
      <c r="J836" s="401">
        <v>44597</v>
      </c>
      <c r="K836" s="402">
        <v>89194</v>
      </c>
      <c r="L836" s="269" t="s">
        <v>620</v>
      </c>
      <c r="M836" s="129" t="s">
        <v>36</v>
      </c>
    </row>
    <row r="837" spans="1:13" x14ac:dyDescent="0.25">
      <c r="A837" s="121">
        <v>438</v>
      </c>
      <c r="B837" s="121">
        <v>84699</v>
      </c>
      <c r="C837" s="123" t="s">
        <v>1273</v>
      </c>
      <c r="D837" s="121" t="s">
        <v>473</v>
      </c>
      <c r="E837" s="149" t="s">
        <v>114</v>
      </c>
      <c r="F837" s="125" t="s">
        <v>469</v>
      </c>
      <c r="G837" s="270" t="s">
        <v>560</v>
      </c>
      <c r="H837" s="122">
        <v>41635</v>
      </c>
      <c r="I837" s="121">
        <v>1</v>
      </c>
      <c r="J837" s="401">
        <v>33370</v>
      </c>
      <c r="K837" s="402">
        <v>33370</v>
      </c>
      <c r="L837" s="269" t="s">
        <v>620</v>
      </c>
      <c r="M837" s="129" t="s">
        <v>36</v>
      </c>
    </row>
    <row r="838" spans="1:13" x14ac:dyDescent="0.25">
      <c r="A838" s="121">
        <v>438</v>
      </c>
      <c r="B838" s="121">
        <v>84576</v>
      </c>
      <c r="C838" s="123" t="s">
        <v>2711</v>
      </c>
      <c r="D838" s="121" t="s">
        <v>473</v>
      </c>
      <c r="E838" s="149" t="s">
        <v>215</v>
      </c>
      <c r="F838" s="125" t="s">
        <v>482</v>
      </c>
      <c r="G838" s="270" t="s">
        <v>2032</v>
      </c>
      <c r="H838" s="122">
        <v>41634</v>
      </c>
      <c r="I838" s="121">
        <v>2</v>
      </c>
      <c r="J838" s="401">
        <v>44597</v>
      </c>
      <c r="K838" s="402">
        <v>89194</v>
      </c>
      <c r="L838" s="269" t="s">
        <v>620</v>
      </c>
      <c r="M838" s="129" t="s">
        <v>36</v>
      </c>
    </row>
    <row r="839" spans="1:13" x14ac:dyDescent="0.25">
      <c r="A839" s="121">
        <v>438</v>
      </c>
      <c r="B839" s="121">
        <v>85026</v>
      </c>
      <c r="C839" s="123" t="s">
        <v>2686</v>
      </c>
      <c r="D839" s="121" t="s">
        <v>473</v>
      </c>
      <c r="E839" s="149" t="s">
        <v>114</v>
      </c>
      <c r="F839" s="125" t="s">
        <v>559</v>
      </c>
      <c r="G839" s="270" t="s">
        <v>626</v>
      </c>
      <c r="H839" s="122">
        <v>41635</v>
      </c>
      <c r="I839" s="121">
        <v>1</v>
      </c>
      <c r="J839" s="401">
        <v>33370</v>
      </c>
      <c r="K839" s="402">
        <v>33370</v>
      </c>
      <c r="L839" s="269" t="s">
        <v>620</v>
      </c>
      <c r="M839" s="129" t="s">
        <v>36</v>
      </c>
    </row>
    <row r="840" spans="1:13" x14ac:dyDescent="0.25">
      <c r="A840" s="121">
        <v>438</v>
      </c>
      <c r="B840" s="121">
        <v>85008</v>
      </c>
      <c r="C840" s="123" t="s">
        <v>2773</v>
      </c>
      <c r="D840" s="121" t="s">
        <v>471</v>
      </c>
      <c r="E840" s="149" t="s">
        <v>577</v>
      </c>
      <c r="F840" s="125" t="s">
        <v>368</v>
      </c>
      <c r="G840" s="270"/>
      <c r="H840" s="122">
        <v>41638</v>
      </c>
      <c r="I840" s="121">
        <v>1</v>
      </c>
      <c r="J840" s="401">
        <v>25800</v>
      </c>
      <c r="K840" s="402">
        <v>25800</v>
      </c>
      <c r="L840" s="269" t="s">
        <v>620</v>
      </c>
      <c r="M840" s="129" t="s">
        <v>36</v>
      </c>
    </row>
    <row r="841" spans="1:13" x14ac:dyDescent="0.25">
      <c r="A841" s="121">
        <v>438</v>
      </c>
      <c r="B841" s="121">
        <v>85002</v>
      </c>
      <c r="C841" s="123" t="s">
        <v>2774</v>
      </c>
      <c r="D841" s="121" t="s">
        <v>1231</v>
      </c>
      <c r="E841" s="149" t="s">
        <v>215</v>
      </c>
      <c r="F841" s="125" t="s">
        <v>368</v>
      </c>
      <c r="G841" s="270" t="s">
        <v>486</v>
      </c>
      <c r="H841" s="122">
        <v>41638</v>
      </c>
      <c r="I841" s="121">
        <v>1</v>
      </c>
      <c r="J841" s="401">
        <v>44597</v>
      </c>
      <c r="K841" s="402">
        <v>44597</v>
      </c>
      <c r="L841" s="269" t="s">
        <v>620</v>
      </c>
      <c r="M841" s="129" t="s">
        <v>36</v>
      </c>
    </row>
    <row r="842" spans="1:13" x14ac:dyDescent="0.25">
      <c r="A842" s="121">
        <v>438</v>
      </c>
      <c r="B842" s="121">
        <v>85232</v>
      </c>
      <c r="C842" s="123" t="s">
        <v>2775</v>
      </c>
      <c r="D842" s="121" t="s">
        <v>473</v>
      </c>
      <c r="E842" s="149" t="s">
        <v>215</v>
      </c>
      <c r="F842" s="125" t="s">
        <v>368</v>
      </c>
      <c r="G842" s="270" t="s">
        <v>718</v>
      </c>
      <c r="H842" s="122">
        <v>41639</v>
      </c>
      <c r="I842" s="121">
        <v>1</v>
      </c>
      <c r="J842" s="401">
        <v>44597</v>
      </c>
      <c r="K842" s="402">
        <v>44597</v>
      </c>
      <c r="L842" s="269" t="s">
        <v>620</v>
      </c>
      <c r="M842" s="129" t="s">
        <v>36</v>
      </c>
    </row>
    <row r="843" spans="1:13" x14ac:dyDescent="0.25">
      <c r="A843" s="302"/>
      <c r="B843" s="303"/>
      <c r="C843" s="304"/>
      <c r="D843" s="303"/>
      <c r="E843" s="303"/>
      <c r="F843" s="307"/>
      <c r="G843" s="307"/>
      <c r="I843" s="303"/>
      <c r="J843" s="303"/>
    </row>
    <row r="844" spans="1:13" x14ac:dyDescent="0.25">
      <c r="A844" s="302"/>
      <c r="B844" s="303"/>
      <c r="C844" s="304"/>
      <c r="D844" s="303"/>
      <c r="E844" s="305" t="s">
        <v>2297</v>
      </c>
      <c r="F844" s="306">
        <v>3624379</v>
      </c>
      <c r="G844" s="307"/>
      <c r="I844" s="303"/>
      <c r="J844" s="359" t="s">
        <v>2057</v>
      </c>
      <c r="K844" s="308">
        <v>16783895</v>
      </c>
      <c r="L844" s="310"/>
      <c r="M844" s="310" t="s">
        <v>2298</v>
      </c>
    </row>
    <row r="845" spans="1:13" x14ac:dyDescent="0.25">
      <c r="A845" s="302"/>
      <c r="B845" s="303"/>
      <c r="C845" s="304"/>
      <c r="D845" s="303"/>
      <c r="E845" s="305" t="s">
        <v>2299</v>
      </c>
      <c r="F845" s="311">
        <v>472981.4595</v>
      </c>
      <c r="G845" s="307"/>
      <c r="I845" s="303"/>
      <c r="J845" s="360" t="s">
        <v>2300</v>
      </c>
      <c r="K845" s="312">
        <v>1584905</v>
      </c>
      <c r="M845" s="314"/>
    </row>
    <row r="848" spans="1:13" s="133" customFormat="1" ht="36.75" customHeight="1" x14ac:dyDescent="0.25">
      <c r="A848" s="685" t="s">
        <v>2776</v>
      </c>
      <c r="B848" s="685"/>
      <c r="C848" s="685"/>
      <c r="D848" s="685"/>
      <c r="E848" s="685"/>
      <c r="F848" s="685"/>
      <c r="G848" s="685"/>
      <c r="H848" s="685"/>
      <c r="I848" s="685"/>
      <c r="J848" s="685"/>
      <c r="K848" s="685"/>
      <c r="L848" s="685"/>
      <c r="M848" s="685"/>
    </row>
    <row r="849" spans="1:13" ht="18.75" customHeight="1" x14ac:dyDescent="0.25">
      <c r="A849" s="222" t="s">
        <v>2048</v>
      </c>
      <c r="B849" s="222" t="s">
        <v>2777</v>
      </c>
      <c r="C849" s="222" t="s">
        <v>2049</v>
      </c>
      <c r="D849" s="222" t="s">
        <v>2050</v>
      </c>
      <c r="E849" s="222" t="s">
        <v>2051</v>
      </c>
      <c r="F849" s="222" t="s">
        <v>2052</v>
      </c>
      <c r="G849" s="222" t="s">
        <v>2053</v>
      </c>
      <c r="H849" s="223" t="s">
        <v>2054</v>
      </c>
      <c r="I849" s="222" t="s">
        <v>2055</v>
      </c>
      <c r="J849" s="222" t="s">
        <v>2056</v>
      </c>
      <c r="K849" s="222" t="s">
        <v>2057</v>
      </c>
      <c r="L849" s="222" t="s">
        <v>2058</v>
      </c>
      <c r="M849" s="222" t="s">
        <v>2302</v>
      </c>
    </row>
    <row r="850" spans="1:13" s="239" customFormat="1" ht="15" customHeight="1" x14ac:dyDescent="0.25">
      <c r="A850" s="134">
        <v>1</v>
      </c>
      <c r="B850" s="134">
        <v>41673</v>
      </c>
      <c r="C850" s="136" t="s">
        <v>2778</v>
      </c>
      <c r="D850" s="134" t="s">
        <v>1957</v>
      </c>
      <c r="E850" s="171" t="s">
        <v>534</v>
      </c>
      <c r="F850" s="138" t="s">
        <v>2511</v>
      </c>
      <c r="G850" s="176" t="s">
        <v>2779</v>
      </c>
      <c r="H850" s="135">
        <v>41472</v>
      </c>
      <c r="I850" s="134">
        <v>2</v>
      </c>
      <c r="J850" s="362">
        <v>30429</v>
      </c>
      <c r="K850" s="362">
        <v>60858</v>
      </c>
      <c r="L850" s="225" t="s">
        <v>757</v>
      </c>
      <c r="M850" s="129" t="s">
        <v>41</v>
      </c>
    </row>
    <row r="851" spans="1:13" s="239" customFormat="1" ht="15" customHeight="1" x14ac:dyDescent="0.25">
      <c r="A851" s="134">
        <v>2</v>
      </c>
      <c r="B851" s="134">
        <v>41515</v>
      </c>
      <c r="C851" s="136" t="s">
        <v>2780</v>
      </c>
      <c r="D851" s="134" t="s">
        <v>2781</v>
      </c>
      <c r="E851" s="171" t="s">
        <v>2782</v>
      </c>
      <c r="F851" s="138" t="s">
        <v>384</v>
      </c>
      <c r="G851" s="176"/>
      <c r="H851" s="135">
        <v>41472</v>
      </c>
      <c r="I851" s="134">
        <v>2</v>
      </c>
      <c r="J851" s="362">
        <v>53758.36</v>
      </c>
      <c r="K851" s="362">
        <v>107516.72</v>
      </c>
      <c r="L851" s="225" t="s">
        <v>757</v>
      </c>
      <c r="M851" s="129" t="s">
        <v>41</v>
      </c>
    </row>
    <row r="852" spans="1:13" s="239" customFormat="1" ht="15" customHeight="1" x14ac:dyDescent="0.25">
      <c r="A852" s="134">
        <v>3</v>
      </c>
      <c r="B852" s="134">
        <v>41296</v>
      </c>
      <c r="C852" s="136" t="s">
        <v>2783</v>
      </c>
      <c r="D852" s="134" t="s">
        <v>2784</v>
      </c>
      <c r="E852" s="171" t="s">
        <v>534</v>
      </c>
      <c r="F852" s="138" t="s">
        <v>508</v>
      </c>
      <c r="G852" s="176" t="s">
        <v>566</v>
      </c>
      <c r="H852" s="135">
        <v>41470</v>
      </c>
      <c r="I852" s="134">
        <v>1</v>
      </c>
      <c r="J852" s="362">
        <v>30429</v>
      </c>
      <c r="K852" s="362">
        <v>30429</v>
      </c>
      <c r="L852" s="225" t="s">
        <v>757</v>
      </c>
      <c r="M852" s="129" t="s">
        <v>41</v>
      </c>
    </row>
    <row r="853" spans="1:13" s="239" customFormat="1" ht="15" customHeight="1" x14ac:dyDescent="0.25">
      <c r="A853" s="134">
        <v>4</v>
      </c>
      <c r="B853" s="134">
        <v>40587</v>
      </c>
      <c r="C853" s="136" t="s">
        <v>2785</v>
      </c>
      <c r="D853" s="134" t="s">
        <v>1957</v>
      </c>
      <c r="E853" s="171" t="s">
        <v>534</v>
      </c>
      <c r="F853" s="138" t="s">
        <v>401</v>
      </c>
      <c r="G853" s="176" t="s">
        <v>580</v>
      </c>
      <c r="H853" s="135">
        <v>41467</v>
      </c>
      <c r="I853" s="134">
        <v>1</v>
      </c>
      <c r="J853" s="362">
        <v>30429</v>
      </c>
      <c r="K853" s="362">
        <v>30429</v>
      </c>
      <c r="L853" s="225" t="s">
        <v>757</v>
      </c>
      <c r="M853" s="129" t="s">
        <v>41</v>
      </c>
    </row>
    <row r="854" spans="1:13" s="239" customFormat="1" ht="15" customHeight="1" x14ac:dyDescent="0.25">
      <c r="A854" s="134">
        <v>5</v>
      </c>
      <c r="B854" s="134">
        <v>42335</v>
      </c>
      <c r="C854" s="136" t="s">
        <v>2786</v>
      </c>
      <c r="D854" s="134" t="s">
        <v>1957</v>
      </c>
      <c r="E854" s="171" t="s">
        <v>534</v>
      </c>
      <c r="F854" s="138" t="s">
        <v>1095</v>
      </c>
      <c r="G854" s="176" t="s">
        <v>580</v>
      </c>
      <c r="H854" s="135">
        <v>41477</v>
      </c>
      <c r="I854" s="134">
        <v>2</v>
      </c>
      <c r="J854" s="362">
        <v>30429</v>
      </c>
      <c r="K854" s="362">
        <v>60858</v>
      </c>
      <c r="L854" s="225" t="s">
        <v>757</v>
      </c>
      <c r="M854" s="129" t="s">
        <v>41</v>
      </c>
    </row>
    <row r="855" spans="1:13" s="239" customFormat="1" ht="15" customHeight="1" x14ac:dyDescent="0.25">
      <c r="A855" s="134">
        <v>6</v>
      </c>
      <c r="B855" s="134">
        <v>43108</v>
      </c>
      <c r="C855" s="136" t="s">
        <v>2787</v>
      </c>
      <c r="D855" s="134" t="s">
        <v>1937</v>
      </c>
      <c r="E855" s="171" t="s">
        <v>534</v>
      </c>
      <c r="F855" s="138" t="s">
        <v>414</v>
      </c>
      <c r="G855" s="176" t="s">
        <v>551</v>
      </c>
      <c r="H855" s="135">
        <v>41480</v>
      </c>
      <c r="I855" s="134">
        <v>1</v>
      </c>
      <c r="J855" s="362">
        <v>30429</v>
      </c>
      <c r="K855" s="362">
        <v>30429</v>
      </c>
      <c r="L855" s="225" t="s">
        <v>757</v>
      </c>
      <c r="M855" s="129" t="s">
        <v>41</v>
      </c>
    </row>
    <row r="856" spans="1:13" s="239" customFormat="1" ht="15" customHeight="1" x14ac:dyDescent="0.25">
      <c r="A856" s="134">
        <v>7</v>
      </c>
      <c r="B856" s="134">
        <v>40772</v>
      </c>
      <c r="C856" s="136" t="s">
        <v>2788</v>
      </c>
      <c r="D856" s="134" t="s">
        <v>2789</v>
      </c>
      <c r="E856" s="171" t="s">
        <v>226</v>
      </c>
      <c r="F856" s="138" t="s">
        <v>407</v>
      </c>
      <c r="G856" s="176" t="s">
        <v>2064</v>
      </c>
      <c r="H856" s="135">
        <v>41467</v>
      </c>
      <c r="I856" s="134">
        <v>1</v>
      </c>
      <c r="J856" s="362">
        <v>5274</v>
      </c>
      <c r="K856" s="362">
        <v>5274</v>
      </c>
      <c r="L856" s="225" t="s">
        <v>757</v>
      </c>
      <c r="M856" s="129" t="s">
        <v>41</v>
      </c>
    </row>
    <row r="857" spans="1:13" s="239" customFormat="1" ht="15" customHeight="1" x14ac:dyDescent="0.25">
      <c r="A857" s="134">
        <v>8</v>
      </c>
      <c r="B857" s="134">
        <v>42339</v>
      </c>
      <c r="C857" s="136" t="s">
        <v>2790</v>
      </c>
      <c r="D857" s="134" t="s">
        <v>1937</v>
      </c>
      <c r="E857" s="171" t="s">
        <v>534</v>
      </c>
      <c r="F857" s="138" t="s">
        <v>642</v>
      </c>
      <c r="G857" s="176" t="s">
        <v>551</v>
      </c>
      <c r="H857" s="135">
        <v>41477</v>
      </c>
      <c r="I857" s="134">
        <v>1</v>
      </c>
      <c r="J857" s="362">
        <v>30429</v>
      </c>
      <c r="K857" s="362">
        <v>30429</v>
      </c>
      <c r="L857" s="225" t="s">
        <v>757</v>
      </c>
      <c r="M857" s="129" t="s">
        <v>41</v>
      </c>
    </row>
    <row r="858" spans="1:13" s="239" customFormat="1" ht="15" customHeight="1" x14ac:dyDescent="0.25">
      <c r="A858" s="134">
        <v>9</v>
      </c>
      <c r="B858" s="134">
        <v>42460</v>
      </c>
      <c r="C858" s="136" t="s">
        <v>2791</v>
      </c>
      <c r="D858" s="134" t="s">
        <v>1937</v>
      </c>
      <c r="E858" s="171" t="s">
        <v>114</v>
      </c>
      <c r="F858" s="138" t="s">
        <v>559</v>
      </c>
      <c r="G858" s="176" t="s">
        <v>551</v>
      </c>
      <c r="H858" s="135">
        <v>41477</v>
      </c>
      <c r="I858" s="134">
        <v>1</v>
      </c>
      <c r="J858" s="362">
        <v>33370</v>
      </c>
      <c r="K858" s="362">
        <v>33370</v>
      </c>
      <c r="L858" s="225" t="s">
        <v>757</v>
      </c>
      <c r="M858" s="129" t="s">
        <v>41</v>
      </c>
    </row>
    <row r="859" spans="1:13" s="239" customFormat="1" ht="15" customHeight="1" x14ac:dyDescent="0.25">
      <c r="A859" s="134">
        <v>10</v>
      </c>
      <c r="B859" s="134">
        <v>40327</v>
      </c>
      <c r="C859" s="136" t="s">
        <v>2792</v>
      </c>
      <c r="D859" s="134" t="s">
        <v>2789</v>
      </c>
      <c r="E859" s="171" t="s">
        <v>534</v>
      </c>
      <c r="F859" s="138" t="s">
        <v>428</v>
      </c>
      <c r="G859" s="176" t="s">
        <v>551</v>
      </c>
      <c r="H859" s="135">
        <v>41466</v>
      </c>
      <c r="I859" s="134">
        <v>1</v>
      </c>
      <c r="J859" s="362">
        <v>30429</v>
      </c>
      <c r="K859" s="362">
        <v>30429</v>
      </c>
      <c r="L859" s="225" t="s">
        <v>757</v>
      </c>
      <c r="M859" s="129" t="s">
        <v>41</v>
      </c>
    </row>
    <row r="860" spans="1:13" s="239" customFormat="1" ht="15" customHeight="1" x14ac:dyDescent="0.25">
      <c r="A860" s="134">
        <v>11</v>
      </c>
      <c r="B860" s="134">
        <v>42984</v>
      </c>
      <c r="C860" s="136" t="s">
        <v>2793</v>
      </c>
      <c r="D860" s="134" t="s">
        <v>2789</v>
      </c>
      <c r="E860" s="171" t="s">
        <v>534</v>
      </c>
      <c r="F860" s="138" t="s">
        <v>524</v>
      </c>
      <c r="G860" s="176" t="s">
        <v>566</v>
      </c>
      <c r="H860" s="135">
        <v>41480</v>
      </c>
      <c r="I860" s="134">
        <v>1</v>
      </c>
      <c r="J860" s="362">
        <v>30429</v>
      </c>
      <c r="K860" s="362">
        <v>30429</v>
      </c>
      <c r="L860" s="225" t="s">
        <v>757</v>
      </c>
      <c r="M860" s="129" t="s">
        <v>41</v>
      </c>
    </row>
    <row r="861" spans="1:13" s="239" customFormat="1" ht="15" customHeight="1" x14ac:dyDescent="0.25">
      <c r="A861" s="134">
        <v>12</v>
      </c>
      <c r="B861" s="134">
        <v>43924</v>
      </c>
      <c r="C861" s="136" t="s">
        <v>2794</v>
      </c>
      <c r="D861" s="134" t="s">
        <v>1937</v>
      </c>
      <c r="E861" s="171" t="s">
        <v>534</v>
      </c>
      <c r="F861" s="138" t="s">
        <v>428</v>
      </c>
      <c r="G861" s="176" t="s">
        <v>2795</v>
      </c>
      <c r="H861" s="135">
        <v>41484</v>
      </c>
      <c r="I861" s="134">
        <v>1</v>
      </c>
      <c r="J861" s="362">
        <v>30429</v>
      </c>
      <c r="K861" s="362">
        <v>30429</v>
      </c>
      <c r="L861" s="225" t="s">
        <v>757</v>
      </c>
      <c r="M861" s="129" t="s">
        <v>41</v>
      </c>
    </row>
    <row r="862" spans="1:13" s="239" customFormat="1" ht="15" customHeight="1" x14ac:dyDescent="0.25">
      <c r="A862" s="134">
        <v>13</v>
      </c>
      <c r="B862" s="134">
        <v>40583</v>
      </c>
      <c r="C862" s="136" t="s">
        <v>2796</v>
      </c>
      <c r="D862" s="134" t="s">
        <v>1937</v>
      </c>
      <c r="E862" s="171" t="s">
        <v>534</v>
      </c>
      <c r="F862" s="138" t="s">
        <v>414</v>
      </c>
      <c r="G862" s="176" t="s">
        <v>566</v>
      </c>
      <c r="H862" s="135">
        <v>41467</v>
      </c>
      <c r="I862" s="134">
        <v>1</v>
      </c>
      <c r="J862" s="362">
        <v>30429</v>
      </c>
      <c r="K862" s="362">
        <v>30429</v>
      </c>
      <c r="L862" s="225" t="s">
        <v>757</v>
      </c>
      <c r="M862" s="129" t="s">
        <v>41</v>
      </c>
    </row>
    <row r="863" spans="1:13" s="239" customFormat="1" ht="15" customHeight="1" x14ac:dyDescent="0.25">
      <c r="A863" s="134">
        <v>14</v>
      </c>
      <c r="B863" s="134">
        <v>42337</v>
      </c>
      <c r="C863" s="136" t="s">
        <v>2797</v>
      </c>
      <c r="D863" s="134" t="s">
        <v>2789</v>
      </c>
      <c r="E863" s="171" t="s">
        <v>534</v>
      </c>
      <c r="F863" s="138" t="s">
        <v>416</v>
      </c>
      <c r="G863" s="176" t="s">
        <v>551</v>
      </c>
      <c r="H863" s="135">
        <v>41477</v>
      </c>
      <c r="I863" s="134">
        <v>1</v>
      </c>
      <c r="J863" s="362">
        <v>30429</v>
      </c>
      <c r="K863" s="362">
        <v>30429</v>
      </c>
      <c r="L863" s="225" t="s">
        <v>757</v>
      </c>
      <c r="M863" s="129" t="s">
        <v>41</v>
      </c>
    </row>
    <row r="864" spans="1:13" s="239" customFormat="1" ht="15" customHeight="1" x14ac:dyDescent="0.25">
      <c r="A864" s="134">
        <v>15</v>
      </c>
      <c r="B864" s="134">
        <v>40669</v>
      </c>
      <c r="C864" s="136" t="s">
        <v>2798</v>
      </c>
      <c r="D864" s="134" t="s">
        <v>1937</v>
      </c>
      <c r="E864" s="171" t="s">
        <v>534</v>
      </c>
      <c r="F864" s="138" t="s">
        <v>508</v>
      </c>
      <c r="G864" s="176" t="s">
        <v>551</v>
      </c>
      <c r="H864" s="135">
        <v>41467</v>
      </c>
      <c r="I864" s="134">
        <v>1</v>
      </c>
      <c r="J864" s="362">
        <v>30429</v>
      </c>
      <c r="K864" s="362">
        <v>30429</v>
      </c>
      <c r="L864" s="225" t="s">
        <v>757</v>
      </c>
      <c r="M864" s="129" t="s">
        <v>41</v>
      </c>
    </row>
    <row r="865" spans="1:13" s="239" customFormat="1" ht="15" customHeight="1" x14ac:dyDescent="0.25">
      <c r="A865" s="134">
        <v>16</v>
      </c>
      <c r="B865" s="134">
        <v>42338</v>
      </c>
      <c r="C865" s="136" t="s">
        <v>2799</v>
      </c>
      <c r="D865" s="134" t="s">
        <v>1937</v>
      </c>
      <c r="E865" s="171" t="s">
        <v>534</v>
      </c>
      <c r="F865" s="138" t="s">
        <v>428</v>
      </c>
      <c r="G865" s="176" t="s">
        <v>551</v>
      </c>
      <c r="H865" s="135">
        <v>41477</v>
      </c>
      <c r="I865" s="134">
        <v>1</v>
      </c>
      <c r="J865" s="362">
        <v>30429</v>
      </c>
      <c r="K865" s="362">
        <v>30429</v>
      </c>
      <c r="L865" s="225" t="s">
        <v>757</v>
      </c>
      <c r="M865" s="129" t="s">
        <v>41</v>
      </c>
    </row>
    <row r="866" spans="1:13" s="239" customFormat="1" ht="15" customHeight="1" x14ac:dyDescent="0.25">
      <c r="A866" s="134">
        <v>17</v>
      </c>
      <c r="B866" s="134">
        <v>40305</v>
      </c>
      <c r="C866" s="136" t="s">
        <v>2800</v>
      </c>
      <c r="D866" s="134" t="s">
        <v>2789</v>
      </c>
      <c r="E866" s="171" t="s">
        <v>208</v>
      </c>
      <c r="F866" s="138" t="s">
        <v>414</v>
      </c>
      <c r="G866" s="176"/>
      <c r="H866" s="135">
        <v>41466</v>
      </c>
      <c r="I866" s="134">
        <v>1</v>
      </c>
      <c r="J866" s="362">
        <v>14099</v>
      </c>
      <c r="K866" s="362">
        <v>14099</v>
      </c>
      <c r="L866" s="225" t="s">
        <v>757</v>
      </c>
      <c r="M866" s="129" t="s">
        <v>41</v>
      </c>
    </row>
    <row r="867" spans="1:13" s="239" customFormat="1" ht="15" customHeight="1" thickBot="1" x14ac:dyDescent="0.25">
      <c r="A867" s="240">
        <v>18</v>
      </c>
      <c r="B867" s="240">
        <v>42553</v>
      </c>
      <c r="C867" s="241" t="s">
        <v>2800</v>
      </c>
      <c r="D867" s="240" t="s">
        <v>2789</v>
      </c>
      <c r="E867" s="228" t="s">
        <v>114</v>
      </c>
      <c r="F867" s="242" t="s">
        <v>414</v>
      </c>
      <c r="G867" s="229" t="s">
        <v>2507</v>
      </c>
      <c r="H867" s="243">
        <v>41478</v>
      </c>
      <c r="I867" s="240">
        <v>1</v>
      </c>
      <c r="J867" s="363">
        <v>33370</v>
      </c>
      <c r="K867" s="363">
        <v>33370</v>
      </c>
      <c r="L867" s="422" t="s">
        <v>757</v>
      </c>
      <c r="M867" s="129" t="s">
        <v>41</v>
      </c>
    </row>
    <row r="868" spans="1:13" s="133" customFormat="1" ht="15" customHeight="1" thickTop="1" x14ac:dyDescent="0.25">
      <c r="A868" s="374">
        <v>19</v>
      </c>
      <c r="B868" s="374">
        <v>44981</v>
      </c>
      <c r="C868" s="423" t="s">
        <v>2801</v>
      </c>
      <c r="D868" s="374" t="s">
        <v>1937</v>
      </c>
      <c r="E868" s="424" t="s">
        <v>534</v>
      </c>
      <c r="F868" s="425" t="s">
        <v>2802</v>
      </c>
      <c r="G868" s="426" t="s">
        <v>2523</v>
      </c>
      <c r="H868" s="427">
        <v>41486</v>
      </c>
      <c r="I868" s="374">
        <v>2</v>
      </c>
      <c r="J868" s="428">
        <v>30429</v>
      </c>
      <c r="K868" s="428">
        <v>60858</v>
      </c>
      <c r="L868" s="269" t="s">
        <v>785</v>
      </c>
      <c r="M868" s="129" t="s">
        <v>41</v>
      </c>
    </row>
    <row r="869" spans="1:13" s="133" customFormat="1" ht="15" customHeight="1" x14ac:dyDescent="0.25">
      <c r="A869" s="382">
        <v>20</v>
      </c>
      <c r="B869" s="382">
        <v>44680</v>
      </c>
      <c r="C869" s="429" t="s">
        <v>2803</v>
      </c>
      <c r="D869" s="382" t="s">
        <v>1937</v>
      </c>
      <c r="E869" s="430" t="s">
        <v>534</v>
      </c>
      <c r="F869" s="431" t="s">
        <v>524</v>
      </c>
      <c r="G869" s="432" t="s">
        <v>2804</v>
      </c>
      <c r="H869" s="433">
        <v>41486</v>
      </c>
      <c r="I869" s="382">
        <v>1</v>
      </c>
      <c r="J869" s="434">
        <v>30429</v>
      </c>
      <c r="K869" s="434">
        <v>30429</v>
      </c>
      <c r="L869" s="269" t="s">
        <v>785</v>
      </c>
      <c r="M869" s="129" t="s">
        <v>41</v>
      </c>
    </row>
    <row r="870" spans="1:13" s="133" customFormat="1" ht="15" customHeight="1" x14ac:dyDescent="0.25">
      <c r="A870" s="384">
        <v>21</v>
      </c>
      <c r="B870" s="384">
        <v>46249</v>
      </c>
      <c r="C870" s="435" t="s">
        <v>2788</v>
      </c>
      <c r="D870" s="384" t="s">
        <v>1937</v>
      </c>
      <c r="E870" s="436" t="s">
        <v>534</v>
      </c>
      <c r="F870" s="437" t="s">
        <v>439</v>
      </c>
      <c r="G870" s="438" t="s">
        <v>2805</v>
      </c>
      <c r="H870" s="439">
        <v>41493</v>
      </c>
      <c r="I870" s="384">
        <v>1</v>
      </c>
      <c r="J870" s="440">
        <v>30429</v>
      </c>
      <c r="K870" s="440">
        <v>30429</v>
      </c>
      <c r="L870" s="269" t="s">
        <v>785</v>
      </c>
      <c r="M870" s="129" t="s">
        <v>41</v>
      </c>
    </row>
    <row r="871" spans="1:13" s="133" customFormat="1" ht="15" customHeight="1" x14ac:dyDescent="0.25">
      <c r="A871" s="384">
        <v>22</v>
      </c>
      <c r="B871" s="384">
        <v>46554</v>
      </c>
      <c r="C871" s="435" t="s">
        <v>2806</v>
      </c>
      <c r="D871" s="384" t="s">
        <v>1957</v>
      </c>
      <c r="E871" s="436" t="s">
        <v>534</v>
      </c>
      <c r="F871" s="437" t="s">
        <v>591</v>
      </c>
      <c r="G871" s="438" t="s">
        <v>1250</v>
      </c>
      <c r="H871" s="439">
        <v>41494</v>
      </c>
      <c r="I871" s="384">
        <v>1</v>
      </c>
      <c r="J871" s="440">
        <v>30429</v>
      </c>
      <c r="K871" s="440">
        <v>30429</v>
      </c>
      <c r="L871" s="269" t="s">
        <v>785</v>
      </c>
      <c r="M871" s="129" t="s">
        <v>41</v>
      </c>
    </row>
    <row r="872" spans="1:13" s="133" customFormat="1" ht="15" customHeight="1" x14ac:dyDescent="0.25">
      <c r="A872" s="384">
        <v>23</v>
      </c>
      <c r="B872" s="384">
        <v>46877</v>
      </c>
      <c r="C872" s="435" t="s">
        <v>2807</v>
      </c>
      <c r="D872" s="384" t="s">
        <v>1937</v>
      </c>
      <c r="E872" s="436" t="s">
        <v>190</v>
      </c>
      <c r="F872" s="437" t="s">
        <v>2808</v>
      </c>
      <c r="G872" s="438" t="s">
        <v>566</v>
      </c>
      <c r="H872" s="439">
        <v>41495</v>
      </c>
      <c r="I872" s="384">
        <v>2</v>
      </c>
      <c r="J872" s="440">
        <v>57960</v>
      </c>
      <c r="K872" s="440">
        <v>115920</v>
      </c>
      <c r="L872" s="269" t="s">
        <v>785</v>
      </c>
      <c r="M872" s="129" t="s">
        <v>41</v>
      </c>
    </row>
    <row r="873" spans="1:13" s="133" customFormat="1" ht="15" customHeight="1" x14ac:dyDescent="0.25">
      <c r="A873" s="384">
        <v>24</v>
      </c>
      <c r="B873" s="384">
        <v>47030</v>
      </c>
      <c r="C873" s="435" t="s">
        <v>2809</v>
      </c>
      <c r="D873" s="384" t="s">
        <v>1937</v>
      </c>
      <c r="E873" s="436" t="s">
        <v>186</v>
      </c>
      <c r="F873" s="437" t="s">
        <v>524</v>
      </c>
      <c r="G873" s="438" t="s">
        <v>566</v>
      </c>
      <c r="H873" s="439">
        <v>41494</v>
      </c>
      <c r="I873" s="384">
        <v>1</v>
      </c>
      <c r="J873" s="440">
        <v>42601</v>
      </c>
      <c r="K873" s="440">
        <v>42601</v>
      </c>
      <c r="L873" s="269" t="s">
        <v>785</v>
      </c>
      <c r="M873" s="129" t="s">
        <v>41</v>
      </c>
    </row>
    <row r="874" spans="1:13" s="133" customFormat="1" ht="15" customHeight="1" x14ac:dyDescent="0.25">
      <c r="A874" s="384">
        <v>25</v>
      </c>
      <c r="B874" s="384">
        <v>46968</v>
      </c>
      <c r="C874" s="435" t="s">
        <v>2810</v>
      </c>
      <c r="D874" s="384" t="s">
        <v>1957</v>
      </c>
      <c r="E874" s="436" t="s">
        <v>114</v>
      </c>
      <c r="F874" s="437" t="s">
        <v>389</v>
      </c>
      <c r="G874" s="438" t="s">
        <v>626</v>
      </c>
      <c r="H874" s="439">
        <v>41494</v>
      </c>
      <c r="I874" s="384">
        <v>1</v>
      </c>
      <c r="J874" s="440">
        <v>33370</v>
      </c>
      <c r="K874" s="440">
        <v>33370</v>
      </c>
      <c r="L874" s="269" t="s">
        <v>785</v>
      </c>
      <c r="M874" s="129" t="s">
        <v>41</v>
      </c>
    </row>
    <row r="875" spans="1:13" s="133" customFormat="1" ht="15" customHeight="1" x14ac:dyDescent="0.25">
      <c r="A875" s="384">
        <v>26</v>
      </c>
      <c r="B875" s="384">
        <v>47035</v>
      </c>
      <c r="C875" s="435" t="s">
        <v>2811</v>
      </c>
      <c r="D875" s="384" t="s">
        <v>1937</v>
      </c>
      <c r="E875" s="436" t="s">
        <v>114</v>
      </c>
      <c r="F875" s="437" t="s">
        <v>508</v>
      </c>
      <c r="G875" s="438" t="s">
        <v>2812</v>
      </c>
      <c r="H875" s="439">
        <v>41498</v>
      </c>
      <c r="I875" s="384">
        <v>1</v>
      </c>
      <c r="J875" s="440">
        <v>33370</v>
      </c>
      <c r="K875" s="440">
        <v>33370</v>
      </c>
      <c r="L875" s="269" t="s">
        <v>785</v>
      </c>
      <c r="M875" s="129" t="s">
        <v>41</v>
      </c>
    </row>
    <row r="876" spans="1:13" s="133" customFormat="1" ht="15" customHeight="1" x14ac:dyDescent="0.25">
      <c r="A876" s="384">
        <v>27</v>
      </c>
      <c r="B876" s="384">
        <v>47548</v>
      </c>
      <c r="C876" s="435" t="s">
        <v>2813</v>
      </c>
      <c r="D876" s="384" t="s">
        <v>1937</v>
      </c>
      <c r="E876" s="436" t="s">
        <v>208</v>
      </c>
      <c r="F876" s="437" t="s">
        <v>380</v>
      </c>
      <c r="G876" s="438"/>
      <c r="H876" s="439">
        <v>41499</v>
      </c>
      <c r="I876" s="384">
        <v>1</v>
      </c>
      <c r="J876" s="440">
        <v>14099</v>
      </c>
      <c r="K876" s="440">
        <v>14099</v>
      </c>
      <c r="L876" s="269" t="s">
        <v>785</v>
      </c>
      <c r="M876" s="129" t="s">
        <v>41</v>
      </c>
    </row>
    <row r="877" spans="1:13" s="133" customFormat="1" ht="15" customHeight="1" x14ac:dyDescent="0.25">
      <c r="A877" s="384">
        <v>28</v>
      </c>
      <c r="B877" s="384">
        <v>47440</v>
      </c>
      <c r="C877" s="435" t="s">
        <v>2814</v>
      </c>
      <c r="D877" s="384" t="s">
        <v>1937</v>
      </c>
      <c r="E877" s="436" t="s">
        <v>215</v>
      </c>
      <c r="F877" s="437" t="s">
        <v>368</v>
      </c>
      <c r="G877" s="438" t="s">
        <v>2104</v>
      </c>
      <c r="H877" s="439">
        <v>41499</v>
      </c>
      <c r="I877" s="384">
        <v>1</v>
      </c>
      <c r="J877" s="440">
        <v>44597</v>
      </c>
      <c r="K877" s="440">
        <v>44597</v>
      </c>
      <c r="L877" s="269" t="s">
        <v>785</v>
      </c>
      <c r="M877" s="129" t="s">
        <v>41</v>
      </c>
    </row>
    <row r="878" spans="1:13" s="133" customFormat="1" ht="15" customHeight="1" x14ac:dyDescent="0.25">
      <c r="A878" s="384">
        <v>29</v>
      </c>
      <c r="B878" s="384">
        <v>47440</v>
      </c>
      <c r="C878" s="435" t="s">
        <v>2814</v>
      </c>
      <c r="D878" s="384" t="s">
        <v>1937</v>
      </c>
      <c r="E878" s="436" t="s">
        <v>679</v>
      </c>
      <c r="F878" s="437" t="s">
        <v>366</v>
      </c>
      <c r="G878" s="438" t="s">
        <v>2104</v>
      </c>
      <c r="H878" s="439">
        <v>41499</v>
      </c>
      <c r="I878" s="384">
        <v>1</v>
      </c>
      <c r="J878" s="440">
        <v>55058</v>
      </c>
      <c r="K878" s="440">
        <v>55058</v>
      </c>
      <c r="L878" s="269" t="s">
        <v>785</v>
      </c>
      <c r="M878" s="129" t="s">
        <v>41</v>
      </c>
    </row>
    <row r="879" spans="1:13" s="133" customFormat="1" ht="15" customHeight="1" x14ac:dyDescent="0.25">
      <c r="A879" s="384">
        <v>30</v>
      </c>
      <c r="B879" s="384">
        <v>48429</v>
      </c>
      <c r="C879" s="435" t="s">
        <v>2815</v>
      </c>
      <c r="D879" s="384" t="s">
        <v>1937</v>
      </c>
      <c r="E879" s="436" t="s">
        <v>534</v>
      </c>
      <c r="F879" s="437" t="s">
        <v>469</v>
      </c>
      <c r="G879" s="438" t="s">
        <v>551</v>
      </c>
      <c r="H879" s="439">
        <v>41505</v>
      </c>
      <c r="I879" s="384">
        <v>1</v>
      </c>
      <c r="J879" s="440">
        <v>30429</v>
      </c>
      <c r="K879" s="440">
        <v>30429</v>
      </c>
      <c r="L879" s="269" t="s">
        <v>785</v>
      </c>
      <c r="M879" s="129" t="s">
        <v>41</v>
      </c>
    </row>
    <row r="880" spans="1:13" s="133" customFormat="1" ht="15" customHeight="1" x14ac:dyDescent="0.25">
      <c r="A880" s="384">
        <v>31</v>
      </c>
      <c r="B880" s="384">
        <v>48442</v>
      </c>
      <c r="C880" s="435" t="s">
        <v>2799</v>
      </c>
      <c r="D880" s="384" t="s">
        <v>1937</v>
      </c>
      <c r="E880" s="436" t="s">
        <v>114</v>
      </c>
      <c r="F880" s="437" t="s">
        <v>416</v>
      </c>
      <c r="G880" s="438" t="s">
        <v>2812</v>
      </c>
      <c r="H880" s="439">
        <v>41505</v>
      </c>
      <c r="I880" s="384">
        <v>1</v>
      </c>
      <c r="J880" s="440">
        <v>33370</v>
      </c>
      <c r="K880" s="440">
        <v>33370</v>
      </c>
      <c r="L880" s="269" t="s">
        <v>785</v>
      </c>
      <c r="M880" s="129" t="s">
        <v>41</v>
      </c>
    </row>
    <row r="881" spans="1:13" s="133" customFormat="1" ht="15" customHeight="1" x14ac:dyDescent="0.25">
      <c r="A881" s="384">
        <v>32</v>
      </c>
      <c r="B881" s="384">
        <v>48444</v>
      </c>
      <c r="C881" s="435" t="s">
        <v>2816</v>
      </c>
      <c r="D881" s="384" t="s">
        <v>1937</v>
      </c>
      <c r="E881" s="436" t="s">
        <v>114</v>
      </c>
      <c r="F881" s="437" t="s">
        <v>591</v>
      </c>
      <c r="G881" s="438" t="s">
        <v>2523</v>
      </c>
      <c r="H881" s="439">
        <v>41502</v>
      </c>
      <c r="I881" s="384">
        <v>1</v>
      </c>
      <c r="J881" s="440">
        <v>33370</v>
      </c>
      <c r="K881" s="440">
        <v>33370</v>
      </c>
      <c r="L881" s="269" t="s">
        <v>785</v>
      </c>
      <c r="M881" s="129" t="s">
        <v>41</v>
      </c>
    </row>
    <row r="882" spans="1:13" s="133" customFormat="1" ht="15" customHeight="1" x14ac:dyDescent="0.25">
      <c r="A882" s="384">
        <v>33</v>
      </c>
      <c r="B882" s="384">
        <v>49201</v>
      </c>
      <c r="C882" s="435" t="s">
        <v>2817</v>
      </c>
      <c r="D882" s="384" t="s">
        <v>1937</v>
      </c>
      <c r="E882" s="436" t="s">
        <v>114</v>
      </c>
      <c r="F882" s="437" t="s">
        <v>469</v>
      </c>
      <c r="G882" s="438" t="s">
        <v>1963</v>
      </c>
      <c r="H882" s="439">
        <v>41507</v>
      </c>
      <c r="I882" s="384">
        <v>1</v>
      </c>
      <c r="J882" s="440">
        <v>33370</v>
      </c>
      <c r="K882" s="440">
        <v>33370</v>
      </c>
      <c r="L882" s="269" t="s">
        <v>785</v>
      </c>
      <c r="M882" s="129" t="s">
        <v>41</v>
      </c>
    </row>
    <row r="883" spans="1:13" s="133" customFormat="1" ht="15" customHeight="1" x14ac:dyDescent="0.25">
      <c r="A883" s="384">
        <v>34</v>
      </c>
      <c r="B883" s="384">
        <v>49289</v>
      </c>
      <c r="C883" s="435" t="s">
        <v>2818</v>
      </c>
      <c r="D883" s="384" t="s">
        <v>1937</v>
      </c>
      <c r="E883" s="436" t="s">
        <v>534</v>
      </c>
      <c r="F883" s="437" t="s">
        <v>559</v>
      </c>
      <c r="G883" s="438" t="s">
        <v>1945</v>
      </c>
      <c r="H883" s="439">
        <v>41507</v>
      </c>
      <c r="I883" s="384">
        <v>1</v>
      </c>
      <c r="J883" s="440">
        <v>30429</v>
      </c>
      <c r="K883" s="440">
        <v>30429</v>
      </c>
      <c r="L883" s="269" t="s">
        <v>785</v>
      </c>
      <c r="M883" s="129" t="s">
        <v>41</v>
      </c>
    </row>
    <row r="884" spans="1:13" s="133" customFormat="1" ht="15" customHeight="1" x14ac:dyDescent="0.25">
      <c r="A884" s="384">
        <v>35</v>
      </c>
      <c r="B884" s="384">
        <v>49810</v>
      </c>
      <c r="C884" s="435" t="s">
        <v>2819</v>
      </c>
      <c r="D884" s="384" t="s">
        <v>1937</v>
      </c>
      <c r="E884" s="436" t="s">
        <v>114</v>
      </c>
      <c r="F884" s="437" t="s">
        <v>404</v>
      </c>
      <c r="G884" s="438" t="s">
        <v>551</v>
      </c>
      <c r="H884" s="439">
        <v>41507</v>
      </c>
      <c r="I884" s="384">
        <v>1</v>
      </c>
      <c r="J884" s="440">
        <v>33370</v>
      </c>
      <c r="K884" s="440">
        <v>33370</v>
      </c>
      <c r="L884" s="269" t="s">
        <v>785</v>
      </c>
      <c r="M884" s="129" t="s">
        <v>41</v>
      </c>
    </row>
    <row r="885" spans="1:13" s="133" customFormat="1" ht="15" customHeight="1" x14ac:dyDescent="0.25">
      <c r="A885" s="384">
        <v>36</v>
      </c>
      <c r="B885" s="384">
        <v>50150</v>
      </c>
      <c r="C885" s="435" t="s">
        <v>2820</v>
      </c>
      <c r="D885" s="384" t="s">
        <v>2789</v>
      </c>
      <c r="E885" s="436" t="s">
        <v>186</v>
      </c>
      <c r="F885" s="437" t="s">
        <v>401</v>
      </c>
      <c r="G885" s="438" t="s">
        <v>2325</v>
      </c>
      <c r="H885" s="439">
        <v>41509</v>
      </c>
      <c r="I885" s="384">
        <v>1</v>
      </c>
      <c r="J885" s="440">
        <v>42601</v>
      </c>
      <c r="K885" s="440">
        <v>42601</v>
      </c>
      <c r="L885" s="269" t="s">
        <v>785</v>
      </c>
      <c r="M885" s="129" t="s">
        <v>41</v>
      </c>
    </row>
    <row r="886" spans="1:13" s="133" customFormat="1" ht="15" customHeight="1" x14ac:dyDescent="0.25">
      <c r="A886" s="384">
        <v>37</v>
      </c>
      <c r="B886" s="384">
        <v>49998</v>
      </c>
      <c r="C886" s="435" t="s">
        <v>2821</v>
      </c>
      <c r="D886" s="384" t="s">
        <v>1937</v>
      </c>
      <c r="E886" s="436" t="s">
        <v>679</v>
      </c>
      <c r="F886" s="437" t="s">
        <v>366</v>
      </c>
      <c r="G886" s="438" t="s">
        <v>1061</v>
      </c>
      <c r="H886" s="439">
        <v>41508</v>
      </c>
      <c r="I886" s="384">
        <v>1</v>
      </c>
      <c r="J886" s="440">
        <v>55058</v>
      </c>
      <c r="K886" s="440">
        <v>55058</v>
      </c>
      <c r="L886" s="269" t="s">
        <v>785</v>
      </c>
      <c r="M886" s="129" t="s">
        <v>41</v>
      </c>
    </row>
    <row r="887" spans="1:13" s="133" customFormat="1" ht="15" customHeight="1" x14ac:dyDescent="0.25">
      <c r="A887" s="384">
        <v>38</v>
      </c>
      <c r="B887" s="384">
        <v>50016</v>
      </c>
      <c r="C887" s="435" t="s">
        <v>1300</v>
      </c>
      <c r="D887" s="384" t="s">
        <v>1937</v>
      </c>
      <c r="E887" s="436" t="s">
        <v>679</v>
      </c>
      <c r="F887" s="437" t="s">
        <v>368</v>
      </c>
      <c r="G887" s="438" t="s">
        <v>2064</v>
      </c>
      <c r="H887" s="439">
        <v>41508</v>
      </c>
      <c r="I887" s="384">
        <v>1</v>
      </c>
      <c r="J887" s="440">
        <v>55058</v>
      </c>
      <c r="K887" s="440">
        <v>55058</v>
      </c>
      <c r="L887" s="269" t="s">
        <v>785</v>
      </c>
      <c r="M887" s="129" t="s">
        <v>41</v>
      </c>
    </row>
    <row r="888" spans="1:13" s="133" customFormat="1" ht="15" customHeight="1" x14ac:dyDescent="0.25">
      <c r="A888" s="384">
        <v>39</v>
      </c>
      <c r="B888" s="384">
        <v>51104</v>
      </c>
      <c r="C888" s="435" t="s">
        <v>2822</v>
      </c>
      <c r="D888" s="384" t="s">
        <v>1937</v>
      </c>
      <c r="E888" s="436" t="s">
        <v>114</v>
      </c>
      <c r="F888" s="437" t="s">
        <v>414</v>
      </c>
      <c r="G888" s="438" t="s">
        <v>2823</v>
      </c>
      <c r="H888" s="439">
        <v>41514</v>
      </c>
      <c r="I888" s="384">
        <v>1</v>
      </c>
      <c r="J888" s="440">
        <v>33370</v>
      </c>
      <c r="K888" s="440">
        <v>33370</v>
      </c>
      <c r="L888" s="269" t="s">
        <v>785</v>
      </c>
      <c r="M888" s="129" t="s">
        <v>41</v>
      </c>
    </row>
    <row r="889" spans="1:13" s="133" customFormat="1" ht="15" customHeight="1" thickBot="1" x14ac:dyDescent="0.3">
      <c r="A889" s="441">
        <v>40</v>
      </c>
      <c r="B889" s="441">
        <v>48371</v>
      </c>
      <c r="C889" s="442" t="s">
        <v>2824</v>
      </c>
      <c r="D889" s="441" t="s">
        <v>1937</v>
      </c>
      <c r="E889" s="443" t="s">
        <v>208</v>
      </c>
      <c r="F889" s="444" t="s">
        <v>431</v>
      </c>
      <c r="G889" s="445"/>
      <c r="H889" s="446">
        <v>41500</v>
      </c>
      <c r="I889" s="441">
        <v>1</v>
      </c>
      <c r="J889" s="447">
        <v>14099</v>
      </c>
      <c r="K889" s="447">
        <v>14099</v>
      </c>
      <c r="L889" s="448" t="s">
        <v>785</v>
      </c>
      <c r="M889" s="129" t="s">
        <v>41</v>
      </c>
    </row>
    <row r="890" spans="1:13" s="457" customFormat="1" ht="15" customHeight="1" x14ac:dyDescent="0.25">
      <c r="A890" s="449">
        <v>41</v>
      </c>
      <c r="B890" s="449">
        <v>52038</v>
      </c>
      <c r="C890" s="450" t="s">
        <v>2825</v>
      </c>
      <c r="D890" s="449" t="s">
        <v>2826</v>
      </c>
      <c r="E890" s="451" t="s">
        <v>2782</v>
      </c>
      <c r="F890" s="452" t="s">
        <v>384</v>
      </c>
      <c r="G890" s="453"/>
      <c r="H890" s="454">
        <v>41515</v>
      </c>
      <c r="I890" s="449">
        <v>2</v>
      </c>
      <c r="J890" s="455">
        <v>53758.36</v>
      </c>
      <c r="K890" s="456">
        <v>107516.72</v>
      </c>
      <c r="L890" s="269" t="s">
        <v>614</v>
      </c>
      <c r="M890" s="129" t="s">
        <v>41</v>
      </c>
    </row>
    <row r="891" spans="1:13" s="457" customFormat="1" ht="15" customHeight="1" x14ac:dyDescent="0.25">
      <c r="A891" s="458">
        <v>42</v>
      </c>
      <c r="B891" s="458">
        <v>51405</v>
      </c>
      <c r="C891" s="459" t="s">
        <v>2827</v>
      </c>
      <c r="D891" s="458" t="s">
        <v>1957</v>
      </c>
      <c r="E891" s="460" t="s">
        <v>534</v>
      </c>
      <c r="F891" s="461" t="s">
        <v>559</v>
      </c>
      <c r="G891" s="462" t="s">
        <v>2828</v>
      </c>
      <c r="H891" s="463">
        <v>41514</v>
      </c>
      <c r="I891" s="458">
        <v>1</v>
      </c>
      <c r="J891" s="455">
        <v>30429</v>
      </c>
      <c r="K891" s="455">
        <v>30429</v>
      </c>
      <c r="L891" s="269" t="s">
        <v>614</v>
      </c>
      <c r="M891" s="129" t="s">
        <v>41</v>
      </c>
    </row>
    <row r="892" spans="1:13" s="457" customFormat="1" ht="15" customHeight="1" x14ac:dyDescent="0.25">
      <c r="A892" s="458">
        <v>43</v>
      </c>
      <c r="B892" s="458">
        <v>51371</v>
      </c>
      <c r="C892" s="459" t="s">
        <v>2829</v>
      </c>
      <c r="D892" s="458" t="s">
        <v>1957</v>
      </c>
      <c r="E892" s="460" t="s">
        <v>534</v>
      </c>
      <c r="F892" s="461" t="s">
        <v>524</v>
      </c>
      <c r="G892" s="462" t="s">
        <v>580</v>
      </c>
      <c r="H892" s="463">
        <v>41514</v>
      </c>
      <c r="I892" s="458">
        <v>1</v>
      </c>
      <c r="J892" s="455">
        <v>30429</v>
      </c>
      <c r="K892" s="455">
        <v>30429</v>
      </c>
      <c r="L892" s="269" t="s">
        <v>614</v>
      </c>
      <c r="M892" s="129" t="s">
        <v>41</v>
      </c>
    </row>
    <row r="893" spans="1:13" s="457" customFormat="1" ht="15" customHeight="1" x14ac:dyDescent="0.25">
      <c r="A893" s="458">
        <v>44</v>
      </c>
      <c r="B893" s="458">
        <v>51577</v>
      </c>
      <c r="C893" s="459" t="s">
        <v>2830</v>
      </c>
      <c r="D893" s="458" t="s">
        <v>1957</v>
      </c>
      <c r="E893" s="460" t="s">
        <v>574</v>
      </c>
      <c r="F893" s="461" t="s">
        <v>1848</v>
      </c>
      <c r="G893" s="462" t="s">
        <v>560</v>
      </c>
      <c r="H893" s="463">
        <v>41514</v>
      </c>
      <c r="I893" s="458">
        <v>2</v>
      </c>
      <c r="J893" s="455">
        <v>49701</v>
      </c>
      <c r="K893" s="455">
        <v>99402</v>
      </c>
      <c r="L893" s="269" t="s">
        <v>614</v>
      </c>
      <c r="M893" s="129" t="s">
        <v>41</v>
      </c>
    </row>
    <row r="894" spans="1:13" s="457" customFormat="1" ht="15" customHeight="1" x14ac:dyDescent="0.25">
      <c r="A894" s="458">
        <v>45</v>
      </c>
      <c r="B894" s="458">
        <v>52048</v>
      </c>
      <c r="C894" s="459" t="s">
        <v>2785</v>
      </c>
      <c r="D894" s="458" t="s">
        <v>1957</v>
      </c>
      <c r="E894" s="460" t="s">
        <v>1129</v>
      </c>
      <c r="F894" s="461" t="s">
        <v>531</v>
      </c>
      <c r="G894" s="462" t="s">
        <v>2109</v>
      </c>
      <c r="H894" s="463">
        <v>41514</v>
      </c>
      <c r="I894" s="458">
        <v>1</v>
      </c>
      <c r="J894" s="455">
        <v>49701</v>
      </c>
      <c r="K894" s="455">
        <v>49701</v>
      </c>
      <c r="L894" s="269" t="s">
        <v>614</v>
      </c>
      <c r="M894" s="129" t="s">
        <v>41</v>
      </c>
    </row>
    <row r="895" spans="1:13" s="457" customFormat="1" ht="15" customHeight="1" x14ac:dyDescent="0.25">
      <c r="A895" s="458">
        <v>46</v>
      </c>
      <c r="B895" s="458">
        <v>50161</v>
      </c>
      <c r="C895" s="459" t="s">
        <v>2831</v>
      </c>
      <c r="D895" s="458" t="s">
        <v>2789</v>
      </c>
      <c r="E895" s="460" t="s">
        <v>114</v>
      </c>
      <c r="F895" s="461" t="s">
        <v>559</v>
      </c>
      <c r="G895" s="462" t="s">
        <v>2325</v>
      </c>
      <c r="H895" s="463">
        <v>41508</v>
      </c>
      <c r="I895" s="458">
        <v>1</v>
      </c>
      <c r="J895" s="455">
        <v>33370</v>
      </c>
      <c r="K895" s="455">
        <v>33370</v>
      </c>
      <c r="L895" s="269" t="s">
        <v>614</v>
      </c>
      <c r="M895" s="129" t="s">
        <v>41</v>
      </c>
    </row>
    <row r="896" spans="1:13" s="457" customFormat="1" ht="15" customHeight="1" x14ac:dyDescent="0.25">
      <c r="A896" s="458">
        <v>47</v>
      </c>
      <c r="B896" s="458">
        <v>49290</v>
      </c>
      <c r="C896" s="459" t="s">
        <v>2832</v>
      </c>
      <c r="D896" s="458" t="s">
        <v>1937</v>
      </c>
      <c r="E896" s="460" t="s">
        <v>534</v>
      </c>
      <c r="F896" s="461" t="s">
        <v>469</v>
      </c>
      <c r="G896" s="462" t="s">
        <v>1945</v>
      </c>
      <c r="H896" s="463">
        <v>41507</v>
      </c>
      <c r="I896" s="458">
        <v>1</v>
      </c>
      <c r="J896" s="455">
        <v>30429</v>
      </c>
      <c r="K896" s="455">
        <v>30429</v>
      </c>
      <c r="L896" s="269" t="s">
        <v>614</v>
      </c>
      <c r="M896" s="129" t="s">
        <v>41</v>
      </c>
    </row>
    <row r="897" spans="1:13" s="457" customFormat="1" ht="15" customHeight="1" x14ac:dyDescent="0.25">
      <c r="A897" s="458">
        <v>48</v>
      </c>
      <c r="B897" s="458">
        <v>40772</v>
      </c>
      <c r="C897" s="459" t="s">
        <v>2788</v>
      </c>
      <c r="D897" s="458" t="s">
        <v>2789</v>
      </c>
      <c r="E897" s="460" t="s">
        <v>2833</v>
      </c>
      <c r="F897" s="461" t="s">
        <v>407</v>
      </c>
      <c r="G897" s="462"/>
      <c r="H897" s="463">
        <v>41467</v>
      </c>
      <c r="I897" s="458">
        <v>1</v>
      </c>
      <c r="J897" s="455">
        <v>22315</v>
      </c>
      <c r="K897" s="455">
        <v>22315</v>
      </c>
      <c r="L897" s="269" t="s">
        <v>614</v>
      </c>
      <c r="M897" s="129" t="s">
        <v>41</v>
      </c>
    </row>
    <row r="898" spans="1:13" s="457" customFormat="1" ht="15" customHeight="1" x14ac:dyDescent="0.25">
      <c r="A898" s="458">
        <v>49</v>
      </c>
      <c r="B898" s="458">
        <v>48447</v>
      </c>
      <c r="C898" s="459" t="s">
        <v>2788</v>
      </c>
      <c r="D898" s="458" t="s">
        <v>2789</v>
      </c>
      <c r="E898" s="460" t="s">
        <v>186</v>
      </c>
      <c r="F898" s="461" t="s">
        <v>407</v>
      </c>
      <c r="G898" s="462" t="s">
        <v>2834</v>
      </c>
      <c r="H898" s="463">
        <v>41502</v>
      </c>
      <c r="I898" s="458">
        <v>1</v>
      </c>
      <c r="J898" s="455">
        <v>42601</v>
      </c>
      <c r="K898" s="455">
        <v>42601</v>
      </c>
      <c r="L898" s="269" t="s">
        <v>614</v>
      </c>
      <c r="M898" s="129" t="s">
        <v>41</v>
      </c>
    </row>
    <row r="899" spans="1:13" s="457" customFormat="1" ht="15" customHeight="1" x14ac:dyDescent="0.25">
      <c r="A899" s="458">
        <v>50</v>
      </c>
      <c r="B899" s="458">
        <v>46884</v>
      </c>
      <c r="C899" s="459" t="s">
        <v>2835</v>
      </c>
      <c r="D899" s="458" t="s">
        <v>2789</v>
      </c>
      <c r="E899" s="460" t="s">
        <v>114</v>
      </c>
      <c r="F899" s="461" t="s">
        <v>531</v>
      </c>
      <c r="G899" s="462" t="s">
        <v>655</v>
      </c>
      <c r="H899" s="463">
        <v>41494</v>
      </c>
      <c r="I899" s="458">
        <v>1</v>
      </c>
      <c r="J899" s="455">
        <v>33370</v>
      </c>
      <c r="K899" s="455">
        <v>33370</v>
      </c>
      <c r="L899" s="269" t="s">
        <v>614</v>
      </c>
      <c r="M899" s="129" t="s">
        <v>41</v>
      </c>
    </row>
    <row r="900" spans="1:13" s="457" customFormat="1" ht="15" customHeight="1" x14ac:dyDescent="0.25">
      <c r="A900" s="458">
        <v>51</v>
      </c>
      <c r="B900" s="458">
        <v>46884</v>
      </c>
      <c r="C900" s="459" t="s">
        <v>2835</v>
      </c>
      <c r="D900" s="458" t="s">
        <v>2789</v>
      </c>
      <c r="E900" s="460" t="s">
        <v>534</v>
      </c>
      <c r="F900" s="461" t="s">
        <v>469</v>
      </c>
      <c r="G900" s="462" t="s">
        <v>655</v>
      </c>
      <c r="H900" s="463">
        <v>41494</v>
      </c>
      <c r="I900" s="458">
        <v>1</v>
      </c>
      <c r="J900" s="455">
        <v>30429</v>
      </c>
      <c r="K900" s="455">
        <v>30429</v>
      </c>
      <c r="L900" s="269" t="s">
        <v>614</v>
      </c>
      <c r="M900" s="129" t="s">
        <v>41</v>
      </c>
    </row>
    <row r="901" spans="1:13" s="457" customFormat="1" ht="15" customHeight="1" x14ac:dyDescent="0.25">
      <c r="A901" s="458">
        <v>52</v>
      </c>
      <c r="B901" s="458">
        <v>53115</v>
      </c>
      <c r="C901" s="459" t="s">
        <v>2836</v>
      </c>
      <c r="D901" s="458" t="s">
        <v>1957</v>
      </c>
      <c r="E901" s="460" t="s">
        <v>534</v>
      </c>
      <c r="F901" s="461" t="s">
        <v>412</v>
      </c>
      <c r="G901" s="462"/>
      <c r="H901" s="463">
        <v>41520</v>
      </c>
      <c r="I901" s="458">
        <v>1</v>
      </c>
      <c r="J901" s="455">
        <v>30429</v>
      </c>
      <c r="K901" s="455">
        <v>30429</v>
      </c>
      <c r="L901" s="269" t="s">
        <v>614</v>
      </c>
      <c r="M901" s="129" t="s">
        <v>41</v>
      </c>
    </row>
    <row r="902" spans="1:13" s="457" customFormat="1" ht="15" customHeight="1" x14ac:dyDescent="0.25">
      <c r="A902" s="449">
        <v>53</v>
      </c>
      <c r="B902" s="449">
        <v>53246</v>
      </c>
      <c r="C902" s="450" t="s">
        <v>2786</v>
      </c>
      <c r="D902" s="449" t="s">
        <v>1957</v>
      </c>
      <c r="E902" s="451" t="s">
        <v>202</v>
      </c>
      <c r="F902" s="452" t="s">
        <v>565</v>
      </c>
      <c r="G902" s="453"/>
      <c r="H902" s="454">
        <v>41520</v>
      </c>
      <c r="I902" s="449">
        <v>1</v>
      </c>
      <c r="J902" s="456">
        <v>17244</v>
      </c>
      <c r="K902" s="456">
        <v>17244</v>
      </c>
      <c r="L902" s="269" t="s">
        <v>614</v>
      </c>
      <c r="M902" s="129" t="s">
        <v>41</v>
      </c>
    </row>
    <row r="903" spans="1:13" s="468" customFormat="1" ht="15" customHeight="1" x14ac:dyDescent="0.25">
      <c r="A903" s="464">
        <v>54</v>
      </c>
      <c r="B903" s="464">
        <v>53154</v>
      </c>
      <c r="C903" s="465" t="s">
        <v>2813</v>
      </c>
      <c r="D903" s="464" t="s">
        <v>1937</v>
      </c>
      <c r="E903" s="451" t="s">
        <v>114</v>
      </c>
      <c r="F903" s="466" t="s">
        <v>380</v>
      </c>
      <c r="G903" s="462" t="s">
        <v>551</v>
      </c>
      <c r="H903" s="467">
        <v>41520</v>
      </c>
      <c r="I903" s="464">
        <v>1</v>
      </c>
      <c r="J903" s="456">
        <v>33370</v>
      </c>
      <c r="K903" s="456">
        <v>33370</v>
      </c>
      <c r="L903" s="269" t="s">
        <v>614</v>
      </c>
      <c r="M903" s="129" t="s">
        <v>41</v>
      </c>
    </row>
    <row r="904" spans="1:13" s="457" customFormat="1" ht="15" customHeight="1" x14ac:dyDescent="0.25">
      <c r="A904" s="449">
        <v>55</v>
      </c>
      <c r="B904" s="449">
        <v>53110</v>
      </c>
      <c r="C904" s="450" t="s">
        <v>2830</v>
      </c>
      <c r="D904" s="449" t="s">
        <v>1957</v>
      </c>
      <c r="E904" s="451" t="s">
        <v>534</v>
      </c>
      <c r="F904" s="452" t="s">
        <v>416</v>
      </c>
      <c r="G904" s="453" t="s">
        <v>560</v>
      </c>
      <c r="H904" s="454">
        <v>41520</v>
      </c>
      <c r="I904" s="449">
        <v>1</v>
      </c>
      <c r="J904" s="456">
        <v>30429</v>
      </c>
      <c r="K904" s="456">
        <v>30429</v>
      </c>
      <c r="L904" s="269" t="s">
        <v>614</v>
      </c>
      <c r="M904" s="129" t="s">
        <v>41</v>
      </c>
    </row>
    <row r="905" spans="1:13" s="468" customFormat="1" ht="15" customHeight="1" x14ac:dyDescent="0.25">
      <c r="A905" s="464">
        <v>56</v>
      </c>
      <c r="B905" s="464">
        <v>49926</v>
      </c>
      <c r="C905" s="465" t="s">
        <v>2837</v>
      </c>
      <c r="D905" s="464" t="s">
        <v>1937</v>
      </c>
      <c r="E905" s="451" t="s">
        <v>114</v>
      </c>
      <c r="F905" s="466" t="s">
        <v>428</v>
      </c>
      <c r="G905" s="462" t="s">
        <v>647</v>
      </c>
      <c r="H905" s="467">
        <v>41522</v>
      </c>
      <c r="I905" s="464">
        <v>1</v>
      </c>
      <c r="J905" s="456">
        <v>33370</v>
      </c>
      <c r="K905" s="456">
        <v>33370</v>
      </c>
      <c r="L905" s="269" t="s">
        <v>614</v>
      </c>
      <c r="M905" s="129" t="s">
        <v>41</v>
      </c>
    </row>
    <row r="906" spans="1:13" s="457" customFormat="1" ht="15" customHeight="1" x14ac:dyDescent="0.25">
      <c r="A906" s="449">
        <v>57</v>
      </c>
      <c r="B906" s="449">
        <v>53780</v>
      </c>
      <c r="C906" s="450" t="s">
        <v>2838</v>
      </c>
      <c r="D906" s="449" t="s">
        <v>1937</v>
      </c>
      <c r="E906" s="451" t="s">
        <v>534</v>
      </c>
      <c r="F906" s="452" t="s">
        <v>412</v>
      </c>
      <c r="G906" s="453" t="s">
        <v>2473</v>
      </c>
      <c r="H906" s="454">
        <v>41522</v>
      </c>
      <c r="I906" s="449">
        <v>1</v>
      </c>
      <c r="J906" s="456">
        <v>30429</v>
      </c>
      <c r="K906" s="456">
        <v>30429</v>
      </c>
      <c r="L906" s="269" t="s">
        <v>614</v>
      </c>
      <c r="M906" s="129" t="s">
        <v>41</v>
      </c>
    </row>
    <row r="907" spans="1:13" s="457" customFormat="1" ht="15" customHeight="1" x14ac:dyDescent="0.25">
      <c r="A907" s="449">
        <v>58</v>
      </c>
      <c r="B907" s="449">
        <v>57055</v>
      </c>
      <c r="C907" s="450" t="s">
        <v>2830</v>
      </c>
      <c r="D907" s="449" t="s">
        <v>1957</v>
      </c>
      <c r="E907" s="451" t="s">
        <v>534</v>
      </c>
      <c r="F907" s="452" t="s">
        <v>508</v>
      </c>
      <c r="G907" s="453" t="s">
        <v>560</v>
      </c>
      <c r="H907" s="454">
        <v>41540</v>
      </c>
      <c r="I907" s="449">
        <v>1</v>
      </c>
      <c r="J907" s="456">
        <v>30429</v>
      </c>
      <c r="K907" s="456">
        <v>30429</v>
      </c>
      <c r="L907" s="269" t="s">
        <v>614</v>
      </c>
      <c r="M907" s="129" t="s">
        <v>41</v>
      </c>
    </row>
    <row r="908" spans="1:13" s="457" customFormat="1" ht="15" customHeight="1" x14ac:dyDescent="0.25">
      <c r="A908" s="449">
        <v>59</v>
      </c>
      <c r="B908" s="449">
        <v>56571</v>
      </c>
      <c r="C908" s="450" t="s">
        <v>2839</v>
      </c>
      <c r="D908" s="449" t="s">
        <v>1937</v>
      </c>
      <c r="E908" s="451" t="s">
        <v>534</v>
      </c>
      <c r="F908" s="452" t="s">
        <v>559</v>
      </c>
      <c r="G908" s="453" t="s">
        <v>551</v>
      </c>
      <c r="H908" s="454">
        <v>41533</v>
      </c>
      <c r="I908" s="449">
        <v>1</v>
      </c>
      <c r="J908" s="456">
        <v>30429</v>
      </c>
      <c r="K908" s="456">
        <v>30429</v>
      </c>
      <c r="L908" s="269" t="s">
        <v>614</v>
      </c>
      <c r="M908" s="129" t="s">
        <v>41</v>
      </c>
    </row>
    <row r="909" spans="1:13" s="457" customFormat="1" ht="15" customHeight="1" x14ac:dyDescent="0.25">
      <c r="A909" s="449">
        <v>60</v>
      </c>
      <c r="B909" s="449">
        <v>56570</v>
      </c>
      <c r="C909" s="450" t="s">
        <v>2840</v>
      </c>
      <c r="D909" s="449" t="s">
        <v>1937</v>
      </c>
      <c r="E909" s="451" t="s">
        <v>534</v>
      </c>
      <c r="F909" s="452" t="s">
        <v>428</v>
      </c>
      <c r="G909" s="453"/>
      <c r="H909" s="454">
        <v>41533</v>
      </c>
      <c r="I909" s="449">
        <v>1</v>
      </c>
      <c r="J909" s="456">
        <v>30429</v>
      </c>
      <c r="K909" s="456">
        <v>30429</v>
      </c>
      <c r="L909" s="269" t="s">
        <v>614</v>
      </c>
      <c r="M909" s="129" t="s">
        <v>41</v>
      </c>
    </row>
    <row r="910" spans="1:13" s="457" customFormat="1" ht="15" customHeight="1" x14ac:dyDescent="0.25">
      <c r="A910" s="449">
        <v>61</v>
      </c>
      <c r="B910" s="449">
        <v>55289</v>
      </c>
      <c r="C910" s="450" t="s">
        <v>2841</v>
      </c>
      <c r="D910" s="449" t="s">
        <v>1937</v>
      </c>
      <c r="E910" s="451" t="s">
        <v>534</v>
      </c>
      <c r="F910" s="452" t="s">
        <v>508</v>
      </c>
      <c r="G910" s="453" t="s">
        <v>566</v>
      </c>
      <c r="H910" s="454">
        <v>41528</v>
      </c>
      <c r="I910" s="449">
        <v>1</v>
      </c>
      <c r="J910" s="456">
        <v>30429</v>
      </c>
      <c r="K910" s="456">
        <v>30429</v>
      </c>
      <c r="L910" s="269" t="s">
        <v>614</v>
      </c>
      <c r="M910" s="129" t="s">
        <v>41</v>
      </c>
    </row>
    <row r="911" spans="1:13" s="457" customFormat="1" ht="15" customHeight="1" x14ac:dyDescent="0.25">
      <c r="A911" s="449">
        <v>62</v>
      </c>
      <c r="B911" s="449">
        <v>56954</v>
      </c>
      <c r="C911" s="450" t="s">
        <v>2842</v>
      </c>
      <c r="D911" s="449" t="s">
        <v>1957</v>
      </c>
      <c r="E911" s="451" t="s">
        <v>114</v>
      </c>
      <c r="F911" s="452" t="s">
        <v>414</v>
      </c>
      <c r="G911" s="453" t="s">
        <v>580</v>
      </c>
      <c r="H911" s="454">
        <v>41540</v>
      </c>
      <c r="I911" s="449">
        <v>1</v>
      </c>
      <c r="J911" s="456">
        <v>33370</v>
      </c>
      <c r="K911" s="456">
        <v>33370</v>
      </c>
      <c r="L911" s="269" t="s">
        <v>614</v>
      </c>
      <c r="M911" s="129" t="s">
        <v>41</v>
      </c>
    </row>
    <row r="912" spans="1:13" s="457" customFormat="1" ht="15" customHeight="1" x14ac:dyDescent="0.25">
      <c r="A912" s="449">
        <v>63</v>
      </c>
      <c r="B912" s="449">
        <v>54255</v>
      </c>
      <c r="C912" s="450" t="s">
        <v>2843</v>
      </c>
      <c r="D912" s="449" t="s">
        <v>1937</v>
      </c>
      <c r="E912" s="451" t="s">
        <v>186</v>
      </c>
      <c r="F912" s="452" t="s">
        <v>439</v>
      </c>
      <c r="G912" s="453" t="s">
        <v>551</v>
      </c>
      <c r="H912" s="454">
        <v>41525</v>
      </c>
      <c r="I912" s="449">
        <v>1</v>
      </c>
      <c r="J912" s="456">
        <v>42601</v>
      </c>
      <c r="K912" s="456">
        <v>42601</v>
      </c>
      <c r="L912" s="269" t="s">
        <v>614</v>
      </c>
      <c r="M912" s="129" t="s">
        <v>41</v>
      </c>
    </row>
    <row r="913" spans="1:13" s="457" customFormat="1" ht="15" customHeight="1" x14ac:dyDescent="0.25">
      <c r="A913" s="449">
        <v>64</v>
      </c>
      <c r="B913" s="449">
        <v>58488</v>
      </c>
      <c r="C913" s="450" t="s">
        <v>2844</v>
      </c>
      <c r="D913" s="449" t="s">
        <v>1937</v>
      </c>
      <c r="E913" s="451" t="s">
        <v>534</v>
      </c>
      <c r="F913" s="452" t="s">
        <v>524</v>
      </c>
      <c r="G913" s="453" t="s">
        <v>551</v>
      </c>
      <c r="H913" s="454">
        <v>41546</v>
      </c>
      <c r="I913" s="449">
        <v>1</v>
      </c>
      <c r="J913" s="456">
        <v>30429</v>
      </c>
      <c r="K913" s="456">
        <v>30429</v>
      </c>
      <c r="L913" s="269" t="s">
        <v>614</v>
      </c>
      <c r="M913" s="129" t="s">
        <v>41</v>
      </c>
    </row>
    <row r="914" spans="1:13" s="457" customFormat="1" ht="15" customHeight="1" x14ac:dyDescent="0.25">
      <c r="A914" s="458">
        <v>65</v>
      </c>
      <c r="B914" s="458">
        <v>58487</v>
      </c>
      <c r="C914" s="459" t="s">
        <v>2845</v>
      </c>
      <c r="D914" s="458" t="s">
        <v>1957</v>
      </c>
      <c r="E914" s="460" t="s">
        <v>534</v>
      </c>
      <c r="F914" s="461" t="s">
        <v>642</v>
      </c>
      <c r="G914" s="462" t="s">
        <v>551</v>
      </c>
      <c r="H914" s="463">
        <v>41545</v>
      </c>
      <c r="I914" s="458">
        <v>1</v>
      </c>
      <c r="J914" s="455">
        <v>30429</v>
      </c>
      <c r="K914" s="455">
        <v>30429</v>
      </c>
      <c r="L914" s="269" t="s">
        <v>614</v>
      </c>
      <c r="M914" s="129" t="s">
        <v>41</v>
      </c>
    </row>
    <row r="915" spans="1:13" s="457" customFormat="1" ht="15" customHeight="1" x14ac:dyDescent="0.25">
      <c r="A915" s="449">
        <v>66</v>
      </c>
      <c r="B915" s="449">
        <v>58622</v>
      </c>
      <c r="C915" s="450" t="s">
        <v>2846</v>
      </c>
      <c r="D915" s="449" t="s">
        <v>1957</v>
      </c>
      <c r="E915" s="451" t="s">
        <v>114</v>
      </c>
      <c r="F915" s="452" t="s">
        <v>401</v>
      </c>
      <c r="G915" s="453"/>
      <c r="H915" s="454">
        <v>41547</v>
      </c>
      <c r="I915" s="449">
        <v>1</v>
      </c>
      <c r="J915" s="456">
        <v>33370</v>
      </c>
      <c r="K915" s="456">
        <v>33370</v>
      </c>
      <c r="L915" s="269" t="s">
        <v>614</v>
      </c>
      <c r="M915" s="129" t="s">
        <v>41</v>
      </c>
    </row>
    <row r="916" spans="1:13" s="457" customFormat="1" ht="15" customHeight="1" x14ac:dyDescent="0.25">
      <c r="A916" s="449">
        <v>67</v>
      </c>
      <c r="B916" s="449">
        <v>59070</v>
      </c>
      <c r="C916" s="450" t="s">
        <v>2847</v>
      </c>
      <c r="D916" s="449" t="s">
        <v>1937</v>
      </c>
      <c r="E916" s="451" t="s">
        <v>534</v>
      </c>
      <c r="F916" s="452" t="s">
        <v>428</v>
      </c>
      <c r="G916" s="453" t="s">
        <v>551</v>
      </c>
      <c r="H916" s="454">
        <v>41547</v>
      </c>
      <c r="I916" s="449">
        <v>1</v>
      </c>
      <c r="J916" s="456">
        <v>30429</v>
      </c>
      <c r="K916" s="456">
        <v>30429</v>
      </c>
      <c r="L916" s="269" t="s">
        <v>614</v>
      </c>
      <c r="M916" s="129" t="s">
        <v>41</v>
      </c>
    </row>
    <row r="917" spans="1:13" s="457" customFormat="1" ht="15" customHeight="1" x14ac:dyDescent="0.25">
      <c r="A917" s="449">
        <v>68</v>
      </c>
      <c r="B917" s="449">
        <v>59153</v>
      </c>
      <c r="C917" s="450" t="s">
        <v>2848</v>
      </c>
      <c r="D917" s="449" t="s">
        <v>1957</v>
      </c>
      <c r="E917" s="451" t="s">
        <v>534</v>
      </c>
      <c r="F917" s="452" t="s">
        <v>428</v>
      </c>
      <c r="G917" s="453" t="s">
        <v>639</v>
      </c>
      <c r="H917" s="454">
        <v>41547</v>
      </c>
      <c r="I917" s="449">
        <v>1</v>
      </c>
      <c r="J917" s="456">
        <v>30429</v>
      </c>
      <c r="K917" s="456">
        <v>30429</v>
      </c>
      <c r="L917" s="269" t="s">
        <v>614</v>
      </c>
      <c r="M917" s="129" t="s">
        <v>41</v>
      </c>
    </row>
    <row r="918" spans="1:13" s="457" customFormat="1" ht="15" customHeight="1" thickBot="1" x14ac:dyDescent="0.3">
      <c r="A918" s="469">
        <v>69</v>
      </c>
      <c r="B918" s="469">
        <v>58944</v>
      </c>
      <c r="C918" s="470" t="s">
        <v>2838</v>
      </c>
      <c r="D918" s="469" t="s">
        <v>1937</v>
      </c>
      <c r="E918" s="471" t="s">
        <v>114</v>
      </c>
      <c r="F918" s="472" t="s">
        <v>416</v>
      </c>
      <c r="G918" s="473" t="s">
        <v>566</v>
      </c>
      <c r="H918" s="474">
        <v>41547</v>
      </c>
      <c r="I918" s="469">
        <v>1</v>
      </c>
      <c r="J918" s="475">
        <v>33370</v>
      </c>
      <c r="K918" s="475">
        <v>33370</v>
      </c>
      <c r="L918" s="476" t="s">
        <v>614</v>
      </c>
      <c r="M918" s="129" t="s">
        <v>41</v>
      </c>
    </row>
    <row r="919" spans="1:13" s="133" customFormat="1" ht="15" customHeight="1" thickTop="1" x14ac:dyDescent="0.25">
      <c r="A919" s="273">
        <v>70</v>
      </c>
      <c r="B919" s="273">
        <v>59768</v>
      </c>
      <c r="C919" s="274" t="s">
        <v>2849</v>
      </c>
      <c r="D919" s="273" t="s">
        <v>1937</v>
      </c>
      <c r="E919" s="275" t="s">
        <v>534</v>
      </c>
      <c r="F919" s="276" t="s">
        <v>524</v>
      </c>
      <c r="G919" s="277" t="s">
        <v>2450</v>
      </c>
      <c r="H919" s="278">
        <v>41548</v>
      </c>
      <c r="I919" s="273">
        <v>1</v>
      </c>
      <c r="J919" s="353">
        <v>30429</v>
      </c>
      <c r="K919" s="357">
        <v>30429</v>
      </c>
      <c r="L919" s="269" t="s">
        <v>617</v>
      </c>
      <c r="M919" s="129" t="s">
        <v>41</v>
      </c>
    </row>
    <row r="920" spans="1:13" s="133" customFormat="1" ht="15" customHeight="1" x14ac:dyDescent="0.25">
      <c r="A920" s="273">
        <v>71</v>
      </c>
      <c r="B920" s="273">
        <v>60596</v>
      </c>
      <c r="C920" s="274" t="s">
        <v>2850</v>
      </c>
      <c r="D920" s="273" t="s">
        <v>1937</v>
      </c>
      <c r="E920" s="275" t="s">
        <v>679</v>
      </c>
      <c r="F920" s="276" t="s">
        <v>368</v>
      </c>
      <c r="G920" s="277"/>
      <c r="H920" s="278">
        <v>41555</v>
      </c>
      <c r="I920" s="273">
        <v>1</v>
      </c>
      <c r="J920" s="353">
        <v>55058</v>
      </c>
      <c r="K920" s="357">
        <v>55058</v>
      </c>
      <c r="L920" s="269" t="s">
        <v>617</v>
      </c>
      <c r="M920" s="129" t="s">
        <v>41</v>
      </c>
    </row>
    <row r="921" spans="1:13" s="133" customFormat="1" ht="15" customHeight="1" x14ac:dyDescent="0.25">
      <c r="A921" s="273">
        <v>72</v>
      </c>
      <c r="B921" s="273">
        <v>60669</v>
      </c>
      <c r="C921" s="274" t="s">
        <v>2851</v>
      </c>
      <c r="D921" s="273" t="s">
        <v>1957</v>
      </c>
      <c r="E921" s="275" t="s">
        <v>534</v>
      </c>
      <c r="F921" s="276" t="s">
        <v>412</v>
      </c>
      <c r="G921" s="277" t="s">
        <v>580</v>
      </c>
      <c r="H921" s="278">
        <v>41554</v>
      </c>
      <c r="I921" s="273">
        <v>1</v>
      </c>
      <c r="J921" s="353">
        <v>30429</v>
      </c>
      <c r="K921" s="357">
        <v>30429</v>
      </c>
      <c r="L921" s="269" t="s">
        <v>617</v>
      </c>
      <c r="M921" s="129" t="s">
        <v>41</v>
      </c>
    </row>
    <row r="922" spans="1:13" s="133" customFormat="1" ht="15" customHeight="1" x14ac:dyDescent="0.25">
      <c r="A922" s="121">
        <v>73</v>
      </c>
      <c r="B922" s="273">
        <v>60668</v>
      </c>
      <c r="C922" s="274" t="s">
        <v>2852</v>
      </c>
      <c r="D922" s="273" t="s">
        <v>2853</v>
      </c>
      <c r="E922" s="275" t="s">
        <v>534</v>
      </c>
      <c r="F922" s="276" t="s">
        <v>412</v>
      </c>
      <c r="G922" s="277" t="s">
        <v>2081</v>
      </c>
      <c r="H922" s="278">
        <v>41554</v>
      </c>
      <c r="I922" s="273">
        <v>1</v>
      </c>
      <c r="J922" s="353">
        <v>30429</v>
      </c>
      <c r="K922" s="357">
        <v>30429</v>
      </c>
      <c r="L922" s="269" t="s">
        <v>617</v>
      </c>
      <c r="M922" s="129" t="s">
        <v>41</v>
      </c>
    </row>
    <row r="923" spans="1:13" s="133" customFormat="1" ht="15" customHeight="1" x14ac:dyDescent="0.25">
      <c r="A923" s="121">
        <v>74</v>
      </c>
      <c r="B923" s="273">
        <v>61058</v>
      </c>
      <c r="C923" s="274" t="s">
        <v>2854</v>
      </c>
      <c r="D923" s="273" t="s">
        <v>1937</v>
      </c>
      <c r="E923" s="275" t="s">
        <v>534</v>
      </c>
      <c r="F923" s="276" t="s">
        <v>414</v>
      </c>
      <c r="G923" s="277" t="s">
        <v>551</v>
      </c>
      <c r="H923" s="278">
        <v>41556</v>
      </c>
      <c r="I923" s="273">
        <v>1</v>
      </c>
      <c r="J923" s="353">
        <v>30429</v>
      </c>
      <c r="K923" s="357">
        <v>30429</v>
      </c>
      <c r="L923" s="269" t="s">
        <v>617</v>
      </c>
      <c r="M923" s="129" t="s">
        <v>41</v>
      </c>
    </row>
    <row r="924" spans="1:13" s="133" customFormat="1" ht="15" customHeight="1" x14ac:dyDescent="0.25">
      <c r="A924" s="121">
        <v>75</v>
      </c>
      <c r="B924" s="273">
        <v>61059</v>
      </c>
      <c r="C924" s="274" t="s">
        <v>2855</v>
      </c>
      <c r="D924" s="273" t="s">
        <v>1957</v>
      </c>
      <c r="E924" s="275" t="s">
        <v>534</v>
      </c>
      <c r="F924" s="276" t="s">
        <v>469</v>
      </c>
      <c r="G924" s="277" t="s">
        <v>580</v>
      </c>
      <c r="H924" s="278">
        <v>41556</v>
      </c>
      <c r="I924" s="273">
        <v>1</v>
      </c>
      <c r="J924" s="353">
        <v>30429</v>
      </c>
      <c r="K924" s="357">
        <v>30429</v>
      </c>
      <c r="L924" s="269" t="s">
        <v>617</v>
      </c>
      <c r="M924" s="129" t="s">
        <v>41</v>
      </c>
    </row>
    <row r="925" spans="1:13" s="133" customFormat="1" ht="15" customHeight="1" x14ac:dyDescent="0.25">
      <c r="A925" s="121">
        <v>76</v>
      </c>
      <c r="B925" s="273">
        <v>62854</v>
      </c>
      <c r="C925" s="274" t="s">
        <v>2856</v>
      </c>
      <c r="D925" s="273" t="s">
        <v>1957</v>
      </c>
      <c r="E925" s="275" t="s">
        <v>114</v>
      </c>
      <c r="F925" s="276" t="s">
        <v>439</v>
      </c>
      <c r="G925" s="277" t="s">
        <v>2857</v>
      </c>
      <c r="H925" s="278">
        <v>41561</v>
      </c>
      <c r="I925" s="273">
        <v>1</v>
      </c>
      <c r="J925" s="353">
        <v>33370</v>
      </c>
      <c r="K925" s="357">
        <v>33370</v>
      </c>
      <c r="L925" s="269" t="s">
        <v>617</v>
      </c>
      <c r="M925" s="129" t="s">
        <v>41</v>
      </c>
    </row>
    <row r="926" spans="1:13" s="133" customFormat="1" ht="15" customHeight="1" x14ac:dyDescent="0.25">
      <c r="A926" s="121">
        <v>77</v>
      </c>
      <c r="B926" s="273">
        <v>65252</v>
      </c>
      <c r="C926" s="274" t="s">
        <v>2858</v>
      </c>
      <c r="D926" s="273" t="s">
        <v>1937</v>
      </c>
      <c r="E926" s="275" t="s">
        <v>534</v>
      </c>
      <c r="F926" s="276" t="s">
        <v>439</v>
      </c>
      <c r="G926" s="277" t="s">
        <v>551</v>
      </c>
      <c r="H926" s="278">
        <v>41569</v>
      </c>
      <c r="I926" s="273">
        <v>1</v>
      </c>
      <c r="J926" s="353">
        <v>30429</v>
      </c>
      <c r="K926" s="357">
        <v>30429</v>
      </c>
      <c r="L926" s="269" t="s">
        <v>617</v>
      </c>
      <c r="M926" s="129" t="s">
        <v>41</v>
      </c>
    </row>
    <row r="927" spans="1:13" s="133" customFormat="1" ht="15" customHeight="1" x14ac:dyDescent="0.25">
      <c r="A927" s="121">
        <v>78</v>
      </c>
      <c r="B927" s="273">
        <v>65566</v>
      </c>
      <c r="C927" s="274" t="s">
        <v>2859</v>
      </c>
      <c r="D927" s="273" t="s">
        <v>1937</v>
      </c>
      <c r="E927" s="275" t="s">
        <v>679</v>
      </c>
      <c r="F927" s="276" t="s">
        <v>384</v>
      </c>
      <c r="G927" s="277"/>
      <c r="H927" s="278">
        <v>41570</v>
      </c>
      <c r="I927" s="273">
        <v>2</v>
      </c>
      <c r="J927" s="353">
        <v>55058</v>
      </c>
      <c r="K927" s="357">
        <v>110116</v>
      </c>
      <c r="L927" s="269" t="s">
        <v>617</v>
      </c>
      <c r="M927" s="129" t="s">
        <v>41</v>
      </c>
    </row>
    <row r="928" spans="1:13" s="133" customFormat="1" ht="15" customHeight="1" x14ac:dyDescent="0.25">
      <c r="A928" s="121">
        <v>79</v>
      </c>
      <c r="B928" s="273">
        <v>66673</v>
      </c>
      <c r="C928" s="274" t="s">
        <v>2860</v>
      </c>
      <c r="D928" s="273" t="s">
        <v>1937</v>
      </c>
      <c r="E928" s="275" t="s">
        <v>534</v>
      </c>
      <c r="F928" s="276" t="s">
        <v>508</v>
      </c>
      <c r="G928" s="277" t="s">
        <v>551</v>
      </c>
      <c r="H928" s="278">
        <v>41575</v>
      </c>
      <c r="I928" s="273">
        <v>1</v>
      </c>
      <c r="J928" s="353">
        <v>30429</v>
      </c>
      <c r="K928" s="357">
        <v>30429</v>
      </c>
      <c r="L928" s="269" t="s">
        <v>617</v>
      </c>
      <c r="M928" s="129" t="s">
        <v>41</v>
      </c>
    </row>
    <row r="929" spans="1:13" s="133" customFormat="1" ht="15" customHeight="1" x14ac:dyDescent="0.25">
      <c r="A929" s="121">
        <v>80</v>
      </c>
      <c r="B929" s="273">
        <v>67232</v>
      </c>
      <c r="C929" s="274" t="s">
        <v>2824</v>
      </c>
      <c r="D929" s="273" t="s">
        <v>1937</v>
      </c>
      <c r="E929" s="275" t="s">
        <v>114</v>
      </c>
      <c r="F929" s="276" t="s">
        <v>2861</v>
      </c>
      <c r="G929" s="277" t="s">
        <v>2450</v>
      </c>
      <c r="H929" s="278">
        <v>41576</v>
      </c>
      <c r="I929" s="273">
        <v>2</v>
      </c>
      <c r="J929" s="353">
        <v>33370</v>
      </c>
      <c r="K929" s="357">
        <v>66740</v>
      </c>
      <c r="L929" s="269" t="s">
        <v>617</v>
      </c>
      <c r="M929" s="129" t="s">
        <v>41</v>
      </c>
    </row>
    <row r="930" spans="1:13" s="133" customFormat="1" ht="15" customHeight="1" x14ac:dyDescent="0.25">
      <c r="A930" s="121">
        <v>81</v>
      </c>
      <c r="B930" s="273">
        <v>67483</v>
      </c>
      <c r="C930" s="274" t="s">
        <v>2862</v>
      </c>
      <c r="D930" s="273" t="s">
        <v>2863</v>
      </c>
      <c r="E930" s="275" t="s">
        <v>534</v>
      </c>
      <c r="F930" s="276" t="s">
        <v>524</v>
      </c>
      <c r="G930" s="277" t="s">
        <v>563</v>
      </c>
      <c r="H930" s="278">
        <v>41577</v>
      </c>
      <c r="I930" s="273">
        <v>1</v>
      </c>
      <c r="J930" s="353">
        <v>30429</v>
      </c>
      <c r="K930" s="357">
        <v>30429</v>
      </c>
      <c r="L930" s="269" t="s">
        <v>617</v>
      </c>
      <c r="M930" s="129" t="s">
        <v>41</v>
      </c>
    </row>
    <row r="931" spans="1:13" s="133" customFormat="1" ht="15" customHeight="1" x14ac:dyDescent="0.25">
      <c r="A931" s="121">
        <v>82</v>
      </c>
      <c r="B931" s="273">
        <v>69028</v>
      </c>
      <c r="C931" s="274" t="s">
        <v>2864</v>
      </c>
      <c r="D931" s="273" t="s">
        <v>1937</v>
      </c>
      <c r="E931" s="275" t="s">
        <v>186</v>
      </c>
      <c r="F931" s="276" t="s">
        <v>524</v>
      </c>
      <c r="G931" s="277" t="s">
        <v>566</v>
      </c>
      <c r="H931" s="278">
        <v>41585</v>
      </c>
      <c r="I931" s="273">
        <v>1</v>
      </c>
      <c r="J931" s="353">
        <v>42601</v>
      </c>
      <c r="K931" s="357">
        <v>42601</v>
      </c>
      <c r="L931" s="269" t="s">
        <v>957</v>
      </c>
      <c r="M931" s="129" t="s">
        <v>41</v>
      </c>
    </row>
    <row r="932" spans="1:13" s="133" customFormat="1" ht="15" customHeight="1" x14ac:dyDescent="0.25">
      <c r="A932" s="121">
        <v>83</v>
      </c>
      <c r="B932" s="273">
        <v>69345</v>
      </c>
      <c r="C932" s="274" t="s">
        <v>2865</v>
      </c>
      <c r="D932" s="273" t="s">
        <v>1937</v>
      </c>
      <c r="E932" s="275" t="s">
        <v>114</v>
      </c>
      <c r="F932" s="276" t="s">
        <v>524</v>
      </c>
      <c r="G932" s="277" t="s">
        <v>2866</v>
      </c>
      <c r="H932" s="278">
        <v>41589</v>
      </c>
      <c r="I932" s="273">
        <v>1</v>
      </c>
      <c r="J932" s="353">
        <v>33370</v>
      </c>
      <c r="K932" s="357">
        <v>33370</v>
      </c>
      <c r="L932" s="269" t="s">
        <v>957</v>
      </c>
      <c r="M932" s="129" t="s">
        <v>41</v>
      </c>
    </row>
    <row r="933" spans="1:13" s="133" customFormat="1" ht="15" customHeight="1" x14ac:dyDescent="0.25">
      <c r="A933" s="121">
        <v>84</v>
      </c>
      <c r="B933" s="273">
        <v>69080</v>
      </c>
      <c r="C933" s="274" t="s">
        <v>2867</v>
      </c>
      <c r="D933" s="273" t="s">
        <v>1937</v>
      </c>
      <c r="E933" s="275" t="s">
        <v>186</v>
      </c>
      <c r="F933" s="276" t="s">
        <v>2097</v>
      </c>
      <c r="G933" s="277" t="s">
        <v>2868</v>
      </c>
      <c r="H933" s="278">
        <v>41585</v>
      </c>
      <c r="I933" s="273">
        <v>4</v>
      </c>
      <c r="J933" s="353">
        <v>42601</v>
      </c>
      <c r="K933" s="357">
        <v>170404</v>
      </c>
      <c r="L933" s="269" t="s">
        <v>957</v>
      </c>
      <c r="M933" s="129" t="s">
        <v>41</v>
      </c>
    </row>
    <row r="934" spans="1:13" s="133" customFormat="1" ht="15" customHeight="1" x14ac:dyDescent="0.25">
      <c r="A934" s="121">
        <v>85</v>
      </c>
      <c r="B934" s="273">
        <v>68825</v>
      </c>
      <c r="C934" s="274" t="s">
        <v>2869</v>
      </c>
      <c r="D934" s="273" t="s">
        <v>1937</v>
      </c>
      <c r="E934" s="275" t="s">
        <v>534</v>
      </c>
      <c r="F934" s="276" t="s">
        <v>559</v>
      </c>
      <c r="G934" s="277" t="s">
        <v>551</v>
      </c>
      <c r="H934" s="278">
        <v>41584</v>
      </c>
      <c r="I934" s="273">
        <v>1</v>
      </c>
      <c r="J934" s="353">
        <v>30429</v>
      </c>
      <c r="K934" s="357">
        <v>30429</v>
      </c>
      <c r="L934" s="269" t="s">
        <v>957</v>
      </c>
      <c r="M934" s="129" t="s">
        <v>41</v>
      </c>
    </row>
    <row r="935" spans="1:13" s="133" customFormat="1" ht="15" customHeight="1" x14ac:dyDescent="0.25">
      <c r="A935" s="121">
        <v>86</v>
      </c>
      <c r="B935" s="273">
        <v>70457</v>
      </c>
      <c r="C935" s="274" t="s">
        <v>2870</v>
      </c>
      <c r="D935" s="273" t="s">
        <v>1937</v>
      </c>
      <c r="E935" s="275" t="s">
        <v>534</v>
      </c>
      <c r="F935" s="276" t="s">
        <v>469</v>
      </c>
      <c r="G935" s="277" t="s">
        <v>551</v>
      </c>
      <c r="H935" s="278">
        <v>41591</v>
      </c>
      <c r="I935" s="273">
        <v>1</v>
      </c>
      <c r="J935" s="353">
        <v>30429</v>
      </c>
      <c r="K935" s="357">
        <v>30429</v>
      </c>
      <c r="L935" s="269" t="s">
        <v>957</v>
      </c>
      <c r="M935" s="129" t="s">
        <v>41</v>
      </c>
    </row>
    <row r="936" spans="1:13" s="133" customFormat="1" ht="15" customHeight="1" x14ac:dyDescent="0.25">
      <c r="A936" s="121">
        <v>87</v>
      </c>
      <c r="B936" s="273">
        <v>71366</v>
      </c>
      <c r="C936" s="274" t="s">
        <v>2871</v>
      </c>
      <c r="D936" s="273" t="s">
        <v>1937</v>
      </c>
      <c r="E936" s="275" t="s">
        <v>679</v>
      </c>
      <c r="F936" s="276" t="s">
        <v>366</v>
      </c>
      <c r="G936" s="277"/>
      <c r="H936" s="278">
        <v>41593</v>
      </c>
      <c r="I936" s="273">
        <v>1</v>
      </c>
      <c r="J936" s="353">
        <v>55058</v>
      </c>
      <c r="K936" s="357">
        <v>55058</v>
      </c>
      <c r="L936" s="269" t="s">
        <v>957</v>
      </c>
      <c r="M936" s="129" t="s">
        <v>41</v>
      </c>
    </row>
    <row r="937" spans="1:13" s="133" customFormat="1" ht="15" customHeight="1" x14ac:dyDescent="0.25">
      <c r="A937" s="121">
        <v>88</v>
      </c>
      <c r="B937" s="273">
        <v>71245</v>
      </c>
      <c r="C937" s="274" t="s">
        <v>1940</v>
      </c>
      <c r="D937" s="273" t="s">
        <v>1937</v>
      </c>
      <c r="E937" s="275" t="s">
        <v>534</v>
      </c>
      <c r="F937" s="276" t="s">
        <v>399</v>
      </c>
      <c r="G937" s="277" t="s">
        <v>551</v>
      </c>
      <c r="H937" s="278">
        <v>41593</v>
      </c>
      <c r="I937" s="273">
        <v>2</v>
      </c>
      <c r="J937" s="353">
        <v>30429</v>
      </c>
      <c r="K937" s="357">
        <v>60858</v>
      </c>
      <c r="L937" s="269" t="s">
        <v>957</v>
      </c>
      <c r="M937" s="129" t="s">
        <v>41</v>
      </c>
    </row>
    <row r="938" spans="1:13" s="133" customFormat="1" ht="15" customHeight="1" x14ac:dyDescent="0.25">
      <c r="A938" s="121">
        <v>89</v>
      </c>
      <c r="B938" s="273">
        <v>71247</v>
      </c>
      <c r="C938" s="274" t="s">
        <v>2872</v>
      </c>
      <c r="D938" s="273" t="s">
        <v>1937</v>
      </c>
      <c r="E938" s="275" t="s">
        <v>534</v>
      </c>
      <c r="F938" s="276" t="s">
        <v>414</v>
      </c>
      <c r="G938" s="277" t="s">
        <v>551</v>
      </c>
      <c r="H938" s="278">
        <v>41593</v>
      </c>
      <c r="I938" s="273">
        <v>1</v>
      </c>
      <c r="J938" s="353">
        <v>30429</v>
      </c>
      <c r="K938" s="357">
        <v>30429</v>
      </c>
      <c r="L938" s="269" t="s">
        <v>957</v>
      </c>
      <c r="M938" s="129" t="s">
        <v>41</v>
      </c>
    </row>
    <row r="939" spans="1:13" s="133" customFormat="1" ht="15" customHeight="1" x14ac:dyDescent="0.25">
      <c r="A939" s="121">
        <v>90</v>
      </c>
      <c r="B939" s="273">
        <v>71776</v>
      </c>
      <c r="C939" s="274" t="s">
        <v>2873</v>
      </c>
      <c r="D939" s="273" t="s">
        <v>1937</v>
      </c>
      <c r="E939" s="275" t="s">
        <v>534</v>
      </c>
      <c r="F939" s="276" t="s">
        <v>412</v>
      </c>
      <c r="G939" s="277" t="s">
        <v>566</v>
      </c>
      <c r="H939" s="278">
        <v>41596</v>
      </c>
      <c r="I939" s="273">
        <v>1</v>
      </c>
      <c r="J939" s="353">
        <v>30429</v>
      </c>
      <c r="K939" s="357">
        <v>30429</v>
      </c>
      <c r="L939" s="269" t="s">
        <v>957</v>
      </c>
      <c r="M939" s="129" t="s">
        <v>41</v>
      </c>
    </row>
    <row r="940" spans="1:13" s="133" customFormat="1" ht="15" customHeight="1" x14ac:dyDescent="0.25">
      <c r="A940" s="121">
        <v>91</v>
      </c>
      <c r="B940" s="273">
        <v>73301</v>
      </c>
      <c r="C940" s="274" t="s">
        <v>2874</v>
      </c>
      <c r="D940" s="273" t="s">
        <v>1937</v>
      </c>
      <c r="E940" s="275" t="s">
        <v>534</v>
      </c>
      <c r="F940" s="276" t="s">
        <v>559</v>
      </c>
      <c r="G940" s="277" t="s">
        <v>551</v>
      </c>
      <c r="H940" s="278">
        <v>41600</v>
      </c>
      <c r="I940" s="273">
        <v>1</v>
      </c>
      <c r="J940" s="353">
        <v>30429</v>
      </c>
      <c r="K940" s="357">
        <v>30429</v>
      </c>
      <c r="L940" s="269" t="s">
        <v>957</v>
      </c>
      <c r="M940" s="129" t="s">
        <v>41</v>
      </c>
    </row>
    <row r="941" spans="1:13" s="133" customFormat="1" ht="15" customHeight="1" x14ac:dyDescent="0.25">
      <c r="A941" s="121">
        <v>92</v>
      </c>
      <c r="B941" s="273">
        <v>73985</v>
      </c>
      <c r="C941" s="274" t="s">
        <v>2875</v>
      </c>
      <c r="D941" s="273" t="s">
        <v>373</v>
      </c>
      <c r="E941" s="275" t="s">
        <v>186</v>
      </c>
      <c r="F941" s="276" t="s">
        <v>439</v>
      </c>
      <c r="G941" s="277" t="s">
        <v>2330</v>
      </c>
      <c r="H941" s="278">
        <v>41603</v>
      </c>
      <c r="I941" s="273">
        <v>1</v>
      </c>
      <c r="J941" s="353">
        <v>42601</v>
      </c>
      <c r="K941" s="357">
        <v>42601</v>
      </c>
      <c r="L941" s="269" t="s">
        <v>957</v>
      </c>
      <c r="M941" s="129" t="s">
        <v>41</v>
      </c>
    </row>
    <row r="942" spans="1:13" s="133" customFormat="1" ht="15" customHeight="1" x14ac:dyDescent="0.25">
      <c r="A942" s="121">
        <v>93</v>
      </c>
      <c r="B942" s="273">
        <v>74497</v>
      </c>
      <c r="C942" s="274" t="s">
        <v>2876</v>
      </c>
      <c r="D942" s="273" t="s">
        <v>1937</v>
      </c>
      <c r="E942" s="275" t="s">
        <v>534</v>
      </c>
      <c r="F942" s="276" t="s">
        <v>416</v>
      </c>
      <c r="G942" s="277" t="s">
        <v>551</v>
      </c>
      <c r="H942" s="278">
        <v>41605</v>
      </c>
      <c r="I942" s="273">
        <v>1</v>
      </c>
      <c r="J942" s="353">
        <v>30429</v>
      </c>
      <c r="K942" s="357">
        <v>30429</v>
      </c>
      <c r="L942" s="269" t="s">
        <v>957</v>
      </c>
      <c r="M942" s="129" t="s">
        <v>41</v>
      </c>
    </row>
    <row r="943" spans="1:13" s="133" customFormat="1" ht="15" customHeight="1" x14ac:dyDescent="0.25">
      <c r="A943" s="121">
        <v>94</v>
      </c>
      <c r="B943" s="273">
        <v>74761</v>
      </c>
      <c r="C943" s="274" t="s">
        <v>2838</v>
      </c>
      <c r="D943" s="273" t="s">
        <v>1937</v>
      </c>
      <c r="E943" s="275" t="s">
        <v>190</v>
      </c>
      <c r="F943" s="276" t="s">
        <v>397</v>
      </c>
      <c r="G943" s="277" t="s">
        <v>566</v>
      </c>
      <c r="H943" s="278">
        <v>41605</v>
      </c>
      <c r="I943" s="273">
        <v>2</v>
      </c>
      <c r="J943" s="353">
        <v>57960</v>
      </c>
      <c r="K943" s="357">
        <v>115920</v>
      </c>
      <c r="L943" s="269" t="s">
        <v>957</v>
      </c>
      <c r="M943" s="129" t="s">
        <v>41</v>
      </c>
    </row>
    <row r="944" spans="1:13" s="133" customFormat="1" ht="15" customHeight="1" thickBot="1" x14ac:dyDescent="0.3">
      <c r="A944" s="404">
        <v>95</v>
      </c>
      <c r="B944" s="281">
        <v>74931</v>
      </c>
      <c r="C944" s="282" t="s">
        <v>2877</v>
      </c>
      <c r="D944" s="281" t="s">
        <v>1937</v>
      </c>
      <c r="E944" s="283" t="s">
        <v>114</v>
      </c>
      <c r="F944" s="284" t="s">
        <v>428</v>
      </c>
      <c r="G944" s="285" t="s">
        <v>551</v>
      </c>
      <c r="H944" s="286">
        <v>41605</v>
      </c>
      <c r="I944" s="281">
        <v>1</v>
      </c>
      <c r="J944" s="477">
        <v>33370</v>
      </c>
      <c r="K944" s="478">
        <v>33370</v>
      </c>
      <c r="L944" s="412" t="s">
        <v>957</v>
      </c>
      <c r="M944" s="129" t="s">
        <v>41</v>
      </c>
    </row>
    <row r="945" spans="1:13" s="133" customFormat="1" ht="15" customHeight="1" x14ac:dyDescent="0.25">
      <c r="A945" s="479">
        <v>96</v>
      </c>
      <c r="B945" s="479">
        <v>78148</v>
      </c>
      <c r="C945" s="480" t="s">
        <v>2878</v>
      </c>
      <c r="D945" s="479" t="s">
        <v>1937</v>
      </c>
      <c r="E945" s="481" t="s">
        <v>534</v>
      </c>
      <c r="F945" s="482" t="s">
        <v>559</v>
      </c>
      <c r="G945" s="483" t="s">
        <v>551</v>
      </c>
      <c r="H945" s="484">
        <v>41614</v>
      </c>
      <c r="I945" s="479">
        <v>1</v>
      </c>
      <c r="J945" s="485">
        <v>30429</v>
      </c>
      <c r="K945" s="486">
        <v>30429</v>
      </c>
      <c r="L945" s="487" t="s">
        <v>620</v>
      </c>
      <c r="M945" s="129" t="s">
        <v>41</v>
      </c>
    </row>
    <row r="946" spans="1:13" s="133" customFormat="1" ht="15" customHeight="1" x14ac:dyDescent="0.25">
      <c r="A946" s="121">
        <v>97</v>
      </c>
      <c r="B946" s="273">
        <v>78059</v>
      </c>
      <c r="C946" s="274" t="s">
        <v>2879</v>
      </c>
      <c r="D946" s="273" t="s">
        <v>1937</v>
      </c>
      <c r="E946" s="275" t="s">
        <v>114</v>
      </c>
      <c r="F946" s="276" t="s">
        <v>401</v>
      </c>
      <c r="G946" s="277"/>
      <c r="H946" s="278">
        <v>41614</v>
      </c>
      <c r="I946" s="273">
        <v>1</v>
      </c>
      <c r="J946" s="353">
        <v>33370</v>
      </c>
      <c r="K946" s="357">
        <v>33370</v>
      </c>
      <c r="L946" s="269" t="s">
        <v>620</v>
      </c>
      <c r="M946" s="129" t="s">
        <v>41</v>
      </c>
    </row>
    <row r="947" spans="1:13" s="133" customFormat="1" ht="15" customHeight="1" x14ac:dyDescent="0.25">
      <c r="A947" s="121">
        <v>98</v>
      </c>
      <c r="B947" s="273">
        <v>78215</v>
      </c>
      <c r="C947" s="274" t="s">
        <v>1941</v>
      </c>
      <c r="D947" s="273" t="s">
        <v>1937</v>
      </c>
      <c r="E947" s="275" t="s">
        <v>114</v>
      </c>
      <c r="F947" s="276" t="s">
        <v>559</v>
      </c>
      <c r="G947" s="277"/>
      <c r="H947" s="278">
        <v>41614</v>
      </c>
      <c r="I947" s="273">
        <v>1</v>
      </c>
      <c r="J947" s="353">
        <v>33370</v>
      </c>
      <c r="K947" s="357">
        <v>33370</v>
      </c>
      <c r="L947" s="269" t="s">
        <v>620</v>
      </c>
      <c r="M947" s="129" t="s">
        <v>41</v>
      </c>
    </row>
    <row r="948" spans="1:13" s="133" customFormat="1" ht="15" customHeight="1" x14ac:dyDescent="0.25">
      <c r="A948" s="121">
        <v>99</v>
      </c>
      <c r="B948" s="273">
        <v>77853</v>
      </c>
      <c r="C948" s="274" t="s">
        <v>2880</v>
      </c>
      <c r="D948" s="273" t="s">
        <v>1937</v>
      </c>
      <c r="E948" s="275" t="s">
        <v>114</v>
      </c>
      <c r="F948" s="276" t="s">
        <v>2881</v>
      </c>
      <c r="G948" s="277" t="s">
        <v>551</v>
      </c>
      <c r="H948" s="278">
        <v>41613</v>
      </c>
      <c r="I948" s="273">
        <v>11</v>
      </c>
      <c r="J948" s="353">
        <v>33370</v>
      </c>
      <c r="K948" s="357">
        <v>367070</v>
      </c>
      <c r="L948" s="269" t="s">
        <v>620</v>
      </c>
      <c r="M948" s="129" t="s">
        <v>41</v>
      </c>
    </row>
    <row r="949" spans="1:13" s="133" customFormat="1" ht="15" customHeight="1" x14ac:dyDescent="0.25">
      <c r="A949" s="121">
        <v>100</v>
      </c>
      <c r="B949" s="273">
        <v>77772</v>
      </c>
      <c r="C949" s="274" t="s">
        <v>2882</v>
      </c>
      <c r="D949" s="273" t="s">
        <v>373</v>
      </c>
      <c r="E949" s="275" t="s">
        <v>114</v>
      </c>
      <c r="F949" s="276" t="s">
        <v>2883</v>
      </c>
      <c r="G949" s="277"/>
      <c r="H949" s="278">
        <v>41613</v>
      </c>
      <c r="I949" s="273">
        <v>6</v>
      </c>
      <c r="J949" s="353">
        <v>33370</v>
      </c>
      <c r="K949" s="357">
        <v>200220</v>
      </c>
      <c r="L949" s="269" t="s">
        <v>620</v>
      </c>
      <c r="M949" s="129" t="s">
        <v>41</v>
      </c>
    </row>
    <row r="950" spans="1:13" s="403" customFormat="1" ht="15" customHeight="1" x14ac:dyDescent="0.25">
      <c r="A950" s="273">
        <v>101</v>
      </c>
      <c r="B950" s="121">
        <v>77228</v>
      </c>
      <c r="C950" s="123" t="s">
        <v>2884</v>
      </c>
      <c r="D950" s="121" t="s">
        <v>1937</v>
      </c>
      <c r="E950" s="149" t="s">
        <v>534</v>
      </c>
      <c r="F950" s="125" t="s">
        <v>508</v>
      </c>
      <c r="G950" s="270" t="s">
        <v>551</v>
      </c>
      <c r="H950" s="122">
        <v>41611</v>
      </c>
      <c r="I950" s="121">
        <v>1</v>
      </c>
      <c r="J950" s="353">
        <v>30429</v>
      </c>
      <c r="K950" s="357">
        <v>30429</v>
      </c>
      <c r="L950" s="269" t="s">
        <v>620</v>
      </c>
      <c r="M950" s="129" t="s">
        <v>41</v>
      </c>
    </row>
    <row r="951" spans="1:13" s="133" customFormat="1" ht="15" customHeight="1" x14ac:dyDescent="0.25">
      <c r="A951" s="121">
        <v>102</v>
      </c>
      <c r="B951" s="273">
        <v>77097</v>
      </c>
      <c r="C951" s="274" t="s">
        <v>2885</v>
      </c>
      <c r="D951" s="273" t="s">
        <v>1937</v>
      </c>
      <c r="E951" s="275" t="s">
        <v>534</v>
      </c>
      <c r="F951" s="276" t="s">
        <v>559</v>
      </c>
      <c r="G951" s="277" t="s">
        <v>551</v>
      </c>
      <c r="H951" s="278">
        <v>41612</v>
      </c>
      <c r="I951" s="273">
        <v>1</v>
      </c>
      <c r="J951" s="353">
        <v>30429</v>
      </c>
      <c r="K951" s="357">
        <v>30429</v>
      </c>
      <c r="L951" s="269" t="s">
        <v>620</v>
      </c>
      <c r="M951" s="129" t="s">
        <v>41</v>
      </c>
    </row>
    <row r="952" spans="1:13" s="133" customFormat="1" ht="15" customHeight="1" x14ac:dyDescent="0.25">
      <c r="A952" s="121">
        <v>103</v>
      </c>
      <c r="B952" s="273">
        <v>77096</v>
      </c>
      <c r="C952" s="274" t="s">
        <v>2886</v>
      </c>
      <c r="D952" s="273" t="s">
        <v>1937</v>
      </c>
      <c r="E952" s="275" t="s">
        <v>534</v>
      </c>
      <c r="F952" s="276" t="s">
        <v>428</v>
      </c>
      <c r="G952" s="277" t="s">
        <v>551</v>
      </c>
      <c r="H952" s="278">
        <v>41612</v>
      </c>
      <c r="I952" s="273">
        <v>1</v>
      </c>
      <c r="J952" s="353">
        <v>30429</v>
      </c>
      <c r="K952" s="357">
        <v>30429</v>
      </c>
      <c r="L952" s="269" t="s">
        <v>620</v>
      </c>
      <c r="M952" s="129" t="s">
        <v>41</v>
      </c>
    </row>
    <row r="953" spans="1:13" s="133" customFormat="1" ht="15" customHeight="1" x14ac:dyDescent="0.25">
      <c r="A953" s="121">
        <v>104</v>
      </c>
      <c r="B953" s="273">
        <v>79035</v>
      </c>
      <c r="C953" s="274" t="s">
        <v>2887</v>
      </c>
      <c r="D953" s="273" t="s">
        <v>1937</v>
      </c>
      <c r="E953" s="275" t="s">
        <v>577</v>
      </c>
      <c r="F953" s="276" t="s">
        <v>368</v>
      </c>
      <c r="G953" s="277"/>
      <c r="H953" s="278">
        <v>41620</v>
      </c>
      <c r="I953" s="273">
        <v>1</v>
      </c>
      <c r="J953" s="353">
        <v>25800</v>
      </c>
      <c r="K953" s="357">
        <v>25800</v>
      </c>
      <c r="L953" s="269" t="s">
        <v>620</v>
      </c>
      <c r="M953" s="129" t="s">
        <v>41</v>
      </c>
    </row>
    <row r="954" spans="1:13" s="133" customFormat="1" ht="15" customHeight="1" x14ac:dyDescent="0.25">
      <c r="A954" s="121">
        <v>105</v>
      </c>
      <c r="B954" s="273">
        <v>79833</v>
      </c>
      <c r="C954" s="274" t="s">
        <v>2888</v>
      </c>
      <c r="D954" s="273" t="s">
        <v>1937</v>
      </c>
      <c r="E954" s="275" t="s">
        <v>534</v>
      </c>
      <c r="F954" s="276" t="s">
        <v>508</v>
      </c>
      <c r="G954" s="277" t="s">
        <v>551</v>
      </c>
      <c r="H954" s="278">
        <v>41620</v>
      </c>
      <c r="I954" s="273">
        <v>1</v>
      </c>
      <c r="J954" s="353">
        <v>30429</v>
      </c>
      <c r="K954" s="357">
        <v>30429</v>
      </c>
      <c r="L954" s="269" t="s">
        <v>620</v>
      </c>
      <c r="M954" s="129" t="s">
        <v>41</v>
      </c>
    </row>
    <row r="955" spans="1:13" s="133" customFormat="1" ht="15" customHeight="1" x14ac:dyDescent="0.25">
      <c r="A955" s="121">
        <v>106</v>
      </c>
      <c r="B955" s="273">
        <v>80297</v>
      </c>
      <c r="C955" s="274" t="s">
        <v>2889</v>
      </c>
      <c r="D955" s="273" t="s">
        <v>1937</v>
      </c>
      <c r="E955" s="275" t="s">
        <v>534</v>
      </c>
      <c r="F955" s="276" t="s">
        <v>559</v>
      </c>
      <c r="G955" s="277" t="s">
        <v>551</v>
      </c>
      <c r="H955" s="278">
        <v>41621</v>
      </c>
      <c r="I955" s="273">
        <v>1</v>
      </c>
      <c r="J955" s="353">
        <v>30429</v>
      </c>
      <c r="K955" s="357">
        <v>30429</v>
      </c>
      <c r="L955" s="269" t="s">
        <v>620</v>
      </c>
      <c r="M955" s="129" t="s">
        <v>41</v>
      </c>
    </row>
    <row r="956" spans="1:13" s="133" customFormat="1" ht="15" customHeight="1" x14ac:dyDescent="0.25">
      <c r="A956" s="121">
        <v>107</v>
      </c>
      <c r="B956" s="273">
        <v>80307</v>
      </c>
      <c r="C956" s="274" t="s">
        <v>2890</v>
      </c>
      <c r="D956" s="273" t="s">
        <v>1937</v>
      </c>
      <c r="E956" s="275" t="s">
        <v>534</v>
      </c>
      <c r="F956" s="276" t="s">
        <v>591</v>
      </c>
      <c r="G956" s="277" t="s">
        <v>2497</v>
      </c>
      <c r="H956" s="278">
        <v>41621</v>
      </c>
      <c r="I956" s="273">
        <v>1</v>
      </c>
      <c r="J956" s="353">
        <v>30429</v>
      </c>
      <c r="K956" s="357">
        <v>30429</v>
      </c>
      <c r="L956" s="269" t="s">
        <v>620</v>
      </c>
      <c r="M956" s="129" t="s">
        <v>41</v>
      </c>
    </row>
    <row r="957" spans="1:13" s="133" customFormat="1" ht="15" customHeight="1" x14ac:dyDescent="0.25">
      <c r="A957" s="121">
        <v>108</v>
      </c>
      <c r="B957" s="273">
        <v>82699</v>
      </c>
      <c r="C957" s="274" t="s">
        <v>2869</v>
      </c>
      <c r="D957" s="273" t="s">
        <v>1937</v>
      </c>
      <c r="E957" s="275" t="s">
        <v>215</v>
      </c>
      <c r="F957" s="276" t="s">
        <v>482</v>
      </c>
      <c r="G957" s="277"/>
      <c r="H957" s="278">
        <v>41631</v>
      </c>
      <c r="I957" s="273">
        <v>2</v>
      </c>
      <c r="J957" s="353">
        <v>44597</v>
      </c>
      <c r="K957" s="357">
        <v>89194</v>
      </c>
      <c r="L957" s="269" t="s">
        <v>620</v>
      </c>
      <c r="M957" s="129" t="s">
        <v>41</v>
      </c>
    </row>
    <row r="958" spans="1:13" s="133" customFormat="1" ht="15" customHeight="1" x14ac:dyDescent="0.25">
      <c r="A958" s="121">
        <v>109</v>
      </c>
      <c r="B958" s="273">
        <v>82829</v>
      </c>
      <c r="C958" s="274" t="s">
        <v>1940</v>
      </c>
      <c r="D958" s="273" t="s">
        <v>1937</v>
      </c>
      <c r="E958" s="275" t="s">
        <v>534</v>
      </c>
      <c r="F958" s="276" t="s">
        <v>524</v>
      </c>
      <c r="G958" s="277" t="s">
        <v>551</v>
      </c>
      <c r="H958" s="278">
        <v>41628</v>
      </c>
      <c r="I958" s="273">
        <v>1</v>
      </c>
      <c r="J958" s="353">
        <v>30429</v>
      </c>
      <c r="K958" s="357">
        <v>30429</v>
      </c>
      <c r="L958" s="269" t="s">
        <v>620</v>
      </c>
      <c r="M958" s="129" t="s">
        <v>41</v>
      </c>
    </row>
    <row r="959" spans="1:13" s="133" customFormat="1" ht="15" customHeight="1" x14ac:dyDescent="0.25">
      <c r="A959" s="121">
        <v>110</v>
      </c>
      <c r="B959" s="273">
        <v>84358</v>
      </c>
      <c r="C959" s="274" t="s">
        <v>2888</v>
      </c>
      <c r="D959" s="273" t="s">
        <v>1937</v>
      </c>
      <c r="E959" s="275" t="s">
        <v>114</v>
      </c>
      <c r="F959" s="276" t="s">
        <v>2062</v>
      </c>
      <c r="G959" s="277" t="s">
        <v>1938</v>
      </c>
      <c r="H959" s="278">
        <v>41635</v>
      </c>
      <c r="I959" s="273">
        <v>2</v>
      </c>
      <c r="J959" s="353">
        <v>33370</v>
      </c>
      <c r="K959" s="357">
        <v>66740</v>
      </c>
      <c r="L959" s="269" t="s">
        <v>620</v>
      </c>
      <c r="M959" s="129" t="s">
        <v>41</v>
      </c>
    </row>
    <row r="960" spans="1:13" x14ac:dyDescent="0.25">
      <c r="A960" s="302"/>
      <c r="B960" s="303"/>
      <c r="C960" s="304"/>
      <c r="D960" s="303"/>
      <c r="E960" s="303"/>
      <c r="F960" s="307"/>
      <c r="G960" s="307"/>
      <c r="I960" s="303"/>
      <c r="J960" s="303"/>
    </row>
    <row r="961" spans="1:13" x14ac:dyDescent="0.25">
      <c r="A961" s="302"/>
      <c r="B961" s="303"/>
      <c r="C961" s="304"/>
      <c r="D961" s="303"/>
      <c r="E961" s="305" t="s">
        <v>2297</v>
      </c>
      <c r="F961" s="306">
        <v>3624379</v>
      </c>
      <c r="G961" s="307"/>
      <c r="I961" s="303"/>
      <c r="J961" s="359" t="s">
        <v>2057</v>
      </c>
      <c r="K961" s="308">
        <v>4911822.4399999995</v>
      </c>
      <c r="L961" s="310"/>
      <c r="M961" s="310" t="s">
        <v>2298</v>
      </c>
    </row>
    <row r="962" spans="1:13" x14ac:dyDescent="0.25">
      <c r="A962" s="302"/>
      <c r="B962" s="303"/>
      <c r="C962" s="304"/>
      <c r="D962" s="303"/>
      <c r="E962" s="305" t="s">
        <v>2299</v>
      </c>
      <c r="F962" s="311">
        <v>472981.4595</v>
      </c>
      <c r="G962" s="307"/>
      <c r="I962" s="303"/>
      <c r="J962" s="360" t="s">
        <v>2300</v>
      </c>
      <c r="K962" s="312">
        <v>1795951.4399999995</v>
      </c>
      <c r="L962" s="488"/>
      <c r="M962" s="314"/>
    </row>
    <row r="964" spans="1:13" s="133" customFormat="1" ht="36.75" customHeight="1" x14ac:dyDescent="0.25">
      <c r="A964" s="685" t="s">
        <v>91</v>
      </c>
      <c r="B964" s="685"/>
      <c r="C964" s="685"/>
      <c r="D964" s="685"/>
      <c r="E964" s="685"/>
      <c r="F964" s="685"/>
      <c r="G964" s="685"/>
      <c r="H964" s="685"/>
      <c r="I964" s="685"/>
      <c r="J964" s="685"/>
      <c r="K964" s="685"/>
      <c r="L964" s="685"/>
      <c r="M964" s="685"/>
    </row>
    <row r="965" spans="1:13" ht="18.75" customHeight="1" x14ac:dyDescent="0.25">
      <c r="A965" s="222" t="s">
        <v>2048</v>
      </c>
      <c r="B965" s="222" t="s">
        <v>2777</v>
      </c>
      <c r="C965" s="222" t="s">
        <v>2049</v>
      </c>
      <c r="D965" s="222" t="s">
        <v>2050</v>
      </c>
      <c r="E965" s="222" t="s">
        <v>2051</v>
      </c>
      <c r="F965" s="222" t="s">
        <v>2052</v>
      </c>
      <c r="G965" s="222" t="s">
        <v>2053</v>
      </c>
      <c r="H965" s="223" t="s">
        <v>2054</v>
      </c>
      <c r="I965" s="222" t="s">
        <v>2055</v>
      </c>
      <c r="J965" s="223" t="s">
        <v>2056</v>
      </c>
      <c r="K965" s="222" t="s">
        <v>2057</v>
      </c>
      <c r="L965" s="222" t="s">
        <v>2058</v>
      </c>
      <c r="M965" s="222" t="s">
        <v>2302</v>
      </c>
    </row>
    <row r="966" spans="1:13" s="226" customFormat="1" ht="15" customHeight="1" x14ac:dyDescent="0.25">
      <c r="A966" s="173">
        <v>1</v>
      </c>
      <c r="B966" s="173">
        <v>32027</v>
      </c>
      <c r="C966" s="171" t="s">
        <v>2891</v>
      </c>
      <c r="D966" s="173" t="s">
        <v>1975</v>
      </c>
      <c r="E966" s="171" t="s">
        <v>221</v>
      </c>
      <c r="F966" s="176" t="s">
        <v>368</v>
      </c>
      <c r="G966" s="176" t="s">
        <v>551</v>
      </c>
      <c r="H966" s="174">
        <v>41431</v>
      </c>
      <c r="I966" s="173">
        <v>1</v>
      </c>
      <c r="J966" s="489">
        <v>40572</v>
      </c>
      <c r="K966" s="362">
        <v>40572</v>
      </c>
      <c r="L966" s="225" t="s">
        <v>605</v>
      </c>
      <c r="M966" s="129" t="s">
        <v>42</v>
      </c>
    </row>
    <row r="967" spans="1:13" s="226" customFormat="1" ht="15" customHeight="1" x14ac:dyDescent="0.25">
      <c r="A967" s="173">
        <v>2</v>
      </c>
      <c r="B967" s="173">
        <v>33336</v>
      </c>
      <c r="C967" s="171" t="s">
        <v>2892</v>
      </c>
      <c r="D967" s="173" t="s">
        <v>1975</v>
      </c>
      <c r="E967" s="171" t="s">
        <v>221</v>
      </c>
      <c r="F967" s="176" t="s">
        <v>368</v>
      </c>
      <c r="G967" s="173" t="s">
        <v>2098</v>
      </c>
      <c r="H967" s="174">
        <v>41438</v>
      </c>
      <c r="I967" s="173">
        <v>1</v>
      </c>
      <c r="J967" s="489">
        <v>40572</v>
      </c>
      <c r="K967" s="362">
        <v>40572</v>
      </c>
      <c r="L967" s="225" t="s">
        <v>605</v>
      </c>
      <c r="M967" s="129" t="s">
        <v>42</v>
      </c>
    </row>
    <row r="968" spans="1:13" s="226" customFormat="1" ht="15" customHeight="1" x14ac:dyDescent="0.25">
      <c r="A968" s="173">
        <v>3</v>
      </c>
      <c r="B968" s="173">
        <v>32025</v>
      </c>
      <c r="C968" s="171" t="s">
        <v>2893</v>
      </c>
      <c r="D968" s="173" t="s">
        <v>1987</v>
      </c>
      <c r="E968" s="171" t="s">
        <v>221</v>
      </c>
      <c r="F968" s="176" t="s">
        <v>368</v>
      </c>
      <c r="G968" s="176" t="s">
        <v>566</v>
      </c>
      <c r="H968" s="174">
        <v>41432</v>
      </c>
      <c r="I968" s="173">
        <v>1</v>
      </c>
      <c r="J968" s="489">
        <v>40572</v>
      </c>
      <c r="K968" s="362">
        <v>40572</v>
      </c>
      <c r="L968" s="225" t="s">
        <v>605</v>
      </c>
      <c r="M968" s="129" t="s">
        <v>42</v>
      </c>
    </row>
    <row r="969" spans="1:13" s="226" customFormat="1" ht="15" customHeight="1" x14ac:dyDescent="0.25">
      <c r="A969" s="173">
        <v>4</v>
      </c>
      <c r="B969" s="173">
        <v>34039</v>
      </c>
      <c r="C969" s="171" t="s">
        <v>2894</v>
      </c>
      <c r="D969" s="173" t="s">
        <v>1985</v>
      </c>
      <c r="E969" s="171" t="s">
        <v>534</v>
      </c>
      <c r="F969" s="176" t="s">
        <v>469</v>
      </c>
      <c r="G969" s="176" t="s">
        <v>580</v>
      </c>
      <c r="H969" s="174">
        <v>41439</v>
      </c>
      <c r="I969" s="173">
        <v>1</v>
      </c>
      <c r="J969" s="489">
        <v>30429</v>
      </c>
      <c r="K969" s="362">
        <v>30429</v>
      </c>
      <c r="L969" s="225" t="s">
        <v>605</v>
      </c>
      <c r="M969" s="129" t="s">
        <v>42</v>
      </c>
    </row>
    <row r="970" spans="1:13" s="226" customFormat="1" ht="15" customHeight="1" x14ac:dyDescent="0.25">
      <c r="A970" s="173">
        <v>5</v>
      </c>
      <c r="B970" s="173">
        <v>34201</v>
      </c>
      <c r="C970" s="171" t="s">
        <v>2895</v>
      </c>
      <c r="D970" s="173" t="s">
        <v>2896</v>
      </c>
      <c r="E970" s="171" t="s">
        <v>534</v>
      </c>
      <c r="F970" s="176">
        <v>3</v>
      </c>
      <c r="G970" s="176" t="s">
        <v>2897</v>
      </c>
      <c r="H970" s="174">
        <v>41439</v>
      </c>
      <c r="I970" s="173">
        <v>1</v>
      </c>
      <c r="J970" s="489">
        <v>30429</v>
      </c>
      <c r="K970" s="362">
        <v>30429</v>
      </c>
      <c r="L970" s="225" t="s">
        <v>605</v>
      </c>
      <c r="M970" s="129" t="s">
        <v>42</v>
      </c>
    </row>
    <row r="971" spans="1:13" s="226" customFormat="1" ht="15" customHeight="1" x14ac:dyDescent="0.25">
      <c r="A971" s="173">
        <v>6</v>
      </c>
      <c r="B971" s="173">
        <v>34229</v>
      </c>
      <c r="C971" s="171" t="s">
        <v>2034</v>
      </c>
      <c r="D971" s="173" t="s">
        <v>1975</v>
      </c>
      <c r="E971" s="171" t="s">
        <v>115</v>
      </c>
      <c r="F971" s="176" t="s">
        <v>2898</v>
      </c>
      <c r="G971" s="176" t="s">
        <v>2899</v>
      </c>
      <c r="H971" s="174">
        <v>41439</v>
      </c>
      <c r="I971" s="173">
        <v>5</v>
      </c>
      <c r="J971" s="489">
        <v>5274</v>
      </c>
      <c r="K971" s="362">
        <v>26370</v>
      </c>
      <c r="L971" s="225" t="s">
        <v>605</v>
      </c>
      <c r="M971" s="129" t="s">
        <v>42</v>
      </c>
    </row>
    <row r="972" spans="1:13" s="226" customFormat="1" ht="15" customHeight="1" x14ac:dyDescent="0.25">
      <c r="A972" s="173">
        <v>7</v>
      </c>
      <c r="B972" s="173">
        <v>35325</v>
      </c>
      <c r="C972" s="171" t="s">
        <v>2900</v>
      </c>
      <c r="D972" s="173" t="s">
        <v>1975</v>
      </c>
      <c r="E972" s="171" t="s">
        <v>115</v>
      </c>
      <c r="F972" s="176">
        <v>5</v>
      </c>
      <c r="G972" s="176" t="s">
        <v>2064</v>
      </c>
      <c r="H972" s="174">
        <v>41451</v>
      </c>
      <c r="I972" s="173">
        <v>1</v>
      </c>
      <c r="J972" s="489">
        <v>5274</v>
      </c>
      <c r="K972" s="362">
        <v>5274</v>
      </c>
      <c r="L972" s="225" t="s">
        <v>605</v>
      </c>
      <c r="M972" s="129" t="s">
        <v>42</v>
      </c>
    </row>
    <row r="973" spans="1:13" s="226" customFormat="1" ht="15" customHeight="1" x14ac:dyDescent="0.25">
      <c r="A973" s="173">
        <v>8</v>
      </c>
      <c r="B973" s="173">
        <v>35521</v>
      </c>
      <c r="C973" s="171" t="s">
        <v>2901</v>
      </c>
      <c r="D973" s="173" t="s">
        <v>2036</v>
      </c>
      <c r="E973" s="171" t="s">
        <v>534</v>
      </c>
      <c r="F973" s="176">
        <v>31</v>
      </c>
      <c r="G973" s="176" t="s">
        <v>566</v>
      </c>
      <c r="H973" s="174">
        <v>41446</v>
      </c>
      <c r="I973" s="173">
        <v>1</v>
      </c>
      <c r="J973" s="489">
        <v>30429</v>
      </c>
      <c r="K973" s="362">
        <v>30429</v>
      </c>
      <c r="L973" s="225" t="s">
        <v>605</v>
      </c>
      <c r="M973" s="129" t="s">
        <v>42</v>
      </c>
    </row>
    <row r="974" spans="1:13" s="226" customFormat="1" ht="15" customHeight="1" x14ac:dyDescent="0.25">
      <c r="A974" s="173">
        <v>9</v>
      </c>
      <c r="B974" s="173">
        <v>35444</v>
      </c>
      <c r="C974" s="171" t="s">
        <v>2902</v>
      </c>
      <c r="D974" s="173" t="s">
        <v>1985</v>
      </c>
      <c r="E974" s="171" t="s">
        <v>577</v>
      </c>
      <c r="F974" s="176" t="s">
        <v>368</v>
      </c>
      <c r="G974" s="176"/>
      <c r="H974" s="174">
        <v>41445</v>
      </c>
      <c r="I974" s="173">
        <v>1</v>
      </c>
      <c r="J974" s="489">
        <v>25800</v>
      </c>
      <c r="K974" s="362">
        <v>25800</v>
      </c>
      <c r="L974" s="225" t="s">
        <v>605</v>
      </c>
      <c r="M974" s="129" t="s">
        <v>42</v>
      </c>
    </row>
    <row r="975" spans="1:13" s="226" customFormat="1" ht="15" customHeight="1" x14ac:dyDescent="0.25">
      <c r="A975" s="173">
        <v>10</v>
      </c>
      <c r="B975" s="173">
        <v>35961</v>
      </c>
      <c r="C975" s="171" t="s">
        <v>1452</v>
      </c>
      <c r="D975" s="173" t="s">
        <v>1985</v>
      </c>
      <c r="E975" s="171" t="s">
        <v>115</v>
      </c>
      <c r="F975" s="176">
        <v>31</v>
      </c>
      <c r="G975" s="176" t="s">
        <v>2064</v>
      </c>
      <c r="H975" s="174">
        <v>41446</v>
      </c>
      <c r="I975" s="173">
        <v>1</v>
      </c>
      <c r="J975" s="489">
        <v>5274</v>
      </c>
      <c r="K975" s="362">
        <v>5274</v>
      </c>
      <c r="L975" s="225" t="s">
        <v>605</v>
      </c>
      <c r="M975" s="129" t="s">
        <v>42</v>
      </c>
    </row>
    <row r="976" spans="1:13" s="226" customFormat="1" ht="15" customHeight="1" x14ac:dyDescent="0.25">
      <c r="A976" s="173">
        <v>11</v>
      </c>
      <c r="B976" s="173">
        <v>36572</v>
      </c>
      <c r="C976" s="171" t="s">
        <v>2903</v>
      </c>
      <c r="D976" s="173" t="s">
        <v>1985</v>
      </c>
      <c r="E976" s="171" t="s">
        <v>574</v>
      </c>
      <c r="F976" s="176">
        <v>19</v>
      </c>
      <c r="G976" s="176" t="s">
        <v>2072</v>
      </c>
      <c r="H976" s="174">
        <v>41450</v>
      </c>
      <c r="I976" s="173">
        <v>1</v>
      </c>
      <c r="J976" s="489">
        <v>49701</v>
      </c>
      <c r="K976" s="362">
        <v>49701</v>
      </c>
      <c r="L976" s="225" t="s">
        <v>605</v>
      </c>
      <c r="M976" s="129" t="s">
        <v>42</v>
      </c>
    </row>
    <row r="977" spans="1:13" s="226" customFormat="1" ht="15" customHeight="1" thickBot="1" x14ac:dyDescent="0.3">
      <c r="A977" s="490">
        <v>12</v>
      </c>
      <c r="B977" s="490">
        <v>36604</v>
      </c>
      <c r="C977" s="388" t="s">
        <v>2904</v>
      </c>
      <c r="D977" s="490" t="s">
        <v>1985</v>
      </c>
      <c r="E977" s="388" t="s">
        <v>115</v>
      </c>
      <c r="F977" s="390">
        <v>19</v>
      </c>
      <c r="G977" s="390" t="s">
        <v>566</v>
      </c>
      <c r="H977" s="491">
        <v>41450</v>
      </c>
      <c r="I977" s="490">
        <v>1</v>
      </c>
      <c r="J977" s="492">
        <v>5274</v>
      </c>
      <c r="K977" s="492">
        <v>5274</v>
      </c>
      <c r="L977" s="225" t="s">
        <v>605</v>
      </c>
      <c r="M977" s="129" t="s">
        <v>42</v>
      </c>
    </row>
    <row r="978" spans="1:13" s="239" customFormat="1" ht="15" customHeight="1" x14ac:dyDescent="0.25">
      <c r="A978" s="493">
        <v>13</v>
      </c>
      <c r="B978" s="493">
        <v>440444</v>
      </c>
      <c r="C978" s="494" t="s">
        <v>2905</v>
      </c>
      <c r="D978" s="493" t="s">
        <v>1975</v>
      </c>
      <c r="E978" s="495" t="s">
        <v>534</v>
      </c>
      <c r="F978" s="496">
        <v>14</v>
      </c>
      <c r="G978" s="497" t="s">
        <v>551</v>
      </c>
      <c r="H978" s="498">
        <v>41484</v>
      </c>
      <c r="I978" s="493">
        <v>1</v>
      </c>
      <c r="J978" s="499">
        <v>30429</v>
      </c>
      <c r="K978" s="500">
        <v>30429</v>
      </c>
      <c r="L978" s="225" t="s">
        <v>757</v>
      </c>
      <c r="M978" s="129" t="s">
        <v>42</v>
      </c>
    </row>
    <row r="979" spans="1:13" s="239" customFormat="1" ht="15" customHeight="1" x14ac:dyDescent="0.25">
      <c r="A979" s="134">
        <v>14</v>
      </c>
      <c r="B979" s="134">
        <v>43385</v>
      </c>
      <c r="C979" s="136" t="s">
        <v>2906</v>
      </c>
      <c r="D979" s="134" t="s">
        <v>1987</v>
      </c>
      <c r="E979" s="171" t="s">
        <v>577</v>
      </c>
      <c r="F979" s="138" t="s">
        <v>368</v>
      </c>
      <c r="G979" s="176"/>
      <c r="H979" s="135">
        <v>41480</v>
      </c>
      <c r="I979" s="134">
        <v>1</v>
      </c>
      <c r="J979" s="489">
        <v>25800</v>
      </c>
      <c r="K979" s="362">
        <v>25800</v>
      </c>
      <c r="L979" s="225" t="s">
        <v>757</v>
      </c>
      <c r="M979" s="129" t="s">
        <v>42</v>
      </c>
    </row>
    <row r="980" spans="1:13" s="239" customFormat="1" ht="15" customHeight="1" x14ac:dyDescent="0.25">
      <c r="A980" s="134">
        <v>15</v>
      </c>
      <c r="B980" s="134">
        <v>42592</v>
      </c>
      <c r="C980" s="136" t="s">
        <v>2907</v>
      </c>
      <c r="D980" s="134" t="s">
        <v>1985</v>
      </c>
      <c r="E980" s="171" t="s">
        <v>577</v>
      </c>
      <c r="F980" s="138" t="s">
        <v>368</v>
      </c>
      <c r="G980" s="176"/>
      <c r="H980" s="135">
        <v>41477</v>
      </c>
      <c r="I980" s="134">
        <v>1</v>
      </c>
      <c r="J980" s="489">
        <v>25800</v>
      </c>
      <c r="K980" s="362">
        <v>25800</v>
      </c>
      <c r="L980" s="225" t="s">
        <v>757</v>
      </c>
      <c r="M980" s="129" t="s">
        <v>42</v>
      </c>
    </row>
    <row r="981" spans="1:13" s="239" customFormat="1" ht="15" customHeight="1" x14ac:dyDescent="0.25">
      <c r="A981" s="134">
        <v>16</v>
      </c>
      <c r="B981" s="134">
        <v>38689</v>
      </c>
      <c r="C981" s="136" t="s">
        <v>1997</v>
      </c>
      <c r="D981" s="134" t="s">
        <v>1975</v>
      </c>
      <c r="E981" s="171" t="s">
        <v>115</v>
      </c>
      <c r="F981" s="138">
        <v>5</v>
      </c>
      <c r="G981" s="176" t="s">
        <v>2064</v>
      </c>
      <c r="H981" s="135">
        <v>41460</v>
      </c>
      <c r="I981" s="134">
        <v>1</v>
      </c>
      <c r="J981" s="489">
        <v>5274</v>
      </c>
      <c r="K981" s="362">
        <v>5274</v>
      </c>
      <c r="L981" s="225" t="s">
        <v>757</v>
      </c>
      <c r="M981" s="129" t="s">
        <v>42</v>
      </c>
    </row>
    <row r="982" spans="1:13" s="239" customFormat="1" ht="15" customHeight="1" thickBot="1" x14ac:dyDescent="0.3">
      <c r="A982" s="501">
        <v>17</v>
      </c>
      <c r="B982" s="502">
        <v>41419</v>
      </c>
      <c r="C982" s="503" t="s">
        <v>2908</v>
      </c>
      <c r="D982" s="502" t="s">
        <v>1985</v>
      </c>
      <c r="E982" s="504" t="s">
        <v>534</v>
      </c>
      <c r="F982" s="505">
        <v>15</v>
      </c>
      <c r="G982" s="506" t="s">
        <v>560</v>
      </c>
      <c r="H982" s="507">
        <v>41472</v>
      </c>
      <c r="I982" s="502">
        <v>1</v>
      </c>
      <c r="J982" s="508">
        <v>30429</v>
      </c>
      <c r="K982" s="509">
        <v>30429</v>
      </c>
      <c r="L982" s="225" t="s">
        <v>757</v>
      </c>
      <c r="M982" s="129" t="s">
        <v>42</v>
      </c>
    </row>
    <row r="983" spans="1:13" s="133" customFormat="1" ht="15" customHeight="1" x14ac:dyDescent="0.25">
      <c r="A983" s="232">
        <v>18</v>
      </c>
      <c r="B983" s="232">
        <v>44026</v>
      </c>
      <c r="C983" s="233" t="s">
        <v>2909</v>
      </c>
      <c r="D983" s="232" t="s">
        <v>1985</v>
      </c>
      <c r="E983" s="234" t="s">
        <v>115</v>
      </c>
      <c r="F983" s="235">
        <v>12</v>
      </c>
      <c r="G983" s="236" t="s">
        <v>2064</v>
      </c>
      <c r="H983" s="237">
        <v>41486</v>
      </c>
      <c r="I983" s="232">
        <v>1</v>
      </c>
      <c r="J983" s="510">
        <v>5274</v>
      </c>
      <c r="K983" s="383">
        <v>5274</v>
      </c>
      <c r="L983" s="225" t="s">
        <v>785</v>
      </c>
      <c r="M983" s="129" t="s">
        <v>42</v>
      </c>
    </row>
    <row r="984" spans="1:13" s="133" customFormat="1" ht="15" customHeight="1" x14ac:dyDescent="0.25">
      <c r="A984" s="232">
        <v>19</v>
      </c>
      <c r="B984" s="232">
        <v>44027</v>
      </c>
      <c r="C984" s="233" t="s">
        <v>2910</v>
      </c>
      <c r="D984" s="232" t="s">
        <v>1985</v>
      </c>
      <c r="E984" s="234" t="s">
        <v>115</v>
      </c>
      <c r="F984" s="235">
        <v>13</v>
      </c>
      <c r="G984" s="236" t="s">
        <v>2064</v>
      </c>
      <c r="H984" s="237">
        <v>41486</v>
      </c>
      <c r="I984" s="232">
        <v>1</v>
      </c>
      <c r="J984" s="510">
        <v>5274</v>
      </c>
      <c r="K984" s="362">
        <v>5274</v>
      </c>
      <c r="L984" s="225" t="s">
        <v>785</v>
      </c>
      <c r="M984" s="129" t="s">
        <v>42</v>
      </c>
    </row>
    <row r="985" spans="1:13" s="133" customFormat="1" ht="15" customHeight="1" x14ac:dyDescent="0.25">
      <c r="A985" s="232">
        <v>20</v>
      </c>
      <c r="B985" s="134">
        <v>43449</v>
      </c>
      <c r="C985" s="136" t="s">
        <v>2911</v>
      </c>
      <c r="D985" s="134" t="s">
        <v>1975</v>
      </c>
      <c r="E985" s="171" t="s">
        <v>115</v>
      </c>
      <c r="F985" s="138">
        <v>9</v>
      </c>
      <c r="G985" s="176" t="s">
        <v>2064</v>
      </c>
      <c r="H985" s="135">
        <v>41484</v>
      </c>
      <c r="I985" s="134">
        <v>1</v>
      </c>
      <c r="J985" s="489">
        <v>5274</v>
      </c>
      <c r="K985" s="362">
        <v>5274</v>
      </c>
      <c r="L985" s="225" t="s">
        <v>785</v>
      </c>
      <c r="M985" s="129" t="s">
        <v>42</v>
      </c>
    </row>
    <row r="986" spans="1:13" s="133" customFormat="1" ht="15" customHeight="1" x14ac:dyDescent="0.25">
      <c r="A986" s="232">
        <v>21</v>
      </c>
      <c r="B986" s="134">
        <v>40521</v>
      </c>
      <c r="C986" s="136" t="s">
        <v>2912</v>
      </c>
      <c r="D986" s="134" t="s">
        <v>1975</v>
      </c>
      <c r="E986" s="171" t="s">
        <v>115</v>
      </c>
      <c r="F986" s="138">
        <v>11</v>
      </c>
      <c r="G986" s="176" t="s">
        <v>2064</v>
      </c>
      <c r="H986" s="135">
        <v>41472</v>
      </c>
      <c r="I986" s="134">
        <v>1</v>
      </c>
      <c r="J986" s="489">
        <v>5274</v>
      </c>
      <c r="K986" s="362">
        <v>5274</v>
      </c>
      <c r="L986" s="225" t="s">
        <v>785</v>
      </c>
      <c r="M986" s="129" t="s">
        <v>42</v>
      </c>
    </row>
    <row r="987" spans="1:13" s="133" customFormat="1" ht="15" customHeight="1" x14ac:dyDescent="0.25">
      <c r="A987" s="232">
        <v>22</v>
      </c>
      <c r="B987" s="134">
        <v>44025</v>
      </c>
      <c r="C987" s="136" t="s">
        <v>2913</v>
      </c>
      <c r="D987" s="134" t="s">
        <v>1985</v>
      </c>
      <c r="E987" s="171" t="s">
        <v>115</v>
      </c>
      <c r="F987" s="138" t="s">
        <v>2802</v>
      </c>
      <c r="G987" s="176" t="s">
        <v>2064</v>
      </c>
      <c r="H987" s="135">
        <v>41486</v>
      </c>
      <c r="I987" s="134">
        <v>2</v>
      </c>
      <c r="J987" s="489">
        <v>5274</v>
      </c>
      <c r="K987" s="362">
        <v>10548</v>
      </c>
      <c r="L987" s="225" t="s">
        <v>785</v>
      </c>
      <c r="M987" s="129" t="s">
        <v>42</v>
      </c>
    </row>
    <row r="988" spans="1:13" s="133" customFormat="1" ht="15" customHeight="1" x14ac:dyDescent="0.25">
      <c r="A988" s="232">
        <v>23</v>
      </c>
      <c r="B988" s="134">
        <v>44444</v>
      </c>
      <c r="C988" s="136" t="s">
        <v>2914</v>
      </c>
      <c r="D988" s="134" t="s">
        <v>1985</v>
      </c>
      <c r="E988" s="171" t="s">
        <v>534</v>
      </c>
      <c r="F988" s="138">
        <v>12</v>
      </c>
      <c r="G988" s="176" t="s">
        <v>580</v>
      </c>
      <c r="H988" s="135">
        <v>41485</v>
      </c>
      <c r="I988" s="134">
        <v>1</v>
      </c>
      <c r="J988" s="489">
        <v>30429</v>
      </c>
      <c r="K988" s="362">
        <v>30429</v>
      </c>
      <c r="L988" s="225" t="s">
        <v>785</v>
      </c>
      <c r="M988" s="129" t="s">
        <v>42</v>
      </c>
    </row>
    <row r="989" spans="1:13" s="133" customFormat="1" ht="15" customHeight="1" x14ac:dyDescent="0.25">
      <c r="A989" s="134">
        <v>24</v>
      </c>
      <c r="B989" s="134">
        <v>41240</v>
      </c>
      <c r="C989" s="136" t="s">
        <v>2915</v>
      </c>
      <c r="D989" s="134" t="s">
        <v>1985</v>
      </c>
      <c r="E989" s="171" t="s">
        <v>195</v>
      </c>
      <c r="F989" s="138" t="s">
        <v>2916</v>
      </c>
      <c r="G989" s="176"/>
      <c r="H989" s="135">
        <v>41470</v>
      </c>
      <c r="I989" s="134">
        <v>9</v>
      </c>
      <c r="J989" s="489">
        <v>2739</v>
      </c>
      <c r="K989" s="362">
        <v>24651</v>
      </c>
      <c r="L989" s="225" t="s">
        <v>785</v>
      </c>
      <c r="M989" s="129" t="s">
        <v>42</v>
      </c>
    </row>
    <row r="990" spans="1:13" s="133" customFormat="1" ht="15" customHeight="1" x14ac:dyDescent="0.25">
      <c r="A990" s="232">
        <v>25</v>
      </c>
      <c r="B990" s="134">
        <v>43301</v>
      </c>
      <c r="C990" s="136" t="s">
        <v>2917</v>
      </c>
      <c r="D990" s="134" t="s">
        <v>1985</v>
      </c>
      <c r="E990" s="171" t="s">
        <v>115</v>
      </c>
      <c r="F990" s="138">
        <v>4</v>
      </c>
      <c r="G990" s="176" t="s">
        <v>551</v>
      </c>
      <c r="H990" s="135">
        <v>41481</v>
      </c>
      <c r="I990" s="134">
        <v>1</v>
      </c>
      <c r="J990" s="489">
        <v>5274</v>
      </c>
      <c r="K990" s="362">
        <v>5274</v>
      </c>
      <c r="L990" s="225" t="s">
        <v>785</v>
      </c>
      <c r="M990" s="129" t="s">
        <v>42</v>
      </c>
    </row>
    <row r="991" spans="1:13" s="133" customFormat="1" ht="15" customHeight="1" x14ac:dyDescent="0.25">
      <c r="A991" s="232">
        <v>26</v>
      </c>
      <c r="B991" s="134">
        <v>44910</v>
      </c>
      <c r="C991" s="136" t="s">
        <v>2041</v>
      </c>
      <c r="D991" s="134" t="s">
        <v>1985</v>
      </c>
      <c r="E991" s="171" t="s">
        <v>115</v>
      </c>
      <c r="F991" s="138">
        <v>13</v>
      </c>
      <c r="G991" s="176" t="s">
        <v>2064</v>
      </c>
      <c r="H991" s="135">
        <v>41487</v>
      </c>
      <c r="I991" s="134">
        <v>1</v>
      </c>
      <c r="J991" s="489">
        <v>5274</v>
      </c>
      <c r="K991" s="362">
        <v>5274</v>
      </c>
      <c r="L991" s="225" t="s">
        <v>785</v>
      </c>
      <c r="M991" s="129" t="s">
        <v>42</v>
      </c>
    </row>
    <row r="992" spans="1:13" s="133" customFormat="1" ht="15" customHeight="1" x14ac:dyDescent="0.25">
      <c r="A992" s="232">
        <v>27</v>
      </c>
      <c r="B992" s="232">
        <v>45285</v>
      </c>
      <c r="C992" s="233" t="s">
        <v>2918</v>
      </c>
      <c r="D992" s="232" t="s">
        <v>1975</v>
      </c>
      <c r="E992" s="234" t="s">
        <v>215</v>
      </c>
      <c r="F992" s="235" t="s">
        <v>368</v>
      </c>
      <c r="G992" s="236" t="s">
        <v>2466</v>
      </c>
      <c r="H992" s="237">
        <v>41487</v>
      </c>
      <c r="I992" s="232">
        <v>1</v>
      </c>
      <c r="J992" s="510">
        <v>44597</v>
      </c>
      <c r="K992" s="383">
        <v>44597</v>
      </c>
      <c r="L992" s="225" t="s">
        <v>785</v>
      </c>
      <c r="M992" s="129" t="s">
        <v>42</v>
      </c>
    </row>
    <row r="993" spans="1:13" s="133" customFormat="1" ht="15" customHeight="1" x14ac:dyDescent="0.25">
      <c r="A993" s="232">
        <v>28</v>
      </c>
      <c r="B993" s="232">
        <v>45089</v>
      </c>
      <c r="C993" s="233" t="s">
        <v>2919</v>
      </c>
      <c r="D993" s="232" t="s">
        <v>1985</v>
      </c>
      <c r="E993" s="234" t="s">
        <v>577</v>
      </c>
      <c r="F993" s="235" t="s">
        <v>368</v>
      </c>
      <c r="G993" s="236"/>
      <c r="H993" s="237">
        <v>41492</v>
      </c>
      <c r="I993" s="232">
        <v>1</v>
      </c>
      <c r="J993" s="510">
        <v>25800</v>
      </c>
      <c r="K993" s="383">
        <v>25800</v>
      </c>
      <c r="L993" s="225" t="s">
        <v>785</v>
      </c>
      <c r="M993" s="129" t="s">
        <v>42</v>
      </c>
    </row>
    <row r="994" spans="1:13" s="133" customFormat="1" ht="15" customHeight="1" x14ac:dyDescent="0.25">
      <c r="A994" s="232">
        <v>29</v>
      </c>
      <c r="B994" s="232">
        <v>46197</v>
      </c>
      <c r="C994" s="233" t="s">
        <v>2920</v>
      </c>
      <c r="D994" s="232" t="s">
        <v>1985</v>
      </c>
      <c r="E994" s="234" t="s">
        <v>577</v>
      </c>
      <c r="F994" s="235" t="s">
        <v>368</v>
      </c>
      <c r="G994" s="236"/>
      <c r="H994" s="237">
        <v>41492</v>
      </c>
      <c r="I994" s="232">
        <v>1</v>
      </c>
      <c r="J994" s="510">
        <v>25800</v>
      </c>
      <c r="K994" s="383">
        <v>25800</v>
      </c>
      <c r="L994" s="225" t="s">
        <v>785</v>
      </c>
      <c r="M994" s="129" t="s">
        <v>42</v>
      </c>
    </row>
    <row r="995" spans="1:13" s="133" customFormat="1" ht="15" customHeight="1" x14ac:dyDescent="0.25">
      <c r="A995" s="232">
        <v>30</v>
      </c>
      <c r="B995" s="232">
        <v>46627</v>
      </c>
      <c r="C995" s="233" t="s">
        <v>1974</v>
      </c>
      <c r="D995" s="232" t="s">
        <v>1975</v>
      </c>
      <c r="E995" s="234" t="s">
        <v>115</v>
      </c>
      <c r="F995" s="235">
        <v>13</v>
      </c>
      <c r="G995" s="236" t="s">
        <v>2064</v>
      </c>
      <c r="H995" s="237">
        <v>41494</v>
      </c>
      <c r="I995" s="232">
        <v>1</v>
      </c>
      <c r="J995" s="510">
        <v>5274</v>
      </c>
      <c r="K995" s="383">
        <v>5274</v>
      </c>
      <c r="L995" s="225" t="s">
        <v>785</v>
      </c>
      <c r="M995" s="129" t="s">
        <v>42</v>
      </c>
    </row>
    <row r="996" spans="1:13" s="133" customFormat="1" ht="15" customHeight="1" x14ac:dyDescent="0.25">
      <c r="A996" s="232">
        <v>31</v>
      </c>
      <c r="B996" s="232">
        <v>47262</v>
      </c>
      <c r="C996" s="233" t="s">
        <v>2921</v>
      </c>
      <c r="D996" s="232" t="s">
        <v>2922</v>
      </c>
      <c r="E996" s="234" t="s">
        <v>534</v>
      </c>
      <c r="F996" s="235" t="s">
        <v>2407</v>
      </c>
      <c r="G996" s="236" t="s">
        <v>566</v>
      </c>
      <c r="H996" s="237">
        <v>41495</v>
      </c>
      <c r="I996" s="232">
        <v>2</v>
      </c>
      <c r="J996" s="510">
        <v>30429</v>
      </c>
      <c r="K996" s="383">
        <v>60858</v>
      </c>
      <c r="L996" s="225" t="s">
        <v>785</v>
      </c>
      <c r="M996" s="129" t="s">
        <v>42</v>
      </c>
    </row>
    <row r="997" spans="1:13" s="133" customFormat="1" ht="15" customHeight="1" x14ac:dyDescent="0.25">
      <c r="A997" s="232">
        <v>32</v>
      </c>
      <c r="B997" s="232">
        <v>48051</v>
      </c>
      <c r="C997" s="233" t="s">
        <v>2923</v>
      </c>
      <c r="D997" s="232" t="s">
        <v>1985</v>
      </c>
      <c r="E997" s="234" t="s">
        <v>190</v>
      </c>
      <c r="F997" s="235">
        <v>19</v>
      </c>
      <c r="G997" s="236" t="s">
        <v>2133</v>
      </c>
      <c r="H997" s="237">
        <v>41499</v>
      </c>
      <c r="I997" s="232">
        <v>1</v>
      </c>
      <c r="J997" s="510">
        <v>57960</v>
      </c>
      <c r="K997" s="383">
        <v>57960</v>
      </c>
      <c r="L997" s="225" t="s">
        <v>785</v>
      </c>
      <c r="M997" s="129" t="s">
        <v>42</v>
      </c>
    </row>
    <row r="998" spans="1:13" s="133" customFormat="1" ht="15" customHeight="1" x14ac:dyDescent="0.25">
      <c r="A998" s="134">
        <v>33</v>
      </c>
      <c r="B998" s="232">
        <v>48393</v>
      </c>
      <c r="C998" s="233" t="s">
        <v>2924</v>
      </c>
      <c r="D998" s="232" t="s">
        <v>1985</v>
      </c>
      <c r="E998" s="234" t="s">
        <v>577</v>
      </c>
      <c r="F998" s="235" t="s">
        <v>368</v>
      </c>
      <c r="G998" s="236"/>
      <c r="H998" s="237">
        <v>41500</v>
      </c>
      <c r="I998" s="232">
        <v>1</v>
      </c>
      <c r="J998" s="510">
        <v>25800</v>
      </c>
      <c r="K998" s="383">
        <v>25800</v>
      </c>
      <c r="L998" s="225" t="s">
        <v>785</v>
      </c>
      <c r="M998" s="129" t="s">
        <v>42</v>
      </c>
    </row>
    <row r="999" spans="1:13" s="133" customFormat="1" ht="15" customHeight="1" x14ac:dyDescent="0.25">
      <c r="A999" s="134">
        <v>34</v>
      </c>
      <c r="B999" s="232">
        <v>48273</v>
      </c>
      <c r="C999" s="233" t="s">
        <v>2925</v>
      </c>
      <c r="D999" s="232" t="s">
        <v>1985</v>
      </c>
      <c r="E999" s="234" t="s">
        <v>115</v>
      </c>
      <c r="F999" s="235">
        <v>15</v>
      </c>
      <c r="G999" s="236" t="s">
        <v>2064</v>
      </c>
      <c r="H999" s="237">
        <v>41502</v>
      </c>
      <c r="I999" s="232">
        <v>1</v>
      </c>
      <c r="J999" s="510">
        <v>5274</v>
      </c>
      <c r="K999" s="383">
        <v>5274</v>
      </c>
      <c r="L999" s="225" t="s">
        <v>785</v>
      </c>
      <c r="M999" s="129" t="s">
        <v>42</v>
      </c>
    </row>
    <row r="1000" spans="1:13" s="133" customFormat="1" ht="15" customHeight="1" x14ac:dyDescent="0.25">
      <c r="A1000" s="232">
        <v>35</v>
      </c>
      <c r="B1000" s="232">
        <v>48453</v>
      </c>
      <c r="C1000" s="233" t="s">
        <v>623</v>
      </c>
      <c r="D1000" s="232" t="s">
        <v>1975</v>
      </c>
      <c r="E1000" s="234" t="s">
        <v>115</v>
      </c>
      <c r="F1000" s="235">
        <v>4</v>
      </c>
      <c r="G1000" s="236" t="s">
        <v>2064</v>
      </c>
      <c r="H1000" s="237">
        <v>41501</v>
      </c>
      <c r="I1000" s="232">
        <v>1</v>
      </c>
      <c r="J1000" s="510">
        <v>5274</v>
      </c>
      <c r="K1000" s="383">
        <v>5274</v>
      </c>
      <c r="L1000" s="225" t="s">
        <v>785</v>
      </c>
      <c r="M1000" s="129" t="s">
        <v>42</v>
      </c>
    </row>
    <row r="1001" spans="1:13" s="133" customFormat="1" ht="15" customHeight="1" x14ac:dyDescent="0.25">
      <c r="A1001" s="134">
        <v>36</v>
      </c>
      <c r="B1001" s="232">
        <v>48427</v>
      </c>
      <c r="C1001" s="233" t="s">
        <v>2926</v>
      </c>
      <c r="D1001" s="232" t="s">
        <v>1987</v>
      </c>
      <c r="E1001" s="234" t="s">
        <v>534</v>
      </c>
      <c r="F1001" s="235">
        <v>19</v>
      </c>
      <c r="G1001" s="236" t="s">
        <v>626</v>
      </c>
      <c r="H1001" s="237">
        <v>41500</v>
      </c>
      <c r="I1001" s="232">
        <v>1</v>
      </c>
      <c r="J1001" s="510">
        <v>30429</v>
      </c>
      <c r="K1001" s="383">
        <v>30429</v>
      </c>
      <c r="L1001" s="225" t="s">
        <v>785</v>
      </c>
      <c r="M1001" s="129" t="s">
        <v>42</v>
      </c>
    </row>
    <row r="1002" spans="1:13" s="133" customFormat="1" ht="15" customHeight="1" x14ac:dyDescent="0.25">
      <c r="A1002" s="134">
        <v>37</v>
      </c>
      <c r="B1002" s="232">
        <v>48606</v>
      </c>
      <c r="C1002" s="233" t="s">
        <v>2927</v>
      </c>
      <c r="D1002" s="232" t="s">
        <v>1978</v>
      </c>
      <c r="E1002" s="234" t="s">
        <v>577</v>
      </c>
      <c r="F1002" s="235" t="s">
        <v>368</v>
      </c>
      <c r="G1002" s="236"/>
      <c r="H1002" s="237">
        <v>41502</v>
      </c>
      <c r="I1002" s="232">
        <v>1</v>
      </c>
      <c r="J1002" s="510">
        <v>25800</v>
      </c>
      <c r="K1002" s="383">
        <v>25800</v>
      </c>
      <c r="L1002" s="225" t="s">
        <v>785</v>
      </c>
      <c r="M1002" s="129" t="s">
        <v>42</v>
      </c>
    </row>
    <row r="1003" spans="1:13" s="133" customFormat="1" ht="15" customHeight="1" x14ac:dyDescent="0.25">
      <c r="A1003" s="134">
        <v>38</v>
      </c>
      <c r="B1003" s="232">
        <v>48883</v>
      </c>
      <c r="C1003" s="233" t="s">
        <v>2928</v>
      </c>
      <c r="D1003" s="232" t="s">
        <v>1985</v>
      </c>
      <c r="E1003" s="234" t="s">
        <v>115</v>
      </c>
      <c r="F1003" s="235">
        <v>10</v>
      </c>
      <c r="G1003" s="236" t="s">
        <v>557</v>
      </c>
      <c r="H1003" s="237">
        <v>41505</v>
      </c>
      <c r="I1003" s="232">
        <v>1</v>
      </c>
      <c r="J1003" s="510">
        <v>5274</v>
      </c>
      <c r="K1003" s="383">
        <v>5274</v>
      </c>
      <c r="L1003" s="225" t="s">
        <v>785</v>
      </c>
      <c r="M1003" s="129" t="s">
        <v>42</v>
      </c>
    </row>
    <row r="1004" spans="1:13" s="133" customFormat="1" ht="15" customHeight="1" x14ac:dyDescent="0.25">
      <c r="A1004" s="232">
        <v>39</v>
      </c>
      <c r="B1004" s="232">
        <v>49806</v>
      </c>
      <c r="C1004" s="233" t="s">
        <v>2929</v>
      </c>
      <c r="D1004" s="232" t="s">
        <v>1985</v>
      </c>
      <c r="E1004" s="234" t="s">
        <v>115</v>
      </c>
      <c r="F1004" s="235">
        <v>30</v>
      </c>
      <c r="G1004" s="236" t="s">
        <v>1056</v>
      </c>
      <c r="H1004" s="237">
        <v>41507</v>
      </c>
      <c r="I1004" s="232">
        <v>1</v>
      </c>
      <c r="J1004" s="510">
        <v>5274</v>
      </c>
      <c r="K1004" s="383">
        <v>5274</v>
      </c>
      <c r="L1004" s="225" t="s">
        <v>785</v>
      </c>
      <c r="M1004" s="129" t="s">
        <v>42</v>
      </c>
    </row>
    <row r="1005" spans="1:13" s="133" customFormat="1" ht="15" customHeight="1" x14ac:dyDescent="0.25">
      <c r="A1005" s="232">
        <v>40</v>
      </c>
      <c r="B1005" s="232">
        <v>49742</v>
      </c>
      <c r="C1005" s="233" t="s">
        <v>2930</v>
      </c>
      <c r="D1005" s="232" t="s">
        <v>1978</v>
      </c>
      <c r="E1005" s="234" t="s">
        <v>577</v>
      </c>
      <c r="F1005" s="235" t="s">
        <v>368</v>
      </c>
      <c r="G1005" s="236"/>
      <c r="H1005" s="237">
        <v>41507</v>
      </c>
      <c r="I1005" s="232">
        <v>1</v>
      </c>
      <c r="J1005" s="510">
        <v>25800</v>
      </c>
      <c r="K1005" s="383">
        <v>25800</v>
      </c>
      <c r="L1005" s="225" t="s">
        <v>785</v>
      </c>
      <c r="M1005" s="129" t="s">
        <v>42</v>
      </c>
    </row>
    <row r="1006" spans="1:13" s="133" customFormat="1" ht="15" customHeight="1" x14ac:dyDescent="0.25">
      <c r="A1006" s="232">
        <v>41</v>
      </c>
      <c r="B1006" s="232">
        <v>49478</v>
      </c>
      <c r="C1006" s="233" t="s">
        <v>2931</v>
      </c>
      <c r="D1006" s="232" t="s">
        <v>1985</v>
      </c>
      <c r="E1006" s="234" t="s">
        <v>534</v>
      </c>
      <c r="F1006" s="235">
        <v>30</v>
      </c>
      <c r="G1006" s="236" t="s">
        <v>626</v>
      </c>
      <c r="H1006" s="237">
        <v>41505</v>
      </c>
      <c r="I1006" s="232">
        <v>1</v>
      </c>
      <c r="J1006" s="510">
        <v>30429</v>
      </c>
      <c r="K1006" s="383">
        <v>30429</v>
      </c>
      <c r="L1006" s="225" t="s">
        <v>785</v>
      </c>
      <c r="M1006" s="129" t="s">
        <v>42</v>
      </c>
    </row>
    <row r="1007" spans="1:13" s="133" customFormat="1" ht="15" customHeight="1" x14ac:dyDescent="0.25">
      <c r="A1007" s="232">
        <v>42</v>
      </c>
      <c r="B1007" s="232">
        <v>49480</v>
      </c>
      <c r="C1007" s="233" t="s">
        <v>2932</v>
      </c>
      <c r="D1007" s="232" t="s">
        <v>1985</v>
      </c>
      <c r="E1007" s="234" t="s">
        <v>534</v>
      </c>
      <c r="F1007" s="235">
        <v>3</v>
      </c>
      <c r="G1007" s="236" t="s">
        <v>557</v>
      </c>
      <c r="H1007" s="237">
        <v>41505</v>
      </c>
      <c r="I1007" s="232">
        <v>1</v>
      </c>
      <c r="J1007" s="510">
        <v>30429</v>
      </c>
      <c r="K1007" s="383">
        <v>30429</v>
      </c>
      <c r="L1007" s="225" t="s">
        <v>785</v>
      </c>
      <c r="M1007" s="129" t="s">
        <v>42</v>
      </c>
    </row>
    <row r="1008" spans="1:13" s="133" customFormat="1" ht="15" customHeight="1" x14ac:dyDescent="0.25">
      <c r="A1008" s="232">
        <v>43</v>
      </c>
      <c r="B1008" s="232">
        <v>50182</v>
      </c>
      <c r="C1008" s="233" t="s">
        <v>1974</v>
      </c>
      <c r="D1008" s="232" t="s">
        <v>1975</v>
      </c>
      <c r="E1008" s="234" t="s">
        <v>235</v>
      </c>
      <c r="F1008" s="235" t="s">
        <v>368</v>
      </c>
      <c r="G1008" s="236"/>
      <c r="H1008" s="237">
        <v>41508</v>
      </c>
      <c r="I1008" s="232">
        <v>1</v>
      </c>
      <c r="J1008" s="510">
        <v>10401</v>
      </c>
      <c r="K1008" s="383">
        <v>10401</v>
      </c>
      <c r="L1008" s="225" t="s">
        <v>785</v>
      </c>
      <c r="M1008" s="129" t="s">
        <v>42</v>
      </c>
    </row>
    <row r="1009" spans="1:13" s="133" customFormat="1" ht="15" customHeight="1" x14ac:dyDescent="0.25">
      <c r="A1009" s="232">
        <v>44</v>
      </c>
      <c r="B1009" s="232">
        <v>50387</v>
      </c>
      <c r="C1009" s="233" t="s">
        <v>2905</v>
      </c>
      <c r="D1009" s="232" t="s">
        <v>1975</v>
      </c>
      <c r="E1009" s="234" t="s">
        <v>115</v>
      </c>
      <c r="F1009" s="235">
        <v>30</v>
      </c>
      <c r="G1009" s="236" t="s">
        <v>2064</v>
      </c>
      <c r="H1009" s="237">
        <v>41509</v>
      </c>
      <c r="I1009" s="232">
        <v>1</v>
      </c>
      <c r="J1009" s="510">
        <v>5274</v>
      </c>
      <c r="K1009" s="383">
        <v>5274</v>
      </c>
      <c r="L1009" s="225" t="s">
        <v>785</v>
      </c>
      <c r="M1009" s="129" t="s">
        <v>42</v>
      </c>
    </row>
    <row r="1010" spans="1:13" s="133" customFormat="1" ht="15" customHeight="1" x14ac:dyDescent="0.25">
      <c r="A1010" s="134">
        <v>45</v>
      </c>
      <c r="B1010" s="134">
        <v>50912</v>
      </c>
      <c r="C1010" s="136" t="s">
        <v>2933</v>
      </c>
      <c r="D1010" s="134" t="s">
        <v>1985</v>
      </c>
      <c r="E1010" s="171" t="s">
        <v>577</v>
      </c>
      <c r="F1010" s="138" t="s">
        <v>368</v>
      </c>
      <c r="G1010" s="176"/>
      <c r="H1010" s="135">
        <v>41512</v>
      </c>
      <c r="I1010" s="134">
        <v>1</v>
      </c>
      <c r="J1010" s="489">
        <v>25800</v>
      </c>
      <c r="K1010" s="362">
        <v>25800</v>
      </c>
      <c r="L1010" s="225" t="s">
        <v>785</v>
      </c>
      <c r="M1010" s="129" t="s">
        <v>42</v>
      </c>
    </row>
    <row r="1011" spans="1:13" s="133" customFormat="1" ht="15" customHeight="1" x14ac:dyDescent="0.25">
      <c r="A1011" s="232">
        <v>46</v>
      </c>
      <c r="B1011" s="232">
        <v>52424</v>
      </c>
      <c r="C1011" s="233" t="s">
        <v>2925</v>
      </c>
      <c r="D1011" s="232" t="s">
        <v>1985</v>
      </c>
      <c r="E1011" s="234" t="s">
        <v>534</v>
      </c>
      <c r="F1011" s="235">
        <v>3</v>
      </c>
      <c r="G1011" s="236" t="s">
        <v>560</v>
      </c>
      <c r="H1011" s="237">
        <v>41515</v>
      </c>
      <c r="I1011" s="232">
        <v>1</v>
      </c>
      <c r="J1011" s="510">
        <v>30429</v>
      </c>
      <c r="K1011" s="383">
        <v>30429</v>
      </c>
      <c r="L1011" s="225" t="s">
        <v>785</v>
      </c>
      <c r="M1011" s="129" t="s">
        <v>42</v>
      </c>
    </row>
    <row r="1012" spans="1:13" s="133" customFormat="1" ht="15" customHeight="1" thickBot="1" x14ac:dyDescent="0.3">
      <c r="A1012" s="511">
        <v>47</v>
      </c>
      <c r="B1012" s="511">
        <v>52712</v>
      </c>
      <c r="C1012" s="512" t="s">
        <v>2934</v>
      </c>
      <c r="D1012" s="511" t="s">
        <v>1975</v>
      </c>
      <c r="E1012" s="513" t="s">
        <v>115</v>
      </c>
      <c r="F1012" s="514">
        <v>5</v>
      </c>
      <c r="G1012" s="515" t="s">
        <v>2935</v>
      </c>
      <c r="H1012" s="516">
        <v>41516</v>
      </c>
      <c r="I1012" s="511">
        <v>1</v>
      </c>
      <c r="J1012" s="517">
        <v>5274</v>
      </c>
      <c r="K1012" s="518">
        <v>5274</v>
      </c>
      <c r="L1012" s="225" t="s">
        <v>785</v>
      </c>
      <c r="M1012" s="129" t="s">
        <v>42</v>
      </c>
    </row>
    <row r="1013" spans="1:13" s="133" customFormat="1" ht="15" customHeight="1" x14ac:dyDescent="0.25">
      <c r="A1013" s="493">
        <v>48</v>
      </c>
      <c r="B1013" s="493">
        <v>59277</v>
      </c>
      <c r="C1013" s="494" t="s">
        <v>2936</v>
      </c>
      <c r="D1013" s="493" t="s">
        <v>2922</v>
      </c>
      <c r="E1013" s="495" t="s">
        <v>186</v>
      </c>
      <c r="F1013" s="496" t="s">
        <v>469</v>
      </c>
      <c r="G1013" s="497" t="s">
        <v>551</v>
      </c>
      <c r="H1013" s="498">
        <v>41547</v>
      </c>
      <c r="I1013" s="493">
        <v>1</v>
      </c>
      <c r="J1013" s="499">
        <v>42601</v>
      </c>
      <c r="K1013" s="500">
        <v>42601</v>
      </c>
      <c r="L1013" s="338" t="s">
        <v>614</v>
      </c>
      <c r="M1013" s="129" t="s">
        <v>42</v>
      </c>
    </row>
    <row r="1014" spans="1:13" s="133" customFormat="1" ht="15" customHeight="1" x14ac:dyDescent="0.25">
      <c r="A1014" s="232">
        <v>49</v>
      </c>
      <c r="B1014" s="232">
        <v>46193</v>
      </c>
      <c r="C1014" s="233" t="s">
        <v>2937</v>
      </c>
      <c r="D1014" s="232" t="s">
        <v>1985</v>
      </c>
      <c r="E1014" s="234" t="s">
        <v>574</v>
      </c>
      <c r="F1014" s="235" t="s">
        <v>2938</v>
      </c>
      <c r="G1014" s="236" t="s">
        <v>560</v>
      </c>
      <c r="H1014" s="237">
        <v>41492</v>
      </c>
      <c r="I1014" s="232">
        <v>2</v>
      </c>
      <c r="J1014" s="510">
        <v>49701</v>
      </c>
      <c r="K1014" s="383">
        <v>99402</v>
      </c>
      <c r="L1014" s="338" t="s">
        <v>614</v>
      </c>
      <c r="M1014" s="129" t="s">
        <v>42</v>
      </c>
    </row>
    <row r="1015" spans="1:13" s="133" customFormat="1" ht="15" customHeight="1" x14ac:dyDescent="0.25">
      <c r="A1015" s="232">
        <v>50</v>
      </c>
      <c r="B1015" s="232">
        <v>53514</v>
      </c>
      <c r="C1015" s="233" t="s">
        <v>2939</v>
      </c>
      <c r="D1015" s="232" t="s">
        <v>1985</v>
      </c>
      <c r="E1015" s="234" t="s">
        <v>534</v>
      </c>
      <c r="F1015" s="235">
        <v>14</v>
      </c>
      <c r="G1015" s="236" t="s">
        <v>626</v>
      </c>
      <c r="H1015" s="237">
        <v>41520</v>
      </c>
      <c r="I1015" s="232">
        <v>1</v>
      </c>
      <c r="J1015" s="510">
        <v>30429</v>
      </c>
      <c r="K1015" s="383">
        <v>30429</v>
      </c>
      <c r="L1015" s="338" t="s">
        <v>614</v>
      </c>
      <c r="M1015" s="129" t="s">
        <v>42</v>
      </c>
    </row>
    <row r="1016" spans="1:13" s="133" customFormat="1" ht="15" customHeight="1" x14ac:dyDescent="0.25">
      <c r="A1016" s="232">
        <v>51</v>
      </c>
      <c r="B1016" s="232">
        <v>51948</v>
      </c>
      <c r="C1016" s="233" t="s">
        <v>2940</v>
      </c>
      <c r="D1016" s="232" t="s">
        <v>1985</v>
      </c>
      <c r="E1016" s="234" t="s">
        <v>534</v>
      </c>
      <c r="F1016" s="235">
        <v>14</v>
      </c>
      <c r="G1016" s="236" t="s">
        <v>560</v>
      </c>
      <c r="H1016" s="237">
        <v>41514</v>
      </c>
      <c r="I1016" s="232">
        <v>1</v>
      </c>
      <c r="J1016" s="510">
        <v>30429</v>
      </c>
      <c r="K1016" s="383">
        <v>30429</v>
      </c>
      <c r="L1016" s="338" t="s">
        <v>614</v>
      </c>
      <c r="M1016" s="129" t="s">
        <v>42</v>
      </c>
    </row>
    <row r="1017" spans="1:13" s="133" customFormat="1" ht="15" customHeight="1" x14ac:dyDescent="0.25">
      <c r="A1017" s="232">
        <v>52</v>
      </c>
      <c r="B1017" s="232">
        <v>57500</v>
      </c>
      <c r="C1017" s="233" t="s">
        <v>2941</v>
      </c>
      <c r="D1017" s="232" t="s">
        <v>1978</v>
      </c>
      <c r="E1017" s="234" t="s">
        <v>534</v>
      </c>
      <c r="F1017" s="235">
        <v>14</v>
      </c>
      <c r="G1017" s="236" t="s">
        <v>1250</v>
      </c>
      <c r="H1017" s="237">
        <v>41540</v>
      </c>
      <c r="I1017" s="232">
        <v>1</v>
      </c>
      <c r="J1017" s="510">
        <v>30429</v>
      </c>
      <c r="K1017" s="383">
        <v>30429</v>
      </c>
      <c r="L1017" s="338" t="s">
        <v>614</v>
      </c>
      <c r="M1017" s="129" t="s">
        <v>42</v>
      </c>
    </row>
    <row r="1018" spans="1:13" s="133" customFormat="1" ht="15" customHeight="1" x14ac:dyDescent="0.25">
      <c r="A1018" s="232">
        <v>53</v>
      </c>
      <c r="B1018" s="232">
        <v>57516</v>
      </c>
      <c r="C1018" s="233" t="s">
        <v>2942</v>
      </c>
      <c r="D1018" s="232" t="s">
        <v>2922</v>
      </c>
      <c r="E1018" s="234" t="s">
        <v>115</v>
      </c>
      <c r="F1018" s="235">
        <v>4</v>
      </c>
      <c r="G1018" s="236" t="s">
        <v>1337</v>
      </c>
      <c r="H1018" s="237">
        <v>41541</v>
      </c>
      <c r="I1018" s="232">
        <v>1</v>
      </c>
      <c r="J1018" s="510">
        <v>5274</v>
      </c>
      <c r="K1018" s="383">
        <v>5274</v>
      </c>
      <c r="L1018" s="338" t="s">
        <v>614</v>
      </c>
      <c r="M1018" s="129" t="s">
        <v>42</v>
      </c>
    </row>
    <row r="1019" spans="1:13" s="133" customFormat="1" ht="15" customHeight="1" x14ac:dyDescent="0.25">
      <c r="A1019" s="232">
        <v>54</v>
      </c>
      <c r="B1019" s="232">
        <v>57809</v>
      </c>
      <c r="C1019" s="233" t="s">
        <v>2905</v>
      </c>
      <c r="D1019" s="232" t="s">
        <v>1975</v>
      </c>
      <c r="E1019" s="234" t="s">
        <v>114</v>
      </c>
      <c r="F1019" s="235" t="s">
        <v>524</v>
      </c>
      <c r="G1019" s="236"/>
      <c r="H1019" s="237">
        <v>41541</v>
      </c>
      <c r="I1019" s="232">
        <v>1</v>
      </c>
      <c r="J1019" s="510">
        <v>33370</v>
      </c>
      <c r="K1019" s="383">
        <v>33370</v>
      </c>
      <c r="L1019" s="338" t="s">
        <v>614</v>
      </c>
      <c r="M1019" s="129" t="s">
        <v>42</v>
      </c>
    </row>
    <row r="1020" spans="1:13" s="133" customFormat="1" ht="15" customHeight="1" x14ac:dyDescent="0.25">
      <c r="A1020" s="232">
        <v>55</v>
      </c>
      <c r="B1020" s="232">
        <v>57239</v>
      </c>
      <c r="C1020" s="233" t="s">
        <v>2943</v>
      </c>
      <c r="D1020" s="232" t="s">
        <v>1978</v>
      </c>
      <c r="E1020" s="234" t="s">
        <v>577</v>
      </c>
      <c r="F1020" s="235" t="s">
        <v>368</v>
      </c>
      <c r="G1020" s="236"/>
      <c r="H1020" s="237">
        <v>41538</v>
      </c>
      <c r="I1020" s="232">
        <v>1</v>
      </c>
      <c r="J1020" s="510">
        <v>25800</v>
      </c>
      <c r="K1020" s="383">
        <v>25800</v>
      </c>
      <c r="L1020" s="338" t="s">
        <v>614</v>
      </c>
      <c r="M1020" s="129" t="s">
        <v>42</v>
      </c>
    </row>
    <row r="1021" spans="1:13" s="133" customFormat="1" ht="15" customHeight="1" x14ac:dyDescent="0.25">
      <c r="A1021" s="232">
        <v>56</v>
      </c>
      <c r="B1021" s="232">
        <v>54941</v>
      </c>
      <c r="C1021" s="233" t="s">
        <v>2944</v>
      </c>
      <c r="D1021" s="232" t="s">
        <v>1985</v>
      </c>
      <c r="E1021" s="234" t="s">
        <v>577</v>
      </c>
      <c r="F1021" s="235" t="s">
        <v>368</v>
      </c>
      <c r="G1021" s="236"/>
      <c r="H1021" s="237">
        <v>41526</v>
      </c>
      <c r="I1021" s="232">
        <v>1</v>
      </c>
      <c r="J1021" s="510">
        <v>25800</v>
      </c>
      <c r="K1021" s="383">
        <v>25800</v>
      </c>
      <c r="L1021" s="338" t="s">
        <v>614</v>
      </c>
      <c r="M1021" s="129" t="s">
        <v>42</v>
      </c>
    </row>
    <row r="1022" spans="1:13" s="133" customFormat="1" ht="15" customHeight="1" x14ac:dyDescent="0.25">
      <c r="A1022" s="232">
        <v>57</v>
      </c>
      <c r="B1022" s="232">
        <v>57498</v>
      </c>
      <c r="C1022" s="233" t="s">
        <v>2945</v>
      </c>
      <c r="D1022" s="232" t="s">
        <v>2946</v>
      </c>
      <c r="E1022" s="234" t="s">
        <v>577</v>
      </c>
      <c r="F1022" s="235" t="s">
        <v>368</v>
      </c>
      <c r="G1022" s="236"/>
      <c r="H1022" s="237">
        <v>41534</v>
      </c>
      <c r="I1022" s="232">
        <v>1</v>
      </c>
      <c r="J1022" s="510">
        <v>25800</v>
      </c>
      <c r="K1022" s="383">
        <v>25800</v>
      </c>
      <c r="L1022" s="338" t="s">
        <v>614</v>
      </c>
      <c r="M1022" s="129" t="s">
        <v>42</v>
      </c>
    </row>
    <row r="1023" spans="1:13" s="133" customFormat="1" ht="15" customHeight="1" x14ac:dyDescent="0.25">
      <c r="A1023" s="232">
        <v>58</v>
      </c>
      <c r="B1023" s="232">
        <v>54702</v>
      </c>
      <c r="C1023" s="233" t="s">
        <v>2947</v>
      </c>
      <c r="D1023" s="232" t="s">
        <v>1981</v>
      </c>
      <c r="E1023" s="234" t="s">
        <v>195</v>
      </c>
      <c r="F1023" s="235" t="s">
        <v>2012</v>
      </c>
      <c r="G1023" s="236"/>
      <c r="H1023" s="237">
        <v>41526</v>
      </c>
      <c r="I1023" s="232">
        <v>6</v>
      </c>
      <c r="J1023" s="510">
        <v>2739</v>
      </c>
      <c r="K1023" s="383">
        <v>16434</v>
      </c>
      <c r="L1023" s="338" t="s">
        <v>614</v>
      </c>
      <c r="M1023" s="129" t="s">
        <v>42</v>
      </c>
    </row>
    <row r="1024" spans="1:13" s="133" customFormat="1" ht="15" customHeight="1" x14ac:dyDescent="0.25">
      <c r="A1024" s="232">
        <v>59</v>
      </c>
      <c r="B1024" s="232">
        <v>57782</v>
      </c>
      <c r="C1024" s="233" t="s">
        <v>2948</v>
      </c>
      <c r="D1024" s="232" t="s">
        <v>1987</v>
      </c>
      <c r="E1024" s="234" t="s">
        <v>577</v>
      </c>
      <c r="F1024" s="235" t="s">
        <v>368</v>
      </c>
      <c r="G1024" s="236"/>
      <c r="H1024" s="237">
        <v>41541</v>
      </c>
      <c r="I1024" s="232">
        <v>1</v>
      </c>
      <c r="J1024" s="510">
        <v>25800</v>
      </c>
      <c r="K1024" s="383">
        <v>25800</v>
      </c>
      <c r="L1024" s="338" t="s">
        <v>614</v>
      </c>
      <c r="M1024" s="129" t="s">
        <v>42</v>
      </c>
    </row>
    <row r="1025" spans="1:13" s="133" customFormat="1" ht="15" customHeight="1" x14ac:dyDescent="0.25">
      <c r="A1025" s="232">
        <v>60</v>
      </c>
      <c r="B1025" s="232">
        <v>57554</v>
      </c>
      <c r="C1025" s="233" t="s">
        <v>1401</v>
      </c>
      <c r="D1025" s="232" t="s">
        <v>1985</v>
      </c>
      <c r="E1025" s="234" t="s">
        <v>115</v>
      </c>
      <c r="F1025" s="235">
        <v>18</v>
      </c>
      <c r="G1025" s="236" t="s">
        <v>2064</v>
      </c>
      <c r="H1025" s="237">
        <v>41541</v>
      </c>
      <c r="I1025" s="232">
        <v>1</v>
      </c>
      <c r="J1025" s="510">
        <v>5274</v>
      </c>
      <c r="K1025" s="383">
        <v>5274</v>
      </c>
      <c r="L1025" s="338" t="s">
        <v>614</v>
      </c>
      <c r="M1025" s="129" t="s">
        <v>42</v>
      </c>
    </row>
    <row r="1026" spans="1:13" s="133" customFormat="1" ht="15" customHeight="1" x14ac:dyDescent="0.25">
      <c r="A1026" s="232">
        <v>61</v>
      </c>
      <c r="B1026" s="232">
        <v>58611</v>
      </c>
      <c r="C1026" s="233" t="s">
        <v>2911</v>
      </c>
      <c r="D1026" s="232" t="s">
        <v>1975</v>
      </c>
      <c r="E1026" s="234" t="s">
        <v>190</v>
      </c>
      <c r="F1026" s="235" t="s">
        <v>407</v>
      </c>
      <c r="G1026" s="236" t="s">
        <v>2094</v>
      </c>
      <c r="H1026" s="237">
        <v>41544</v>
      </c>
      <c r="I1026" s="232">
        <v>1</v>
      </c>
      <c r="J1026" s="510">
        <v>57960</v>
      </c>
      <c r="K1026" s="383">
        <v>57960</v>
      </c>
      <c r="L1026" s="338" t="s">
        <v>614</v>
      </c>
      <c r="M1026" s="129" t="s">
        <v>42</v>
      </c>
    </row>
    <row r="1027" spans="1:13" s="133" customFormat="1" ht="15" customHeight="1" x14ac:dyDescent="0.25">
      <c r="A1027" s="232">
        <v>62</v>
      </c>
      <c r="B1027" s="232">
        <v>57675</v>
      </c>
      <c r="C1027" s="233" t="s">
        <v>1930</v>
      </c>
      <c r="D1027" s="232" t="s">
        <v>1987</v>
      </c>
      <c r="E1027" s="234" t="s">
        <v>577</v>
      </c>
      <c r="F1027" s="235" t="s">
        <v>368</v>
      </c>
      <c r="G1027" s="236"/>
      <c r="H1027" s="237">
        <v>41541</v>
      </c>
      <c r="I1027" s="232">
        <v>1</v>
      </c>
      <c r="J1027" s="510">
        <v>25800</v>
      </c>
      <c r="K1027" s="383">
        <v>25800</v>
      </c>
      <c r="L1027" s="338" t="s">
        <v>614</v>
      </c>
      <c r="M1027" s="129" t="s">
        <v>42</v>
      </c>
    </row>
    <row r="1028" spans="1:13" s="133" customFormat="1" ht="15" customHeight="1" x14ac:dyDescent="0.25">
      <c r="A1028" s="232">
        <v>63</v>
      </c>
      <c r="B1028" s="232">
        <v>54823</v>
      </c>
      <c r="C1028" s="233" t="s">
        <v>2949</v>
      </c>
      <c r="D1028" s="232" t="s">
        <v>2922</v>
      </c>
      <c r="E1028" s="234" t="s">
        <v>215</v>
      </c>
      <c r="F1028" s="235" t="s">
        <v>384</v>
      </c>
      <c r="G1028" s="236" t="s">
        <v>1247</v>
      </c>
      <c r="H1028" s="237">
        <v>41523</v>
      </c>
      <c r="I1028" s="232">
        <v>2</v>
      </c>
      <c r="J1028" s="510">
        <v>44597</v>
      </c>
      <c r="K1028" s="383">
        <v>89194</v>
      </c>
      <c r="L1028" s="338" t="s">
        <v>614</v>
      </c>
      <c r="M1028" s="129" t="s">
        <v>42</v>
      </c>
    </row>
    <row r="1029" spans="1:13" s="133" customFormat="1" ht="15" customHeight="1" x14ac:dyDescent="0.25">
      <c r="A1029" s="232">
        <v>64</v>
      </c>
      <c r="B1029" s="232">
        <v>53641</v>
      </c>
      <c r="C1029" s="233" t="s">
        <v>2950</v>
      </c>
      <c r="D1029" s="232" t="s">
        <v>1978</v>
      </c>
      <c r="E1029" s="234" t="s">
        <v>577</v>
      </c>
      <c r="F1029" s="235" t="s">
        <v>368</v>
      </c>
      <c r="G1029" s="236"/>
      <c r="H1029" s="237">
        <v>41520</v>
      </c>
      <c r="I1029" s="232">
        <v>1</v>
      </c>
      <c r="J1029" s="510">
        <v>25800</v>
      </c>
      <c r="K1029" s="383">
        <v>25800</v>
      </c>
      <c r="L1029" s="338" t="s">
        <v>614</v>
      </c>
      <c r="M1029" s="129" t="s">
        <v>42</v>
      </c>
    </row>
    <row r="1030" spans="1:13" s="133" customFormat="1" ht="15" customHeight="1" x14ac:dyDescent="0.25">
      <c r="A1030" s="232">
        <v>65</v>
      </c>
      <c r="B1030" s="232">
        <v>53668</v>
      </c>
      <c r="C1030" s="233" t="s">
        <v>2951</v>
      </c>
      <c r="D1030" s="232" t="s">
        <v>2922</v>
      </c>
      <c r="E1030" s="234" t="s">
        <v>215</v>
      </c>
      <c r="F1030" s="235" t="s">
        <v>368</v>
      </c>
      <c r="G1030" s="236" t="s">
        <v>486</v>
      </c>
      <c r="H1030" s="237">
        <v>41520</v>
      </c>
      <c r="I1030" s="232">
        <v>1</v>
      </c>
      <c r="J1030" s="510">
        <v>44597</v>
      </c>
      <c r="K1030" s="383">
        <v>44597</v>
      </c>
      <c r="L1030" s="338" t="s">
        <v>614</v>
      </c>
      <c r="M1030" s="129" t="s">
        <v>42</v>
      </c>
    </row>
    <row r="1031" spans="1:13" s="133" customFormat="1" ht="15" customHeight="1" x14ac:dyDescent="0.25">
      <c r="A1031" s="232">
        <v>66</v>
      </c>
      <c r="B1031" s="232">
        <v>53085</v>
      </c>
      <c r="C1031" s="233" t="s">
        <v>2952</v>
      </c>
      <c r="D1031" s="232" t="s">
        <v>1975</v>
      </c>
      <c r="E1031" s="234" t="s">
        <v>115</v>
      </c>
      <c r="F1031" s="235">
        <v>8</v>
      </c>
      <c r="G1031" s="236" t="s">
        <v>486</v>
      </c>
      <c r="H1031" s="237">
        <v>41519</v>
      </c>
      <c r="I1031" s="232">
        <v>1</v>
      </c>
      <c r="J1031" s="510">
        <v>5274</v>
      </c>
      <c r="K1031" s="383">
        <v>5274</v>
      </c>
      <c r="L1031" s="338" t="s">
        <v>614</v>
      </c>
      <c r="M1031" s="129" t="s">
        <v>42</v>
      </c>
    </row>
    <row r="1032" spans="1:13" s="133" customFormat="1" ht="15" customHeight="1" x14ac:dyDescent="0.25">
      <c r="A1032" s="232">
        <v>67</v>
      </c>
      <c r="B1032" s="232">
        <v>58394</v>
      </c>
      <c r="C1032" s="233" t="s">
        <v>2953</v>
      </c>
      <c r="D1032" s="232" t="s">
        <v>1978</v>
      </c>
      <c r="E1032" s="234" t="s">
        <v>577</v>
      </c>
      <c r="F1032" s="235" t="s">
        <v>368</v>
      </c>
      <c r="G1032" s="236"/>
      <c r="H1032" s="237">
        <v>41543</v>
      </c>
      <c r="I1032" s="232">
        <v>1</v>
      </c>
      <c r="J1032" s="510">
        <v>25800</v>
      </c>
      <c r="K1032" s="383">
        <v>25800</v>
      </c>
      <c r="L1032" s="338" t="s">
        <v>614</v>
      </c>
      <c r="M1032" s="129" t="s">
        <v>42</v>
      </c>
    </row>
    <row r="1033" spans="1:13" s="133" customFormat="1" ht="15" customHeight="1" x14ac:dyDescent="0.25">
      <c r="A1033" s="232">
        <v>68</v>
      </c>
      <c r="B1033" s="232">
        <v>53186</v>
      </c>
      <c r="C1033" s="233" t="s">
        <v>2954</v>
      </c>
      <c r="D1033" s="232" t="s">
        <v>1978</v>
      </c>
      <c r="E1033" s="234" t="s">
        <v>577</v>
      </c>
      <c r="F1033" s="235" t="s">
        <v>368</v>
      </c>
      <c r="G1033" s="236"/>
      <c r="H1033" s="237">
        <v>41488</v>
      </c>
      <c r="I1033" s="232">
        <v>1</v>
      </c>
      <c r="J1033" s="510">
        <v>25800</v>
      </c>
      <c r="K1033" s="383">
        <v>25800</v>
      </c>
      <c r="L1033" s="338" t="s">
        <v>614</v>
      </c>
      <c r="M1033" s="129" t="s">
        <v>42</v>
      </c>
    </row>
    <row r="1034" spans="1:13" s="133" customFormat="1" ht="15" customHeight="1" x14ac:dyDescent="0.25">
      <c r="A1034" s="232">
        <v>69</v>
      </c>
      <c r="B1034" s="232">
        <v>57223</v>
      </c>
      <c r="C1034" s="233" t="s">
        <v>2917</v>
      </c>
      <c r="D1034" s="232" t="s">
        <v>1985</v>
      </c>
      <c r="E1034" s="234" t="s">
        <v>114</v>
      </c>
      <c r="F1034" s="235">
        <v>4</v>
      </c>
      <c r="G1034" s="236" t="s">
        <v>560</v>
      </c>
      <c r="H1034" s="237">
        <v>41540</v>
      </c>
      <c r="I1034" s="232">
        <v>1</v>
      </c>
      <c r="J1034" s="510">
        <v>33370</v>
      </c>
      <c r="K1034" s="383">
        <v>33370</v>
      </c>
      <c r="L1034" s="338" t="s">
        <v>614</v>
      </c>
      <c r="M1034" s="129" t="s">
        <v>42</v>
      </c>
    </row>
    <row r="1035" spans="1:13" s="133" customFormat="1" ht="15" customHeight="1" x14ac:dyDescent="0.25">
      <c r="A1035" s="232">
        <v>70</v>
      </c>
      <c r="B1035" s="232">
        <v>42287</v>
      </c>
      <c r="C1035" s="233" t="s">
        <v>2955</v>
      </c>
      <c r="D1035" s="232" t="s">
        <v>1985</v>
      </c>
      <c r="E1035" s="234" t="s">
        <v>115</v>
      </c>
      <c r="F1035" s="235" t="s">
        <v>589</v>
      </c>
      <c r="G1035" s="236" t="s">
        <v>1056</v>
      </c>
      <c r="H1035" s="237">
        <v>41477</v>
      </c>
      <c r="I1035" s="232">
        <v>2</v>
      </c>
      <c r="J1035" s="510">
        <v>5274</v>
      </c>
      <c r="K1035" s="383">
        <v>10548</v>
      </c>
      <c r="L1035" s="338" t="s">
        <v>614</v>
      </c>
      <c r="M1035" s="129" t="s">
        <v>42</v>
      </c>
    </row>
    <row r="1036" spans="1:13" s="133" customFormat="1" ht="15" customHeight="1" x14ac:dyDescent="0.25">
      <c r="A1036" s="232">
        <v>71</v>
      </c>
      <c r="B1036" s="232">
        <v>51585</v>
      </c>
      <c r="C1036" s="233" t="s">
        <v>2041</v>
      </c>
      <c r="D1036" s="232" t="s">
        <v>1985</v>
      </c>
      <c r="E1036" s="234" t="s">
        <v>115</v>
      </c>
      <c r="F1036" s="235">
        <v>4</v>
      </c>
      <c r="G1036" s="236" t="s">
        <v>2064</v>
      </c>
      <c r="H1036" s="237">
        <v>41514</v>
      </c>
      <c r="I1036" s="232">
        <v>1</v>
      </c>
      <c r="J1036" s="510">
        <v>5274</v>
      </c>
      <c r="K1036" s="383">
        <v>5274</v>
      </c>
      <c r="L1036" s="338" t="s">
        <v>614</v>
      </c>
      <c r="M1036" s="129" t="s">
        <v>42</v>
      </c>
    </row>
    <row r="1037" spans="1:13" s="133" customFormat="1" ht="15" customHeight="1" thickBot="1" x14ac:dyDescent="0.3">
      <c r="A1037" s="501">
        <v>72</v>
      </c>
      <c r="B1037" s="501">
        <v>56383</v>
      </c>
      <c r="C1037" s="519" t="s">
        <v>2956</v>
      </c>
      <c r="D1037" s="511" t="s">
        <v>1978</v>
      </c>
      <c r="E1037" s="513" t="s">
        <v>115</v>
      </c>
      <c r="F1037" s="514">
        <v>5</v>
      </c>
      <c r="G1037" s="515" t="s">
        <v>2957</v>
      </c>
      <c r="H1037" s="516">
        <v>41530</v>
      </c>
      <c r="I1037" s="511">
        <v>1</v>
      </c>
      <c r="J1037" s="517">
        <v>5274</v>
      </c>
      <c r="K1037" s="518">
        <v>5274</v>
      </c>
      <c r="L1037" s="338" t="s">
        <v>614</v>
      </c>
      <c r="M1037" s="129" t="s">
        <v>42</v>
      </c>
    </row>
    <row r="1038" spans="1:13" s="133" customFormat="1" ht="15" customHeight="1" x14ac:dyDescent="0.25">
      <c r="A1038" s="479">
        <v>73</v>
      </c>
      <c r="B1038" s="479">
        <v>63127</v>
      </c>
      <c r="C1038" s="480" t="s">
        <v>2958</v>
      </c>
      <c r="D1038" s="121" t="s">
        <v>1978</v>
      </c>
      <c r="E1038" s="149" t="s">
        <v>577</v>
      </c>
      <c r="F1038" s="125" t="s">
        <v>368</v>
      </c>
      <c r="G1038" s="270"/>
      <c r="H1038" s="122">
        <v>41562</v>
      </c>
      <c r="I1038" s="121">
        <v>1</v>
      </c>
      <c r="J1038" s="520">
        <v>25800</v>
      </c>
      <c r="K1038" s="402">
        <v>25800</v>
      </c>
      <c r="L1038" s="269" t="s">
        <v>617</v>
      </c>
      <c r="M1038" s="129" t="s">
        <v>42</v>
      </c>
    </row>
    <row r="1039" spans="1:13" s="133" customFormat="1" ht="15" customHeight="1" x14ac:dyDescent="0.25">
      <c r="A1039" s="273">
        <v>74</v>
      </c>
      <c r="B1039" s="273">
        <v>57712</v>
      </c>
      <c r="C1039" s="274" t="s">
        <v>2959</v>
      </c>
      <c r="D1039" s="121" t="s">
        <v>1985</v>
      </c>
      <c r="E1039" s="149" t="s">
        <v>115</v>
      </c>
      <c r="F1039" s="125" t="s">
        <v>2960</v>
      </c>
      <c r="G1039" s="270" t="s">
        <v>2468</v>
      </c>
      <c r="H1039" s="122">
        <v>41541</v>
      </c>
      <c r="I1039" s="121">
        <v>2</v>
      </c>
      <c r="J1039" s="520">
        <v>5274</v>
      </c>
      <c r="K1039" s="402">
        <v>10548</v>
      </c>
      <c r="L1039" s="269" t="s">
        <v>617</v>
      </c>
      <c r="M1039" s="129" t="s">
        <v>42</v>
      </c>
    </row>
    <row r="1040" spans="1:13" s="133" customFormat="1" ht="15" customHeight="1" x14ac:dyDescent="0.25">
      <c r="A1040" s="273">
        <v>75</v>
      </c>
      <c r="B1040" s="273">
        <v>64488</v>
      </c>
      <c r="C1040" s="274" t="s">
        <v>2961</v>
      </c>
      <c r="D1040" s="121" t="s">
        <v>2946</v>
      </c>
      <c r="E1040" s="149" t="s">
        <v>577</v>
      </c>
      <c r="F1040" s="125" t="s">
        <v>368</v>
      </c>
      <c r="G1040" s="270"/>
      <c r="H1040" s="122">
        <v>41564</v>
      </c>
      <c r="I1040" s="121">
        <v>1</v>
      </c>
      <c r="J1040" s="520">
        <v>25800</v>
      </c>
      <c r="K1040" s="402">
        <v>25800</v>
      </c>
      <c r="L1040" s="269" t="s">
        <v>617</v>
      </c>
      <c r="M1040" s="129" t="s">
        <v>42</v>
      </c>
    </row>
    <row r="1041" spans="1:13" s="133" customFormat="1" ht="15" customHeight="1" x14ac:dyDescent="0.25">
      <c r="A1041" s="273">
        <v>76</v>
      </c>
      <c r="B1041" s="273">
        <v>54617</v>
      </c>
      <c r="C1041" s="274" t="s">
        <v>2962</v>
      </c>
      <c r="D1041" s="121" t="s">
        <v>1985</v>
      </c>
      <c r="E1041" s="149" t="s">
        <v>534</v>
      </c>
      <c r="F1041" s="125">
        <v>30</v>
      </c>
      <c r="G1041" s="270" t="s">
        <v>560</v>
      </c>
      <c r="H1041" s="122">
        <v>41523</v>
      </c>
      <c r="I1041" s="121">
        <v>1</v>
      </c>
      <c r="J1041" s="520">
        <v>30429</v>
      </c>
      <c r="K1041" s="402">
        <v>30429</v>
      </c>
      <c r="L1041" s="269" t="s">
        <v>617</v>
      </c>
      <c r="M1041" s="129" t="s">
        <v>42</v>
      </c>
    </row>
    <row r="1042" spans="1:13" s="133" customFormat="1" ht="15" customHeight="1" x14ac:dyDescent="0.25">
      <c r="A1042" s="273">
        <v>77</v>
      </c>
      <c r="B1042" s="273">
        <v>63401</v>
      </c>
      <c r="C1042" s="274" t="s">
        <v>2963</v>
      </c>
      <c r="D1042" s="121" t="s">
        <v>859</v>
      </c>
      <c r="E1042" s="149" t="s">
        <v>577</v>
      </c>
      <c r="F1042" s="125" t="s">
        <v>368</v>
      </c>
      <c r="G1042" s="270"/>
      <c r="H1042" s="122">
        <v>41562</v>
      </c>
      <c r="I1042" s="121">
        <v>1</v>
      </c>
      <c r="J1042" s="520">
        <v>25800</v>
      </c>
      <c r="K1042" s="402">
        <v>25800</v>
      </c>
      <c r="L1042" s="269" t="s">
        <v>617</v>
      </c>
      <c r="M1042" s="129" t="s">
        <v>42</v>
      </c>
    </row>
    <row r="1043" spans="1:13" s="133" customFormat="1" ht="15" customHeight="1" x14ac:dyDescent="0.25">
      <c r="A1043" s="273">
        <v>78</v>
      </c>
      <c r="B1043" s="273">
        <v>65673</v>
      </c>
      <c r="C1043" s="274" t="s">
        <v>2964</v>
      </c>
      <c r="D1043" s="121" t="s">
        <v>1985</v>
      </c>
      <c r="E1043" s="149" t="s">
        <v>577</v>
      </c>
      <c r="F1043" s="125" t="s">
        <v>368</v>
      </c>
      <c r="G1043" s="270"/>
      <c r="H1043" s="122">
        <v>41569</v>
      </c>
      <c r="I1043" s="121">
        <v>1</v>
      </c>
      <c r="J1043" s="520">
        <v>25800</v>
      </c>
      <c r="K1043" s="402">
        <v>25800</v>
      </c>
      <c r="L1043" s="269" t="s">
        <v>617</v>
      </c>
      <c r="M1043" s="129" t="s">
        <v>42</v>
      </c>
    </row>
    <row r="1044" spans="1:13" s="133" customFormat="1" ht="15" customHeight="1" x14ac:dyDescent="0.25">
      <c r="A1044" s="273">
        <v>79</v>
      </c>
      <c r="B1044" s="273">
        <v>65190</v>
      </c>
      <c r="C1044" s="274" t="s">
        <v>2026</v>
      </c>
      <c r="D1044" s="121" t="s">
        <v>1975</v>
      </c>
      <c r="E1044" s="149" t="s">
        <v>115</v>
      </c>
      <c r="F1044" s="125" t="s">
        <v>380</v>
      </c>
      <c r="G1044" s="270" t="s">
        <v>486</v>
      </c>
      <c r="H1044" s="122">
        <v>41569</v>
      </c>
      <c r="I1044" s="121">
        <v>1</v>
      </c>
      <c r="J1044" s="520">
        <v>5274</v>
      </c>
      <c r="K1044" s="402">
        <v>5274</v>
      </c>
      <c r="L1044" s="269" t="s">
        <v>617</v>
      </c>
      <c r="M1044" s="129" t="s">
        <v>42</v>
      </c>
    </row>
    <row r="1045" spans="1:13" s="133" customFormat="1" ht="15" customHeight="1" x14ac:dyDescent="0.25">
      <c r="A1045" s="521">
        <v>80</v>
      </c>
      <c r="B1045" s="273">
        <v>49365</v>
      </c>
      <c r="C1045" s="274" t="s">
        <v>2965</v>
      </c>
      <c r="D1045" s="121" t="s">
        <v>1985</v>
      </c>
      <c r="E1045" s="149" t="s">
        <v>115</v>
      </c>
      <c r="F1045" s="125">
        <v>14</v>
      </c>
      <c r="G1045" s="270" t="s">
        <v>2064</v>
      </c>
      <c r="H1045" s="122">
        <v>41505</v>
      </c>
      <c r="I1045" s="121">
        <v>1</v>
      </c>
      <c r="J1045" s="520">
        <v>5274</v>
      </c>
      <c r="K1045" s="402">
        <v>5274</v>
      </c>
      <c r="L1045" s="269" t="s">
        <v>617</v>
      </c>
      <c r="M1045" s="129" t="s">
        <v>42</v>
      </c>
    </row>
    <row r="1046" spans="1:13" s="133" customFormat="1" ht="15" customHeight="1" x14ac:dyDescent="0.25">
      <c r="A1046" s="273">
        <v>81</v>
      </c>
      <c r="B1046" s="273">
        <v>54252</v>
      </c>
      <c r="C1046" s="274" t="s">
        <v>2965</v>
      </c>
      <c r="D1046" s="121" t="s">
        <v>1985</v>
      </c>
      <c r="E1046" s="149" t="s">
        <v>115</v>
      </c>
      <c r="F1046" s="125">
        <v>14</v>
      </c>
      <c r="G1046" s="270"/>
      <c r="H1046" s="122">
        <v>41526</v>
      </c>
      <c r="I1046" s="121">
        <v>1</v>
      </c>
      <c r="J1046" s="520">
        <v>5274</v>
      </c>
      <c r="K1046" s="402">
        <v>5274</v>
      </c>
      <c r="L1046" s="269" t="s">
        <v>617</v>
      </c>
      <c r="M1046" s="129" t="s">
        <v>42</v>
      </c>
    </row>
    <row r="1047" spans="1:13" s="133" customFormat="1" ht="15" customHeight="1" x14ac:dyDescent="0.25">
      <c r="A1047" s="273">
        <v>82</v>
      </c>
      <c r="B1047" s="273">
        <v>62514</v>
      </c>
      <c r="C1047" s="274" t="s">
        <v>2928</v>
      </c>
      <c r="D1047" s="121" t="s">
        <v>1985</v>
      </c>
      <c r="E1047" s="149" t="s">
        <v>1129</v>
      </c>
      <c r="F1047" s="125" t="s">
        <v>404</v>
      </c>
      <c r="G1047" s="270" t="s">
        <v>560</v>
      </c>
      <c r="H1047" s="122">
        <v>41557</v>
      </c>
      <c r="I1047" s="121">
        <v>1</v>
      </c>
      <c r="J1047" s="520">
        <v>49701</v>
      </c>
      <c r="K1047" s="402">
        <v>49701</v>
      </c>
      <c r="L1047" s="269" t="s">
        <v>617</v>
      </c>
      <c r="M1047" s="129" t="s">
        <v>42</v>
      </c>
    </row>
    <row r="1048" spans="1:13" s="133" customFormat="1" ht="15" customHeight="1" x14ac:dyDescent="0.25">
      <c r="A1048" s="273">
        <v>83</v>
      </c>
      <c r="B1048" s="273">
        <v>59978</v>
      </c>
      <c r="C1048" s="274" t="s">
        <v>2942</v>
      </c>
      <c r="D1048" s="121" t="s">
        <v>2922</v>
      </c>
      <c r="E1048" s="149" t="s">
        <v>208</v>
      </c>
      <c r="F1048" s="125" t="s">
        <v>414</v>
      </c>
      <c r="G1048" s="270"/>
      <c r="H1048" s="122">
        <v>41550</v>
      </c>
      <c r="I1048" s="121">
        <v>1</v>
      </c>
      <c r="J1048" s="520">
        <v>14099</v>
      </c>
      <c r="K1048" s="402">
        <v>14099</v>
      </c>
      <c r="L1048" s="269" t="s">
        <v>617</v>
      </c>
      <c r="M1048" s="129" t="s">
        <v>42</v>
      </c>
    </row>
    <row r="1049" spans="1:13" s="133" customFormat="1" ht="15" customHeight="1" x14ac:dyDescent="0.25">
      <c r="A1049" s="273">
        <v>84</v>
      </c>
      <c r="B1049" s="273">
        <v>62479</v>
      </c>
      <c r="C1049" s="274" t="s">
        <v>2942</v>
      </c>
      <c r="D1049" s="121" t="s">
        <v>2922</v>
      </c>
      <c r="E1049" s="149" t="s">
        <v>114</v>
      </c>
      <c r="F1049" s="125" t="s">
        <v>414</v>
      </c>
      <c r="G1049" s="270" t="s">
        <v>2966</v>
      </c>
      <c r="H1049" s="122">
        <v>41557</v>
      </c>
      <c r="I1049" s="121">
        <v>1</v>
      </c>
      <c r="J1049" s="520">
        <v>33370</v>
      </c>
      <c r="K1049" s="402">
        <v>33370</v>
      </c>
      <c r="L1049" s="269" t="s">
        <v>617</v>
      </c>
      <c r="M1049" s="129" t="s">
        <v>42</v>
      </c>
    </row>
    <row r="1050" spans="1:13" s="133" customFormat="1" ht="15" customHeight="1" x14ac:dyDescent="0.25">
      <c r="A1050" s="273">
        <v>85</v>
      </c>
      <c r="B1050" s="273">
        <v>64571</v>
      </c>
      <c r="C1050" s="274" t="s">
        <v>2967</v>
      </c>
      <c r="D1050" s="121" t="s">
        <v>1975</v>
      </c>
      <c r="E1050" s="149" t="s">
        <v>115</v>
      </c>
      <c r="F1050" s="125" t="s">
        <v>2968</v>
      </c>
      <c r="G1050" s="270" t="s">
        <v>486</v>
      </c>
      <c r="H1050" s="122">
        <v>41565</v>
      </c>
      <c r="I1050" s="121">
        <v>4</v>
      </c>
      <c r="J1050" s="520">
        <v>5274</v>
      </c>
      <c r="K1050" s="402">
        <v>21096</v>
      </c>
      <c r="L1050" s="269" t="s">
        <v>617</v>
      </c>
      <c r="M1050" s="129" t="s">
        <v>42</v>
      </c>
    </row>
    <row r="1051" spans="1:13" s="133" customFormat="1" ht="15" customHeight="1" x14ac:dyDescent="0.25">
      <c r="A1051" s="273">
        <v>86</v>
      </c>
      <c r="B1051" s="273">
        <v>57671</v>
      </c>
      <c r="C1051" s="274" t="s">
        <v>2969</v>
      </c>
      <c r="D1051" s="121" t="s">
        <v>1975</v>
      </c>
      <c r="E1051" s="149" t="s">
        <v>115</v>
      </c>
      <c r="F1051" s="125">
        <v>3</v>
      </c>
      <c r="G1051" s="270" t="s">
        <v>2064</v>
      </c>
      <c r="H1051" s="122">
        <v>41540</v>
      </c>
      <c r="I1051" s="121">
        <v>1</v>
      </c>
      <c r="J1051" s="520">
        <v>5274</v>
      </c>
      <c r="K1051" s="402">
        <v>5274</v>
      </c>
      <c r="L1051" s="269" t="s">
        <v>617</v>
      </c>
      <c r="M1051" s="129" t="s">
        <v>42</v>
      </c>
    </row>
    <row r="1052" spans="1:13" s="133" customFormat="1" ht="15" customHeight="1" x14ac:dyDescent="0.25">
      <c r="A1052" s="273">
        <v>87</v>
      </c>
      <c r="B1052" s="273">
        <v>65076</v>
      </c>
      <c r="C1052" s="274" t="s">
        <v>2969</v>
      </c>
      <c r="D1052" s="121" t="s">
        <v>1972</v>
      </c>
      <c r="E1052" s="149" t="s">
        <v>114</v>
      </c>
      <c r="F1052" s="125" t="s">
        <v>469</v>
      </c>
      <c r="G1052" s="270" t="s">
        <v>594</v>
      </c>
      <c r="H1052" s="122">
        <v>41568</v>
      </c>
      <c r="I1052" s="121">
        <v>1</v>
      </c>
      <c r="J1052" s="520">
        <v>33370</v>
      </c>
      <c r="K1052" s="402">
        <v>33370</v>
      </c>
      <c r="L1052" s="269" t="s">
        <v>617</v>
      </c>
      <c r="M1052" s="129" t="s">
        <v>42</v>
      </c>
    </row>
    <row r="1053" spans="1:13" s="133" customFormat="1" ht="15" customHeight="1" x14ac:dyDescent="0.25">
      <c r="A1053" s="273">
        <v>88</v>
      </c>
      <c r="B1053" s="273">
        <v>65076</v>
      </c>
      <c r="C1053" s="274" t="s">
        <v>2969</v>
      </c>
      <c r="D1053" s="121" t="s">
        <v>1972</v>
      </c>
      <c r="E1053" s="149" t="s">
        <v>186</v>
      </c>
      <c r="F1053" s="125" t="s">
        <v>428</v>
      </c>
      <c r="G1053" s="270" t="s">
        <v>594</v>
      </c>
      <c r="H1053" s="122">
        <v>41568</v>
      </c>
      <c r="I1053" s="121">
        <v>1</v>
      </c>
      <c r="J1053" s="520">
        <v>42601</v>
      </c>
      <c r="K1053" s="402">
        <v>42601</v>
      </c>
      <c r="L1053" s="269" t="s">
        <v>617</v>
      </c>
      <c r="M1053" s="129" t="s">
        <v>42</v>
      </c>
    </row>
    <row r="1054" spans="1:13" s="133" customFormat="1" ht="15" customHeight="1" x14ac:dyDescent="0.25">
      <c r="A1054" s="273">
        <v>89</v>
      </c>
      <c r="B1054" s="273">
        <v>62457</v>
      </c>
      <c r="C1054" s="274" t="s">
        <v>2970</v>
      </c>
      <c r="D1054" s="121" t="s">
        <v>2922</v>
      </c>
      <c r="E1054" s="149" t="s">
        <v>534</v>
      </c>
      <c r="F1054" s="125" t="s">
        <v>559</v>
      </c>
      <c r="G1054" s="270" t="s">
        <v>566</v>
      </c>
      <c r="H1054" s="122">
        <v>41557</v>
      </c>
      <c r="I1054" s="121">
        <v>1</v>
      </c>
      <c r="J1054" s="520">
        <v>30429</v>
      </c>
      <c r="K1054" s="402">
        <v>30429</v>
      </c>
      <c r="L1054" s="269" t="s">
        <v>617</v>
      </c>
      <c r="M1054" s="129" t="s">
        <v>42</v>
      </c>
    </row>
    <row r="1055" spans="1:13" s="133" customFormat="1" ht="15" customHeight="1" x14ac:dyDescent="0.25">
      <c r="A1055" s="273">
        <v>90</v>
      </c>
      <c r="B1055" s="273">
        <v>63323</v>
      </c>
      <c r="C1055" s="274" t="s">
        <v>2971</v>
      </c>
      <c r="D1055" s="121" t="s">
        <v>1985</v>
      </c>
      <c r="E1055" s="149" t="s">
        <v>208</v>
      </c>
      <c r="F1055" s="125" t="s">
        <v>389</v>
      </c>
      <c r="G1055" s="270"/>
      <c r="H1055" s="122">
        <v>41562</v>
      </c>
      <c r="I1055" s="121">
        <v>1</v>
      </c>
      <c r="J1055" s="520">
        <v>14099</v>
      </c>
      <c r="K1055" s="402">
        <v>14099</v>
      </c>
      <c r="L1055" s="269" t="s">
        <v>617</v>
      </c>
      <c r="M1055" s="129" t="s">
        <v>42</v>
      </c>
    </row>
    <row r="1056" spans="1:13" s="133" customFormat="1" ht="15" customHeight="1" x14ac:dyDescent="0.25">
      <c r="A1056" s="273">
        <v>91</v>
      </c>
      <c r="B1056" s="273">
        <v>60946</v>
      </c>
      <c r="C1056" s="274" t="s">
        <v>2972</v>
      </c>
      <c r="D1056" s="121" t="s">
        <v>859</v>
      </c>
      <c r="E1056" s="149" t="s">
        <v>577</v>
      </c>
      <c r="F1056" s="125" t="s">
        <v>368</v>
      </c>
      <c r="G1056" s="270"/>
      <c r="H1056" s="122">
        <v>41552</v>
      </c>
      <c r="I1056" s="121">
        <v>1</v>
      </c>
      <c r="J1056" s="520">
        <v>25800</v>
      </c>
      <c r="K1056" s="402">
        <v>25800</v>
      </c>
      <c r="L1056" s="269" t="s">
        <v>617</v>
      </c>
      <c r="M1056" s="129" t="s">
        <v>42</v>
      </c>
    </row>
    <row r="1057" spans="1:13" s="133" customFormat="1" ht="15" customHeight="1" x14ac:dyDescent="0.25">
      <c r="A1057" s="273">
        <v>92</v>
      </c>
      <c r="B1057" s="273">
        <v>64510</v>
      </c>
      <c r="C1057" s="274" t="s">
        <v>2973</v>
      </c>
      <c r="D1057" s="121" t="s">
        <v>1972</v>
      </c>
      <c r="E1057" s="149" t="s">
        <v>115</v>
      </c>
      <c r="F1057" s="125" t="s">
        <v>397</v>
      </c>
      <c r="G1057" s="270" t="s">
        <v>566</v>
      </c>
      <c r="H1057" s="122">
        <v>41565</v>
      </c>
      <c r="I1057" s="121">
        <v>2</v>
      </c>
      <c r="J1057" s="520">
        <v>5274</v>
      </c>
      <c r="K1057" s="402">
        <v>10548</v>
      </c>
      <c r="L1057" s="269" t="s">
        <v>617</v>
      </c>
      <c r="M1057" s="129" t="s">
        <v>42</v>
      </c>
    </row>
    <row r="1058" spans="1:13" s="133" customFormat="1" ht="15" customHeight="1" x14ac:dyDescent="0.25">
      <c r="A1058" s="273">
        <v>93</v>
      </c>
      <c r="B1058" s="273">
        <v>65097</v>
      </c>
      <c r="C1058" s="274" t="s">
        <v>2974</v>
      </c>
      <c r="D1058" s="121" t="s">
        <v>1987</v>
      </c>
      <c r="E1058" s="149" t="s">
        <v>577</v>
      </c>
      <c r="F1058" s="125" t="s">
        <v>368</v>
      </c>
      <c r="G1058" s="270"/>
      <c r="H1058" s="122">
        <v>41569</v>
      </c>
      <c r="I1058" s="121">
        <v>1</v>
      </c>
      <c r="J1058" s="520">
        <v>25800</v>
      </c>
      <c r="K1058" s="402">
        <v>25800</v>
      </c>
      <c r="L1058" s="269" t="s">
        <v>617</v>
      </c>
      <c r="M1058" s="129" t="s">
        <v>42</v>
      </c>
    </row>
    <row r="1059" spans="1:13" s="133" customFormat="1" ht="15" customHeight="1" x14ac:dyDescent="0.25">
      <c r="A1059" s="273">
        <v>94</v>
      </c>
      <c r="B1059" s="273">
        <v>58731</v>
      </c>
      <c r="C1059" s="274" t="s">
        <v>2975</v>
      </c>
      <c r="D1059" s="121" t="s">
        <v>1995</v>
      </c>
      <c r="E1059" s="149" t="s">
        <v>577</v>
      </c>
      <c r="F1059" s="125" t="s">
        <v>368</v>
      </c>
      <c r="G1059" s="270"/>
      <c r="H1059" s="122">
        <v>41547</v>
      </c>
      <c r="I1059" s="121">
        <v>1</v>
      </c>
      <c r="J1059" s="520">
        <v>25800</v>
      </c>
      <c r="K1059" s="402">
        <v>25800</v>
      </c>
      <c r="L1059" s="269" t="s">
        <v>617</v>
      </c>
      <c r="M1059" s="129" t="s">
        <v>42</v>
      </c>
    </row>
    <row r="1060" spans="1:13" s="133" customFormat="1" ht="15" customHeight="1" x14ac:dyDescent="0.25">
      <c r="A1060" s="273">
        <v>95</v>
      </c>
      <c r="B1060" s="273">
        <v>53971</v>
      </c>
      <c r="C1060" s="274" t="s">
        <v>2976</v>
      </c>
      <c r="D1060" s="121" t="s">
        <v>1985</v>
      </c>
      <c r="E1060" s="149" t="s">
        <v>115</v>
      </c>
      <c r="F1060" s="125">
        <v>18</v>
      </c>
      <c r="G1060" s="270"/>
      <c r="H1060" s="122">
        <v>41521</v>
      </c>
      <c r="I1060" s="121">
        <v>1</v>
      </c>
      <c r="J1060" s="520">
        <v>5274</v>
      </c>
      <c r="K1060" s="402">
        <v>5274</v>
      </c>
      <c r="L1060" s="269" t="s">
        <v>617</v>
      </c>
      <c r="M1060" s="129" t="s">
        <v>42</v>
      </c>
    </row>
    <row r="1061" spans="1:13" s="133" customFormat="1" ht="15" customHeight="1" x14ac:dyDescent="0.25">
      <c r="A1061" s="273">
        <v>96</v>
      </c>
      <c r="B1061" s="273">
        <v>63077</v>
      </c>
      <c r="C1061" s="274" t="s">
        <v>2976</v>
      </c>
      <c r="D1061" s="121" t="s">
        <v>1972</v>
      </c>
      <c r="E1061" s="149" t="s">
        <v>115</v>
      </c>
      <c r="F1061" s="125" t="s">
        <v>431</v>
      </c>
      <c r="G1061" s="270" t="s">
        <v>566</v>
      </c>
      <c r="H1061" s="122">
        <v>41561</v>
      </c>
      <c r="I1061" s="121">
        <v>1</v>
      </c>
      <c r="J1061" s="520">
        <v>5274</v>
      </c>
      <c r="K1061" s="402">
        <v>5274</v>
      </c>
      <c r="L1061" s="269" t="s">
        <v>617</v>
      </c>
      <c r="M1061" s="129" t="s">
        <v>42</v>
      </c>
    </row>
    <row r="1062" spans="1:13" s="133" customFormat="1" ht="15" customHeight="1" x14ac:dyDescent="0.25">
      <c r="A1062" s="273">
        <v>97</v>
      </c>
      <c r="B1062" s="273">
        <v>60867</v>
      </c>
      <c r="C1062" s="274" t="s">
        <v>2977</v>
      </c>
      <c r="D1062" s="121" t="s">
        <v>1987</v>
      </c>
      <c r="E1062" s="149" t="s">
        <v>577</v>
      </c>
      <c r="F1062" s="125" t="s">
        <v>368</v>
      </c>
      <c r="G1062" s="270"/>
      <c r="H1062" s="122">
        <v>41551</v>
      </c>
      <c r="I1062" s="121">
        <v>1</v>
      </c>
      <c r="J1062" s="520">
        <v>25800</v>
      </c>
      <c r="K1062" s="402">
        <v>25800</v>
      </c>
      <c r="L1062" s="269" t="s">
        <v>617</v>
      </c>
      <c r="M1062" s="129" t="s">
        <v>42</v>
      </c>
    </row>
    <row r="1063" spans="1:13" s="133" customFormat="1" ht="15" customHeight="1" x14ac:dyDescent="0.25">
      <c r="A1063" s="273">
        <v>98</v>
      </c>
      <c r="B1063" s="273">
        <v>61237</v>
      </c>
      <c r="C1063" s="274" t="s">
        <v>2978</v>
      </c>
      <c r="D1063" s="121" t="s">
        <v>2922</v>
      </c>
      <c r="E1063" s="149" t="s">
        <v>534</v>
      </c>
      <c r="F1063" s="125" t="s">
        <v>416</v>
      </c>
      <c r="G1063" s="270" t="s">
        <v>551</v>
      </c>
      <c r="H1063" s="122">
        <v>41554</v>
      </c>
      <c r="I1063" s="121">
        <v>1</v>
      </c>
      <c r="J1063" s="520">
        <v>30429</v>
      </c>
      <c r="K1063" s="402">
        <v>30429</v>
      </c>
      <c r="L1063" s="269" t="s">
        <v>617</v>
      </c>
      <c r="M1063" s="129" t="s">
        <v>42</v>
      </c>
    </row>
    <row r="1064" spans="1:13" s="133" customFormat="1" ht="15" customHeight="1" x14ac:dyDescent="0.25">
      <c r="A1064" s="273">
        <v>99</v>
      </c>
      <c r="B1064" s="273">
        <v>65186</v>
      </c>
      <c r="C1064" s="274" t="s">
        <v>2978</v>
      </c>
      <c r="D1064" s="121" t="s">
        <v>1972</v>
      </c>
      <c r="E1064" s="149" t="s">
        <v>534</v>
      </c>
      <c r="F1064" s="125" t="s">
        <v>642</v>
      </c>
      <c r="G1064" s="270" t="s">
        <v>551</v>
      </c>
      <c r="H1064" s="122">
        <v>41568</v>
      </c>
      <c r="I1064" s="121">
        <v>1</v>
      </c>
      <c r="J1064" s="520">
        <v>30429</v>
      </c>
      <c r="K1064" s="402">
        <v>30429</v>
      </c>
      <c r="L1064" s="269" t="s">
        <v>617</v>
      </c>
      <c r="M1064" s="129" t="s">
        <v>42</v>
      </c>
    </row>
    <row r="1065" spans="1:13" s="133" customFormat="1" ht="15" customHeight="1" x14ac:dyDescent="0.25">
      <c r="A1065" s="273">
        <v>100</v>
      </c>
      <c r="B1065" s="273">
        <v>35088</v>
      </c>
      <c r="C1065" s="274" t="s">
        <v>2901</v>
      </c>
      <c r="D1065" s="121" t="s">
        <v>1975</v>
      </c>
      <c r="E1065" s="149" t="s">
        <v>115</v>
      </c>
      <c r="F1065" s="125">
        <v>20</v>
      </c>
      <c r="G1065" s="270" t="s">
        <v>2064</v>
      </c>
      <c r="H1065" s="122">
        <v>41449</v>
      </c>
      <c r="I1065" s="121">
        <v>1</v>
      </c>
      <c r="J1065" s="520">
        <v>5274</v>
      </c>
      <c r="K1065" s="402">
        <v>5274</v>
      </c>
      <c r="L1065" s="269" t="s">
        <v>617</v>
      </c>
      <c r="M1065" s="129" t="s">
        <v>42</v>
      </c>
    </row>
    <row r="1066" spans="1:13" s="133" customFormat="1" ht="15" customHeight="1" x14ac:dyDescent="0.25">
      <c r="A1066" s="273">
        <v>101</v>
      </c>
      <c r="B1066" s="273">
        <v>57027</v>
      </c>
      <c r="C1066" s="274" t="s">
        <v>2979</v>
      </c>
      <c r="D1066" s="121" t="s">
        <v>1985</v>
      </c>
      <c r="E1066" s="149" t="s">
        <v>115</v>
      </c>
      <c r="F1066" s="125" t="s">
        <v>593</v>
      </c>
      <c r="G1066" s="270"/>
      <c r="H1066" s="122">
        <v>41534</v>
      </c>
      <c r="I1066" s="121">
        <v>2</v>
      </c>
      <c r="J1066" s="520">
        <v>5274</v>
      </c>
      <c r="K1066" s="402">
        <v>10548</v>
      </c>
      <c r="L1066" s="269" t="s">
        <v>617</v>
      </c>
      <c r="M1066" s="129" t="s">
        <v>42</v>
      </c>
    </row>
    <row r="1067" spans="1:13" s="133" customFormat="1" ht="15" customHeight="1" x14ac:dyDescent="0.25">
      <c r="A1067" s="273">
        <v>102</v>
      </c>
      <c r="B1067" s="273">
        <v>64689</v>
      </c>
      <c r="C1067" s="274" t="s">
        <v>2980</v>
      </c>
      <c r="D1067" s="121" t="s">
        <v>1978</v>
      </c>
      <c r="E1067" s="149" t="s">
        <v>577</v>
      </c>
      <c r="F1067" s="125" t="s">
        <v>368</v>
      </c>
      <c r="G1067" s="270"/>
      <c r="H1067" s="122">
        <v>41565</v>
      </c>
      <c r="I1067" s="121">
        <v>1</v>
      </c>
      <c r="J1067" s="520">
        <v>25800</v>
      </c>
      <c r="K1067" s="402">
        <v>25800</v>
      </c>
      <c r="L1067" s="269" t="s">
        <v>617</v>
      </c>
      <c r="M1067" s="129" t="s">
        <v>42</v>
      </c>
    </row>
    <row r="1068" spans="1:13" s="133" customFormat="1" ht="15" customHeight="1" x14ac:dyDescent="0.25">
      <c r="A1068" s="273">
        <v>103</v>
      </c>
      <c r="B1068" s="273">
        <v>63004</v>
      </c>
      <c r="C1068" s="274" t="s">
        <v>547</v>
      </c>
      <c r="D1068" s="121" t="s">
        <v>1975</v>
      </c>
      <c r="E1068" s="149" t="s">
        <v>115</v>
      </c>
      <c r="F1068" s="125" t="s">
        <v>1848</v>
      </c>
      <c r="G1068" s="270" t="s">
        <v>551</v>
      </c>
      <c r="H1068" s="122">
        <v>41561</v>
      </c>
      <c r="I1068" s="121">
        <v>2</v>
      </c>
      <c r="J1068" s="520">
        <v>5274</v>
      </c>
      <c r="K1068" s="402">
        <v>10548</v>
      </c>
      <c r="L1068" s="269" t="s">
        <v>617</v>
      </c>
      <c r="M1068" s="129" t="s">
        <v>42</v>
      </c>
    </row>
    <row r="1069" spans="1:13" s="133" customFormat="1" ht="15" customHeight="1" x14ac:dyDescent="0.25">
      <c r="A1069" s="273">
        <v>104</v>
      </c>
      <c r="B1069" s="273">
        <v>59504</v>
      </c>
      <c r="C1069" s="274" t="s">
        <v>2981</v>
      </c>
      <c r="D1069" s="121" t="s">
        <v>2922</v>
      </c>
      <c r="E1069" s="149" t="s">
        <v>186</v>
      </c>
      <c r="F1069" s="125" t="s">
        <v>527</v>
      </c>
      <c r="G1069" s="270" t="s">
        <v>2982</v>
      </c>
      <c r="H1069" s="122">
        <v>41548</v>
      </c>
      <c r="I1069" s="121">
        <v>1</v>
      </c>
      <c r="J1069" s="520">
        <v>42601</v>
      </c>
      <c r="K1069" s="402">
        <v>42601</v>
      </c>
      <c r="L1069" s="269" t="s">
        <v>617</v>
      </c>
      <c r="M1069" s="129" t="s">
        <v>42</v>
      </c>
    </row>
    <row r="1070" spans="1:13" s="133" customFormat="1" ht="15" customHeight="1" x14ac:dyDescent="0.25">
      <c r="A1070" s="273">
        <v>105</v>
      </c>
      <c r="B1070" s="273">
        <v>64031</v>
      </c>
      <c r="C1070" s="274" t="s">
        <v>1992</v>
      </c>
      <c r="D1070" s="121" t="s">
        <v>1985</v>
      </c>
      <c r="E1070" s="149" t="s">
        <v>115</v>
      </c>
      <c r="F1070" s="125" t="s">
        <v>442</v>
      </c>
      <c r="G1070" s="270" t="s">
        <v>566</v>
      </c>
      <c r="H1070" s="122">
        <v>41563</v>
      </c>
      <c r="I1070" s="121">
        <v>1</v>
      </c>
      <c r="J1070" s="520">
        <v>5274</v>
      </c>
      <c r="K1070" s="402">
        <v>5274</v>
      </c>
      <c r="L1070" s="269" t="s">
        <v>617</v>
      </c>
      <c r="M1070" s="129" t="s">
        <v>42</v>
      </c>
    </row>
    <row r="1071" spans="1:13" s="133" customFormat="1" ht="15" customHeight="1" x14ac:dyDescent="0.25">
      <c r="A1071" s="273">
        <v>106</v>
      </c>
      <c r="B1071" s="273">
        <v>61533</v>
      </c>
      <c r="C1071" s="274" t="s">
        <v>2983</v>
      </c>
      <c r="D1071" s="121" t="s">
        <v>1985</v>
      </c>
      <c r="E1071" s="149" t="s">
        <v>534</v>
      </c>
      <c r="F1071" s="125" t="s">
        <v>2938</v>
      </c>
      <c r="G1071" s="270" t="s">
        <v>551</v>
      </c>
      <c r="H1071" s="122">
        <v>41556</v>
      </c>
      <c r="I1071" s="121">
        <v>2</v>
      </c>
      <c r="J1071" s="520">
        <v>30429</v>
      </c>
      <c r="K1071" s="402">
        <v>60858</v>
      </c>
      <c r="L1071" s="269" t="s">
        <v>617</v>
      </c>
      <c r="M1071" s="129" t="s">
        <v>42</v>
      </c>
    </row>
    <row r="1072" spans="1:13" s="133" customFormat="1" ht="15" customHeight="1" x14ac:dyDescent="0.25">
      <c r="A1072" s="273">
        <v>107</v>
      </c>
      <c r="B1072" s="273">
        <v>54834</v>
      </c>
      <c r="C1072" s="274" t="s">
        <v>2984</v>
      </c>
      <c r="D1072" s="121" t="s">
        <v>1975</v>
      </c>
      <c r="E1072" s="149" t="s">
        <v>215</v>
      </c>
      <c r="F1072" s="125" t="s">
        <v>368</v>
      </c>
      <c r="G1072" s="270" t="s">
        <v>2132</v>
      </c>
      <c r="H1072" s="122">
        <v>41523</v>
      </c>
      <c r="I1072" s="121">
        <v>1</v>
      </c>
      <c r="J1072" s="520">
        <v>44597</v>
      </c>
      <c r="K1072" s="402">
        <v>44597</v>
      </c>
      <c r="L1072" s="269" t="s">
        <v>617</v>
      </c>
      <c r="M1072" s="129" t="s">
        <v>42</v>
      </c>
    </row>
    <row r="1073" spans="1:13" s="133" customFormat="1" ht="15" customHeight="1" x14ac:dyDescent="0.25">
      <c r="A1073" s="273">
        <v>108</v>
      </c>
      <c r="B1073" s="273">
        <v>66208</v>
      </c>
      <c r="C1073" s="274" t="s">
        <v>2985</v>
      </c>
      <c r="D1073" s="121" t="s">
        <v>2186</v>
      </c>
      <c r="E1073" s="149" t="s">
        <v>2986</v>
      </c>
      <c r="F1073" s="125" t="s">
        <v>368</v>
      </c>
      <c r="G1073" s="270"/>
      <c r="H1073" s="122">
        <v>41568</v>
      </c>
      <c r="I1073" s="121">
        <v>1</v>
      </c>
      <c r="J1073" s="520">
        <v>18764</v>
      </c>
      <c r="K1073" s="402">
        <v>18764</v>
      </c>
      <c r="L1073" s="269" t="s">
        <v>617</v>
      </c>
      <c r="M1073" s="129" t="s">
        <v>42</v>
      </c>
    </row>
    <row r="1074" spans="1:13" s="133" customFormat="1" ht="15" customHeight="1" x14ac:dyDescent="0.25">
      <c r="A1074" s="273">
        <v>109</v>
      </c>
      <c r="B1074" s="273">
        <v>62127</v>
      </c>
      <c r="C1074" s="274" t="s">
        <v>2987</v>
      </c>
      <c r="D1074" s="121" t="s">
        <v>1978</v>
      </c>
      <c r="E1074" s="149" t="s">
        <v>534</v>
      </c>
      <c r="F1074" s="125" t="s">
        <v>524</v>
      </c>
      <c r="G1074" s="270" t="s">
        <v>2988</v>
      </c>
      <c r="H1074" s="122">
        <v>41556</v>
      </c>
      <c r="I1074" s="121">
        <v>1</v>
      </c>
      <c r="J1074" s="520">
        <v>30429</v>
      </c>
      <c r="K1074" s="402">
        <v>30429</v>
      </c>
      <c r="L1074" s="269" t="s">
        <v>617</v>
      </c>
      <c r="M1074" s="129" t="s">
        <v>42</v>
      </c>
    </row>
    <row r="1075" spans="1:13" s="133" customFormat="1" ht="15" customHeight="1" x14ac:dyDescent="0.25">
      <c r="A1075" s="273">
        <v>110</v>
      </c>
      <c r="B1075" s="273">
        <v>55865</v>
      </c>
      <c r="C1075" s="274" t="s">
        <v>2989</v>
      </c>
      <c r="D1075" s="121" t="s">
        <v>1978</v>
      </c>
      <c r="E1075" s="149" t="s">
        <v>577</v>
      </c>
      <c r="F1075" s="125" t="s">
        <v>368</v>
      </c>
      <c r="G1075" s="270"/>
      <c r="H1075" s="122">
        <v>41528</v>
      </c>
      <c r="I1075" s="121">
        <v>1</v>
      </c>
      <c r="J1075" s="520">
        <v>25800</v>
      </c>
      <c r="K1075" s="402">
        <v>25800</v>
      </c>
      <c r="L1075" s="269" t="s">
        <v>617</v>
      </c>
      <c r="M1075" s="129" t="s">
        <v>42</v>
      </c>
    </row>
    <row r="1076" spans="1:13" s="133" customFormat="1" ht="15" customHeight="1" x14ac:dyDescent="0.25">
      <c r="A1076" s="273">
        <v>111</v>
      </c>
      <c r="B1076" s="273">
        <v>62176</v>
      </c>
      <c r="C1076" s="274" t="s">
        <v>2990</v>
      </c>
      <c r="D1076" s="121" t="s">
        <v>1987</v>
      </c>
      <c r="E1076" s="149" t="s">
        <v>577</v>
      </c>
      <c r="F1076" s="125" t="s">
        <v>368</v>
      </c>
      <c r="G1076" s="270"/>
      <c r="H1076" s="122">
        <v>41557</v>
      </c>
      <c r="I1076" s="121">
        <v>1</v>
      </c>
      <c r="J1076" s="520">
        <v>25800</v>
      </c>
      <c r="K1076" s="402">
        <v>25800</v>
      </c>
      <c r="L1076" s="269" t="s">
        <v>617</v>
      </c>
      <c r="M1076" s="129" t="s">
        <v>42</v>
      </c>
    </row>
    <row r="1077" spans="1:13" s="133" customFormat="1" ht="15" customHeight="1" x14ac:dyDescent="0.25">
      <c r="A1077" s="273">
        <v>112</v>
      </c>
      <c r="B1077" s="273">
        <v>62972</v>
      </c>
      <c r="C1077" s="274" t="s">
        <v>2991</v>
      </c>
      <c r="D1077" s="121" t="s">
        <v>1995</v>
      </c>
      <c r="E1077" s="149" t="s">
        <v>577</v>
      </c>
      <c r="F1077" s="125" t="s">
        <v>368</v>
      </c>
      <c r="G1077" s="270"/>
      <c r="H1077" s="122">
        <v>41561</v>
      </c>
      <c r="I1077" s="121">
        <v>1</v>
      </c>
      <c r="J1077" s="520">
        <v>25800</v>
      </c>
      <c r="K1077" s="402">
        <v>25800</v>
      </c>
      <c r="L1077" s="269" t="s">
        <v>617</v>
      </c>
      <c r="M1077" s="129" t="s">
        <v>42</v>
      </c>
    </row>
    <row r="1078" spans="1:13" s="133" customFormat="1" ht="15" customHeight="1" x14ac:dyDescent="0.25">
      <c r="A1078" s="273">
        <v>113</v>
      </c>
      <c r="B1078" s="273">
        <v>59518</v>
      </c>
      <c r="C1078" s="274" t="s">
        <v>2992</v>
      </c>
      <c r="D1078" s="121" t="s">
        <v>1975</v>
      </c>
      <c r="E1078" s="149" t="s">
        <v>114</v>
      </c>
      <c r="F1078" s="125" t="s">
        <v>414</v>
      </c>
      <c r="G1078" s="270" t="s">
        <v>2072</v>
      </c>
      <c r="H1078" s="122">
        <v>41547</v>
      </c>
      <c r="I1078" s="121">
        <v>1</v>
      </c>
      <c r="J1078" s="520">
        <v>33370</v>
      </c>
      <c r="K1078" s="402">
        <v>33370</v>
      </c>
      <c r="L1078" s="269" t="s">
        <v>617</v>
      </c>
      <c r="M1078" s="129" t="s">
        <v>42</v>
      </c>
    </row>
    <row r="1079" spans="1:13" s="133" customFormat="1" ht="15" customHeight="1" x14ac:dyDescent="0.25">
      <c r="A1079" s="273">
        <v>114</v>
      </c>
      <c r="B1079" s="273">
        <v>66914</v>
      </c>
      <c r="C1079" s="274" t="s">
        <v>2993</v>
      </c>
      <c r="D1079" s="121" t="s">
        <v>1978</v>
      </c>
      <c r="E1079" s="149" t="s">
        <v>577</v>
      </c>
      <c r="F1079" s="125" t="s">
        <v>368</v>
      </c>
      <c r="G1079" s="270"/>
      <c r="H1079" s="122">
        <v>41576</v>
      </c>
      <c r="I1079" s="121">
        <v>1</v>
      </c>
      <c r="J1079" s="520">
        <v>25800</v>
      </c>
      <c r="K1079" s="402">
        <v>25800</v>
      </c>
      <c r="L1079" s="269" t="s">
        <v>617</v>
      </c>
      <c r="M1079" s="129" t="s">
        <v>42</v>
      </c>
    </row>
    <row r="1080" spans="1:13" s="133" customFormat="1" ht="15" customHeight="1" x14ac:dyDescent="0.25">
      <c r="A1080" s="273">
        <v>115</v>
      </c>
      <c r="B1080" s="273">
        <v>65257</v>
      </c>
      <c r="C1080" s="274" t="s">
        <v>2994</v>
      </c>
      <c r="D1080" s="121" t="s">
        <v>1985</v>
      </c>
      <c r="E1080" s="149" t="s">
        <v>114</v>
      </c>
      <c r="F1080" s="125" t="s">
        <v>524</v>
      </c>
      <c r="G1080" s="270" t="s">
        <v>560</v>
      </c>
      <c r="H1080" s="122">
        <v>41569</v>
      </c>
      <c r="I1080" s="121">
        <v>1</v>
      </c>
      <c r="J1080" s="520">
        <v>33370</v>
      </c>
      <c r="K1080" s="402">
        <v>33370</v>
      </c>
      <c r="L1080" s="269" t="s">
        <v>617</v>
      </c>
      <c r="M1080" s="129" t="s">
        <v>42</v>
      </c>
    </row>
    <row r="1081" spans="1:13" s="133" customFormat="1" ht="15" customHeight="1" x14ac:dyDescent="0.25">
      <c r="A1081" s="273">
        <v>116</v>
      </c>
      <c r="B1081" s="273">
        <v>64130</v>
      </c>
      <c r="C1081" s="274" t="s">
        <v>2995</v>
      </c>
      <c r="D1081" s="121" t="s">
        <v>2922</v>
      </c>
      <c r="E1081" s="149" t="s">
        <v>534</v>
      </c>
      <c r="F1081" s="125" t="s">
        <v>642</v>
      </c>
      <c r="G1081" s="270" t="s">
        <v>566</v>
      </c>
      <c r="H1081" s="122">
        <v>41564</v>
      </c>
      <c r="I1081" s="121">
        <v>1</v>
      </c>
      <c r="J1081" s="520">
        <v>30429</v>
      </c>
      <c r="K1081" s="402">
        <v>30429</v>
      </c>
      <c r="L1081" s="269" t="s">
        <v>617</v>
      </c>
      <c r="M1081" s="129" t="s">
        <v>42</v>
      </c>
    </row>
    <row r="1082" spans="1:13" s="133" customFormat="1" ht="15" customHeight="1" x14ac:dyDescent="0.25">
      <c r="A1082" s="281">
        <v>117</v>
      </c>
      <c r="B1082" s="281">
        <v>62932</v>
      </c>
      <c r="C1082" s="282" t="s">
        <v>2996</v>
      </c>
      <c r="D1082" s="121" t="s">
        <v>1995</v>
      </c>
      <c r="E1082" s="149" t="s">
        <v>577</v>
      </c>
      <c r="F1082" s="125" t="s">
        <v>368</v>
      </c>
      <c r="G1082" s="270"/>
      <c r="H1082" s="122">
        <v>41561</v>
      </c>
      <c r="I1082" s="121">
        <v>1</v>
      </c>
      <c r="J1082" s="520">
        <v>25800</v>
      </c>
      <c r="K1082" s="402">
        <v>25800</v>
      </c>
      <c r="L1082" s="269" t="s">
        <v>617</v>
      </c>
      <c r="M1082" s="129" t="s">
        <v>42</v>
      </c>
    </row>
    <row r="1083" spans="1:13" s="144" customFormat="1" ht="15" customHeight="1" x14ac:dyDescent="0.25">
      <c r="A1083" s="232">
        <v>118</v>
      </c>
      <c r="B1083" s="232">
        <v>69197</v>
      </c>
      <c r="C1083" s="233" t="s">
        <v>2909</v>
      </c>
      <c r="D1083" s="134" t="s">
        <v>1985</v>
      </c>
      <c r="E1083" s="171" t="s">
        <v>114</v>
      </c>
      <c r="F1083" s="138" t="s">
        <v>439</v>
      </c>
      <c r="G1083" s="325"/>
      <c r="H1083" s="135">
        <v>41584</v>
      </c>
      <c r="I1083" s="134">
        <v>1</v>
      </c>
      <c r="J1083" s="522">
        <v>33370</v>
      </c>
      <c r="K1083" s="523">
        <v>33370</v>
      </c>
      <c r="L1083" s="225" t="s">
        <v>957</v>
      </c>
      <c r="M1083" s="129" t="s">
        <v>42</v>
      </c>
    </row>
    <row r="1084" spans="1:13" s="144" customFormat="1" ht="15" customHeight="1" x14ac:dyDescent="0.25">
      <c r="A1084" s="232">
        <v>119</v>
      </c>
      <c r="B1084" s="134">
        <v>57078</v>
      </c>
      <c r="C1084" s="136" t="s">
        <v>2997</v>
      </c>
      <c r="D1084" s="134" t="s">
        <v>2946</v>
      </c>
      <c r="E1084" s="171" t="s">
        <v>577</v>
      </c>
      <c r="F1084" s="138" t="s">
        <v>368</v>
      </c>
      <c r="G1084" s="325"/>
      <c r="H1084" s="135">
        <v>41534</v>
      </c>
      <c r="I1084" s="134">
        <v>1</v>
      </c>
      <c r="J1084" s="522">
        <v>25800</v>
      </c>
      <c r="K1084" s="523">
        <v>25800</v>
      </c>
      <c r="L1084" s="225" t="s">
        <v>957</v>
      </c>
      <c r="M1084" s="129" t="s">
        <v>42</v>
      </c>
    </row>
    <row r="1085" spans="1:13" s="144" customFormat="1" ht="15" customHeight="1" x14ac:dyDescent="0.25">
      <c r="A1085" s="232">
        <v>120</v>
      </c>
      <c r="B1085" s="232">
        <v>71636</v>
      </c>
      <c r="C1085" s="233" t="s">
        <v>2998</v>
      </c>
      <c r="D1085" s="134" t="s">
        <v>1975</v>
      </c>
      <c r="E1085" s="171" t="s">
        <v>115</v>
      </c>
      <c r="F1085" s="138" t="s">
        <v>389</v>
      </c>
      <c r="G1085" s="325" t="s">
        <v>486</v>
      </c>
      <c r="H1085" s="135">
        <v>41596</v>
      </c>
      <c r="I1085" s="134">
        <v>1</v>
      </c>
      <c r="J1085" s="522">
        <v>5274</v>
      </c>
      <c r="K1085" s="523">
        <v>5274</v>
      </c>
      <c r="L1085" s="225" t="s">
        <v>957</v>
      </c>
      <c r="M1085" s="129" t="s">
        <v>42</v>
      </c>
    </row>
    <row r="1086" spans="1:13" s="144" customFormat="1" ht="15" customHeight="1" x14ac:dyDescent="0.25">
      <c r="A1086" s="232">
        <v>121</v>
      </c>
      <c r="B1086" s="232">
        <v>71916</v>
      </c>
      <c r="C1086" s="233" t="s">
        <v>2973</v>
      </c>
      <c r="D1086" s="134" t="s">
        <v>1972</v>
      </c>
      <c r="E1086" s="171" t="s">
        <v>190</v>
      </c>
      <c r="F1086" s="138" t="s">
        <v>397</v>
      </c>
      <c r="G1086" s="325" t="s">
        <v>563</v>
      </c>
      <c r="H1086" s="135">
        <v>41596</v>
      </c>
      <c r="I1086" s="134">
        <v>2</v>
      </c>
      <c r="J1086" s="522">
        <v>57960</v>
      </c>
      <c r="K1086" s="523">
        <v>115920</v>
      </c>
      <c r="L1086" s="225" t="s">
        <v>957</v>
      </c>
      <c r="M1086" s="129" t="s">
        <v>42</v>
      </c>
    </row>
    <row r="1087" spans="1:13" s="144" customFormat="1" ht="15" customHeight="1" x14ac:dyDescent="0.25">
      <c r="A1087" s="232">
        <v>122</v>
      </c>
      <c r="B1087" s="232">
        <v>66674</v>
      </c>
      <c r="C1087" s="233" t="s">
        <v>2999</v>
      </c>
      <c r="D1087" s="134" t="s">
        <v>1972</v>
      </c>
      <c r="E1087" s="171" t="s">
        <v>534</v>
      </c>
      <c r="F1087" s="138" t="s">
        <v>870</v>
      </c>
      <c r="G1087" s="325" t="s">
        <v>580</v>
      </c>
      <c r="H1087" s="135">
        <v>41572</v>
      </c>
      <c r="I1087" s="134">
        <v>2</v>
      </c>
      <c r="J1087" s="522">
        <v>30429</v>
      </c>
      <c r="K1087" s="523">
        <v>60858</v>
      </c>
      <c r="L1087" s="225" t="s">
        <v>957</v>
      </c>
      <c r="M1087" s="129" t="s">
        <v>42</v>
      </c>
    </row>
    <row r="1088" spans="1:13" s="144" customFormat="1" ht="15" customHeight="1" x14ac:dyDescent="0.25">
      <c r="A1088" s="232">
        <v>123</v>
      </c>
      <c r="B1088" s="232">
        <v>68544</v>
      </c>
      <c r="C1088" s="233" t="s">
        <v>3000</v>
      </c>
      <c r="D1088" s="134" t="s">
        <v>1972</v>
      </c>
      <c r="E1088" s="171" t="s">
        <v>115</v>
      </c>
      <c r="F1088" s="138" t="s">
        <v>3001</v>
      </c>
      <c r="G1088" s="325" t="s">
        <v>566</v>
      </c>
      <c r="H1088" s="135">
        <v>41583</v>
      </c>
      <c r="I1088" s="134">
        <v>2</v>
      </c>
      <c r="J1088" s="522">
        <v>5274</v>
      </c>
      <c r="K1088" s="523">
        <v>10548</v>
      </c>
      <c r="L1088" s="225" t="s">
        <v>957</v>
      </c>
      <c r="M1088" s="129" t="s">
        <v>42</v>
      </c>
    </row>
    <row r="1089" spans="1:13" s="144" customFormat="1" ht="15" customHeight="1" x14ac:dyDescent="0.25">
      <c r="A1089" s="232">
        <v>124</v>
      </c>
      <c r="B1089" s="232">
        <v>73123</v>
      </c>
      <c r="C1089" s="233" t="s">
        <v>3002</v>
      </c>
      <c r="D1089" s="134" t="s">
        <v>1985</v>
      </c>
      <c r="E1089" s="171" t="s">
        <v>115</v>
      </c>
      <c r="F1089" s="138" t="s">
        <v>3003</v>
      </c>
      <c r="G1089" s="325" t="s">
        <v>566</v>
      </c>
      <c r="H1089" s="135">
        <v>41599</v>
      </c>
      <c r="I1089" s="134">
        <v>2</v>
      </c>
      <c r="J1089" s="522">
        <v>5274</v>
      </c>
      <c r="K1089" s="523">
        <v>10548</v>
      </c>
      <c r="L1089" s="225" t="s">
        <v>957</v>
      </c>
      <c r="M1089" s="129" t="s">
        <v>42</v>
      </c>
    </row>
    <row r="1090" spans="1:13" s="144" customFormat="1" ht="15" customHeight="1" x14ac:dyDescent="0.25">
      <c r="A1090" s="232">
        <v>125</v>
      </c>
      <c r="B1090" s="232">
        <v>61956</v>
      </c>
      <c r="C1090" s="233" t="s">
        <v>2979</v>
      </c>
      <c r="D1090" s="134" t="s">
        <v>1985</v>
      </c>
      <c r="E1090" s="171" t="s">
        <v>534</v>
      </c>
      <c r="F1090" s="138" t="s">
        <v>412</v>
      </c>
      <c r="G1090" s="325" t="s">
        <v>626</v>
      </c>
      <c r="H1090" s="135">
        <v>41557</v>
      </c>
      <c r="I1090" s="134">
        <v>1</v>
      </c>
      <c r="J1090" s="522">
        <v>30429</v>
      </c>
      <c r="K1090" s="523">
        <v>30429</v>
      </c>
      <c r="L1090" s="225" t="s">
        <v>957</v>
      </c>
      <c r="M1090" s="129" t="s">
        <v>42</v>
      </c>
    </row>
    <row r="1091" spans="1:13" s="144" customFormat="1" ht="15" customHeight="1" x14ac:dyDescent="0.25">
      <c r="A1091" s="232">
        <v>126</v>
      </c>
      <c r="B1091" s="232">
        <v>70228</v>
      </c>
      <c r="C1091" s="233" t="s">
        <v>3004</v>
      </c>
      <c r="D1091" s="134" t="s">
        <v>859</v>
      </c>
      <c r="E1091" s="171" t="s">
        <v>577</v>
      </c>
      <c r="F1091" s="138" t="s">
        <v>368</v>
      </c>
      <c r="G1091" s="325"/>
      <c r="H1091" s="135">
        <v>41590</v>
      </c>
      <c r="I1091" s="134">
        <v>1</v>
      </c>
      <c r="J1091" s="522">
        <v>25800</v>
      </c>
      <c r="K1091" s="523">
        <v>25800</v>
      </c>
      <c r="L1091" s="225" t="s">
        <v>957</v>
      </c>
      <c r="M1091" s="129" t="s">
        <v>42</v>
      </c>
    </row>
    <row r="1092" spans="1:13" s="144" customFormat="1" ht="15" customHeight="1" x14ac:dyDescent="0.25">
      <c r="A1092" s="232">
        <v>127</v>
      </c>
      <c r="B1092" s="232">
        <v>70067</v>
      </c>
      <c r="C1092" s="233" t="s">
        <v>3005</v>
      </c>
      <c r="D1092" s="134" t="s">
        <v>1972</v>
      </c>
      <c r="E1092" s="171" t="s">
        <v>190</v>
      </c>
      <c r="F1092" s="138" t="s">
        <v>431</v>
      </c>
      <c r="G1092" s="325" t="s">
        <v>1282</v>
      </c>
      <c r="H1092" s="135">
        <v>41589</v>
      </c>
      <c r="I1092" s="134">
        <v>1</v>
      </c>
      <c r="J1092" s="522">
        <v>57960</v>
      </c>
      <c r="K1092" s="523">
        <v>57960</v>
      </c>
      <c r="L1092" s="225" t="s">
        <v>957</v>
      </c>
      <c r="M1092" s="129" t="s">
        <v>42</v>
      </c>
    </row>
    <row r="1093" spans="1:13" s="144" customFormat="1" ht="15" customHeight="1" x14ac:dyDescent="0.25">
      <c r="A1093" s="232">
        <v>128</v>
      </c>
      <c r="B1093" s="232">
        <v>69352</v>
      </c>
      <c r="C1093" s="233" t="s">
        <v>1992</v>
      </c>
      <c r="D1093" s="134" t="s">
        <v>1985</v>
      </c>
      <c r="E1093" s="171" t="s">
        <v>208</v>
      </c>
      <c r="F1093" s="138" t="s">
        <v>442</v>
      </c>
      <c r="G1093" s="325"/>
      <c r="H1093" s="135">
        <v>41586</v>
      </c>
      <c r="I1093" s="134">
        <v>1</v>
      </c>
      <c r="J1093" s="522">
        <v>14099</v>
      </c>
      <c r="K1093" s="523">
        <v>14099</v>
      </c>
      <c r="L1093" s="225" t="s">
        <v>957</v>
      </c>
      <c r="M1093" s="129" t="s">
        <v>42</v>
      </c>
    </row>
    <row r="1094" spans="1:13" s="144" customFormat="1" ht="15" customHeight="1" x14ac:dyDescent="0.25">
      <c r="A1094" s="232">
        <v>129</v>
      </c>
      <c r="B1094" s="232">
        <v>74407</v>
      </c>
      <c r="C1094" s="233" t="s">
        <v>1992</v>
      </c>
      <c r="D1094" s="134" t="s">
        <v>1985</v>
      </c>
      <c r="E1094" s="171" t="s">
        <v>115</v>
      </c>
      <c r="F1094" s="138" t="s">
        <v>407</v>
      </c>
      <c r="G1094" s="325" t="s">
        <v>566</v>
      </c>
      <c r="H1094" s="135">
        <v>41603</v>
      </c>
      <c r="I1094" s="134">
        <v>1</v>
      </c>
      <c r="J1094" s="522">
        <v>5274</v>
      </c>
      <c r="K1094" s="523">
        <v>5274</v>
      </c>
      <c r="L1094" s="225" t="s">
        <v>957</v>
      </c>
      <c r="M1094" s="129" t="s">
        <v>42</v>
      </c>
    </row>
    <row r="1095" spans="1:13" s="144" customFormat="1" ht="15" customHeight="1" x14ac:dyDescent="0.25">
      <c r="A1095" s="232">
        <v>130</v>
      </c>
      <c r="B1095" s="232">
        <v>71037</v>
      </c>
      <c r="C1095" s="233" t="s">
        <v>3006</v>
      </c>
      <c r="D1095" s="134" t="s">
        <v>1985</v>
      </c>
      <c r="E1095" s="171" t="s">
        <v>534</v>
      </c>
      <c r="F1095" s="138" t="s">
        <v>439</v>
      </c>
      <c r="G1095" s="325" t="s">
        <v>580</v>
      </c>
      <c r="H1095" s="135">
        <v>41591</v>
      </c>
      <c r="I1095" s="134">
        <v>1</v>
      </c>
      <c r="J1095" s="522">
        <v>30429</v>
      </c>
      <c r="K1095" s="523">
        <v>30429</v>
      </c>
      <c r="L1095" s="225" t="s">
        <v>957</v>
      </c>
      <c r="M1095" s="129" t="s">
        <v>42</v>
      </c>
    </row>
    <row r="1096" spans="1:13" s="144" customFormat="1" ht="15" customHeight="1" x14ac:dyDescent="0.25">
      <c r="A1096" s="232">
        <v>131</v>
      </c>
      <c r="B1096" s="232">
        <v>75159</v>
      </c>
      <c r="C1096" s="233" t="s">
        <v>3006</v>
      </c>
      <c r="D1096" s="134" t="s">
        <v>1985</v>
      </c>
      <c r="E1096" s="171" t="s">
        <v>115</v>
      </c>
      <c r="F1096" s="138" t="s">
        <v>442</v>
      </c>
      <c r="G1096" s="325" t="s">
        <v>566</v>
      </c>
      <c r="H1096" s="135">
        <v>41605</v>
      </c>
      <c r="I1096" s="134">
        <v>1</v>
      </c>
      <c r="J1096" s="522">
        <v>5274</v>
      </c>
      <c r="K1096" s="523">
        <v>5274</v>
      </c>
      <c r="L1096" s="225" t="s">
        <v>957</v>
      </c>
      <c r="M1096" s="129" t="s">
        <v>42</v>
      </c>
    </row>
    <row r="1097" spans="1:13" s="144" customFormat="1" ht="15" customHeight="1" x14ac:dyDescent="0.25">
      <c r="A1097" s="232">
        <v>132</v>
      </c>
      <c r="B1097" s="232">
        <v>73204</v>
      </c>
      <c r="C1097" s="233" t="s">
        <v>1401</v>
      </c>
      <c r="D1097" s="134" t="s">
        <v>1985</v>
      </c>
      <c r="E1097" s="171" t="s">
        <v>114</v>
      </c>
      <c r="F1097" s="138" t="s">
        <v>508</v>
      </c>
      <c r="G1097" s="325" t="s">
        <v>3007</v>
      </c>
      <c r="H1097" s="135">
        <v>41598</v>
      </c>
      <c r="I1097" s="134">
        <v>1</v>
      </c>
      <c r="J1097" s="522">
        <v>33370</v>
      </c>
      <c r="K1097" s="523">
        <v>33370</v>
      </c>
      <c r="L1097" s="225" t="s">
        <v>957</v>
      </c>
      <c r="M1097" s="129" t="s">
        <v>42</v>
      </c>
    </row>
    <row r="1098" spans="1:13" s="144" customFormat="1" ht="15" customHeight="1" x14ac:dyDescent="0.25">
      <c r="A1098" s="232">
        <v>133</v>
      </c>
      <c r="B1098" s="232">
        <v>74208</v>
      </c>
      <c r="C1098" s="233" t="s">
        <v>2017</v>
      </c>
      <c r="D1098" s="134" t="s">
        <v>1972</v>
      </c>
      <c r="E1098" s="171" t="s">
        <v>534</v>
      </c>
      <c r="F1098" s="138" t="s">
        <v>389</v>
      </c>
      <c r="G1098" s="325" t="s">
        <v>551</v>
      </c>
      <c r="H1098" s="135">
        <v>41603</v>
      </c>
      <c r="I1098" s="134">
        <v>1</v>
      </c>
      <c r="J1098" s="522">
        <v>30429</v>
      </c>
      <c r="K1098" s="523">
        <v>30429</v>
      </c>
      <c r="L1098" s="225" t="s">
        <v>957</v>
      </c>
      <c r="M1098" s="129" t="s">
        <v>42</v>
      </c>
    </row>
    <row r="1099" spans="1:13" s="144" customFormat="1" ht="15" customHeight="1" x14ac:dyDescent="0.25">
      <c r="A1099" s="232">
        <v>134</v>
      </c>
      <c r="B1099" s="232">
        <v>70144</v>
      </c>
      <c r="C1099" s="233" t="s">
        <v>3008</v>
      </c>
      <c r="D1099" s="134" t="s">
        <v>1972</v>
      </c>
      <c r="E1099" s="171" t="s">
        <v>534</v>
      </c>
      <c r="F1099" s="138" t="s">
        <v>439</v>
      </c>
      <c r="G1099" s="325" t="s">
        <v>566</v>
      </c>
      <c r="H1099" s="135">
        <v>41589</v>
      </c>
      <c r="I1099" s="134">
        <v>1</v>
      </c>
      <c r="J1099" s="522">
        <v>30429</v>
      </c>
      <c r="K1099" s="523">
        <v>30429</v>
      </c>
      <c r="L1099" s="225" t="s">
        <v>957</v>
      </c>
      <c r="M1099" s="129" t="s">
        <v>42</v>
      </c>
    </row>
    <row r="1100" spans="1:13" s="144" customFormat="1" ht="15" customHeight="1" x14ac:dyDescent="0.25">
      <c r="A1100" s="232">
        <v>135</v>
      </c>
      <c r="B1100" s="232">
        <v>76528</v>
      </c>
      <c r="C1100" s="233" t="s">
        <v>3008</v>
      </c>
      <c r="D1100" s="134" t="s">
        <v>1972</v>
      </c>
      <c r="E1100" s="171" t="s">
        <v>114</v>
      </c>
      <c r="F1100" s="138" t="s">
        <v>416</v>
      </c>
      <c r="G1100" s="325" t="s">
        <v>1282</v>
      </c>
      <c r="H1100" s="135">
        <v>41610</v>
      </c>
      <c r="I1100" s="134">
        <v>1</v>
      </c>
      <c r="J1100" s="522">
        <v>33370</v>
      </c>
      <c r="K1100" s="523">
        <v>33370</v>
      </c>
      <c r="L1100" s="225" t="s">
        <v>957</v>
      </c>
      <c r="M1100" s="129" t="s">
        <v>42</v>
      </c>
    </row>
    <row r="1101" spans="1:13" s="144" customFormat="1" ht="15" customHeight="1" x14ac:dyDescent="0.25">
      <c r="A1101" s="232">
        <v>136</v>
      </c>
      <c r="B1101" s="232">
        <v>68225</v>
      </c>
      <c r="C1101" s="233" t="s">
        <v>3009</v>
      </c>
      <c r="D1101" s="134" t="s">
        <v>1972</v>
      </c>
      <c r="E1101" s="171" t="s">
        <v>115</v>
      </c>
      <c r="F1101" s="138" t="s">
        <v>416</v>
      </c>
      <c r="G1101" s="325" t="s">
        <v>566</v>
      </c>
      <c r="H1101" s="135">
        <v>41582</v>
      </c>
      <c r="I1101" s="134">
        <v>1</v>
      </c>
      <c r="J1101" s="522">
        <v>5274</v>
      </c>
      <c r="K1101" s="523">
        <v>5274</v>
      </c>
      <c r="L1101" s="225" t="s">
        <v>957</v>
      </c>
      <c r="M1101" s="129" t="s">
        <v>42</v>
      </c>
    </row>
    <row r="1102" spans="1:13" s="144" customFormat="1" ht="15" customHeight="1" x14ac:dyDescent="0.25">
      <c r="A1102" s="232">
        <v>137</v>
      </c>
      <c r="B1102" s="232">
        <v>71637</v>
      </c>
      <c r="C1102" s="233" t="s">
        <v>3010</v>
      </c>
      <c r="D1102" s="134" t="s">
        <v>1985</v>
      </c>
      <c r="E1102" s="171" t="s">
        <v>577</v>
      </c>
      <c r="F1102" s="138" t="s">
        <v>368</v>
      </c>
      <c r="G1102" s="325"/>
      <c r="H1102" s="135">
        <v>41592</v>
      </c>
      <c r="I1102" s="134">
        <v>1</v>
      </c>
      <c r="J1102" s="522">
        <v>25800</v>
      </c>
      <c r="K1102" s="523">
        <v>25800</v>
      </c>
      <c r="L1102" s="225" t="s">
        <v>957</v>
      </c>
      <c r="M1102" s="129" t="s">
        <v>42</v>
      </c>
    </row>
    <row r="1103" spans="1:13" s="144" customFormat="1" ht="15" customHeight="1" x14ac:dyDescent="0.25">
      <c r="A1103" s="232">
        <v>138</v>
      </c>
      <c r="B1103" s="232">
        <v>53541</v>
      </c>
      <c r="C1103" s="233" t="s">
        <v>3011</v>
      </c>
      <c r="D1103" s="134" t="s">
        <v>2922</v>
      </c>
      <c r="E1103" s="171" t="s">
        <v>115</v>
      </c>
      <c r="F1103" s="138">
        <v>30</v>
      </c>
      <c r="G1103" s="325" t="s">
        <v>551</v>
      </c>
      <c r="H1103" s="135">
        <v>41520</v>
      </c>
      <c r="I1103" s="134">
        <v>1</v>
      </c>
      <c r="J1103" s="522">
        <v>5274</v>
      </c>
      <c r="K1103" s="523">
        <v>5274</v>
      </c>
      <c r="L1103" s="225" t="s">
        <v>957</v>
      </c>
      <c r="M1103" s="129" t="s">
        <v>42</v>
      </c>
    </row>
    <row r="1104" spans="1:13" s="144" customFormat="1" ht="15" customHeight="1" x14ac:dyDescent="0.25">
      <c r="A1104" s="232">
        <v>139</v>
      </c>
      <c r="B1104" s="232">
        <v>60242</v>
      </c>
      <c r="C1104" s="233" t="s">
        <v>3012</v>
      </c>
      <c r="D1104" s="134" t="s">
        <v>2922</v>
      </c>
      <c r="E1104" s="171" t="s">
        <v>115</v>
      </c>
      <c r="F1104" s="138" t="s">
        <v>524</v>
      </c>
      <c r="G1104" s="325" t="s">
        <v>551</v>
      </c>
      <c r="H1104" s="135">
        <v>41551</v>
      </c>
      <c r="I1104" s="134">
        <v>1</v>
      </c>
      <c r="J1104" s="522">
        <v>5274</v>
      </c>
      <c r="K1104" s="523">
        <v>5274</v>
      </c>
      <c r="L1104" s="225" t="s">
        <v>957</v>
      </c>
      <c r="M1104" s="129" t="s">
        <v>42</v>
      </c>
    </row>
    <row r="1105" spans="1:13" s="144" customFormat="1" ht="15" customHeight="1" x14ac:dyDescent="0.25">
      <c r="A1105" s="232">
        <v>140</v>
      </c>
      <c r="B1105" s="232">
        <v>70068</v>
      </c>
      <c r="C1105" s="233" t="s">
        <v>3012</v>
      </c>
      <c r="D1105" s="134" t="s">
        <v>1972</v>
      </c>
      <c r="E1105" s="171" t="s">
        <v>114</v>
      </c>
      <c r="F1105" s="138" t="s">
        <v>524</v>
      </c>
      <c r="G1105" s="325" t="s">
        <v>2133</v>
      </c>
      <c r="H1105" s="135">
        <v>41589</v>
      </c>
      <c r="I1105" s="134">
        <v>1</v>
      </c>
      <c r="J1105" s="522">
        <v>33370</v>
      </c>
      <c r="K1105" s="523">
        <v>33370</v>
      </c>
      <c r="L1105" s="225" t="s">
        <v>957</v>
      </c>
      <c r="M1105" s="129" t="s">
        <v>42</v>
      </c>
    </row>
    <row r="1106" spans="1:13" s="144" customFormat="1" ht="15" customHeight="1" x14ac:dyDescent="0.25">
      <c r="A1106" s="232">
        <v>141</v>
      </c>
      <c r="B1106" s="232">
        <v>68145</v>
      </c>
      <c r="C1106" s="233" t="s">
        <v>3013</v>
      </c>
      <c r="D1106" s="134" t="s">
        <v>1995</v>
      </c>
      <c r="E1106" s="171" t="s">
        <v>577</v>
      </c>
      <c r="F1106" s="138" t="s">
        <v>368</v>
      </c>
      <c r="G1106" s="325"/>
      <c r="H1106" s="135">
        <v>41582</v>
      </c>
      <c r="I1106" s="134">
        <v>1</v>
      </c>
      <c r="J1106" s="522">
        <v>25800</v>
      </c>
      <c r="K1106" s="523">
        <v>25800</v>
      </c>
      <c r="L1106" s="225" t="s">
        <v>957</v>
      </c>
      <c r="M1106" s="129" t="s">
        <v>42</v>
      </c>
    </row>
    <row r="1107" spans="1:13" s="144" customFormat="1" ht="15" customHeight="1" x14ac:dyDescent="0.25">
      <c r="A1107" s="232">
        <v>142</v>
      </c>
      <c r="B1107" s="232">
        <v>65697</v>
      </c>
      <c r="C1107" s="233" t="s">
        <v>3014</v>
      </c>
      <c r="D1107" s="134" t="s">
        <v>1985</v>
      </c>
      <c r="E1107" s="171" t="s">
        <v>115</v>
      </c>
      <c r="F1107" s="138" t="s">
        <v>442</v>
      </c>
      <c r="G1107" s="325" t="s">
        <v>566</v>
      </c>
      <c r="H1107" s="135">
        <v>41570</v>
      </c>
      <c r="I1107" s="134">
        <v>1</v>
      </c>
      <c r="J1107" s="522">
        <v>5274</v>
      </c>
      <c r="K1107" s="523">
        <v>5274</v>
      </c>
      <c r="L1107" s="225" t="s">
        <v>957</v>
      </c>
      <c r="M1107" s="129" t="s">
        <v>42</v>
      </c>
    </row>
    <row r="1108" spans="1:13" s="144" customFormat="1" ht="15" customHeight="1" thickBot="1" x14ac:dyDescent="0.3">
      <c r="A1108" s="511">
        <v>143</v>
      </c>
      <c r="B1108" s="511">
        <v>78817</v>
      </c>
      <c r="C1108" s="512" t="s">
        <v>3015</v>
      </c>
      <c r="D1108" s="386" t="s">
        <v>1975</v>
      </c>
      <c r="E1108" s="388" t="s">
        <v>115</v>
      </c>
      <c r="F1108" s="389" t="s">
        <v>414</v>
      </c>
      <c r="G1108" s="524" t="s">
        <v>486</v>
      </c>
      <c r="H1108" s="391">
        <v>41606</v>
      </c>
      <c r="I1108" s="386">
        <v>1</v>
      </c>
      <c r="J1108" s="525">
        <v>5274</v>
      </c>
      <c r="K1108" s="526">
        <v>5274</v>
      </c>
      <c r="L1108" s="527" t="s">
        <v>957</v>
      </c>
      <c r="M1108" s="129" t="s">
        <v>42</v>
      </c>
    </row>
    <row r="1109" spans="1:13" s="133" customFormat="1" ht="15" customHeight="1" x14ac:dyDescent="0.25">
      <c r="A1109" s="528">
        <v>144</v>
      </c>
      <c r="B1109" s="479">
        <v>71688</v>
      </c>
      <c r="C1109" s="480" t="s">
        <v>3016</v>
      </c>
      <c r="D1109" s="479" t="s">
        <v>1995</v>
      </c>
      <c r="E1109" s="481" t="s">
        <v>577</v>
      </c>
      <c r="F1109" s="482" t="s">
        <v>368</v>
      </c>
      <c r="G1109" s="483"/>
      <c r="H1109" s="484">
        <v>41593</v>
      </c>
      <c r="I1109" s="479">
        <v>1</v>
      </c>
      <c r="J1109" s="529">
        <v>25800</v>
      </c>
      <c r="K1109" s="486">
        <v>25800</v>
      </c>
      <c r="L1109" s="530" t="s">
        <v>620</v>
      </c>
      <c r="M1109" s="129" t="s">
        <v>42</v>
      </c>
    </row>
    <row r="1110" spans="1:13" x14ac:dyDescent="0.25">
      <c r="A1110" s="531">
        <v>145</v>
      </c>
      <c r="B1110" s="273">
        <v>68595</v>
      </c>
      <c r="C1110" s="274" t="s">
        <v>3017</v>
      </c>
      <c r="D1110" s="273" t="s">
        <v>1995</v>
      </c>
      <c r="E1110" s="275" t="s">
        <v>577</v>
      </c>
      <c r="F1110" s="276" t="s">
        <v>368</v>
      </c>
      <c r="G1110" s="277"/>
      <c r="H1110" s="278">
        <v>41583</v>
      </c>
      <c r="I1110" s="273">
        <v>1</v>
      </c>
      <c r="J1110" s="532">
        <v>25800</v>
      </c>
      <c r="K1110" s="357">
        <v>25800</v>
      </c>
      <c r="L1110" s="358" t="s">
        <v>620</v>
      </c>
      <c r="M1110" s="129" t="s">
        <v>42</v>
      </c>
    </row>
    <row r="1111" spans="1:13" s="534" customFormat="1" x14ac:dyDescent="0.25">
      <c r="A1111" s="533">
        <v>147</v>
      </c>
      <c r="B1111" s="273">
        <v>71667</v>
      </c>
      <c r="C1111" s="274" t="s">
        <v>3018</v>
      </c>
      <c r="D1111" s="273" t="s">
        <v>1972</v>
      </c>
      <c r="E1111" s="275" t="s">
        <v>115</v>
      </c>
      <c r="F1111" s="276" t="s">
        <v>527</v>
      </c>
      <c r="G1111" s="277" t="s">
        <v>566</v>
      </c>
      <c r="H1111" s="278">
        <v>41596</v>
      </c>
      <c r="I1111" s="273">
        <v>1</v>
      </c>
      <c r="J1111" s="532">
        <v>5274</v>
      </c>
      <c r="K1111" s="357">
        <v>5274</v>
      </c>
      <c r="L1111" s="358" t="s">
        <v>620</v>
      </c>
      <c r="M1111" s="129" t="s">
        <v>42</v>
      </c>
    </row>
    <row r="1112" spans="1:13" x14ac:dyDescent="0.25">
      <c r="A1112" s="533">
        <v>148</v>
      </c>
      <c r="B1112" s="273">
        <v>72195</v>
      </c>
      <c r="C1112" s="274" t="s">
        <v>3019</v>
      </c>
      <c r="D1112" s="273" t="s">
        <v>1987</v>
      </c>
      <c r="E1112" s="275" t="s">
        <v>577</v>
      </c>
      <c r="F1112" s="276" t="s">
        <v>368</v>
      </c>
      <c r="G1112" s="277"/>
      <c r="H1112" s="278">
        <v>41596</v>
      </c>
      <c r="I1112" s="273">
        <v>1</v>
      </c>
      <c r="J1112" s="532">
        <v>25800</v>
      </c>
      <c r="K1112" s="357">
        <v>25800</v>
      </c>
      <c r="L1112" s="358" t="s">
        <v>620</v>
      </c>
      <c r="M1112" s="129" t="s">
        <v>42</v>
      </c>
    </row>
    <row r="1113" spans="1:13" x14ac:dyDescent="0.25">
      <c r="A1113" s="533">
        <v>149</v>
      </c>
      <c r="B1113" s="273">
        <v>69847</v>
      </c>
      <c r="C1113" s="274" t="s">
        <v>3020</v>
      </c>
      <c r="D1113" s="273" t="s">
        <v>1972</v>
      </c>
      <c r="E1113" s="275" t="s">
        <v>534</v>
      </c>
      <c r="F1113" s="276" t="s">
        <v>469</v>
      </c>
      <c r="G1113" s="277" t="s">
        <v>566</v>
      </c>
      <c r="H1113" s="278">
        <v>41589</v>
      </c>
      <c r="I1113" s="273">
        <v>1</v>
      </c>
      <c r="J1113" s="532">
        <v>30429</v>
      </c>
      <c r="K1113" s="357">
        <v>30429</v>
      </c>
      <c r="L1113" s="358" t="s">
        <v>620</v>
      </c>
      <c r="M1113" s="129" t="s">
        <v>42</v>
      </c>
    </row>
    <row r="1114" spans="1:13" x14ac:dyDescent="0.25">
      <c r="A1114" s="533">
        <v>152</v>
      </c>
      <c r="B1114" s="273">
        <v>73088</v>
      </c>
      <c r="C1114" s="274" t="s">
        <v>3021</v>
      </c>
      <c r="D1114" s="273" t="s">
        <v>2946</v>
      </c>
      <c r="E1114" s="275" t="s">
        <v>577</v>
      </c>
      <c r="F1114" s="276" t="s">
        <v>368</v>
      </c>
      <c r="G1114" s="277"/>
      <c r="H1114" s="278">
        <v>41600</v>
      </c>
      <c r="I1114" s="273">
        <v>1</v>
      </c>
      <c r="J1114" s="532">
        <v>25800</v>
      </c>
      <c r="K1114" s="357">
        <v>25800</v>
      </c>
      <c r="L1114" s="358" t="s">
        <v>620</v>
      </c>
      <c r="M1114" s="129" t="s">
        <v>42</v>
      </c>
    </row>
    <row r="1115" spans="1:13" s="534" customFormat="1" x14ac:dyDescent="0.25">
      <c r="A1115" s="533">
        <v>153</v>
      </c>
      <c r="B1115" s="273">
        <v>68541</v>
      </c>
      <c r="C1115" s="274" t="s">
        <v>2038</v>
      </c>
      <c r="D1115" s="273" t="s">
        <v>1985</v>
      </c>
      <c r="E1115" s="275" t="s">
        <v>115</v>
      </c>
      <c r="F1115" s="276" t="s">
        <v>414</v>
      </c>
      <c r="G1115" s="277" t="s">
        <v>566</v>
      </c>
      <c r="H1115" s="278">
        <v>41583</v>
      </c>
      <c r="I1115" s="273">
        <v>1</v>
      </c>
      <c r="J1115" s="532">
        <v>5274</v>
      </c>
      <c r="K1115" s="357">
        <v>5274</v>
      </c>
      <c r="L1115" s="358" t="s">
        <v>620</v>
      </c>
      <c r="M1115" s="129" t="s">
        <v>42</v>
      </c>
    </row>
    <row r="1116" spans="1:13" s="534" customFormat="1" x14ac:dyDescent="0.25">
      <c r="A1116" s="535">
        <v>154</v>
      </c>
      <c r="B1116" s="273">
        <v>74121</v>
      </c>
      <c r="C1116" s="274" t="s">
        <v>3022</v>
      </c>
      <c r="D1116" s="273" t="s">
        <v>1972</v>
      </c>
      <c r="E1116" s="275" t="s">
        <v>115</v>
      </c>
      <c r="F1116" s="276" t="s">
        <v>591</v>
      </c>
      <c r="G1116" s="277" t="s">
        <v>551</v>
      </c>
      <c r="H1116" s="278">
        <v>41603</v>
      </c>
      <c r="I1116" s="273">
        <v>1</v>
      </c>
      <c r="J1116" s="532">
        <v>5274</v>
      </c>
      <c r="K1116" s="357">
        <v>5274</v>
      </c>
      <c r="L1116" s="358" t="s">
        <v>620</v>
      </c>
      <c r="M1116" s="129" t="s">
        <v>42</v>
      </c>
    </row>
    <row r="1117" spans="1:13" s="133" customFormat="1" ht="15" customHeight="1" x14ac:dyDescent="0.25">
      <c r="A1117" s="533">
        <v>155</v>
      </c>
      <c r="B1117" s="273">
        <v>76783</v>
      </c>
      <c r="C1117" s="274" t="s">
        <v>3023</v>
      </c>
      <c r="D1117" s="273" t="s">
        <v>1972</v>
      </c>
      <c r="E1117" s="275" t="s">
        <v>534</v>
      </c>
      <c r="F1117" s="276" t="s">
        <v>559</v>
      </c>
      <c r="G1117" s="277" t="s">
        <v>551</v>
      </c>
      <c r="H1117" s="278">
        <v>41610</v>
      </c>
      <c r="I1117" s="273">
        <v>1</v>
      </c>
      <c r="J1117" s="532">
        <v>30429</v>
      </c>
      <c r="K1117" s="357">
        <v>30429</v>
      </c>
      <c r="L1117" s="358" t="s">
        <v>620</v>
      </c>
      <c r="M1117" s="129" t="s">
        <v>42</v>
      </c>
    </row>
    <row r="1118" spans="1:13" s="133" customFormat="1" ht="15" customHeight="1" x14ac:dyDescent="0.25">
      <c r="A1118" s="533">
        <v>156</v>
      </c>
      <c r="B1118" s="273">
        <v>76596</v>
      </c>
      <c r="C1118" s="274" t="s">
        <v>3024</v>
      </c>
      <c r="D1118" s="273" t="s">
        <v>1972</v>
      </c>
      <c r="E1118" s="275" t="s">
        <v>534</v>
      </c>
      <c r="F1118" s="276" t="s">
        <v>524</v>
      </c>
      <c r="G1118" s="277" t="s">
        <v>566</v>
      </c>
      <c r="H1118" s="278">
        <v>41610</v>
      </c>
      <c r="I1118" s="273">
        <v>1</v>
      </c>
      <c r="J1118" s="532">
        <v>30429</v>
      </c>
      <c r="K1118" s="357">
        <v>30429</v>
      </c>
      <c r="L1118" s="358" t="s">
        <v>620</v>
      </c>
      <c r="M1118" s="129" t="s">
        <v>42</v>
      </c>
    </row>
    <row r="1119" spans="1:13" s="133" customFormat="1" ht="15" customHeight="1" x14ac:dyDescent="0.25">
      <c r="A1119" s="533">
        <v>157</v>
      </c>
      <c r="B1119" s="273">
        <v>77192</v>
      </c>
      <c r="C1119" s="274" t="s">
        <v>3025</v>
      </c>
      <c r="D1119" s="273" t="s">
        <v>1985</v>
      </c>
      <c r="E1119" s="275" t="s">
        <v>215</v>
      </c>
      <c r="F1119" s="276" t="s">
        <v>366</v>
      </c>
      <c r="G1119" s="277" t="s">
        <v>486</v>
      </c>
      <c r="H1119" s="278">
        <v>41611</v>
      </c>
      <c r="I1119" s="273">
        <v>1</v>
      </c>
      <c r="J1119" s="532">
        <v>44597</v>
      </c>
      <c r="K1119" s="357">
        <v>44597</v>
      </c>
      <c r="L1119" s="358" t="s">
        <v>620</v>
      </c>
      <c r="M1119" s="129" t="s">
        <v>42</v>
      </c>
    </row>
    <row r="1120" spans="1:13" s="133" customFormat="1" ht="15" customHeight="1" x14ac:dyDescent="0.25">
      <c r="A1120" s="533">
        <v>159</v>
      </c>
      <c r="B1120" s="273">
        <v>76743</v>
      </c>
      <c r="C1120" s="274" t="s">
        <v>3026</v>
      </c>
      <c r="D1120" s="273" t="s">
        <v>1972</v>
      </c>
      <c r="E1120" s="275" t="s">
        <v>577</v>
      </c>
      <c r="F1120" s="276" t="s">
        <v>368</v>
      </c>
      <c r="G1120" s="277"/>
      <c r="H1120" s="278">
        <v>41610</v>
      </c>
      <c r="I1120" s="273">
        <v>1</v>
      </c>
      <c r="J1120" s="532">
        <v>25800</v>
      </c>
      <c r="K1120" s="357">
        <v>25800</v>
      </c>
      <c r="L1120" s="358" t="s">
        <v>620</v>
      </c>
      <c r="M1120" s="129" t="s">
        <v>42</v>
      </c>
    </row>
    <row r="1121" spans="1:13" s="133" customFormat="1" ht="14.25" customHeight="1" x14ac:dyDescent="0.25">
      <c r="A1121" s="533">
        <v>160</v>
      </c>
      <c r="B1121" s="273">
        <v>77437</v>
      </c>
      <c r="C1121" s="274" t="s">
        <v>2909</v>
      </c>
      <c r="D1121" s="273" t="s">
        <v>1985</v>
      </c>
      <c r="E1121" s="275" t="s">
        <v>215</v>
      </c>
      <c r="F1121" s="276" t="s">
        <v>368</v>
      </c>
      <c r="G1121" s="277" t="s">
        <v>486</v>
      </c>
      <c r="H1121" s="278">
        <v>41612</v>
      </c>
      <c r="I1121" s="273">
        <v>1</v>
      </c>
      <c r="J1121" s="532">
        <v>44597</v>
      </c>
      <c r="K1121" s="357">
        <v>44597</v>
      </c>
      <c r="L1121" s="358" t="s">
        <v>620</v>
      </c>
      <c r="M1121" s="129" t="s">
        <v>42</v>
      </c>
    </row>
    <row r="1122" spans="1:13" s="133" customFormat="1" ht="15" customHeight="1" x14ac:dyDescent="0.25">
      <c r="A1122" s="533">
        <v>161</v>
      </c>
      <c r="B1122" s="273">
        <v>81075</v>
      </c>
      <c r="C1122" s="274" t="s">
        <v>3027</v>
      </c>
      <c r="D1122" s="273" t="s">
        <v>2946</v>
      </c>
      <c r="E1122" s="275" t="s">
        <v>577</v>
      </c>
      <c r="F1122" s="276" t="s">
        <v>368</v>
      </c>
      <c r="G1122" s="277"/>
      <c r="H1122" s="278">
        <v>41621</v>
      </c>
      <c r="I1122" s="273">
        <v>1</v>
      </c>
      <c r="J1122" s="532">
        <v>25800</v>
      </c>
      <c r="K1122" s="357">
        <v>25800</v>
      </c>
      <c r="L1122" s="358" t="s">
        <v>620</v>
      </c>
      <c r="M1122" s="129" t="s">
        <v>42</v>
      </c>
    </row>
    <row r="1123" spans="1:13" s="184" customFormat="1" ht="15" customHeight="1" x14ac:dyDescent="0.25">
      <c r="A1123" s="533">
        <v>162</v>
      </c>
      <c r="B1123" s="273">
        <v>81041</v>
      </c>
      <c r="C1123" s="274" t="s">
        <v>1971</v>
      </c>
      <c r="D1123" s="273" t="s">
        <v>1972</v>
      </c>
      <c r="E1123" s="275" t="s">
        <v>115</v>
      </c>
      <c r="F1123" s="276" t="s">
        <v>428</v>
      </c>
      <c r="G1123" s="277" t="s">
        <v>551</v>
      </c>
      <c r="H1123" s="278">
        <v>41624</v>
      </c>
      <c r="I1123" s="273">
        <v>1</v>
      </c>
      <c r="J1123" s="532">
        <v>5274</v>
      </c>
      <c r="K1123" s="357">
        <v>5274</v>
      </c>
      <c r="L1123" s="358" t="s">
        <v>620</v>
      </c>
      <c r="M1123" s="129" t="s">
        <v>42</v>
      </c>
    </row>
    <row r="1124" spans="1:13" s="133" customFormat="1" ht="15" customHeight="1" x14ac:dyDescent="0.25">
      <c r="A1124" s="533">
        <v>163</v>
      </c>
      <c r="B1124" s="273">
        <v>81033</v>
      </c>
      <c r="C1124" s="274" t="s">
        <v>2001</v>
      </c>
      <c r="D1124" s="273" t="s">
        <v>1972</v>
      </c>
      <c r="E1124" s="275" t="s">
        <v>115</v>
      </c>
      <c r="F1124" s="276" t="s">
        <v>389</v>
      </c>
      <c r="G1124" s="277" t="s">
        <v>551</v>
      </c>
      <c r="H1124" s="278">
        <v>41624</v>
      </c>
      <c r="I1124" s="273">
        <v>2</v>
      </c>
      <c r="J1124" s="532">
        <v>5274</v>
      </c>
      <c r="K1124" s="357">
        <v>10548</v>
      </c>
      <c r="L1124" s="358" t="s">
        <v>620</v>
      </c>
      <c r="M1124" s="129" t="s">
        <v>42</v>
      </c>
    </row>
    <row r="1125" spans="1:13" s="133" customFormat="1" ht="15" customHeight="1" x14ac:dyDescent="0.25">
      <c r="A1125" s="533">
        <v>165</v>
      </c>
      <c r="B1125" s="273">
        <v>80454</v>
      </c>
      <c r="C1125" s="274" t="s">
        <v>3028</v>
      </c>
      <c r="D1125" s="273" t="s">
        <v>1978</v>
      </c>
      <c r="E1125" s="275" t="s">
        <v>577</v>
      </c>
      <c r="F1125" s="276" t="s">
        <v>368</v>
      </c>
      <c r="G1125" s="277"/>
      <c r="H1125" s="278">
        <v>41621</v>
      </c>
      <c r="I1125" s="273">
        <v>1</v>
      </c>
      <c r="J1125" s="532">
        <v>25800</v>
      </c>
      <c r="K1125" s="357">
        <v>25800</v>
      </c>
      <c r="L1125" s="358" t="s">
        <v>620</v>
      </c>
      <c r="M1125" s="129" t="s">
        <v>42</v>
      </c>
    </row>
    <row r="1126" spans="1:13" s="133" customFormat="1" ht="15" customHeight="1" x14ac:dyDescent="0.25">
      <c r="A1126" s="533">
        <v>166</v>
      </c>
      <c r="B1126" s="273">
        <v>80359</v>
      </c>
      <c r="C1126" s="274" t="s">
        <v>3029</v>
      </c>
      <c r="D1126" s="273" t="s">
        <v>1985</v>
      </c>
      <c r="E1126" s="275" t="s">
        <v>190</v>
      </c>
      <c r="F1126" s="276" t="s">
        <v>389</v>
      </c>
      <c r="G1126" s="277" t="s">
        <v>560</v>
      </c>
      <c r="H1126" s="278">
        <v>41620</v>
      </c>
      <c r="I1126" s="273">
        <v>1</v>
      </c>
      <c r="J1126" s="532">
        <v>57960</v>
      </c>
      <c r="K1126" s="357">
        <v>57960</v>
      </c>
      <c r="L1126" s="358" t="s">
        <v>620</v>
      </c>
      <c r="M1126" s="129" t="s">
        <v>42</v>
      </c>
    </row>
    <row r="1127" spans="1:13" s="133" customFormat="1" ht="15" customHeight="1" x14ac:dyDescent="0.25">
      <c r="A1127" s="533">
        <v>167</v>
      </c>
      <c r="B1127" s="273">
        <v>80025</v>
      </c>
      <c r="C1127" s="274" t="s">
        <v>3030</v>
      </c>
      <c r="D1127" s="273" t="s">
        <v>1987</v>
      </c>
      <c r="E1127" s="275" t="s">
        <v>534</v>
      </c>
      <c r="F1127" s="276" t="s">
        <v>401</v>
      </c>
      <c r="G1127" s="277" t="s">
        <v>557</v>
      </c>
      <c r="H1127" s="278">
        <v>41619</v>
      </c>
      <c r="I1127" s="273">
        <v>1</v>
      </c>
      <c r="J1127" s="532">
        <v>30429</v>
      </c>
      <c r="K1127" s="357">
        <v>30429</v>
      </c>
      <c r="L1127" s="358" t="s">
        <v>620</v>
      </c>
      <c r="M1127" s="129" t="s">
        <v>42</v>
      </c>
    </row>
    <row r="1128" spans="1:13" s="133" customFormat="1" ht="15" customHeight="1" x14ac:dyDescent="0.25">
      <c r="A1128" s="533">
        <v>168</v>
      </c>
      <c r="B1128" s="273">
        <v>79502</v>
      </c>
      <c r="C1128" s="274" t="s">
        <v>3031</v>
      </c>
      <c r="D1128" s="273" t="s">
        <v>1985</v>
      </c>
      <c r="E1128" s="275" t="s">
        <v>215</v>
      </c>
      <c r="F1128" s="276" t="s">
        <v>482</v>
      </c>
      <c r="G1128" s="277" t="s">
        <v>486</v>
      </c>
      <c r="H1128" s="278">
        <v>41618</v>
      </c>
      <c r="I1128" s="273">
        <v>2</v>
      </c>
      <c r="J1128" s="532">
        <v>44597</v>
      </c>
      <c r="K1128" s="357">
        <v>89194</v>
      </c>
      <c r="L1128" s="358" t="s">
        <v>620</v>
      </c>
      <c r="M1128" s="129" t="s">
        <v>42</v>
      </c>
    </row>
    <row r="1129" spans="1:13" s="184" customFormat="1" ht="15" customHeight="1" x14ac:dyDescent="0.25">
      <c r="A1129" s="533">
        <v>169</v>
      </c>
      <c r="B1129" s="273">
        <v>79458</v>
      </c>
      <c r="C1129" s="274" t="s">
        <v>3032</v>
      </c>
      <c r="D1129" s="273" t="s">
        <v>1985</v>
      </c>
      <c r="E1129" s="275" t="s">
        <v>534</v>
      </c>
      <c r="F1129" s="276" t="s">
        <v>412</v>
      </c>
      <c r="G1129" s="277" t="s">
        <v>563</v>
      </c>
      <c r="H1129" s="278">
        <v>41618</v>
      </c>
      <c r="I1129" s="273">
        <v>1</v>
      </c>
      <c r="J1129" s="532">
        <v>30429</v>
      </c>
      <c r="K1129" s="357">
        <v>30429</v>
      </c>
      <c r="L1129" s="358" t="s">
        <v>620</v>
      </c>
      <c r="M1129" s="129" t="s">
        <v>42</v>
      </c>
    </row>
    <row r="1130" spans="1:13" s="133" customFormat="1" ht="15" customHeight="1" x14ac:dyDescent="0.25">
      <c r="A1130" s="533">
        <v>170</v>
      </c>
      <c r="B1130" s="273">
        <v>79220</v>
      </c>
      <c r="C1130" s="274" t="s">
        <v>3033</v>
      </c>
      <c r="D1130" s="273" t="s">
        <v>1978</v>
      </c>
      <c r="E1130" s="275" t="s">
        <v>577</v>
      </c>
      <c r="F1130" s="276" t="s">
        <v>368</v>
      </c>
      <c r="G1130" s="277"/>
      <c r="H1130" s="278">
        <v>41617</v>
      </c>
      <c r="I1130" s="273">
        <v>1</v>
      </c>
      <c r="J1130" s="532">
        <v>25800</v>
      </c>
      <c r="K1130" s="357">
        <v>25800</v>
      </c>
      <c r="L1130" s="358" t="s">
        <v>620</v>
      </c>
      <c r="M1130" s="129" t="s">
        <v>42</v>
      </c>
    </row>
    <row r="1131" spans="1:13" s="133" customFormat="1" ht="15" customHeight="1" x14ac:dyDescent="0.25">
      <c r="A1131" s="533">
        <v>171</v>
      </c>
      <c r="B1131" s="273">
        <v>81746</v>
      </c>
      <c r="C1131" s="274" t="s">
        <v>3034</v>
      </c>
      <c r="D1131" s="273" t="s">
        <v>1972</v>
      </c>
      <c r="E1131" s="275" t="s">
        <v>186</v>
      </c>
      <c r="F1131" s="276" t="s">
        <v>428</v>
      </c>
      <c r="G1131" s="277" t="s">
        <v>594</v>
      </c>
      <c r="H1131" s="278">
        <v>41625</v>
      </c>
      <c r="I1131" s="273">
        <v>1</v>
      </c>
      <c r="J1131" s="532">
        <v>42601</v>
      </c>
      <c r="K1131" s="357">
        <v>42601</v>
      </c>
      <c r="L1131" s="358" t="s">
        <v>620</v>
      </c>
      <c r="M1131" s="129" t="s">
        <v>42</v>
      </c>
    </row>
    <row r="1132" spans="1:13" s="133" customFormat="1" ht="15" customHeight="1" x14ac:dyDescent="0.25">
      <c r="A1132" s="533">
        <v>172</v>
      </c>
      <c r="B1132" s="273">
        <v>81741</v>
      </c>
      <c r="C1132" s="274" t="s">
        <v>3006</v>
      </c>
      <c r="D1132" s="273" t="s">
        <v>1985</v>
      </c>
      <c r="E1132" s="275" t="s">
        <v>208</v>
      </c>
      <c r="F1132" s="276" t="s">
        <v>442</v>
      </c>
      <c r="G1132" s="277" t="s">
        <v>566</v>
      </c>
      <c r="H1132" s="278">
        <v>41625</v>
      </c>
      <c r="I1132" s="273">
        <v>1</v>
      </c>
      <c r="J1132" s="532">
        <v>14099</v>
      </c>
      <c r="K1132" s="357">
        <v>14099</v>
      </c>
      <c r="L1132" s="358" t="s">
        <v>620</v>
      </c>
      <c r="M1132" s="129" t="s">
        <v>42</v>
      </c>
    </row>
    <row r="1133" spans="1:13" s="133" customFormat="1" ht="15" customHeight="1" x14ac:dyDescent="0.25">
      <c r="A1133" s="533">
        <v>173</v>
      </c>
      <c r="B1133" s="273">
        <v>81496</v>
      </c>
      <c r="C1133" s="274" t="s">
        <v>3035</v>
      </c>
      <c r="D1133" s="273" t="s">
        <v>1972</v>
      </c>
      <c r="E1133" s="275" t="s">
        <v>195</v>
      </c>
      <c r="F1133" s="276" t="s">
        <v>809</v>
      </c>
      <c r="G1133" s="277"/>
      <c r="H1133" s="278">
        <v>41625</v>
      </c>
      <c r="I1133" s="273">
        <v>3</v>
      </c>
      <c r="J1133" s="532">
        <v>2739</v>
      </c>
      <c r="K1133" s="357">
        <v>8217</v>
      </c>
      <c r="L1133" s="358" t="s">
        <v>620</v>
      </c>
      <c r="M1133" s="129" t="s">
        <v>42</v>
      </c>
    </row>
    <row r="1134" spans="1:13" s="133" customFormat="1" ht="15" customHeight="1" x14ac:dyDescent="0.25">
      <c r="A1134" s="533">
        <v>174</v>
      </c>
      <c r="B1134" s="273">
        <v>81253</v>
      </c>
      <c r="C1134" s="274" t="s">
        <v>2955</v>
      </c>
      <c r="D1134" s="273" t="s">
        <v>1972</v>
      </c>
      <c r="E1134" s="275" t="s">
        <v>115</v>
      </c>
      <c r="F1134" s="276" t="s">
        <v>428</v>
      </c>
      <c r="G1134" s="277" t="s">
        <v>566</v>
      </c>
      <c r="H1134" s="278">
        <v>41624</v>
      </c>
      <c r="I1134" s="273">
        <v>1</v>
      </c>
      <c r="J1134" s="532">
        <v>5274</v>
      </c>
      <c r="K1134" s="357">
        <v>5274</v>
      </c>
      <c r="L1134" s="358" t="s">
        <v>620</v>
      </c>
      <c r="M1134" s="129" t="s">
        <v>42</v>
      </c>
    </row>
    <row r="1135" spans="1:13" s="133" customFormat="1" ht="15" customHeight="1" x14ac:dyDescent="0.25">
      <c r="A1135" s="533">
        <v>176</v>
      </c>
      <c r="B1135" s="273">
        <v>81268</v>
      </c>
      <c r="C1135" s="274" t="s">
        <v>3036</v>
      </c>
      <c r="D1135" s="273" t="s">
        <v>1995</v>
      </c>
      <c r="E1135" s="275" t="s">
        <v>577</v>
      </c>
      <c r="F1135" s="276" t="s">
        <v>368</v>
      </c>
      <c r="G1135" s="277"/>
      <c r="H1135" s="278">
        <v>41624</v>
      </c>
      <c r="I1135" s="273">
        <v>1</v>
      </c>
      <c r="J1135" s="532">
        <v>25800</v>
      </c>
      <c r="K1135" s="357">
        <v>25800</v>
      </c>
      <c r="L1135" s="358" t="s">
        <v>620</v>
      </c>
      <c r="M1135" s="129" t="s">
        <v>42</v>
      </c>
    </row>
    <row r="1136" spans="1:13" s="133" customFormat="1" ht="15" customHeight="1" x14ac:dyDescent="0.25">
      <c r="A1136" s="533">
        <v>177</v>
      </c>
      <c r="B1136" s="273">
        <v>83779</v>
      </c>
      <c r="C1136" s="274" t="s">
        <v>3015</v>
      </c>
      <c r="D1136" s="273" t="s">
        <v>1987</v>
      </c>
      <c r="E1136" s="275" t="s">
        <v>534</v>
      </c>
      <c r="F1136" s="276" t="s">
        <v>559</v>
      </c>
      <c r="G1136" s="277" t="s">
        <v>1282</v>
      </c>
      <c r="H1136" s="278">
        <v>41631</v>
      </c>
      <c r="I1136" s="273">
        <v>1</v>
      </c>
      <c r="J1136" s="532">
        <v>30429</v>
      </c>
      <c r="K1136" s="357">
        <v>30429</v>
      </c>
      <c r="L1136" s="358" t="s">
        <v>620</v>
      </c>
      <c r="M1136" s="129" t="s">
        <v>42</v>
      </c>
    </row>
    <row r="1137" spans="1:13" s="133" customFormat="1" ht="15" customHeight="1" x14ac:dyDescent="0.25">
      <c r="A1137" s="533">
        <v>181</v>
      </c>
      <c r="B1137" s="273">
        <v>84000</v>
      </c>
      <c r="C1137" s="274" t="s">
        <v>3037</v>
      </c>
      <c r="D1137" s="273" t="s">
        <v>1985</v>
      </c>
      <c r="E1137" s="275" t="s">
        <v>534</v>
      </c>
      <c r="F1137" s="276" t="s">
        <v>642</v>
      </c>
      <c r="G1137" s="277" t="s">
        <v>557</v>
      </c>
      <c r="H1137" s="278">
        <v>41635</v>
      </c>
      <c r="I1137" s="273">
        <v>1</v>
      </c>
      <c r="J1137" s="532">
        <v>30429</v>
      </c>
      <c r="K1137" s="357">
        <v>30429</v>
      </c>
      <c r="L1137" s="358" t="s">
        <v>620</v>
      </c>
      <c r="M1137" s="129" t="s">
        <v>42</v>
      </c>
    </row>
    <row r="1138" spans="1:13" s="133" customFormat="1" ht="15" customHeight="1" x14ac:dyDescent="0.25">
      <c r="A1138" s="533">
        <v>182</v>
      </c>
      <c r="B1138" s="273">
        <v>84605</v>
      </c>
      <c r="C1138" s="274" t="s">
        <v>3038</v>
      </c>
      <c r="D1138" s="273" t="s">
        <v>1975</v>
      </c>
      <c r="E1138" s="275" t="s">
        <v>190</v>
      </c>
      <c r="F1138" s="276" t="s">
        <v>1639</v>
      </c>
      <c r="G1138" s="277" t="s">
        <v>560</v>
      </c>
      <c r="H1138" s="278">
        <v>41634</v>
      </c>
      <c r="I1138" s="273">
        <v>4</v>
      </c>
      <c r="J1138" s="532">
        <v>57960</v>
      </c>
      <c r="K1138" s="357">
        <v>231840</v>
      </c>
      <c r="L1138" s="358" t="s">
        <v>620</v>
      </c>
      <c r="M1138" s="129" t="s">
        <v>42</v>
      </c>
    </row>
    <row r="1139" spans="1:13" s="133" customFormat="1" ht="15" customHeight="1" x14ac:dyDescent="0.25">
      <c r="A1139" s="533">
        <v>183</v>
      </c>
      <c r="B1139" s="273">
        <v>85018</v>
      </c>
      <c r="C1139" s="274" t="s">
        <v>2917</v>
      </c>
      <c r="D1139" s="273" t="s">
        <v>1985</v>
      </c>
      <c r="E1139" s="275" t="s">
        <v>577</v>
      </c>
      <c r="F1139" s="276" t="s">
        <v>368</v>
      </c>
      <c r="G1139" s="277" t="s">
        <v>560</v>
      </c>
      <c r="H1139" s="278">
        <v>41635</v>
      </c>
      <c r="I1139" s="273">
        <v>1</v>
      </c>
      <c r="J1139" s="532">
        <v>25800</v>
      </c>
      <c r="K1139" s="357">
        <v>25800</v>
      </c>
      <c r="L1139" s="358" t="s">
        <v>620</v>
      </c>
      <c r="M1139" s="129" t="s">
        <v>42</v>
      </c>
    </row>
    <row r="1140" spans="1:13" s="133" customFormat="1" ht="15" customHeight="1" thickBot="1" x14ac:dyDescent="0.3">
      <c r="A1140" s="536">
        <v>178</v>
      </c>
      <c r="B1140" s="290">
        <v>83585</v>
      </c>
      <c r="C1140" s="291" t="s">
        <v>2039</v>
      </c>
      <c r="D1140" s="290" t="s">
        <v>1975</v>
      </c>
      <c r="E1140" s="292" t="s">
        <v>115</v>
      </c>
      <c r="F1140" s="293" t="s">
        <v>1020</v>
      </c>
      <c r="G1140" s="294" t="s">
        <v>486</v>
      </c>
      <c r="H1140" s="295">
        <v>41632</v>
      </c>
      <c r="I1140" s="290">
        <v>3</v>
      </c>
      <c r="J1140" s="537">
        <v>5274</v>
      </c>
      <c r="K1140" s="538">
        <v>15822</v>
      </c>
      <c r="L1140" s="539" t="s">
        <v>620</v>
      </c>
      <c r="M1140" s="129" t="s">
        <v>42</v>
      </c>
    </row>
    <row r="1141" spans="1:13" x14ac:dyDescent="0.25">
      <c r="A1141" s="302"/>
      <c r="B1141" s="303"/>
      <c r="C1141" s="304"/>
      <c r="D1141" s="303"/>
      <c r="E1141" s="303"/>
      <c r="F1141" s="307"/>
      <c r="G1141" s="307"/>
      <c r="I1141" s="303"/>
      <c r="L1141" s="216"/>
    </row>
    <row r="1142" spans="1:13" x14ac:dyDescent="0.25">
      <c r="A1142" s="302"/>
      <c r="B1142" s="303"/>
      <c r="C1142" s="304"/>
      <c r="D1142" s="303"/>
      <c r="E1142" s="305" t="s">
        <v>2297</v>
      </c>
      <c r="F1142" s="306">
        <v>3624379</v>
      </c>
      <c r="G1142" s="307"/>
      <c r="I1142" s="303"/>
      <c r="J1142" s="359" t="s">
        <v>2057</v>
      </c>
      <c r="K1142" s="308">
        <v>4581906</v>
      </c>
      <c r="L1142" s="309"/>
      <c r="M1142" s="310" t="s">
        <v>2298</v>
      </c>
    </row>
    <row r="1143" spans="1:13" x14ac:dyDescent="0.25">
      <c r="A1143" s="302"/>
      <c r="B1143" s="303"/>
      <c r="C1143" s="304"/>
      <c r="D1143" s="303"/>
      <c r="E1143" s="305" t="s">
        <v>2299</v>
      </c>
      <c r="F1143" s="311">
        <v>472981.4595</v>
      </c>
      <c r="G1143" s="307"/>
      <c r="I1143" s="303"/>
      <c r="J1143" s="360" t="s">
        <v>2300</v>
      </c>
      <c r="K1143" s="312">
        <v>1056848</v>
      </c>
      <c r="L1143" s="313"/>
      <c r="M1143" s="314"/>
    </row>
    <row r="1144" spans="1:13" x14ac:dyDescent="0.25">
      <c r="L1144" s="216"/>
    </row>
    <row r="1145" spans="1:13" ht="19.5" x14ac:dyDescent="0.25">
      <c r="A1145" s="686" t="s">
        <v>1012</v>
      </c>
      <c r="B1145" s="686"/>
      <c r="C1145" s="686"/>
      <c r="D1145" s="686"/>
      <c r="E1145" s="686"/>
      <c r="F1145" s="686"/>
      <c r="G1145" s="686"/>
      <c r="H1145" s="686"/>
      <c r="I1145" s="686"/>
      <c r="J1145" s="686"/>
      <c r="K1145" s="686"/>
      <c r="L1145" s="540"/>
    </row>
    <row r="1146" spans="1:13" x14ac:dyDescent="0.25">
      <c r="A1146" s="219"/>
      <c r="B1146" s="219"/>
      <c r="C1146" s="219"/>
      <c r="D1146" s="219"/>
      <c r="E1146" s="219"/>
      <c r="F1146" s="219"/>
      <c r="G1146" s="219"/>
      <c r="H1146" s="219"/>
      <c r="I1146" s="219"/>
      <c r="J1146" s="219"/>
    </row>
    <row r="1147" spans="1:13" x14ac:dyDescent="0.25">
      <c r="A1147" s="541" t="s">
        <v>2048</v>
      </c>
      <c r="B1147" s="541" t="s">
        <v>2777</v>
      </c>
      <c r="C1147" s="541" t="s">
        <v>2049</v>
      </c>
      <c r="D1147" s="541" t="s">
        <v>2050</v>
      </c>
      <c r="E1147" s="541" t="s">
        <v>2051</v>
      </c>
      <c r="F1147" s="541" t="s">
        <v>2052</v>
      </c>
      <c r="G1147" s="541" t="s">
        <v>2053</v>
      </c>
      <c r="H1147" s="542" t="s">
        <v>2054</v>
      </c>
      <c r="I1147" s="541" t="s">
        <v>2055</v>
      </c>
      <c r="J1147" s="541"/>
      <c r="K1147" s="541" t="s">
        <v>3039</v>
      </c>
      <c r="L1147" s="541" t="s">
        <v>0</v>
      </c>
      <c r="M1147" s="541" t="s">
        <v>2302</v>
      </c>
    </row>
    <row r="1148" spans="1:13" x14ac:dyDescent="0.25">
      <c r="A1148" s="134">
        <v>1</v>
      </c>
      <c r="B1148" s="134">
        <v>35766</v>
      </c>
      <c r="C1148" s="136" t="s">
        <v>3040</v>
      </c>
      <c r="D1148" s="134" t="s">
        <v>488</v>
      </c>
      <c r="E1148" s="136" t="s">
        <v>115</v>
      </c>
      <c r="F1148" s="138" t="s">
        <v>589</v>
      </c>
      <c r="G1148" s="543" t="s">
        <v>2064</v>
      </c>
      <c r="H1148" s="135">
        <v>41446</v>
      </c>
      <c r="I1148" s="134">
        <v>2</v>
      </c>
      <c r="J1148" s="134"/>
      <c r="K1148" s="544">
        <v>0</v>
      </c>
      <c r="L1148" s="545" t="s">
        <v>36</v>
      </c>
      <c r="M1148" s="155"/>
    </row>
    <row r="1149" spans="1:13" x14ac:dyDescent="0.25">
      <c r="A1149" s="134">
        <v>2</v>
      </c>
      <c r="B1149" s="134">
        <v>35977</v>
      </c>
      <c r="C1149" s="136" t="s">
        <v>3041</v>
      </c>
      <c r="D1149" s="134" t="s">
        <v>488</v>
      </c>
      <c r="E1149" s="136" t="s">
        <v>115</v>
      </c>
      <c r="F1149" s="138" t="s">
        <v>3042</v>
      </c>
      <c r="G1149" s="543" t="s">
        <v>2064</v>
      </c>
      <c r="H1149" s="135">
        <v>41446</v>
      </c>
      <c r="I1149" s="134">
        <v>3</v>
      </c>
      <c r="J1149" s="134"/>
      <c r="K1149" s="544">
        <v>0</v>
      </c>
      <c r="L1149" s="545" t="s">
        <v>36</v>
      </c>
      <c r="M1149" s="155"/>
    </row>
    <row r="1150" spans="1:13" x14ac:dyDescent="0.25">
      <c r="A1150" s="134">
        <v>3</v>
      </c>
      <c r="B1150" s="134">
        <v>38559</v>
      </c>
      <c r="C1150" s="136" t="s">
        <v>3041</v>
      </c>
      <c r="D1150" s="134" t="s">
        <v>488</v>
      </c>
      <c r="E1150" s="136" t="s">
        <v>115</v>
      </c>
      <c r="F1150" s="138" t="s">
        <v>469</v>
      </c>
      <c r="G1150" s="543" t="s">
        <v>2064</v>
      </c>
      <c r="H1150" s="135">
        <v>41459</v>
      </c>
      <c r="I1150" s="134">
        <v>3</v>
      </c>
      <c r="J1150" s="134"/>
      <c r="K1150" s="544">
        <v>0</v>
      </c>
      <c r="L1150" s="545" t="s">
        <v>36</v>
      </c>
      <c r="M1150" s="155"/>
    </row>
    <row r="1151" spans="1:13" x14ac:dyDescent="0.25">
      <c r="A1151" s="134">
        <v>4</v>
      </c>
      <c r="B1151" s="134">
        <v>39322</v>
      </c>
      <c r="C1151" s="136" t="s">
        <v>3043</v>
      </c>
      <c r="D1151" s="134" t="s">
        <v>488</v>
      </c>
      <c r="E1151" s="136" t="s">
        <v>115</v>
      </c>
      <c r="F1151" s="138" t="s">
        <v>3044</v>
      </c>
      <c r="G1151" s="543" t="s">
        <v>2064</v>
      </c>
      <c r="H1151" s="135">
        <v>41460</v>
      </c>
      <c r="I1151" s="134">
        <v>16</v>
      </c>
      <c r="J1151" s="134"/>
      <c r="K1151" s="544">
        <v>0</v>
      </c>
      <c r="L1151" s="545" t="s">
        <v>36</v>
      </c>
      <c r="M1151" s="155"/>
    </row>
    <row r="1152" spans="1:13" s="144" customFormat="1" ht="15" customHeight="1" x14ac:dyDescent="0.25">
      <c r="A1152" s="232">
        <v>1</v>
      </c>
      <c r="B1152" s="232">
        <v>46082</v>
      </c>
      <c r="C1152" s="233" t="s">
        <v>2179</v>
      </c>
      <c r="D1152" s="232" t="s">
        <v>1975</v>
      </c>
      <c r="E1152" s="234" t="s">
        <v>115</v>
      </c>
      <c r="F1152" s="232">
        <v>13</v>
      </c>
      <c r="G1152" s="355" t="s">
        <v>2064</v>
      </c>
      <c r="H1152" s="237">
        <v>41492</v>
      </c>
      <c r="I1152" s="232">
        <v>1</v>
      </c>
      <c r="J1152" s="546">
        <v>5274</v>
      </c>
      <c r="K1152" s="354" t="s">
        <v>1567</v>
      </c>
      <c r="L1152" s="545" t="s">
        <v>42</v>
      </c>
      <c r="M1152" s="547"/>
    </row>
    <row r="1153" spans="1:28" s="144" customFormat="1" ht="15" customHeight="1" x14ac:dyDescent="0.25">
      <c r="A1153" s="232">
        <v>2</v>
      </c>
      <c r="B1153" s="232">
        <v>61054</v>
      </c>
      <c r="C1153" s="233" t="s">
        <v>3045</v>
      </c>
      <c r="D1153" s="232" t="s">
        <v>1981</v>
      </c>
      <c r="E1153" s="234" t="s">
        <v>577</v>
      </c>
      <c r="F1153" s="235" t="s">
        <v>368</v>
      </c>
      <c r="G1153" s="355"/>
      <c r="H1153" s="237">
        <v>41554</v>
      </c>
      <c r="I1153" s="232">
        <v>1</v>
      </c>
      <c r="J1153" s="546">
        <v>25800</v>
      </c>
      <c r="K1153" s="354" t="s">
        <v>1567</v>
      </c>
      <c r="L1153" s="545" t="s">
        <v>42</v>
      </c>
      <c r="M1153" s="547"/>
    </row>
    <row r="1154" spans="1:28" x14ac:dyDescent="0.25">
      <c r="A1154" s="548">
        <v>1</v>
      </c>
      <c r="B1154" s="548">
        <v>79619</v>
      </c>
      <c r="C1154" s="549" t="s">
        <v>1412</v>
      </c>
      <c r="D1154" s="548" t="s">
        <v>488</v>
      </c>
      <c r="E1154" s="549" t="s">
        <v>115</v>
      </c>
      <c r="F1154" s="550">
        <v>41618</v>
      </c>
      <c r="G1154" s="551" t="s">
        <v>439</v>
      </c>
      <c r="H1154" s="552" t="s">
        <v>715</v>
      </c>
      <c r="I1154" s="553">
        <v>1</v>
      </c>
      <c r="J1154" s="554">
        <v>5274</v>
      </c>
      <c r="K1154" s="554" t="s">
        <v>1015</v>
      </c>
      <c r="L1154" s="555" t="s">
        <v>36</v>
      </c>
      <c r="M1154" s="155"/>
    </row>
    <row r="1155" spans="1:28" x14ac:dyDescent="0.25">
      <c r="A1155" s="548">
        <v>2</v>
      </c>
      <c r="B1155" s="548">
        <v>79617</v>
      </c>
      <c r="C1155" s="549" t="s">
        <v>2044</v>
      </c>
      <c r="D1155" s="548" t="s">
        <v>488</v>
      </c>
      <c r="E1155" s="549" t="s">
        <v>115</v>
      </c>
      <c r="F1155" s="550">
        <v>41618</v>
      </c>
      <c r="G1155" s="551" t="s">
        <v>439</v>
      </c>
      <c r="H1155" s="552" t="s">
        <v>486</v>
      </c>
      <c r="I1155" s="553">
        <v>1</v>
      </c>
      <c r="J1155" s="554">
        <v>5274</v>
      </c>
      <c r="K1155" s="554" t="s">
        <v>1015</v>
      </c>
      <c r="L1155" s="555" t="s">
        <v>36</v>
      </c>
      <c r="M1155" s="155"/>
    </row>
    <row r="1156" spans="1:28" s="184" customFormat="1" ht="15" customHeight="1" outlineLevel="1" x14ac:dyDescent="0.25">
      <c r="A1156" s="556">
        <v>1</v>
      </c>
      <c r="B1156" s="556">
        <v>80315</v>
      </c>
      <c r="C1156" s="164" t="s">
        <v>2326</v>
      </c>
      <c r="D1156" s="556" t="s">
        <v>1011</v>
      </c>
      <c r="E1156" s="164" t="s">
        <v>190</v>
      </c>
      <c r="F1156" s="557">
        <v>41621</v>
      </c>
      <c r="G1156" s="558" t="s">
        <v>2327</v>
      </c>
      <c r="H1156" s="559" t="s">
        <v>1014</v>
      </c>
      <c r="I1156" s="560">
        <v>12</v>
      </c>
      <c r="J1156" s="209">
        <v>57960</v>
      </c>
      <c r="K1156" s="209" t="s">
        <v>1015</v>
      </c>
      <c r="L1156" s="561" t="s">
        <v>34</v>
      </c>
      <c r="M1156" s="562"/>
    </row>
    <row r="1157" spans="1:28" s="184" customFormat="1" ht="15" customHeight="1" outlineLevel="1" x14ac:dyDescent="0.25">
      <c r="A1157" s="556">
        <v>4</v>
      </c>
      <c r="B1157" s="556">
        <v>91302</v>
      </c>
      <c r="C1157" s="164" t="s">
        <v>492</v>
      </c>
      <c r="D1157" s="556" t="s">
        <v>488</v>
      </c>
      <c r="E1157" s="164" t="s">
        <v>190</v>
      </c>
      <c r="F1157" s="557">
        <v>41663</v>
      </c>
      <c r="G1157" s="558" t="s">
        <v>407</v>
      </c>
      <c r="H1157" s="559" t="s">
        <v>1014</v>
      </c>
      <c r="I1157" s="560">
        <v>1</v>
      </c>
      <c r="J1157" s="209">
        <v>57960</v>
      </c>
      <c r="K1157" s="209" t="s">
        <v>1015</v>
      </c>
      <c r="L1157" s="561" t="s">
        <v>34</v>
      </c>
      <c r="M1157" s="562"/>
    </row>
    <row r="1158" spans="1:28" s="403" customFormat="1" ht="15" customHeight="1" outlineLevel="1" x14ac:dyDescent="0.2">
      <c r="A1158" s="563">
        <v>1</v>
      </c>
      <c r="B1158" s="563">
        <v>72173</v>
      </c>
      <c r="C1158" s="564" t="s">
        <v>3046</v>
      </c>
      <c r="D1158" s="563" t="s">
        <v>1011</v>
      </c>
      <c r="E1158" s="564" t="s">
        <v>186</v>
      </c>
      <c r="F1158" s="557">
        <v>41596</v>
      </c>
      <c r="G1158" s="558" t="s">
        <v>3047</v>
      </c>
      <c r="H1158" s="559"/>
      <c r="I1158" s="560">
        <v>3</v>
      </c>
      <c r="J1158" s="565">
        <v>42601</v>
      </c>
      <c r="K1158" s="209" t="s">
        <v>1015</v>
      </c>
      <c r="L1158" s="566" t="s">
        <v>34</v>
      </c>
      <c r="M1158" s="567"/>
      <c r="N1158" s="568"/>
      <c r="O1158" s="569"/>
      <c r="P1158" s="569"/>
      <c r="Q1158" s="569"/>
      <c r="R1158" s="569"/>
      <c r="S1158" s="569"/>
      <c r="T1158" s="569"/>
      <c r="U1158" s="569"/>
      <c r="V1158" s="569"/>
      <c r="W1158" s="569"/>
      <c r="X1158" s="569"/>
      <c r="Y1158" s="569"/>
      <c r="Z1158" s="569"/>
      <c r="AA1158" s="569"/>
      <c r="AB1158" s="569"/>
    </row>
    <row r="1159" spans="1:28" s="403" customFormat="1" ht="15" customHeight="1" outlineLevel="1" x14ac:dyDescent="0.2">
      <c r="A1159" s="563">
        <v>2</v>
      </c>
      <c r="B1159" s="563">
        <v>72173</v>
      </c>
      <c r="C1159" s="564" t="s">
        <v>3046</v>
      </c>
      <c r="D1159" s="563" t="s">
        <v>1011</v>
      </c>
      <c r="E1159" s="564" t="s">
        <v>114</v>
      </c>
      <c r="F1159" s="557">
        <v>41596</v>
      </c>
      <c r="G1159" s="558" t="s">
        <v>535</v>
      </c>
      <c r="H1159" s="559"/>
      <c r="I1159" s="560">
        <v>1</v>
      </c>
      <c r="J1159" s="565">
        <v>33370</v>
      </c>
      <c r="K1159" s="209" t="s">
        <v>1015</v>
      </c>
      <c r="L1159" s="566" t="s">
        <v>34</v>
      </c>
      <c r="M1159" s="567"/>
      <c r="N1159" s="568"/>
      <c r="O1159" s="569"/>
      <c r="P1159" s="569"/>
      <c r="Q1159" s="569"/>
      <c r="R1159" s="569"/>
      <c r="S1159" s="569"/>
      <c r="T1159" s="569"/>
      <c r="U1159" s="569"/>
      <c r="V1159" s="569"/>
      <c r="W1159" s="569"/>
      <c r="X1159" s="569"/>
      <c r="Y1159" s="569"/>
      <c r="Z1159" s="569"/>
      <c r="AA1159" s="569"/>
      <c r="AB1159" s="569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UI/customUI.xml><?xml version="1.0" encoding="utf-8"?>
<customUI xmlns="http://schemas.microsoft.com/office/2006/01/customui">
  <ribbon>
    <tabs>
      <tab id="fichaBeraudent" label="BERAUDENT" insertBeforeMso="TabHome">
        <group id="grupoFacturacion" label="Facturacion">
          <button id="botonReporte" label="Reportar" size="large" imageMso="ExportSharePointList" onAction="Módulo2.ir_a_reportes"/>
          <button id="botonImpresion" label="Imprimir" size="large" imageMso="PrintOptionsMenuWord" onAction="Módulo2.ir_a_impresion"/>
          <button id="botonFacturacion" label="Facturar" size="large" imageMso="F" onAction="Módulo2.ir_a_facturacion"/>
          <button id="botonActualizacion" label="Actualizar" size="large" imageMso="Repeat" onAction="Módulo1.actualizar"/>
        </group>
        <group id="grupoIngreso" label="Ingreso">
          <button id="botonAgregar" label="Agregar Fila" size="large" imageMso="AdpOutputOperationsAddToOutput" onAction="Módulo1.agregar_fila_unica_tabla"/>
          <button id="botonFinalIngreso" label="Final Ingresos" size="large" imageMso="PageNext" onAction="Módulo1.final_ingreso_unica_tabla"/>
          <button id="botonFinalProceso" label="Final Procesos" size="large" imageMso="ObjectNudgeDown" onAction="Módulo1.final_procesos"/>
          <button id="botonCambiarHoja" label="Cambiar Hoja" size="large" imageMso="ReplicationRecoverDesignMaster" onAction="Módulo2.ir_a_hoja"/>
        </group>
      </tab>
    </tabs>
  </ribbon>
</customUI>
</file>

<file path=customUI/customUI14.xml><?xml version="1.0" encoding="utf-8"?>
<customUI xmlns="http://schemas.microsoft.com/office/2009/07/customui">
  <ribbon>
    <tabs>
      <tab id="fichaBeraudent" label="BERAUDENT" insertBeforeMso="TabHome">
        <group id="grupoFacturacion" label="Facturacion">
          <button id="botonReporte" label="Reportar" size="large" imageMso="ExportSharePointList" onAction="Módulo2.ir_a_reportes"/>
          <button id="botonImpresion" label="Imprimir" size="large" imageMso="PrintOptionsMenuWord" onAction="Módulo2.ir_a_impresion"/>
          <button id="botonFacturacion" label="Facturar" size="large" imageMso="F" onAction="Módulo2.ir_a_facturacion"/>
          <button id="botonActualizacion" label="Actualizar" size="large" imageMso="Repeat" onAction="Módulo1.actualizar"/>
        </group>
        <group id="grupoIngreso" label="Ingreso">
          <button id="botonAgregar" label="Agregar Fila" size="large" imageMso="AdpOutputOperationsAddToOutput" onAction="Módulo1.agregar_fila_unica_tabla"/>
          <button id="botonFinalIngreso" label="Final Ingresos" size="large" imageMso="PageNext" onAction="Módulo1.final_ingreso_unica_tabla"/>
          <button id="botonFinalProceso" label="Final Procesos" size="large" imageMso="ObjectNudgeDown" onAction="Módulo1.final_procesos"/>
          <button id="botonCambiarHoja" label="Cambiar Hoja" size="large" imageMso="ReplicationRecoverDesignMaster" onAction="Módulo2.ir_a_hoj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PAGOSLIBRO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2015-01-20T18:59:47Z</cp:lastPrinted>
  <dcterms:created xsi:type="dcterms:W3CDTF">2014-12-18T14:07:09Z</dcterms:created>
  <dcterms:modified xsi:type="dcterms:W3CDTF">2015-01-28T21:18:14Z</dcterms:modified>
</cp:coreProperties>
</file>