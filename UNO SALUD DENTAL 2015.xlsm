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Diego\c\ESTADOS DE CUENTA\8. ESTADOS DE CUENTA 2015\1. CENTROS ESPECIALES 2015\"/>
    </mc:Choice>
  </mc:AlternateContent>
  <bookViews>
    <workbookView xWindow="0" yWindow="0" windowWidth="19320" windowHeight="7905" tabRatio="739" firstSheet="3" activeTab="3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COYANCURA!$A$9:$M$9</definedName>
    <definedName name="_xlnm._FilterDatabase" localSheetId="12" hidden="1">DATOS!$A$1:$N$1</definedName>
    <definedName name="_xlnm._FilterDatabase" localSheetId="1" hidden="1">'ESTACION CENTRAL'!$A$9:$M$9</definedName>
    <definedName name="_xlnm._FilterDatabase" localSheetId="10" hidden="1">FACTURACION!$A$1:$J$1</definedName>
    <definedName name="_xlnm._FilterDatabase" localSheetId="2" hidden="1">'LA CONCEPCION'!$A$9:$M$9</definedName>
    <definedName name="_xlnm._FilterDatabase" localSheetId="3" hidden="1">'LA FLORIDA'!$A$9:$M$9</definedName>
    <definedName name="_xlnm._FilterDatabase" localSheetId="4" hidden="1">MAIPU!$A$9:$M$9</definedName>
    <definedName name="_xlnm._FilterDatabase" localSheetId="5" hidden="1">MONEDA!$A$9:$M$9</definedName>
    <definedName name="_xlnm._FilterDatabase" localSheetId="9" hidden="1">PLANILLA!$A$9:$M$9</definedName>
    <definedName name="_xlnm._FilterDatabase" localSheetId="6" hidden="1">'PUERTO MONTT'!$A$9:$M$9</definedName>
    <definedName name="_xlnm._FilterDatabase" localSheetId="7" hidden="1">'SAN BERNARDO'!$A$9:$M$9</definedName>
    <definedName name="_xlnm._FilterDatabase" localSheetId="8" hidden="1">'SANTA LUCIA'!$A$9:$M$9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9" i="15" l="1"/>
  <c r="J39" i="15"/>
  <c r="K38" i="15"/>
  <c r="J38" i="15"/>
  <c r="J36" i="15"/>
  <c r="K36" i="15" s="1"/>
  <c r="K35" i="15"/>
  <c r="K37" i="15"/>
  <c r="J37" i="15"/>
  <c r="J34" i="15"/>
  <c r="K34" i="15" s="1"/>
  <c r="K33" i="19"/>
  <c r="J33" i="19"/>
  <c r="K32" i="19"/>
  <c r="J32" i="19"/>
  <c r="K57" i="21"/>
  <c r="J57" i="21"/>
  <c r="K56" i="21"/>
  <c r="J56" i="21"/>
  <c r="K55" i="21"/>
  <c r="J55" i="21"/>
  <c r="K54" i="21"/>
  <c r="J54" i="2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J46" i="21"/>
  <c r="K46" i="21" s="1"/>
  <c r="K25" i="18"/>
  <c r="J25" i="18"/>
  <c r="K24" i="18"/>
  <c r="J24" i="18"/>
  <c r="K23" i="18"/>
  <c r="J23" i="18"/>
  <c r="K45" i="17"/>
  <c r="J45" i="17"/>
  <c r="J44" i="17"/>
  <c r="K44" i="17" s="1"/>
  <c r="J43" i="17"/>
  <c r="K43" i="17" s="1"/>
  <c r="K29" i="16"/>
  <c r="J29" i="16"/>
  <c r="K28" i="16"/>
  <c r="J28" i="16"/>
  <c r="K27" i="16"/>
  <c r="J27" i="16"/>
  <c r="K48" i="17" l="1"/>
  <c r="J48" i="17"/>
  <c r="K47" i="17"/>
  <c r="J47" i="17"/>
  <c r="J22" i="18" l="1"/>
  <c r="K22" i="18" s="1"/>
  <c r="J21" i="18"/>
  <c r="K21" i="18" s="1"/>
  <c r="J33" i="15"/>
  <c r="K33" i="15" s="1"/>
  <c r="J32" i="15"/>
  <c r="K32" i="15" s="1"/>
  <c r="J31" i="15"/>
  <c r="K31" i="15" s="1"/>
  <c r="J24" i="19" l="1"/>
  <c r="K24" i="19" s="1"/>
  <c r="J25" i="19"/>
  <c r="K25" i="19" s="1"/>
  <c r="J26" i="19"/>
  <c r="K26" i="19" s="1"/>
  <c r="J27" i="19"/>
  <c r="K27" i="19" s="1"/>
  <c r="J28" i="19"/>
  <c r="K28" i="19" s="1"/>
  <c r="J20" i="19"/>
  <c r="K20" i="19" s="1"/>
  <c r="J21" i="19"/>
  <c r="K21" i="19" s="1"/>
  <c r="J22" i="19"/>
  <c r="K22" i="19" s="1"/>
  <c r="J23" i="19"/>
  <c r="K23" i="19" s="1"/>
  <c r="J29" i="19"/>
  <c r="K29" i="19" s="1"/>
  <c r="J35" i="21"/>
  <c r="K35" i="21" s="1"/>
  <c r="J36" i="21"/>
  <c r="K36" i="21" s="1"/>
  <c r="J37" i="21"/>
  <c r="K37" i="21" s="1"/>
  <c r="J38" i="21"/>
  <c r="K38" i="21" s="1"/>
  <c r="J39" i="21"/>
  <c r="K39" i="21" s="1"/>
  <c r="J40" i="21"/>
  <c r="K40" i="21" s="1"/>
  <c r="J34" i="21"/>
  <c r="K34" i="21" s="1"/>
  <c r="K41" i="21"/>
  <c r="K42" i="21"/>
  <c r="J43" i="21"/>
  <c r="K43" i="21" s="1"/>
  <c r="J29" i="21"/>
  <c r="K29" i="21" s="1"/>
  <c r="J30" i="21"/>
  <c r="K30" i="21" s="1"/>
  <c r="J31" i="21"/>
  <c r="K31" i="21" s="1"/>
  <c r="J32" i="21"/>
  <c r="K32" i="21" s="1"/>
  <c r="J24" i="21"/>
  <c r="K24" i="21" s="1"/>
  <c r="J25" i="21"/>
  <c r="K25" i="21" s="1"/>
  <c r="J26" i="21"/>
  <c r="K26" i="21" s="1"/>
  <c r="J27" i="21"/>
  <c r="K27" i="21" s="1"/>
  <c r="J18" i="21"/>
  <c r="K18" i="21" s="1"/>
  <c r="J19" i="21"/>
  <c r="K19" i="21" s="1"/>
  <c r="J20" i="21"/>
  <c r="K20" i="21" s="1"/>
  <c r="J21" i="21"/>
  <c r="K21" i="21" s="1"/>
  <c r="J22" i="21"/>
  <c r="K22" i="21" s="1"/>
  <c r="J23" i="21"/>
  <c r="K23" i="21" s="1"/>
  <c r="J37" i="17"/>
  <c r="K37" i="17" s="1"/>
  <c r="J38" i="17"/>
  <c r="K38" i="17" s="1"/>
  <c r="J39" i="17"/>
  <c r="K39" i="17" s="1"/>
  <c r="J40" i="17"/>
  <c r="K40" i="17" s="1"/>
  <c r="J33" i="17"/>
  <c r="K33" i="17" s="1"/>
  <c r="J34" i="17"/>
  <c r="K34" i="17" s="1"/>
  <c r="J35" i="17"/>
  <c r="K35" i="17" s="1"/>
  <c r="J28" i="17"/>
  <c r="K28" i="17" s="1"/>
  <c r="J29" i="17"/>
  <c r="K29" i="17" s="1"/>
  <c r="J30" i="17"/>
  <c r="K30" i="17" s="1"/>
  <c r="J31" i="17"/>
  <c r="K31" i="17" s="1"/>
  <c r="J32" i="17"/>
  <c r="K32" i="17" s="1"/>
  <c r="J20" i="17"/>
  <c r="K20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36" i="17"/>
  <c r="K36" i="17" s="1"/>
  <c r="J41" i="17"/>
  <c r="K41" i="17" s="1"/>
  <c r="J42" i="17"/>
  <c r="K42" i="17" s="1"/>
  <c r="J19" i="16"/>
  <c r="K19" i="16" s="1"/>
  <c r="J20" i="16"/>
  <c r="K20" i="16" s="1"/>
  <c r="J21" i="16"/>
  <c r="K21" i="16" s="1"/>
  <c r="J22" i="16"/>
  <c r="K22" i="16" s="1"/>
  <c r="J23" i="16"/>
  <c r="K23" i="16" s="1"/>
  <c r="J24" i="16"/>
  <c r="K24" i="16" s="1"/>
  <c r="K17" i="25"/>
  <c r="J17" i="25"/>
  <c r="K16" i="25"/>
  <c r="J16" i="25"/>
  <c r="K15" i="25"/>
  <c r="J15" i="25"/>
  <c r="K14" i="25"/>
  <c r="J14" i="25"/>
  <c r="K13" i="25"/>
  <c r="J13" i="25"/>
  <c r="K12" i="25"/>
  <c r="J12" i="25"/>
  <c r="J11" i="25"/>
  <c r="K11" i="25" s="1"/>
  <c r="J10" i="25"/>
  <c r="K10" i="25" s="1"/>
  <c r="I8" i="25"/>
  <c r="C8" i="25"/>
  <c r="I7" i="25"/>
  <c r="C7" i="25"/>
  <c r="I6" i="25"/>
  <c r="C6" i="25"/>
  <c r="I5" i="25"/>
  <c r="C5" i="25"/>
  <c r="I4" i="25"/>
  <c r="C4" i="25"/>
  <c r="I3" i="25"/>
  <c r="C3" i="25"/>
  <c r="J25" i="15"/>
  <c r="K25" i="15" s="1"/>
  <c r="J26" i="15"/>
  <c r="K26" i="15" s="1"/>
  <c r="J27" i="15"/>
  <c r="K27" i="15" s="1"/>
  <c r="J28" i="15"/>
  <c r="K28" i="15" s="1"/>
  <c r="J20" i="15"/>
  <c r="K20" i="15" s="1"/>
  <c r="J21" i="15"/>
  <c r="K21" i="15" s="1"/>
  <c r="J22" i="15"/>
  <c r="K22" i="15" s="1"/>
  <c r="J23" i="15"/>
  <c r="K23" i="15" s="1"/>
  <c r="J16" i="15"/>
  <c r="K16" i="15" s="1"/>
  <c r="J17" i="15"/>
  <c r="K17" i="15" s="1"/>
  <c r="J18" i="15"/>
  <c r="K18" i="15" s="1"/>
  <c r="J19" i="15"/>
  <c r="K19" i="15" s="1"/>
  <c r="J24" i="15"/>
  <c r="K24" i="15" s="1"/>
  <c r="C3" i="24"/>
  <c r="K17" i="24"/>
  <c r="J17" i="24"/>
  <c r="K16" i="24"/>
  <c r="J16" i="24"/>
  <c r="K15" i="24"/>
  <c r="J15" i="24"/>
  <c r="K14" i="24"/>
  <c r="J14" i="24"/>
  <c r="K13" i="24"/>
  <c r="J13" i="24"/>
  <c r="K12" i="24"/>
  <c r="J12" i="24"/>
  <c r="K11" i="24"/>
  <c r="J10" i="24"/>
  <c r="K10" i="24" s="1"/>
  <c r="I8" i="24"/>
  <c r="C8" i="24"/>
  <c r="I7" i="24"/>
  <c r="C7" i="24"/>
  <c r="I6" i="24"/>
  <c r="C6" i="24"/>
  <c r="I5" i="24"/>
  <c r="C5" i="24"/>
  <c r="I4" i="24"/>
  <c r="C4" i="24"/>
  <c r="I3" i="24"/>
  <c r="K12" i="18" l="1"/>
  <c r="K11" i="18"/>
  <c r="K10" i="18"/>
  <c r="K13" i="19" l="1"/>
  <c r="K12" i="19"/>
  <c r="K11" i="19"/>
  <c r="K10" i="19"/>
  <c r="K12" i="16" l="1"/>
  <c r="K11" i="16"/>
  <c r="K10" i="16"/>
  <c r="J45" i="21" l="1"/>
  <c r="K45" i="21" s="1"/>
  <c r="J44" i="21"/>
  <c r="K44" i="21" s="1"/>
  <c r="J33" i="21"/>
  <c r="K33" i="21" s="1"/>
  <c r="J11" i="21"/>
  <c r="K11" i="21" s="1"/>
  <c r="J28" i="21"/>
  <c r="K28" i="21" s="1"/>
  <c r="J17" i="21"/>
  <c r="K17" i="21" s="1"/>
  <c r="J16" i="21"/>
  <c r="K16" i="21" s="1"/>
  <c r="J15" i="21"/>
  <c r="K15" i="21" s="1"/>
  <c r="J14" i="21"/>
  <c r="K14" i="21" s="1"/>
  <c r="J13" i="21"/>
  <c r="K13" i="21" s="1"/>
  <c r="J12" i="21"/>
  <c r="K12" i="21" s="1"/>
  <c r="J10" i="21"/>
  <c r="K10" i="21" s="1"/>
  <c r="I8" i="21"/>
  <c r="C8" i="21"/>
  <c r="I7" i="21"/>
  <c r="C7" i="21"/>
  <c r="I6" i="21"/>
  <c r="C6" i="21"/>
  <c r="I5" i="21"/>
  <c r="C5" i="21"/>
  <c r="I4" i="21"/>
  <c r="C4" i="21"/>
  <c r="I3" i="21"/>
  <c r="C3" i="21"/>
  <c r="K16" i="20"/>
  <c r="J16" i="20"/>
  <c r="K15" i="20"/>
  <c r="J15" i="20"/>
  <c r="J14" i="20"/>
  <c r="K14" i="20" s="1"/>
  <c r="J13" i="20"/>
  <c r="K13" i="20" s="1"/>
  <c r="J12" i="20"/>
  <c r="K12" i="20" s="1"/>
  <c r="J11" i="20"/>
  <c r="K11" i="20" s="1"/>
  <c r="J10" i="20"/>
  <c r="K10" i="20" s="1"/>
  <c r="I8" i="20"/>
  <c r="C8" i="20"/>
  <c r="I7" i="20"/>
  <c r="C7" i="20"/>
  <c r="I6" i="20"/>
  <c r="C6" i="20"/>
  <c r="I5" i="20"/>
  <c r="C5" i="20"/>
  <c r="I4" i="20"/>
  <c r="C4" i="20"/>
  <c r="I3" i="20"/>
  <c r="C3" i="20"/>
  <c r="K31" i="19" l="1"/>
  <c r="J31" i="19"/>
  <c r="K30" i="19"/>
  <c r="J30" i="19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I8" i="19"/>
  <c r="C8" i="19"/>
  <c r="I7" i="19"/>
  <c r="C7" i="19"/>
  <c r="I6" i="19"/>
  <c r="C6" i="19"/>
  <c r="I5" i="19"/>
  <c r="C5" i="19"/>
  <c r="I4" i="19"/>
  <c r="C4" i="19"/>
  <c r="I3" i="19"/>
  <c r="C3" i="19"/>
  <c r="K20" i="18"/>
  <c r="K19" i="18"/>
  <c r="J18" i="18"/>
  <c r="K18" i="18" s="1"/>
  <c r="J17" i="18"/>
  <c r="K17" i="18" s="1"/>
  <c r="J16" i="18"/>
  <c r="K16" i="18" s="1"/>
  <c r="J15" i="18"/>
  <c r="K15" i="18" s="1"/>
  <c r="J14" i="18"/>
  <c r="K14" i="18" s="1"/>
  <c r="J13" i="18"/>
  <c r="K13" i="18" s="1"/>
  <c r="I8" i="18"/>
  <c r="C8" i="18"/>
  <c r="I7" i="18"/>
  <c r="C7" i="18"/>
  <c r="I6" i="18"/>
  <c r="C6" i="18"/>
  <c r="I5" i="18"/>
  <c r="C5" i="18"/>
  <c r="I4" i="18"/>
  <c r="C4" i="18"/>
  <c r="I3" i="18"/>
  <c r="C3" i="18"/>
  <c r="J17" i="17"/>
  <c r="K17" i="17" s="1"/>
  <c r="K16" i="17"/>
  <c r="J15" i="17"/>
  <c r="K15" i="17" s="1"/>
  <c r="K12" i="11"/>
  <c r="K46" i="17" l="1"/>
  <c r="J46" i="17"/>
  <c r="J19" i="17"/>
  <c r="K19" i="17" s="1"/>
  <c r="J18" i="17"/>
  <c r="K18" i="17" s="1"/>
  <c r="J14" i="17"/>
  <c r="K14" i="17" s="1"/>
  <c r="J13" i="17"/>
  <c r="K13" i="17" s="1"/>
  <c r="J12" i="17"/>
  <c r="K12" i="17" s="1"/>
  <c r="J11" i="17"/>
  <c r="K11" i="17" s="1"/>
  <c r="J10" i="17"/>
  <c r="K10" i="17" s="1"/>
  <c r="I8" i="17"/>
  <c r="C8" i="17"/>
  <c r="I7" i="17"/>
  <c r="C7" i="17"/>
  <c r="I6" i="17"/>
  <c r="C6" i="17"/>
  <c r="I5" i="17"/>
  <c r="C5" i="17"/>
  <c r="I4" i="17"/>
  <c r="C4" i="17"/>
  <c r="I3" i="17"/>
  <c r="C3" i="17"/>
  <c r="K26" i="16" l="1"/>
  <c r="J26" i="16"/>
  <c r="J25" i="16"/>
  <c r="K25" i="16" s="1"/>
  <c r="J18" i="16"/>
  <c r="K18" i="16" s="1"/>
  <c r="J17" i="16"/>
  <c r="K17" i="16" s="1"/>
  <c r="J16" i="16"/>
  <c r="K16" i="16" s="1"/>
  <c r="J15" i="16"/>
  <c r="K15" i="16" s="1"/>
  <c r="J14" i="16"/>
  <c r="K14" i="16" s="1"/>
  <c r="J13" i="16"/>
  <c r="K13" i="16" s="1"/>
  <c r="I8" i="16"/>
  <c r="C8" i="16"/>
  <c r="I7" i="16"/>
  <c r="C7" i="16"/>
  <c r="I6" i="16"/>
  <c r="C6" i="16"/>
  <c r="I5" i="16"/>
  <c r="C5" i="16"/>
  <c r="I4" i="16"/>
  <c r="C4" i="16"/>
  <c r="I3" i="16"/>
  <c r="C3" i="16"/>
  <c r="J30" i="15"/>
  <c r="K30" i="15" s="1"/>
  <c r="J29" i="15"/>
  <c r="K29" i="15" s="1"/>
  <c r="J15" i="15"/>
  <c r="K15" i="15" s="1"/>
  <c r="J14" i="15"/>
  <c r="K14" i="15" s="1"/>
  <c r="J13" i="15"/>
  <c r="K13" i="15" s="1"/>
  <c r="J12" i="15"/>
  <c r="K12" i="15" s="1"/>
  <c r="J11" i="15"/>
  <c r="K11" i="15" s="1"/>
  <c r="J10" i="15"/>
  <c r="K10" i="15" s="1"/>
  <c r="I8" i="15"/>
  <c r="C8" i="15"/>
  <c r="I7" i="15"/>
  <c r="C7" i="15"/>
  <c r="I6" i="15"/>
  <c r="C6" i="15"/>
  <c r="I5" i="15"/>
  <c r="C5" i="15"/>
  <c r="I4" i="15"/>
  <c r="C4" i="15"/>
  <c r="I3" i="15"/>
  <c r="C3" i="15"/>
  <c r="K14" i="11" l="1"/>
  <c r="J14" i="11"/>
  <c r="K15" i="11"/>
  <c r="J15" i="11"/>
  <c r="K16" i="11"/>
  <c r="J16" i="11"/>
  <c r="K17" i="11"/>
  <c r="J17" i="11"/>
  <c r="J13" i="11"/>
  <c r="K13" i="11" s="1"/>
  <c r="J11" i="11" l="1"/>
  <c r="K11" i="11" s="1"/>
  <c r="J12" i="11"/>
  <c r="J10" i="11"/>
  <c r="K10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<sst xmlns="http://schemas.openxmlformats.org/spreadsheetml/2006/main" count="18365" uniqueCount="3186">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</sst>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48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16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9" topLeftCell="A10" activePane="bottomLeft" state="frozen"/>
      <selection activeCell="C16" sqref="C16"/>
      <selection pane="bottomLeft" activeCell="J11" sqref="J11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7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SOC. PRESTADORA DE SERVICIOS ODONTOLÓGICOS UNO SALUD LTDA.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76.110.234-6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>COYANCURA 2229 - PROVIDENCIA</v>
      </c>
      <c r="H5" s="575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PATRICIA CIFUENTES
GRACIELA PAVEZ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DENTAL LTDA.</v>
      </c>
      <c r="H7" s="575" t="s">
        <v>164</v>
      </c>
      <c r="I7" s="95" t="str">
        <f>IFERROR(VLOOKUP($A$2,DATOS!$A$2:$N$14,12,FALSE),"SUCURSAL NO ENCONTRADA")</f>
        <v>pcifuentes@unosalud.cl</v>
      </c>
    </row>
    <row r="8" spans="1:13" ht="14.25" hidden="1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7638923
22 7638924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898056</v>
      </c>
      <c r="C10" s="94">
        <v>42021</v>
      </c>
      <c r="D10" s="92" t="s">
        <v>3052</v>
      </c>
      <c r="E10" s="91" t="s">
        <v>590</v>
      </c>
      <c r="F10" s="92" t="s">
        <v>846</v>
      </c>
      <c r="G10" s="9"/>
      <c r="H10" s="12" t="s">
        <v>369</v>
      </c>
      <c r="I10" s="120">
        <v>1</v>
      </c>
      <c r="J10" s="87">
        <f>IF(F10="","",VLOOKUP(F10,ARANCEL!$E$2:$F$123,2,FALSE))</f>
        <v>334719</v>
      </c>
      <c r="K10" s="88">
        <f t="shared" ref="K10:K17" si="0">IF(I10=0,"",J10*I10)</f>
        <v>334719</v>
      </c>
      <c r="L10" s="12"/>
      <c r="M10" s="93" t="s">
        <v>3053</v>
      </c>
    </row>
    <row r="11" spans="1:13" x14ac:dyDescent="0.25">
      <c r="A11" s="91">
        <v>2</v>
      </c>
      <c r="B11" s="91">
        <v>90062</v>
      </c>
      <c r="C11" s="94">
        <v>42023</v>
      </c>
      <c r="D11" s="92" t="s">
        <v>621</v>
      </c>
      <c r="E11" s="91" t="s">
        <v>590</v>
      </c>
      <c r="F11" s="92" t="s">
        <v>624</v>
      </c>
      <c r="G11" s="9"/>
      <c r="H11" s="12" t="s">
        <v>371</v>
      </c>
      <c r="I11" s="120">
        <v>5</v>
      </c>
      <c r="J11" s="87">
        <v>45147</v>
      </c>
      <c r="K11" s="88">
        <f t="shared" si="0"/>
        <v>225735</v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9" t="s">
        <v>366</v>
      </c>
      <c r="B20" s="589"/>
      <c r="C20" s="589"/>
      <c r="D20" s="589"/>
      <c r="E20" s="589"/>
      <c r="F20" s="589"/>
      <c r="G20" s="589"/>
      <c r="H20" s="589"/>
      <c r="I20" s="589"/>
      <c r="J20" s="589"/>
      <c r="K20" s="589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85"/>
  <sheetViews>
    <sheetView zoomScale="85" zoomScaleNormal="85" workbookViewId="0">
      <pane ySplit="9" topLeftCell="A49" activePane="bottomLeft" state="frozen"/>
      <selection activeCell="C16" sqref="C16"/>
      <selection pane="bottomLeft" activeCell="F32" sqref="F3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21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 xml:space="preserve">SOC. ODONTOLÓGICA UNO SALUD ESTACIÓN CENTRAL LTDA. </v>
      </c>
      <c r="H3" s="98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76.244.474-7</v>
      </c>
      <c r="H4" s="9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 xml:space="preserve">PASEO ARAUCO ESTACIÓN SAN FRANCISCO DE BORJA 122 LOCAL S-122 A </v>
      </c>
      <c r="H5" s="98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98" t="s">
        <v>167</v>
      </c>
      <c r="I6" s="95" t="str">
        <f>IFERROR(VLOOKUP($A$2,DATOS!$A$2:$N$14,11,FALSE),"SUCURSAL NO ENCONTRADA")</f>
        <v>JAVIER JARPA
DIANA GUZMAN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ESTACIÓN CENTRAL LTDA.</v>
      </c>
      <c r="H7" s="98" t="s">
        <v>164</v>
      </c>
      <c r="I7" s="95" t="str">
        <f>IFERROR(VLOOKUP($A$2,DATOS!$A$2:$N$14,12,FALSE),"SUCURSAL NO ENCONTRADA")</f>
        <v>jjarpa@unosalud.cl</v>
      </c>
    </row>
    <row r="8" spans="1:13" ht="14.25" hidden="1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163</v>
      </c>
      <c r="I8" s="95" t="str">
        <f>IFERROR(VLOOKUP($A$2,DATOS!$A$2:$N$14,13,FALSE),"SUCURSAL NO ENCONTRADA")</f>
        <v>22 7638941
22 7638942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85889</v>
      </c>
      <c r="C10" s="94">
        <v>42010</v>
      </c>
      <c r="D10" s="92" t="s">
        <v>437</v>
      </c>
      <c r="E10" s="91" t="s">
        <v>389</v>
      </c>
      <c r="F10" s="92" t="s">
        <v>357</v>
      </c>
      <c r="G10" s="9"/>
      <c r="H10" s="12" t="s">
        <v>371</v>
      </c>
      <c r="I10" s="120">
        <v>1</v>
      </c>
      <c r="J10" s="87">
        <f>IF(F10="","",VLOOKUP(F10,ARANCEL!$E$2:$F$123,2,FALSE))</f>
        <v>25800.249999999996</v>
      </c>
      <c r="K10" s="88">
        <f t="shared" ref="K10:K30" si="0">IF(I10=0,"",J10*I10)</f>
        <v>25800.249999999996</v>
      </c>
      <c r="L10" s="12"/>
      <c r="M10" s="93"/>
    </row>
    <row r="11" spans="1:13" x14ac:dyDescent="0.25">
      <c r="A11" s="91">
        <v>2</v>
      </c>
      <c r="B11" s="91">
        <v>85299</v>
      </c>
      <c r="C11" s="94">
        <v>42004</v>
      </c>
      <c r="D11" s="92" t="s">
        <v>403</v>
      </c>
      <c r="E11" s="91" t="s">
        <v>389</v>
      </c>
      <c r="F11" s="92" t="s">
        <v>115</v>
      </c>
      <c r="G11" s="9"/>
      <c r="H11" s="12" t="s">
        <v>404</v>
      </c>
      <c r="I11" s="120">
        <v>1</v>
      </c>
      <c r="J11" s="87">
        <f>IF(F11="","",VLOOKUP(F11,ARANCEL!$E$2:$F$123,2,FALSE))</f>
        <v>33370.239999999998</v>
      </c>
      <c r="K11" s="88">
        <f t="shared" si="0"/>
        <v>33370.239999999998</v>
      </c>
      <c r="L11" s="12"/>
      <c r="M11" s="93"/>
    </row>
    <row r="12" spans="1:13" x14ac:dyDescent="0.25">
      <c r="A12" s="91">
        <v>3</v>
      </c>
      <c r="B12" s="91">
        <v>87187</v>
      </c>
      <c r="C12" s="94">
        <v>42013</v>
      </c>
      <c r="D12" s="92" t="s">
        <v>3054</v>
      </c>
      <c r="E12" s="91" t="s">
        <v>381</v>
      </c>
      <c r="F12" s="92" t="s">
        <v>217</v>
      </c>
      <c r="G12" s="9"/>
      <c r="H12" s="12" t="s">
        <v>371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12"/>
      <c r="M12" s="93"/>
    </row>
    <row r="13" spans="1:13" x14ac:dyDescent="0.25">
      <c r="A13" s="91">
        <v>4</v>
      </c>
      <c r="B13" s="102">
        <v>87204</v>
      </c>
      <c r="C13" s="103">
        <v>42013</v>
      </c>
      <c r="D13" s="104" t="s">
        <v>850</v>
      </c>
      <c r="E13" s="102" t="s">
        <v>381</v>
      </c>
      <c r="F13" s="104" t="s">
        <v>237</v>
      </c>
      <c r="G13" s="105"/>
      <c r="H13" s="99" t="s">
        <v>371</v>
      </c>
      <c r="I13" s="106">
        <v>1</v>
      </c>
      <c r="J13" s="87">
        <f>IF(F13="","",VLOOKUP(F13,ARANCEL!$E$2:$F$123,2,FALSE))</f>
        <v>10400.599999999999</v>
      </c>
      <c r="K13" s="101">
        <f t="shared" si="0"/>
        <v>10400.599999999999</v>
      </c>
      <c r="L13" s="99"/>
      <c r="M13" s="100" t="s">
        <v>3055</v>
      </c>
    </row>
    <row r="14" spans="1:13" x14ac:dyDescent="0.25">
      <c r="A14" s="91">
        <v>5</v>
      </c>
      <c r="B14" s="102">
        <v>86973</v>
      </c>
      <c r="C14" s="103">
        <v>42013</v>
      </c>
      <c r="D14" s="104" t="s">
        <v>406</v>
      </c>
      <c r="E14" s="102" t="s">
        <v>389</v>
      </c>
      <c r="F14" s="104" t="s">
        <v>116</v>
      </c>
      <c r="G14" s="105"/>
      <c r="H14" s="99" t="s">
        <v>2963</v>
      </c>
      <c r="I14" s="106">
        <v>2</v>
      </c>
      <c r="J14" s="87">
        <f>IF(F14="","",VLOOKUP(F14,ARANCEL!$E$2:$F$123,2,FALSE))</f>
        <v>5274.3600000000006</v>
      </c>
      <c r="K14" s="101">
        <f t="shared" si="0"/>
        <v>10548.720000000001</v>
      </c>
      <c r="L14" s="99"/>
      <c r="M14" s="100"/>
    </row>
    <row r="15" spans="1:13" x14ac:dyDescent="0.25">
      <c r="A15" s="91">
        <v>6</v>
      </c>
      <c r="B15" s="102">
        <v>86546</v>
      </c>
      <c r="C15" s="103">
        <v>42013</v>
      </c>
      <c r="D15" s="104" t="s">
        <v>406</v>
      </c>
      <c r="E15" s="102" t="s">
        <v>389</v>
      </c>
      <c r="F15" s="104" t="s">
        <v>115</v>
      </c>
      <c r="G15" s="105"/>
      <c r="H15" s="99" t="s">
        <v>407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99"/>
      <c r="M15" s="100"/>
    </row>
    <row r="16" spans="1:13" x14ac:dyDescent="0.25">
      <c r="A16" s="102">
        <v>7</v>
      </c>
      <c r="B16" s="102">
        <v>85854</v>
      </c>
      <c r="C16" s="103">
        <v>42012</v>
      </c>
      <c r="D16" s="104" t="s">
        <v>3056</v>
      </c>
      <c r="E16" s="102" t="s">
        <v>478</v>
      </c>
      <c r="F16" s="104" t="s">
        <v>116</v>
      </c>
      <c r="G16" s="105"/>
      <c r="H16" s="99" t="s">
        <v>442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102">
        <v>8</v>
      </c>
      <c r="B17" s="102">
        <v>87619</v>
      </c>
      <c r="C17" s="103">
        <v>42016</v>
      </c>
      <c r="D17" s="104" t="s">
        <v>3056</v>
      </c>
      <c r="E17" s="102" t="s">
        <v>478</v>
      </c>
      <c r="F17" s="104" t="s">
        <v>116</v>
      </c>
      <c r="G17" s="105"/>
      <c r="H17" s="99" t="s">
        <v>1023</v>
      </c>
      <c r="I17" s="106">
        <v>3</v>
      </c>
      <c r="J17" s="87">
        <f>IF(F17="","",VLOOKUP(F17,ARANCEL!$E$2:$F$123,2,FALSE))</f>
        <v>5274.3600000000006</v>
      </c>
      <c r="K17" s="101">
        <f t="shared" si="0"/>
        <v>15823.080000000002</v>
      </c>
      <c r="L17" s="99"/>
      <c r="M17" s="100"/>
    </row>
    <row r="18" spans="1:13" x14ac:dyDescent="0.25">
      <c r="A18" s="102">
        <v>9</v>
      </c>
      <c r="B18" s="102">
        <v>88306</v>
      </c>
      <c r="C18" s="103">
        <v>42018</v>
      </c>
      <c r="D18" s="104" t="s">
        <v>3059</v>
      </c>
      <c r="E18" s="102" t="s">
        <v>478</v>
      </c>
      <c r="F18" s="104" t="s">
        <v>116</v>
      </c>
      <c r="G18" s="105"/>
      <c r="H18" s="99" t="s">
        <v>534</v>
      </c>
      <c r="I18" s="106">
        <v>1</v>
      </c>
      <c r="J18" s="87">
        <f>IF(F18="","",VLOOKUP(F18,ARANCEL!$E$2:$F$123,2,FALSE))</f>
        <v>5274.3600000000006</v>
      </c>
      <c r="K18" s="101">
        <f t="shared" si="0"/>
        <v>5274.3600000000006</v>
      </c>
      <c r="L18" s="99"/>
      <c r="M18" s="100"/>
    </row>
    <row r="19" spans="1:13" x14ac:dyDescent="0.25">
      <c r="A19" s="102">
        <v>10</v>
      </c>
      <c r="B19" s="102">
        <v>88306</v>
      </c>
      <c r="C19" s="103">
        <v>42018</v>
      </c>
      <c r="D19" s="104" t="s">
        <v>3059</v>
      </c>
      <c r="E19" s="102" t="s">
        <v>478</v>
      </c>
      <c r="F19" s="104" t="s">
        <v>175</v>
      </c>
      <c r="G19" s="105"/>
      <c r="H19" s="99" t="s">
        <v>3060</v>
      </c>
      <c r="I19" s="106">
        <v>2</v>
      </c>
      <c r="J19" s="87">
        <f>IF(F19="","",VLOOKUP(F19,ARANCEL!$E$2:$F$123,2,FALSE))</f>
        <v>5274.3600000000006</v>
      </c>
      <c r="K19" s="101">
        <f t="shared" si="0"/>
        <v>10548.720000000001</v>
      </c>
      <c r="L19" s="99"/>
      <c r="M19" s="577" t="s">
        <v>3061</v>
      </c>
    </row>
    <row r="20" spans="1:13" x14ac:dyDescent="0.25">
      <c r="A20" s="102">
        <v>11</v>
      </c>
      <c r="B20" s="102">
        <v>88482</v>
      </c>
      <c r="C20" s="103">
        <v>42018</v>
      </c>
      <c r="D20" s="104" t="s">
        <v>3062</v>
      </c>
      <c r="E20" s="102" t="s">
        <v>478</v>
      </c>
      <c r="F20" s="104" t="s">
        <v>219</v>
      </c>
      <c r="G20" s="105"/>
      <c r="H20" s="99" t="s">
        <v>371</v>
      </c>
      <c r="I20" s="106">
        <v>1</v>
      </c>
      <c r="J20" s="87">
        <f>IF(F20="","",VLOOKUP(F20,ARANCEL!$E$2:$F$123,2,FALSE))</f>
        <v>22299.074999999997</v>
      </c>
      <c r="K20" s="101">
        <f t="shared" si="0"/>
        <v>22299.074999999997</v>
      </c>
      <c r="L20" s="99"/>
      <c r="M20" s="100"/>
    </row>
    <row r="21" spans="1:13" x14ac:dyDescent="0.25">
      <c r="A21" s="102">
        <v>12</v>
      </c>
      <c r="B21" s="102">
        <v>88687</v>
      </c>
      <c r="C21" s="103">
        <v>42019</v>
      </c>
      <c r="D21" s="104" t="s">
        <v>408</v>
      </c>
      <c r="E21" s="102" t="s">
        <v>381</v>
      </c>
      <c r="F21" s="104" t="s">
        <v>192</v>
      </c>
      <c r="G21" s="105"/>
      <c r="H21" s="99" t="s">
        <v>410</v>
      </c>
      <c r="I21" s="106">
        <v>1</v>
      </c>
      <c r="J21" s="87">
        <f>IF(F21="","",VLOOKUP(F21,ARANCEL!$E$2:$F$123,2,FALSE))</f>
        <v>57959.999999999993</v>
      </c>
      <c r="K21" s="101">
        <f t="shared" si="0"/>
        <v>57959.999999999993</v>
      </c>
      <c r="L21" s="99"/>
      <c r="M21" s="100"/>
    </row>
    <row r="22" spans="1:13" x14ac:dyDescent="0.25">
      <c r="A22" s="102">
        <v>13</v>
      </c>
      <c r="B22" s="102">
        <v>88859</v>
      </c>
      <c r="C22" s="103">
        <v>42019</v>
      </c>
      <c r="D22" s="104" t="s">
        <v>405</v>
      </c>
      <c r="E22" s="102" t="s">
        <v>381</v>
      </c>
      <c r="F22" s="104" t="s">
        <v>355</v>
      </c>
      <c r="G22" s="105"/>
      <c r="H22" s="99" t="s">
        <v>371</v>
      </c>
      <c r="I22" s="106">
        <v>1</v>
      </c>
      <c r="J22" s="87">
        <f>IF(F22="","",VLOOKUP(F22,ARANCEL!$E$2:$F$123,2,FALSE))</f>
        <v>55057.687499999993</v>
      </c>
      <c r="K22" s="101">
        <f t="shared" si="0"/>
        <v>55057.687499999993</v>
      </c>
      <c r="L22" s="99"/>
      <c r="M22" s="100"/>
    </row>
    <row r="23" spans="1:13" x14ac:dyDescent="0.25">
      <c r="A23" s="102">
        <v>14</v>
      </c>
      <c r="B23" s="102">
        <v>88912</v>
      </c>
      <c r="C23" s="103">
        <v>42026</v>
      </c>
      <c r="D23" s="104" t="s">
        <v>406</v>
      </c>
      <c r="E23" s="102" t="s">
        <v>389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99"/>
      <c r="M23" s="100"/>
    </row>
    <row r="24" spans="1:13" x14ac:dyDescent="0.25">
      <c r="A24" s="102">
        <v>15</v>
      </c>
      <c r="B24" s="102">
        <v>89336</v>
      </c>
      <c r="C24" s="103">
        <v>42023</v>
      </c>
      <c r="D24" s="104" t="s">
        <v>3062</v>
      </c>
      <c r="E24" s="102" t="s">
        <v>478</v>
      </c>
      <c r="F24" s="104" t="s">
        <v>116</v>
      </c>
      <c r="G24" s="105"/>
      <c r="H24" s="99" t="s">
        <v>812</v>
      </c>
      <c r="I24" s="106">
        <v>3</v>
      </c>
      <c r="J24" s="87">
        <f>IF(F24="","",VLOOKUP(F24,ARANCEL!$E$2:$F$123,2,FALSE))</f>
        <v>5274.3600000000006</v>
      </c>
      <c r="K24" s="101">
        <f t="shared" si="0"/>
        <v>15823.080000000002</v>
      </c>
      <c r="L24" s="99"/>
      <c r="M24" s="100"/>
    </row>
    <row r="25" spans="1:13" x14ac:dyDescent="0.25">
      <c r="A25" s="102">
        <v>16</v>
      </c>
      <c r="B25" s="102">
        <v>89820</v>
      </c>
      <c r="C25" s="103">
        <v>42024</v>
      </c>
      <c r="D25" s="104" t="s">
        <v>3156</v>
      </c>
      <c r="E25" s="102" t="s">
        <v>381</v>
      </c>
      <c r="F25" s="104" t="s">
        <v>116</v>
      </c>
      <c r="G25" s="105"/>
      <c r="H25" s="99" t="s">
        <v>442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99"/>
      <c r="M25" s="100"/>
    </row>
    <row r="26" spans="1:13" x14ac:dyDescent="0.25">
      <c r="A26" s="102">
        <v>17</v>
      </c>
      <c r="B26" s="102">
        <v>89820</v>
      </c>
      <c r="C26" s="103">
        <v>42024</v>
      </c>
      <c r="D26" s="104" t="s">
        <v>3156</v>
      </c>
      <c r="E26" s="102" t="s">
        <v>381</v>
      </c>
      <c r="F26" s="104" t="s">
        <v>210</v>
      </c>
      <c r="G26" s="105"/>
      <c r="H26" s="99" t="s">
        <v>442</v>
      </c>
      <c r="I26" s="106">
        <v>1</v>
      </c>
      <c r="J26" s="87">
        <f>IF(F26="","",VLOOKUP(F26,ARANCEL!$E$2:$F$123,2,FALSE))</f>
        <v>14098.999999999998</v>
      </c>
      <c r="K26" s="101">
        <f t="shared" si="0"/>
        <v>14098.999999999998</v>
      </c>
      <c r="L26" s="99"/>
      <c r="M26" s="100"/>
    </row>
    <row r="27" spans="1:13" x14ac:dyDescent="0.25">
      <c r="A27" s="102">
        <v>18</v>
      </c>
      <c r="B27" s="102">
        <v>90325</v>
      </c>
      <c r="C27" s="103">
        <v>42025</v>
      </c>
      <c r="D27" s="104" t="s">
        <v>3157</v>
      </c>
      <c r="E27" s="102" t="s">
        <v>381</v>
      </c>
      <c r="F27" s="104" t="s">
        <v>537</v>
      </c>
      <c r="G27" s="105"/>
      <c r="H27" s="99" t="s">
        <v>527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99"/>
      <c r="M27" s="100"/>
    </row>
    <row r="28" spans="1:13" x14ac:dyDescent="0.25">
      <c r="A28" s="102">
        <v>19</v>
      </c>
      <c r="B28" s="102">
        <v>90138</v>
      </c>
      <c r="C28" s="103">
        <v>42024</v>
      </c>
      <c r="D28" s="104" t="s">
        <v>3158</v>
      </c>
      <c r="E28" s="102" t="s">
        <v>478</v>
      </c>
      <c r="F28" s="104" t="s">
        <v>116</v>
      </c>
      <c r="G28" s="105"/>
      <c r="H28" s="99" t="s">
        <v>1783</v>
      </c>
      <c r="I28" s="106">
        <v>3</v>
      </c>
      <c r="J28" s="87">
        <f>IF(F28="","",VLOOKUP(F28,ARANCEL!$E$2:$F$123,2,FALSE))</f>
        <v>5274.3600000000006</v>
      </c>
      <c r="K28" s="101">
        <f t="shared" si="0"/>
        <v>15823.080000000002</v>
      </c>
      <c r="L28" s="99"/>
      <c r="M28" s="100"/>
    </row>
    <row r="29" spans="1:13" x14ac:dyDescent="0.25">
      <c r="A29" s="102">
        <v>20</v>
      </c>
      <c r="B29" s="102">
        <v>90969</v>
      </c>
      <c r="C29" s="103">
        <v>42026</v>
      </c>
      <c r="D29" s="104" t="s">
        <v>3180</v>
      </c>
      <c r="E29" s="102" t="s">
        <v>389</v>
      </c>
      <c r="F29" s="104" t="s">
        <v>537</v>
      </c>
      <c r="G29" s="105"/>
      <c r="H29" s="99" t="s">
        <v>562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99"/>
      <c r="M29" s="100"/>
    </row>
    <row r="30" spans="1:13" x14ac:dyDescent="0.25">
      <c r="A30" s="102">
        <v>21</v>
      </c>
      <c r="B30" s="102">
        <v>90931</v>
      </c>
      <c r="C30" s="103">
        <v>42026</v>
      </c>
      <c r="D30" s="104" t="s">
        <v>3180</v>
      </c>
      <c r="E30" s="102" t="s">
        <v>389</v>
      </c>
      <c r="F30" s="104" t="s">
        <v>116</v>
      </c>
      <c r="G30" s="105"/>
      <c r="H30" s="99" t="s">
        <v>1880</v>
      </c>
      <c r="I30" s="106">
        <v>4</v>
      </c>
      <c r="J30" s="87">
        <f>IF(F30="","",VLOOKUP(F30,ARANCEL!$E$2:$F$123,2,FALSE))</f>
        <v>5274.3600000000006</v>
      </c>
      <c r="K30" s="101">
        <f t="shared" si="0"/>
        <v>21097.440000000002</v>
      </c>
      <c r="L30" s="99"/>
      <c r="M30" s="100"/>
    </row>
    <row r="31" spans="1:13" x14ac:dyDescent="0.25">
      <c r="A31" s="102">
        <v>22</v>
      </c>
      <c r="B31" s="102">
        <v>90410</v>
      </c>
      <c r="C31" s="103">
        <v>42026</v>
      </c>
      <c r="D31" s="104" t="s">
        <v>3182</v>
      </c>
      <c r="E31" s="102" t="s">
        <v>381</v>
      </c>
      <c r="F31" s="104" t="s">
        <v>116</v>
      </c>
      <c r="G31" s="105"/>
      <c r="H31" s="99" t="s">
        <v>812</v>
      </c>
      <c r="I31" s="106">
        <v>3</v>
      </c>
      <c r="J31" s="87">
        <f>IF(F31="","",VLOOKUP(F31,ARANCEL!$E$2:$F$123,2,FALSE))</f>
        <v>5274.3600000000006</v>
      </c>
      <c r="K31" s="101">
        <f t="shared" ref="K31:K34" si="1">IF(I31=0,"",J31*I31)</f>
        <v>15823.080000000002</v>
      </c>
      <c r="L31" s="99"/>
      <c r="M31" s="100"/>
    </row>
    <row r="32" spans="1:13" x14ac:dyDescent="0.25">
      <c r="A32" s="102">
        <v>24</v>
      </c>
      <c r="B32" s="102">
        <v>90698</v>
      </c>
      <c r="C32" s="103">
        <v>42025</v>
      </c>
      <c r="D32" s="104" t="s">
        <v>900</v>
      </c>
      <c r="E32" s="102" t="s">
        <v>381</v>
      </c>
      <c r="F32" s="104" t="s">
        <v>115</v>
      </c>
      <c r="G32" s="105"/>
      <c r="H32" s="99" t="s">
        <v>419</v>
      </c>
      <c r="I32" s="106">
        <v>1</v>
      </c>
      <c r="J32" s="87">
        <f>IF(F32="","",VLOOKUP(F32,ARANCEL!$E$2:$F$123,2,FALSE))</f>
        <v>33370.239999999998</v>
      </c>
      <c r="K32" s="101">
        <f t="shared" si="1"/>
        <v>33370.239999999998</v>
      </c>
      <c r="L32" s="99"/>
      <c r="M32" s="100"/>
    </row>
    <row r="33" spans="1:13" x14ac:dyDescent="0.25">
      <c r="A33" s="102">
        <v>25</v>
      </c>
      <c r="B33" s="102">
        <v>90712</v>
      </c>
      <c r="C33" s="103">
        <v>42026</v>
      </c>
      <c r="D33" s="104" t="s">
        <v>3184</v>
      </c>
      <c r="E33" s="102" t="s">
        <v>381</v>
      </c>
      <c r="F33" s="92" t="s">
        <v>217</v>
      </c>
      <c r="G33" s="105"/>
      <c r="H33" s="99" t="s">
        <v>371</v>
      </c>
      <c r="I33" s="106">
        <v>1</v>
      </c>
      <c r="J33" s="87">
        <f>IF(F33="","",VLOOKUP(F33,ARANCEL!$E$2:$F$123,2,FALSE))</f>
        <v>44597.287499999999</v>
      </c>
      <c r="K33" s="101">
        <f t="shared" si="1"/>
        <v>44597.287499999999</v>
      </c>
      <c r="L33" s="99"/>
      <c r="M33" s="100"/>
    </row>
    <row r="34" spans="1:13" x14ac:dyDescent="0.25">
      <c r="A34" s="102">
        <v>26</v>
      </c>
      <c r="B34" s="102">
        <v>91145</v>
      </c>
      <c r="C34" s="103">
        <v>42026</v>
      </c>
      <c r="D34" s="104" t="s">
        <v>635</v>
      </c>
      <c r="E34" s="102" t="s">
        <v>381</v>
      </c>
      <c r="F34" s="92" t="s">
        <v>217</v>
      </c>
      <c r="G34" s="105"/>
      <c r="H34" s="99" t="s">
        <v>371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99"/>
      <c r="M34" s="100"/>
    </row>
    <row r="35" spans="1:13" x14ac:dyDescent="0.25">
      <c r="A35" s="102">
        <v>25</v>
      </c>
      <c r="B35" s="102">
        <v>91145</v>
      </c>
      <c r="C35" s="103">
        <v>42026</v>
      </c>
      <c r="D35" s="104" t="s">
        <v>635</v>
      </c>
      <c r="E35" s="102" t="s">
        <v>381</v>
      </c>
      <c r="F35" s="104" t="s">
        <v>3185</v>
      </c>
      <c r="G35" s="105"/>
      <c r="H35" s="99" t="s">
        <v>371</v>
      </c>
      <c r="I35" s="106">
        <v>1</v>
      </c>
      <c r="J35" s="87">
        <v>111520</v>
      </c>
      <c r="K35" s="101">
        <f t="shared" ref="K35:K36" si="2">IF(I35=0,"",J35*I35)</f>
        <v>111520</v>
      </c>
      <c r="L35" s="99"/>
      <c r="M35" s="100"/>
    </row>
    <row r="36" spans="1:13" x14ac:dyDescent="0.25">
      <c r="A36" s="102">
        <v>26</v>
      </c>
      <c r="B36" s="102">
        <v>91122</v>
      </c>
      <c r="C36" s="103">
        <v>42026</v>
      </c>
      <c r="D36" s="104" t="s">
        <v>3063</v>
      </c>
      <c r="E36" s="102" t="s">
        <v>381</v>
      </c>
      <c r="F36" s="92" t="s">
        <v>217</v>
      </c>
      <c r="G36" s="105"/>
      <c r="H36" s="99" t="s">
        <v>371</v>
      </c>
      <c r="I36" s="106">
        <v>1</v>
      </c>
      <c r="J36" s="87">
        <f>IF(F36="","",VLOOKUP(F36,ARANCEL!$E$2:$F$123,2,FALSE))</f>
        <v>44597.287499999999</v>
      </c>
      <c r="K36" s="101">
        <f t="shared" si="2"/>
        <v>44597.287499999999</v>
      </c>
      <c r="L36" s="99"/>
      <c r="M36" s="100"/>
    </row>
    <row r="37" spans="1:13" x14ac:dyDescent="0.25">
      <c r="A37" s="102">
        <v>27</v>
      </c>
      <c r="B37" s="102"/>
      <c r="C37" s="103"/>
      <c r="D37" s="104"/>
      <c r="E37" s="102"/>
      <c r="F37" s="104"/>
      <c r="G37" s="105"/>
      <c r="H37" s="99"/>
      <c r="I37" s="106"/>
      <c r="J37" s="87" t="str">
        <f>IF(F37="","",VLOOKUP(F37,ARANCEL!$E$2:$F$123,2,FALSE))</f>
        <v/>
      </c>
      <c r="K37" s="101" t="str">
        <f t="shared" ref="K37:K38" si="3">IF(I37=0,"",J37*I37)</f>
        <v/>
      </c>
      <c r="L37" s="99"/>
      <c r="M37" s="100"/>
    </row>
    <row r="38" spans="1:13" x14ac:dyDescent="0.25">
      <c r="A38" s="102">
        <v>26</v>
      </c>
      <c r="B38" s="102"/>
      <c r="C38" s="103"/>
      <c r="D38" s="104"/>
      <c r="E38" s="102"/>
      <c r="F38" s="104"/>
      <c r="G38" s="105"/>
      <c r="H38" s="99"/>
      <c r="I38" s="106"/>
      <c r="J38" s="87" t="str">
        <f>IF(F38="","",VLOOKUP(F38,ARANCEL!$E$2:$F$123,2,FALSE))</f>
        <v/>
      </c>
      <c r="K38" s="101" t="str">
        <f t="shared" si="3"/>
        <v/>
      </c>
      <c r="L38" s="99"/>
      <c r="M38" s="100"/>
    </row>
    <row r="39" spans="1:13" x14ac:dyDescent="0.25">
      <c r="A39" s="102">
        <v>27</v>
      </c>
      <c r="B39" s="102"/>
      <c r="C39" s="103"/>
      <c r="D39" s="104"/>
      <c r="E39" s="102"/>
      <c r="F39" s="104"/>
      <c r="G39" s="105"/>
      <c r="H39" s="99"/>
      <c r="I39" s="106"/>
      <c r="J39" s="87" t="str">
        <f>IF(F39="","",VLOOKUP(F39,ARANCEL!$E$2:$F$123,2,FALSE))</f>
        <v/>
      </c>
      <c r="K39" s="101" t="str">
        <f t="shared" ref="K39" si="4">IF(I39=0,"",J39*I39)</f>
        <v/>
      </c>
      <c r="L39" s="99"/>
      <c r="M39" s="100"/>
    </row>
    <row r="42" spans="1:13" ht="20.25" customHeight="1" x14ac:dyDescent="0.25">
      <c r="A42" s="589" t="s">
        <v>366</v>
      </c>
      <c r="B42" s="589"/>
      <c r="C42" s="589"/>
      <c r="D42" s="589"/>
      <c r="E42" s="589"/>
      <c r="F42" s="589"/>
      <c r="G42" s="589"/>
      <c r="H42" s="589"/>
      <c r="I42" s="589"/>
      <c r="J42" s="589"/>
      <c r="K42" s="589"/>
    </row>
    <row r="43" spans="1:13" ht="24" x14ac:dyDescent="0.25">
      <c r="A43" s="89" t="s">
        <v>96</v>
      </c>
      <c r="B43" s="89" t="s">
        <v>97</v>
      </c>
      <c r="C43" s="90" t="s">
        <v>101</v>
      </c>
      <c r="D43" s="89" t="s">
        <v>98</v>
      </c>
      <c r="E43" s="89" t="s">
        <v>99</v>
      </c>
      <c r="F43" s="89" t="s">
        <v>100</v>
      </c>
      <c r="G43" s="89" t="s">
        <v>103</v>
      </c>
      <c r="H43" s="89" t="s">
        <v>102</v>
      </c>
      <c r="I43" s="89" t="s">
        <v>108</v>
      </c>
      <c r="J43" s="90" t="s">
        <v>104</v>
      </c>
      <c r="K43" s="90" t="s">
        <v>105</v>
      </c>
      <c r="L43" s="90" t="s">
        <v>168</v>
      </c>
      <c r="M43" s="90" t="s">
        <v>106</v>
      </c>
    </row>
    <row r="44" spans="1:13" x14ac:dyDescent="0.25">
      <c r="A44" s="109"/>
      <c r="B44" s="115" t="s">
        <v>374</v>
      </c>
      <c r="C44" s="110">
        <v>41807</v>
      </c>
      <c r="D44" s="116" t="s">
        <v>375</v>
      </c>
      <c r="E44" s="115" t="s">
        <v>376</v>
      </c>
      <c r="F44" s="116" t="s">
        <v>377</v>
      </c>
      <c r="G44" s="111" t="s">
        <v>371</v>
      </c>
      <c r="H44" s="576" t="s">
        <v>371</v>
      </c>
      <c r="I44" s="113">
        <v>1</v>
      </c>
      <c r="J44" s="117"/>
      <c r="K44" s="118"/>
      <c r="L44" s="112"/>
      <c r="M44" s="93"/>
    </row>
    <row r="45" spans="1:13" ht="24" x14ac:dyDescent="0.25">
      <c r="A45" s="114"/>
      <c r="B45" s="115">
        <v>33393</v>
      </c>
      <c r="C45" s="110">
        <v>41828</v>
      </c>
      <c r="D45" s="116" t="s">
        <v>378</v>
      </c>
      <c r="E45" s="115" t="s">
        <v>376</v>
      </c>
      <c r="F45" s="116" t="s">
        <v>377</v>
      </c>
      <c r="G45" s="111" t="s">
        <v>371</v>
      </c>
      <c r="H45" s="576" t="s">
        <v>371</v>
      </c>
      <c r="I45" s="113">
        <v>1</v>
      </c>
      <c r="J45" s="117"/>
      <c r="K45" s="118"/>
      <c r="L45" s="114"/>
      <c r="M45" s="119" t="s">
        <v>436</v>
      </c>
    </row>
    <row r="46" spans="1:13" x14ac:dyDescent="0.25">
      <c r="A46" s="114"/>
      <c r="B46" s="115" t="s">
        <v>379</v>
      </c>
      <c r="C46" s="110">
        <v>41928</v>
      </c>
      <c r="D46" s="116" t="s">
        <v>380</v>
      </c>
      <c r="E46" s="115" t="s">
        <v>381</v>
      </c>
      <c r="F46" s="116" t="s">
        <v>382</v>
      </c>
      <c r="G46" s="111" t="s">
        <v>383</v>
      </c>
      <c r="H46" s="576" t="s">
        <v>383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 t="s">
        <v>384</v>
      </c>
      <c r="C47" s="110">
        <v>41929</v>
      </c>
      <c r="D47" s="116" t="s">
        <v>385</v>
      </c>
      <c r="E47" s="115" t="s">
        <v>381</v>
      </c>
      <c r="F47" s="116" t="s">
        <v>386</v>
      </c>
      <c r="G47" s="111" t="s">
        <v>387</v>
      </c>
      <c r="H47" s="576" t="s">
        <v>387</v>
      </c>
      <c r="I47" s="113">
        <v>2</v>
      </c>
      <c r="J47" s="117"/>
      <c r="K47" s="118"/>
      <c r="L47" s="114"/>
      <c r="M47" s="14"/>
    </row>
    <row r="48" spans="1:13" x14ac:dyDescent="0.25">
      <c r="A48" s="114"/>
      <c r="B48" s="115">
        <v>52789</v>
      </c>
      <c r="C48" s="110">
        <v>41922</v>
      </c>
      <c r="D48" s="116" t="s">
        <v>388</v>
      </c>
      <c r="E48" s="115" t="s">
        <v>389</v>
      </c>
      <c r="F48" s="116" t="s">
        <v>386</v>
      </c>
      <c r="G48" s="111" t="s">
        <v>369</v>
      </c>
      <c r="H48" s="576" t="s">
        <v>369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 t="s">
        <v>390</v>
      </c>
      <c r="C49" s="110">
        <v>41928</v>
      </c>
      <c r="D49" s="116" t="s">
        <v>391</v>
      </c>
      <c r="E49" s="115" t="s">
        <v>381</v>
      </c>
      <c r="F49" s="116" t="s">
        <v>382</v>
      </c>
      <c r="G49" s="111" t="s">
        <v>392</v>
      </c>
      <c r="H49" s="576" t="s">
        <v>392</v>
      </c>
      <c r="I49" s="113">
        <v>1</v>
      </c>
      <c r="J49" s="117"/>
      <c r="K49" s="118"/>
      <c r="L49" s="114"/>
      <c r="M49" s="14"/>
    </row>
    <row r="50" spans="1:13" x14ac:dyDescent="0.25">
      <c r="A50" s="114"/>
      <c r="B50" s="115">
        <v>54888</v>
      </c>
      <c r="C50" s="110">
        <v>41928</v>
      </c>
      <c r="D50" s="116" t="s">
        <v>393</v>
      </c>
      <c r="E50" s="115" t="s">
        <v>381</v>
      </c>
      <c r="F50" s="116" t="s">
        <v>377</v>
      </c>
      <c r="G50" s="111" t="s">
        <v>369</v>
      </c>
      <c r="H50" s="576" t="s">
        <v>369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>
        <v>55496</v>
      </c>
      <c r="C51" s="110">
        <v>41929</v>
      </c>
      <c r="D51" s="116" t="s">
        <v>394</v>
      </c>
      <c r="E51" s="115" t="s">
        <v>376</v>
      </c>
      <c r="F51" s="116" t="s">
        <v>377</v>
      </c>
      <c r="G51" s="111" t="s">
        <v>371</v>
      </c>
      <c r="H51" s="576" t="s">
        <v>371</v>
      </c>
      <c r="I51" s="113">
        <v>1</v>
      </c>
      <c r="J51" s="117"/>
      <c r="K51" s="118"/>
      <c r="L51" s="114"/>
      <c r="M51" s="14"/>
    </row>
    <row r="52" spans="1:13" x14ac:dyDescent="0.25">
      <c r="A52" s="114"/>
      <c r="B52" s="115">
        <v>64810</v>
      </c>
      <c r="C52" s="110">
        <v>41960</v>
      </c>
      <c r="D52" s="116" t="s">
        <v>395</v>
      </c>
      <c r="E52" s="115" t="s">
        <v>396</v>
      </c>
      <c r="F52" s="116" t="s">
        <v>377</v>
      </c>
      <c r="G52" s="111" t="s">
        <v>369</v>
      </c>
      <c r="H52" s="576" t="s">
        <v>369</v>
      </c>
      <c r="I52" s="113">
        <v>1</v>
      </c>
      <c r="J52" s="117"/>
      <c r="K52" s="118"/>
      <c r="L52" s="114"/>
      <c r="M52" s="14"/>
    </row>
    <row r="53" spans="1:13" x14ac:dyDescent="0.25">
      <c r="A53" s="114"/>
      <c r="B53" s="115">
        <v>64810</v>
      </c>
      <c r="C53" s="110">
        <v>41960</v>
      </c>
      <c r="D53" s="116" t="s">
        <v>395</v>
      </c>
      <c r="E53" s="115" t="s">
        <v>396</v>
      </c>
      <c r="F53" s="116" t="s">
        <v>397</v>
      </c>
      <c r="G53" s="111" t="s">
        <v>371</v>
      </c>
      <c r="H53" s="576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>
        <v>67060</v>
      </c>
      <c r="C54" s="110">
        <v>41963</v>
      </c>
      <c r="D54" s="116" t="s">
        <v>398</v>
      </c>
      <c r="E54" s="115" t="s">
        <v>381</v>
      </c>
      <c r="F54" s="116" t="s">
        <v>399</v>
      </c>
      <c r="G54" s="111" t="s">
        <v>400</v>
      </c>
      <c r="H54" s="576" t="s">
        <v>400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72696</v>
      </c>
      <c r="C55" s="110">
        <v>41977</v>
      </c>
      <c r="D55" s="116" t="s">
        <v>401</v>
      </c>
      <c r="E55" s="115" t="s">
        <v>381</v>
      </c>
      <c r="F55" s="116" t="s">
        <v>399</v>
      </c>
      <c r="G55" s="111" t="s">
        <v>402</v>
      </c>
      <c r="H55" s="576" t="s">
        <v>402</v>
      </c>
      <c r="I55" s="113">
        <v>2</v>
      </c>
      <c r="J55" s="117"/>
      <c r="K55" s="118"/>
      <c r="L55" s="114"/>
      <c r="M55" s="14"/>
    </row>
    <row r="56" spans="1:13" x14ac:dyDescent="0.25">
      <c r="A56" s="114"/>
      <c r="B56" s="115">
        <v>88096</v>
      </c>
      <c r="C56" s="110">
        <v>42019</v>
      </c>
      <c r="D56" s="116" t="s">
        <v>3057</v>
      </c>
      <c r="E56" s="115" t="s">
        <v>381</v>
      </c>
      <c r="F56" s="116" t="s">
        <v>3058</v>
      </c>
      <c r="G56" s="111"/>
      <c r="H56" s="576" t="s">
        <v>371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89584</v>
      </c>
      <c r="C57" s="110">
        <v>42023</v>
      </c>
      <c r="D57" s="116" t="s">
        <v>3064</v>
      </c>
      <c r="E57" s="115" t="s">
        <v>381</v>
      </c>
      <c r="F57" s="116" t="s">
        <v>409</v>
      </c>
      <c r="G57" s="111"/>
      <c r="H57" s="576">
        <v>7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90992</v>
      </c>
      <c r="C58" s="110">
        <v>42026</v>
      </c>
      <c r="D58" s="116" t="s">
        <v>3179</v>
      </c>
      <c r="E58" s="115" t="s">
        <v>381</v>
      </c>
      <c r="F58" s="116" t="s">
        <v>399</v>
      </c>
      <c r="G58" s="111"/>
      <c r="H58" s="576" t="s">
        <v>404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90948</v>
      </c>
      <c r="C59" s="110">
        <v>42026</v>
      </c>
      <c r="D59" s="116" t="s">
        <v>3181</v>
      </c>
      <c r="E59" s="115" t="s">
        <v>381</v>
      </c>
      <c r="F59" s="116" t="s">
        <v>399</v>
      </c>
      <c r="G59" s="111"/>
      <c r="H59" s="576" t="s">
        <v>419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90670</v>
      </c>
      <c r="C60" s="110">
        <v>42025</v>
      </c>
      <c r="D60" s="116" t="s">
        <v>3183</v>
      </c>
      <c r="E60" s="115" t="s">
        <v>381</v>
      </c>
      <c r="F60" s="116" t="s">
        <v>386</v>
      </c>
      <c r="G60" s="111"/>
      <c r="H60" s="576" t="s">
        <v>369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576"/>
      <c r="I61" s="113"/>
      <c r="J61" s="117"/>
      <c r="K61" s="118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576"/>
      <c r="I62" s="113"/>
      <c r="J62" s="117"/>
      <c r="K62" s="118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576"/>
      <c r="I63" s="113"/>
      <c r="J63" s="117"/>
      <c r="K63" s="118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576"/>
      <c r="I64" s="113"/>
      <c r="J64" s="117"/>
      <c r="K64" s="118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576"/>
      <c r="I65" s="113"/>
      <c r="J65" s="117"/>
      <c r="K65" s="118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576"/>
      <c r="I66" s="113"/>
      <c r="J66" s="117"/>
      <c r="K66" s="118"/>
      <c r="L66" s="114"/>
      <c r="M66" s="14"/>
    </row>
    <row r="67" spans="1:13" x14ac:dyDescent="0.25">
      <c r="A67" s="114"/>
      <c r="B67" s="115"/>
      <c r="C67" s="110"/>
      <c r="D67" s="116"/>
      <c r="E67" s="115"/>
      <c r="F67" s="116"/>
      <c r="G67" s="111"/>
      <c r="H67" s="576"/>
      <c r="I67" s="113"/>
      <c r="J67" s="117"/>
      <c r="K67" s="118"/>
      <c r="L67" s="114"/>
      <c r="M67" s="14"/>
    </row>
    <row r="68" spans="1:13" x14ac:dyDescent="0.25">
      <c r="A68" s="114"/>
      <c r="B68" s="115"/>
      <c r="C68" s="110"/>
      <c r="D68" s="116"/>
      <c r="E68" s="115"/>
      <c r="F68" s="116"/>
      <c r="G68" s="111"/>
      <c r="H68" s="576"/>
      <c r="I68" s="113"/>
      <c r="J68" s="117"/>
      <c r="K68" s="118"/>
      <c r="L68" s="114"/>
      <c r="M68" s="14"/>
    </row>
    <row r="69" spans="1:13" x14ac:dyDescent="0.25">
      <c r="A69" s="114"/>
      <c r="B69" s="115"/>
      <c r="C69" s="110"/>
      <c r="D69" s="116"/>
      <c r="E69" s="115"/>
      <c r="F69" s="116"/>
      <c r="G69" s="111"/>
      <c r="H69" s="576"/>
      <c r="I69" s="113"/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</sheetData>
  <autoFilter ref="A9:M9">
    <sortState ref="A11:M14">
      <sortCondition ref="L10"/>
    </sortState>
  </autoFilter>
  <mergeCells count="9">
    <mergeCell ref="A7:B7"/>
    <mergeCell ref="A8:B8"/>
    <mergeCell ref="A42:K42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38"/>
  <sheetViews>
    <sheetView zoomScale="90" zoomScaleNormal="90" workbookViewId="0">
      <selection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33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SOC. ODONTOLÓGICA UNO SALUD LA CONCEPCIÓN LTDA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76.324.871-2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>LA CONCEPCIÓN 201 LOCAL 102   PROVIDENCIA</v>
      </c>
      <c r="H5" s="575" t="s">
        <v>163</v>
      </c>
      <c r="I5" s="578">
        <f>IFERROR(VLOOKUP($A$2,DATOS!$A$2:$N$14,10,FALSE),"SUCURSAL NO ENCONTRADA")</f>
        <v>227638906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CECILIA CANTILLANA
LORENA CASTRO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LA CONCEPCIÓN.</v>
      </c>
      <c r="H7" s="575" t="s">
        <v>164</v>
      </c>
      <c r="I7" s="95" t="str">
        <f>IFERROR(VLOOKUP($A$2,DATOS!$A$2:$N$14,12,FALSE),"SUCURSAL NO ENCONTRADA")</f>
        <v>ccantillana@unosalud.cl</v>
      </c>
    </row>
    <row r="8" spans="1:13" ht="14.25" hidden="1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7638978
22 7638979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86757</v>
      </c>
      <c r="C10" s="94">
        <v>42012</v>
      </c>
      <c r="D10" s="92" t="s">
        <v>3065</v>
      </c>
      <c r="E10" s="91" t="s">
        <v>959</v>
      </c>
      <c r="F10" s="92" t="s">
        <v>235</v>
      </c>
      <c r="G10" s="9"/>
      <c r="H10" s="12" t="s">
        <v>369</v>
      </c>
      <c r="I10" s="120">
        <v>1</v>
      </c>
      <c r="J10" s="87">
        <f>IF(F10="","",VLOOKUP(F10,ARANCEL!$E$2:$F$123,2,FALSE))</f>
        <v>12499.349999999999</v>
      </c>
      <c r="K10" s="88">
        <f t="shared" ref="K10:K17" si="0">IF(I10=0,"",J10*I10)</f>
        <v>12499.349999999999</v>
      </c>
      <c r="L10" s="12"/>
      <c r="M10" s="93"/>
    </row>
    <row r="11" spans="1:13" x14ac:dyDescent="0.25">
      <c r="A11" s="91">
        <v>2</v>
      </c>
      <c r="B11" s="91">
        <v>88681</v>
      </c>
      <c r="C11" s="94">
        <v>42018</v>
      </c>
      <c r="D11" s="92" t="s">
        <v>3065</v>
      </c>
      <c r="E11" s="91" t="s">
        <v>959</v>
      </c>
      <c r="F11" s="92" t="s">
        <v>217</v>
      </c>
      <c r="G11" s="9"/>
      <c r="H11" s="12" t="s">
        <v>369</v>
      </c>
      <c r="I11" s="120">
        <v>1</v>
      </c>
      <c r="J11" s="87">
        <f>IF(F11="","",VLOOKUP(F11,ARANCEL!$E$2:$F$123,2,FALSE))</f>
        <v>44597.287499999999</v>
      </c>
      <c r="K11" s="88">
        <f t="shared" si="0"/>
        <v>44597.287499999999</v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9" t="s">
        <v>366</v>
      </c>
      <c r="B20" s="589"/>
      <c r="C20" s="589"/>
      <c r="D20" s="589"/>
      <c r="E20" s="589"/>
      <c r="F20" s="589"/>
      <c r="G20" s="589"/>
      <c r="H20" s="589"/>
      <c r="I20" s="589"/>
      <c r="J20" s="589"/>
      <c r="K20" s="589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579">
        <v>63194</v>
      </c>
      <c r="C22" s="580">
        <v>41953</v>
      </c>
      <c r="D22" s="581" t="s">
        <v>965</v>
      </c>
      <c r="E22" s="579" t="s">
        <v>915</v>
      </c>
      <c r="F22" s="581" t="s">
        <v>377</v>
      </c>
      <c r="G22" s="111"/>
      <c r="H22" s="576" t="s">
        <v>371</v>
      </c>
      <c r="I22" s="113">
        <v>1</v>
      </c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1"/>
  <sheetViews>
    <sheetView tabSelected="1" zoomScale="90" zoomScaleNormal="90" workbookViewId="0">
      <pane ySplit="9" topLeftCell="A10" activePane="bottomLeft" state="frozen"/>
      <selection activeCell="C16" sqref="C16"/>
      <selection pane="bottomLeft" activeCell="J27" sqref="J27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0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411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 xml:space="preserve">SOC. ODONTOLÓGICA UNO SALUD LA FLORIDA LTDA. </v>
      </c>
      <c r="H3" s="107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76.368.014-2</v>
      </c>
      <c r="H4" s="107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 xml:space="preserve">FROILAN ROA 894, LA FLORIDA. </v>
      </c>
      <c r="H5" s="107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107" t="s">
        <v>167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LA FLORIDA LTDA.</v>
      </c>
      <c r="H7" s="107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163</v>
      </c>
      <c r="I8" s="95">
        <f>IFERROR(VLOOKUP($A$2,DATOS!$A$2:$N$14,13,FALSE),"SUCURSAL NO ENCONTRADA")</f>
        <v>0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64141</v>
      </c>
      <c r="C10" s="94">
        <v>41956</v>
      </c>
      <c r="D10" s="92" t="s">
        <v>983</v>
      </c>
      <c r="E10" s="91" t="s">
        <v>426</v>
      </c>
      <c r="F10" s="92" t="s">
        <v>217</v>
      </c>
      <c r="G10" s="9" t="s">
        <v>371</v>
      </c>
      <c r="H10" s="12"/>
      <c r="I10" s="120">
        <v>1</v>
      </c>
      <c r="J10" s="572">
        <v>44597</v>
      </c>
      <c r="K10" s="573">
        <f>IF(I10="","",J10*I10)</f>
        <v>44597</v>
      </c>
      <c r="L10" s="12"/>
      <c r="M10" s="93"/>
    </row>
    <row r="11" spans="1:13" x14ac:dyDescent="0.25">
      <c r="A11" s="91">
        <v>2</v>
      </c>
      <c r="B11" s="91">
        <v>71846</v>
      </c>
      <c r="C11" s="94">
        <v>41975</v>
      </c>
      <c r="D11" s="92" t="s">
        <v>988</v>
      </c>
      <c r="E11" s="91" t="s">
        <v>426</v>
      </c>
      <c r="F11" s="92" t="s">
        <v>537</v>
      </c>
      <c r="G11" s="9" t="s">
        <v>404</v>
      </c>
      <c r="H11" s="12"/>
      <c r="I11" s="120">
        <v>1</v>
      </c>
      <c r="J11" s="572">
        <v>30429</v>
      </c>
      <c r="K11" s="573">
        <f>IF(I11="","",J11*I11)</f>
        <v>30429</v>
      </c>
      <c r="L11" s="12"/>
      <c r="M11" s="93"/>
    </row>
    <row r="12" spans="1:13" x14ac:dyDescent="0.25">
      <c r="A12" s="91">
        <v>3</v>
      </c>
      <c r="B12" s="91">
        <v>68644</v>
      </c>
      <c r="C12" s="94">
        <v>41968</v>
      </c>
      <c r="D12" s="92" t="s">
        <v>985</v>
      </c>
      <c r="E12" s="91" t="s">
        <v>986</v>
      </c>
      <c r="F12" s="92" t="s">
        <v>987</v>
      </c>
      <c r="G12" s="9" t="s">
        <v>371</v>
      </c>
      <c r="H12" s="12"/>
      <c r="I12" s="120">
        <v>1</v>
      </c>
      <c r="J12" s="572">
        <v>22315</v>
      </c>
      <c r="K12" s="573">
        <f>IF(I12="","",J12*I12)</f>
        <v>22315</v>
      </c>
      <c r="L12" s="12"/>
      <c r="M12" s="93"/>
    </row>
    <row r="13" spans="1:13" x14ac:dyDescent="0.25">
      <c r="A13" s="91">
        <v>4</v>
      </c>
      <c r="B13" s="91">
        <v>85734</v>
      </c>
      <c r="C13" s="94">
        <v>42010</v>
      </c>
      <c r="D13" s="92" t="s">
        <v>438</v>
      </c>
      <c r="E13" s="91" t="s">
        <v>426</v>
      </c>
      <c r="F13" s="92" t="s">
        <v>219</v>
      </c>
      <c r="G13" s="9"/>
      <c r="H13" s="12" t="s">
        <v>371</v>
      </c>
      <c r="I13" s="120">
        <v>1</v>
      </c>
      <c r="J13" s="87">
        <f>IF(F13="","",VLOOKUP(F13,ARANCEL!$E$2:$F$123,2,FALSE))</f>
        <v>22299.074999999997</v>
      </c>
      <c r="K13" s="88">
        <f t="shared" ref="K13:K26" si="0">IF(I13=0,"",J13*I13)</f>
        <v>22299.074999999997</v>
      </c>
      <c r="L13" s="12"/>
      <c r="M13" s="93"/>
    </row>
    <row r="14" spans="1:13" x14ac:dyDescent="0.25">
      <c r="A14" s="91">
        <v>5</v>
      </c>
      <c r="B14" s="91">
        <v>86787</v>
      </c>
      <c r="C14" s="94">
        <v>42019</v>
      </c>
      <c r="D14" s="92" t="s">
        <v>3066</v>
      </c>
      <c r="E14" s="91" t="s">
        <v>426</v>
      </c>
      <c r="F14" s="92" t="s">
        <v>116</v>
      </c>
      <c r="G14" s="9"/>
      <c r="H14" s="12" t="s">
        <v>417</v>
      </c>
      <c r="I14" s="120">
        <v>1</v>
      </c>
      <c r="J14" s="87">
        <f>IF(F14="","",VLOOKUP(F14,ARANCEL!$E$2:$F$123,2,FALSE))</f>
        <v>5274.3600000000006</v>
      </c>
      <c r="K14" s="88">
        <f t="shared" si="0"/>
        <v>5274.3600000000006</v>
      </c>
      <c r="L14" s="12"/>
      <c r="M14" s="93"/>
    </row>
    <row r="15" spans="1:13" x14ac:dyDescent="0.25">
      <c r="A15" s="91">
        <v>6</v>
      </c>
      <c r="B15" s="91">
        <v>86810</v>
      </c>
      <c r="C15" s="94">
        <v>42019</v>
      </c>
      <c r="D15" s="92" t="s">
        <v>3067</v>
      </c>
      <c r="E15" s="91" t="s">
        <v>426</v>
      </c>
      <c r="F15" s="92" t="s">
        <v>116</v>
      </c>
      <c r="G15" s="9"/>
      <c r="H15" s="12" t="s">
        <v>431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12"/>
      <c r="M15" s="93"/>
    </row>
    <row r="16" spans="1:13" x14ac:dyDescent="0.25">
      <c r="A16" s="91">
        <v>7</v>
      </c>
      <c r="B16" s="102">
        <v>86634</v>
      </c>
      <c r="C16" s="103">
        <v>42019</v>
      </c>
      <c r="D16" s="104" t="s">
        <v>3068</v>
      </c>
      <c r="E16" s="102" t="s">
        <v>426</v>
      </c>
      <c r="F16" s="104" t="s">
        <v>116</v>
      </c>
      <c r="G16" s="105"/>
      <c r="H16" s="99" t="s">
        <v>472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91">
        <v>8</v>
      </c>
      <c r="B17" s="102">
        <v>87386</v>
      </c>
      <c r="C17" s="103">
        <v>42017</v>
      </c>
      <c r="D17" s="104" t="s">
        <v>3069</v>
      </c>
      <c r="E17" s="102" t="s">
        <v>2866</v>
      </c>
      <c r="F17" s="104" t="s">
        <v>537</v>
      </c>
      <c r="G17" s="105"/>
      <c r="H17" s="99" t="s">
        <v>511</v>
      </c>
      <c r="I17" s="106">
        <v>1</v>
      </c>
      <c r="J17" s="87">
        <f>IF(F17="","",VLOOKUP(F17,ARANCEL!$E$2:$F$123,2,FALSE))</f>
        <v>30428.999999999996</v>
      </c>
      <c r="K17" s="101">
        <f t="shared" si="0"/>
        <v>30428.999999999996</v>
      </c>
      <c r="L17" s="99"/>
      <c r="M17" s="100"/>
    </row>
    <row r="18" spans="1:13" x14ac:dyDescent="0.25">
      <c r="A18" s="91">
        <v>9</v>
      </c>
      <c r="B18" s="102">
        <v>88163</v>
      </c>
      <c r="C18" s="103">
        <v>42020</v>
      </c>
      <c r="D18" s="92" t="s">
        <v>3067</v>
      </c>
      <c r="E18" s="91" t="s">
        <v>426</v>
      </c>
      <c r="F18" s="104" t="s">
        <v>210</v>
      </c>
      <c r="G18" s="105"/>
      <c r="H18" s="99" t="s">
        <v>431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99"/>
      <c r="M18" s="100"/>
    </row>
    <row r="19" spans="1:13" x14ac:dyDescent="0.25">
      <c r="A19" s="102">
        <v>10</v>
      </c>
      <c r="B19" s="102">
        <v>88575</v>
      </c>
      <c r="C19" s="103">
        <v>42019</v>
      </c>
      <c r="D19" s="104" t="s">
        <v>3071</v>
      </c>
      <c r="E19" s="102" t="s">
        <v>426</v>
      </c>
      <c r="F19" s="104" t="s">
        <v>237</v>
      </c>
      <c r="G19" s="105"/>
      <c r="H19" s="99" t="s">
        <v>369</v>
      </c>
      <c r="I19" s="106">
        <v>1</v>
      </c>
      <c r="J19" s="87">
        <f>IF(F19="","",VLOOKUP(F19,ARANCEL!$E$2:$F$123,2,FALSE))</f>
        <v>10400.599999999999</v>
      </c>
      <c r="K19" s="101">
        <f t="shared" si="0"/>
        <v>10400.599999999999</v>
      </c>
      <c r="L19" s="99"/>
      <c r="M19" s="100"/>
    </row>
    <row r="20" spans="1:13" x14ac:dyDescent="0.25">
      <c r="A20" s="102">
        <v>11</v>
      </c>
      <c r="B20" s="102">
        <v>88723</v>
      </c>
      <c r="C20" s="103">
        <v>42020</v>
      </c>
      <c r="D20" s="104" t="s">
        <v>3070</v>
      </c>
      <c r="E20" s="102" t="s">
        <v>426</v>
      </c>
      <c r="F20" s="104" t="s">
        <v>357</v>
      </c>
      <c r="G20" s="105"/>
      <c r="H20" s="99" t="s">
        <v>369</v>
      </c>
      <c r="I20" s="106">
        <v>1</v>
      </c>
      <c r="J20" s="87">
        <f>IF(F20="","",VLOOKUP(F20,ARANCEL!$E$2:$F$123,2,FALSE))</f>
        <v>25800.249999999996</v>
      </c>
      <c r="K20" s="101">
        <f t="shared" si="0"/>
        <v>25800.249999999996</v>
      </c>
      <c r="L20" s="99"/>
      <c r="M20" s="100"/>
    </row>
    <row r="21" spans="1:13" x14ac:dyDescent="0.25">
      <c r="A21" s="102">
        <v>12</v>
      </c>
      <c r="B21" s="102">
        <v>88933</v>
      </c>
      <c r="C21" s="103">
        <v>42020</v>
      </c>
      <c r="D21" s="104" t="s">
        <v>993</v>
      </c>
      <c r="E21" s="102" t="s">
        <v>426</v>
      </c>
      <c r="F21" s="104" t="s">
        <v>116</v>
      </c>
      <c r="G21" s="105"/>
      <c r="H21" s="99" t="s">
        <v>527</v>
      </c>
      <c r="I21" s="106">
        <v>1</v>
      </c>
      <c r="J21" s="87">
        <f>IF(F21="","",VLOOKUP(F21,ARANCEL!$E$2:$F$123,2,FALSE))</f>
        <v>5274.3600000000006</v>
      </c>
      <c r="K21" s="101">
        <f t="shared" si="0"/>
        <v>5274.3600000000006</v>
      </c>
      <c r="L21" s="99"/>
      <c r="M21" s="100"/>
    </row>
    <row r="22" spans="1:13" x14ac:dyDescent="0.25">
      <c r="A22" s="102">
        <v>13</v>
      </c>
      <c r="B22" s="102">
        <v>88902</v>
      </c>
      <c r="C22" s="103">
        <v>42019</v>
      </c>
      <c r="D22" s="104" t="s">
        <v>3071</v>
      </c>
      <c r="E22" s="102" t="s">
        <v>426</v>
      </c>
      <c r="F22" s="104" t="s">
        <v>217</v>
      </c>
      <c r="G22" s="105"/>
      <c r="H22" s="99" t="s">
        <v>371</v>
      </c>
      <c r="I22" s="106">
        <v>1</v>
      </c>
      <c r="J22" s="87">
        <f>IF(F22="","",VLOOKUP(F22,ARANCEL!$E$2:$F$123,2,FALSE))</f>
        <v>44597.287499999999</v>
      </c>
      <c r="K22" s="101">
        <f t="shared" si="0"/>
        <v>44597.287499999999</v>
      </c>
      <c r="L22" s="99"/>
      <c r="M22" s="100"/>
    </row>
    <row r="23" spans="1:13" x14ac:dyDescent="0.25">
      <c r="A23" s="102">
        <v>14</v>
      </c>
      <c r="B23" s="102">
        <v>89870</v>
      </c>
      <c r="C23" s="103">
        <v>42026</v>
      </c>
      <c r="D23" s="104" t="s">
        <v>3162</v>
      </c>
      <c r="E23" s="102" t="s">
        <v>426</v>
      </c>
      <c r="F23" s="104" t="s">
        <v>116</v>
      </c>
      <c r="G23" s="105"/>
      <c r="H23" s="99" t="s">
        <v>445</v>
      </c>
      <c r="I23" s="106">
        <v>1</v>
      </c>
      <c r="J23" s="87">
        <f>IF(F23="","",VLOOKUP(F23,ARANCEL!$E$2:$F$123,2,FALSE))</f>
        <v>5274.3600000000006</v>
      </c>
      <c r="K23" s="101">
        <f t="shared" si="0"/>
        <v>5274.3600000000006</v>
      </c>
      <c r="L23" s="99"/>
      <c r="M23" s="100"/>
    </row>
    <row r="24" spans="1:13" x14ac:dyDescent="0.25">
      <c r="A24" s="102">
        <v>15</v>
      </c>
      <c r="B24" s="102">
        <v>90636</v>
      </c>
      <c r="C24" s="103">
        <v>42027</v>
      </c>
      <c r="D24" s="104" t="s">
        <v>3167</v>
      </c>
      <c r="E24" s="102" t="s">
        <v>426</v>
      </c>
      <c r="F24" s="104" t="s">
        <v>116</v>
      </c>
      <c r="G24" s="105"/>
      <c r="H24" s="99" t="s">
        <v>431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99"/>
      <c r="M24" s="100"/>
    </row>
    <row r="25" spans="1:13" x14ac:dyDescent="0.25">
      <c r="A25" s="91">
        <v>16</v>
      </c>
      <c r="B25" s="102">
        <v>90650</v>
      </c>
      <c r="C25" s="103">
        <v>42025</v>
      </c>
      <c r="D25" s="104" t="s">
        <v>435</v>
      </c>
      <c r="E25" s="102" t="s">
        <v>426</v>
      </c>
      <c r="F25" s="104" t="s">
        <v>115</v>
      </c>
      <c r="G25" s="105"/>
      <c r="H25" s="99" t="s">
        <v>417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99"/>
      <c r="M25" s="100"/>
    </row>
    <row r="26" spans="1:13" x14ac:dyDescent="0.25">
      <c r="A26" s="91">
        <v>17</v>
      </c>
      <c r="B26" s="102"/>
      <c r="C26" s="103"/>
      <c r="D26" s="104"/>
      <c r="E26" s="102"/>
      <c r="F26" s="104"/>
      <c r="G26" s="105"/>
      <c r="H26" s="99"/>
      <c r="I26" s="106"/>
      <c r="J26" s="87" t="str">
        <f>IF(F26="","",VLOOKUP(F26,ARANCEL!$E$2:$F$123,2,FALSE))</f>
        <v/>
      </c>
      <c r="K26" s="101" t="str">
        <f t="shared" si="0"/>
        <v/>
      </c>
      <c r="L26" s="99"/>
      <c r="M26" s="100"/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ref="K27:K29" si="1">IF(I27=0,"",J27*I27)</f>
        <v/>
      </c>
      <c r="L27" s="99"/>
      <c r="M27" s="100"/>
    </row>
    <row r="28" spans="1:13" x14ac:dyDescent="0.25">
      <c r="A28" s="91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91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2" spans="1:13" ht="20.25" customHeight="1" x14ac:dyDescent="0.25">
      <c r="A32" s="589" t="s">
        <v>366</v>
      </c>
      <c r="B32" s="589"/>
      <c r="C32" s="589"/>
      <c r="D32" s="589"/>
      <c r="E32" s="589"/>
      <c r="F32" s="589"/>
      <c r="G32" s="589"/>
      <c r="H32" s="589"/>
      <c r="I32" s="589"/>
      <c r="J32" s="589"/>
      <c r="K32" s="589"/>
    </row>
    <row r="33" spans="1:13" ht="24" x14ac:dyDescent="0.25">
      <c r="A33" s="89" t="s">
        <v>96</v>
      </c>
      <c r="B33" s="89" t="s">
        <v>97</v>
      </c>
      <c r="C33" s="90" t="s">
        <v>101</v>
      </c>
      <c r="D33" s="89" t="s">
        <v>98</v>
      </c>
      <c r="E33" s="89" t="s">
        <v>99</v>
      </c>
      <c r="F33" s="89" t="s">
        <v>100</v>
      </c>
      <c r="G33" s="89" t="s">
        <v>103</v>
      </c>
      <c r="H33" s="89" t="s">
        <v>102</v>
      </c>
      <c r="I33" s="89" t="s">
        <v>108</v>
      </c>
      <c r="J33" s="90" t="s">
        <v>104</v>
      </c>
      <c r="K33" s="90" t="s">
        <v>105</v>
      </c>
      <c r="L33" s="90" t="s">
        <v>168</v>
      </c>
      <c r="M33" s="90" t="s">
        <v>106</v>
      </c>
    </row>
    <row r="34" spans="1:13" x14ac:dyDescent="0.25">
      <c r="A34" s="114"/>
      <c r="B34" s="115" t="s">
        <v>412</v>
      </c>
      <c r="C34" s="110">
        <v>41925</v>
      </c>
      <c r="D34" s="116" t="s">
        <v>413</v>
      </c>
      <c r="E34" s="115" t="s">
        <v>414</v>
      </c>
      <c r="F34" s="116" t="s">
        <v>382</v>
      </c>
      <c r="G34" s="111" t="s">
        <v>415</v>
      </c>
      <c r="H34" s="576" t="s">
        <v>415</v>
      </c>
      <c r="I34" s="113">
        <v>1</v>
      </c>
      <c r="J34" s="117"/>
      <c r="K34" s="118"/>
      <c r="L34" s="114"/>
      <c r="M34" s="14"/>
    </row>
    <row r="35" spans="1:13" x14ac:dyDescent="0.25">
      <c r="A35" s="114"/>
      <c r="B35" s="115">
        <v>53827</v>
      </c>
      <c r="C35" s="110">
        <v>41925</v>
      </c>
      <c r="D35" s="116" t="s">
        <v>416</v>
      </c>
      <c r="E35" s="115" t="s">
        <v>414</v>
      </c>
      <c r="F35" s="116" t="s">
        <v>399</v>
      </c>
      <c r="G35" s="111" t="s">
        <v>417</v>
      </c>
      <c r="H35" s="576" t="s">
        <v>417</v>
      </c>
      <c r="I35" s="113">
        <v>1</v>
      </c>
      <c r="J35" s="117"/>
      <c r="K35" s="118"/>
      <c r="L35" s="114"/>
      <c r="M35" s="14"/>
    </row>
    <row r="36" spans="1:13" x14ac:dyDescent="0.25">
      <c r="A36" s="114"/>
      <c r="B36" s="115">
        <v>53385</v>
      </c>
      <c r="C36" s="110">
        <v>41925</v>
      </c>
      <c r="D36" s="116" t="s">
        <v>418</v>
      </c>
      <c r="E36" s="115" t="s">
        <v>414</v>
      </c>
      <c r="F36" s="116" t="s">
        <v>399</v>
      </c>
      <c r="G36" s="111" t="s">
        <v>419</v>
      </c>
      <c r="H36" s="576" t="s">
        <v>419</v>
      </c>
      <c r="I36" s="113">
        <v>1</v>
      </c>
      <c r="J36" s="117"/>
      <c r="K36" s="118"/>
      <c r="L36" s="114"/>
      <c r="M36" s="14"/>
    </row>
    <row r="37" spans="1:13" x14ac:dyDescent="0.25">
      <c r="A37" s="114"/>
      <c r="B37" s="115">
        <v>52831</v>
      </c>
      <c r="C37" s="110">
        <v>41922</v>
      </c>
      <c r="D37" s="116" t="s">
        <v>420</v>
      </c>
      <c r="E37" s="115" t="s">
        <v>421</v>
      </c>
      <c r="F37" s="116" t="s">
        <v>422</v>
      </c>
      <c r="G37" s="111" t="s">
        <v>371</v>
      </c>
      <c r="H37" s="576" t="s">
        <v>371</v>
      </c>
      <c r="I37" s="113">
        <v>1</v>
      </c>
      <c r="J37" s="117"/>
      <c r="K37" s="118"/>
      <c r="L37" s="114"/>
      <c r="M37" s="14"/>
    </row>
    <row r="38" spans="1:13" x14ac:dyDescent="0.25">
      <c r="A38" s="114"/>
      <c r="B38" s="115">
        <v>60202</v>
      </c>
      <c r="C38" s="110">
        <v>41942</v>
      </c>
      <c r="D38" s="116" t="s">
        <v>423</v>
      </c>
      <c r="E38" s="115" t="s">
        <v>424</v>
      </c>
      <c r="F38" s="116" t="s">
        <v>386</v>
      </c>
      <c r="G38" s="111" t="s">
        <v>371</v>
      </c>
      <c r="H38" s="576" t="s">
        <v>371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69301</v>
      </c>
      <c r="C39" s="110">
        <v>41969</v>
      </c>
      <c r="D39" s="116" t="s">
        <v>425</v>
      </c>
      <c r="E39" s="115" t="s">
        <v>426</v>
      </c>
      <c r="F39" s="116" t="s">
        <v>377</v>
      </c>
      <c r="G39" s="111" t="s">
        <v>387</v>
      </c>
      <c r="H39" s="576" t="s">
        <v>387</v>
      </c>
      <c r="I39" s="113">
        <v>2</v>
      </c>
      <c r="J39" s="117"/>
      <c r="K39" s="118"/>
      <c r="L39" s="114"/>
      <c r="M39" s="14"/>
    </row>
    <row r="40" spans="1:13" x14ac:dyDescent="0.25">
      <c r="A40" s="114"/>
      <c r="B40" s="115">
        <v>70149</v>
      </c>
      <c r="C40" s="110">
        <v>41970</v>
      </c>
      <c r="D40" s="116" t="s">
        <v>427</v>
      </c>
      <c r="E40" s="115" t="s">
        <v>426</v>
      </c>
      <c r="F40" s="116" t="s">
        <v>399</v>
      </c>
      <c r="G40" s="111" t="s">
        <v>383</v>
      </c>
      <c r="H40" s="576" t="s">
        <v>383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 t="s">
        <v>428</v>
      </c>
      <c r="C41" s="110">
        <v>41991</v>
      </c>
      <c r="D41" s="116" t="s">
        <v>429</v>
      </c>
      <c r="E41" s="115" t="s">
        <v>426</v>
      </c>
      <c r="F41" s="116" t="s">
        <v>430</v>
      </c>
      <c r="G41" s="111" t="s">
        <v>431</v>
      </c>
      <c r="H41" s="576" t="s">
        <v>431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 t="s">
        <v>432</v>
      </c>
      <c r="C42" s="110">
        <v>41989</v>
      </c>
      <c r="D42" s="116" t="s">
        <v>433</v>
      </c>
      <c r="E42" s="115" t="s">
        <v>426</v>
      </c>
      <c r="F42" s="116" t="s">
        <v>430</v>
      </c>
      <c r="G42" s="111" t="s">
        <v>434</v>
      </c>
      <c r="H42" s="576" t="s">
        <v>434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89330</v>
      </c>
      <c r="C43" s="110">
        <v>42020</v>
      </c>
      <c r="D43" s="116" t="s">
        <v>3072</v>
      </c>
      <c r="E43" s="115" t="s">
        <v>426</v>
      </c>
      <c r="F43" s="116" t="s">
        <v>386</v>
      </c>
      <c r="G43" s="111"/>
      <c r="H43" s="582" t="s">
        <v>371</v>
      </c>
      <c r="I43" s="113">
        <v>1</v>
      </c>
      <c r="J43" s="117"/>
      <c r="K43" s="118"/>
      <c r="L43" s="114"/>
      <c r="M43" s="14"/>
    </row>
    <row r="44" spans="1:13" x14ac:dyDescent="0.25">
      <c r="A44" s="114"/>
      <c r="B44" s="115">
        <v>90638</v>
      </c>
      <c r="C44" s="110">
        <v>42026</v>
      </c>
      <c r="D44" s="116" t="s">
        <v>992</v>
      </c>
      <c r="E44" s="115" t="s">
        <v>426</v>
      </c>
      <c r="F44" s="116" t="s">
        <v>399</v>
      </c>
      <c r="G44" s="111"/>
      <c r="H44" s="582">
        <v>2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/>
      <c r="C45" s="110"/>
      <c r="D45" s="116"/>
      <c r="E45" s="115"/>
      <c r="F45" s="116"/>
      <c r="G45" s="111"/>
      <c r="H45" s="582"/>
      <c r="I45" s="113"/>
      <c r="J45" s="117"/>
      <c r="K45" s="118"/>
      <c r="L45" s="114"/>
      <c r="M45" s="14"/>
    </row>
    <row r="46" spans="1:13" x14ac:dyDescent="0.25">
      <c r="A46" s="114"/>
      <c r="B46" s="115"/>
      <c r="C46" s="110"/>
      <c r="D46" s="116"/>
      <c r="E46" s="115"/>
      <c r="F46" s="116"/>
      <c r="G46" s="111"/>
      <c r="H46" s="582"/>
      <c r="I46" s="113"/>
      <c r="J46" s="117"/>
      <c r="K46" s="118"/>
      <c r="L46" s="114"/>
      <c r="M46" s="14"/>
    </row>
    <row r="47" spans="1:13" x14ac:dyDescent="0.25">
      <c r="A47" s="114"/>
      <c r="B47" s="115"/>
      <c r="C47" s="110"/>
      <c r="D47" s="116"/>
      <c r="E47" s="115"/>
      <c r="F47" s="116"/>
      <c r="G47" s="111"/>
      <c r="H47" s="582"/>
      <c r="I47" s="113"/>
      <c r="J47" s="117"/>
      <c r="K47" s="118"/>
      <c r="L47" s="114"/>
      <c r="M47" s="14"/>
    </row>
    <row r="48" spans="1:13" x14ac:dyDescent="0.25">
      <c r="A48" s="114"/>
      <c r="B48" s="115"/>
      <c r="C48" s="110"/>
      <c r="D48" s="116"/>
      <c r="E48" s="115"/>
      <c r="F48" s="116"/>
      <c r="G48" s="111"/>
      <c r="H48" s="582"/>
      <c r="I48" s="113"/>
      <c r="J48" s="117"/>
      <c r="K48" s="118"/>
      <c r="L48" s="114"/>
      <c r="M48" s="14"/>
    </row>
    <row r="49" spans="1:13" x14ac:dyDescent="0.25">
      <c r="A49" s="114"/>
      <c r="B49" s="115"/>
      <c r="C49" s="110"/>
      <c r="D49" s="116"/>
      <c r="E49" s="115"/>
      <c r="F49" s="116"/>
      <c r="G49" s="111"/>
      <c r="H49" s="582"/>
      <c r="I49" s="113"/>
      <c r="J49" s="117"/>
      <c r="K49" s="118"/>
      <c r="L49" s="114"/>
      <c r="M49" s="14"/>
    </row>
    <row r="50" spans="1:13" x14ac:dyDescent="0.25">
      <c r="A50" s="114"/>
      <c r="B50" s="115"/>
      <c r="C50" s="110"/>
      <c r="D50" s="116"/>
      <c r="E50" s="115"/>
      <c r="F50" s="116"/>
      <c r="G50" s="111"/>
      <c r="H50" s="582"/>
      <c r="I50" s="113"/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</sheetData>
  <autoFilter ref="A9:M9">
    <sortState ref="A11:M14">
      <sortCondition ref="L10"/>
    </sortState>
  </autoFilter>
  <mergeCells count="9">
    <mergeCell ref="A7:B7"/>
    <mergeCell ref="A8:B8"/>
    <mergeCell ref="A32:K32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79"/>
  <sheetViews>
    <sheetView zoomScale="90" zoomScaleNormal="90" workbookViewId="0">
      <pane ySplit="9" topLeftCell="A10" activePane="bottomLeft" state="frozen"/>
      <selection activeCell="C16" sqref="C16"/>
      <selection pane="bottomLeft" activeCell="K45" sqref="K4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35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>FEISA SALUD LTDA</v>
      </c>
      <c r="H3" s="108" t="s">
        <v>166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76.339.245-7</v>
      </c>
      <c r="H4" s="108" t="s">
        <v>164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>AVENIDA 5 DE ABRIL 33 LOCAL 35, MAIPU</v>
      </c>
      <c r="H5" s="108" t="s">
        <v>163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DE ATENCION ODONTOLOGICA</v>
      </c>
      <c r="H6" s="108" t="s">
        <v>167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MAIPU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8" t="s">
        <v>165</v>
      </c>
      <c r="B8" s="588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>
        <f>IFERROR(VLOOKUP($A$2,DATOS!$A$2:$N$14,13,FALSE),"SUCURSAL NO ENCONTRADA")</f>
        <v>0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85719</v>
      </c>
      <c r="C10" s="94">
        <v>42011</v>
      </c>
      <c r="D10" s="92" t="s">
        <v>470</v>
      </c>
      <c r="E10" s="91" t="s">
        <v>396</v>
      </c>
      <c r="F10" s="92" t="s">
        <v>116</v>
      </c>
      <c r="G10" s="9"/>
      <c r="H10" s="12" t="s">
        <v>417</v>
      </c>
      <c r="I10" s="120">
        <v>1</v>
      </c>
      <c r="J10" s="87">
        <f>IF(F10="","",VLOOKUP(F10,ARANCEL!$E$2:$F$123,2,FALSE))</f>
        <v>5274.3600000000006</v>
      </c>
      <c r="K10" s="88">
        <f t="shared" ref="K10:K46" si="0">IF(I10=0,"",J10*I10)</f>
        <v>5274.3600000000006</v>
      </c>
      <c r="L10" s="12"/>
      <c r="M10" s="93"/>
    </row>
    <row r="11" spans="1:13" x14ac:dyDescent="0.25">
      <c r="A11" s="91">
        <v>2</v>
      </c>
      <c r="B11" s="91">
        <v>85719</v>
      </c>
      <c r="C11" s="94">
        <v>42011</v>
      </c>
      <c r="D11" s="92" t="s">
        <v>470</v>
      </c>
      <c r="E11" s="91" t="s">
        <v>396</v>
      </c>
      <c r="F11" s="92" t="s">
        <v>210</v>
      </c>
      <c r="G11" s="9"/>
      <c r="H11" s="12" t="s">
        <v>417</v>
      </c>
      <c r="I11" s="120">
        <v>1</v>
      </c>
      <c r="J11" s="87">
        <f>IF(F11="","",VLOOKUP(F11,ARANCEL!$E$2:$F$123,2,FALSE))</f>
        <v>14098.999999999998</v>
      </c>
      <c r="K11" s="88">
        <f t="shared" si="0"/>
        <v>14098.999999999998</v>
      </c>
      <c r="L11" s="12"/>
      <c r="M11" s="93"/>
    </row>
    <row r="12" spans="1:13" x14ac:dyDescent="0.25">
      <c r="A12" s="91">
        <v>3</v>
      </c>
      <c r="B12" s="91">
        <v>85541</v>
      </c>
      <c r="C12" s="94">
        <v>42010</v>
      </c>
      <c r="D12" s="92" t="s">
        <v>460</v>
      </c>
      <c r="E12" s="91" t="s">
        <v>456</v>
      </c>
      <c r="F12" s="92" t="s">
        <v>355</v>
      </c>
      <c r="G12" s="9"/>
      <c r="H12" s="12" t="s">
        <v>371</v>
      </c>
      <c r="I12" s="120">
        <v>1</v>
      </c>
      <c r="J12" s="87">
        <f>IF(F12="","",VLOOKUP(F12,ARANCEL!$E$2:$F$123,2,FALSE))</f>
        <v>55057.687499999993</v>
      </c>
      <c r="K12" s="88">
        <f t="shared" si="0"/>
        <v>55057.687499999993</v>
      </c>
      <c r="L12" s="12"/>
      <c r="M12" s="93"/>
    </row>
    <row r="13" spans="1:13" x14ac:dyDescent="0.25">
      <c r="A13" s="91">
        <v>4</v>
      </c>
      <c r="B13" s="102">
        <v>85186</v>
      </c>
      <c r="C13" s="103">
        <v>42009</v>
      </c>
      <c r="D13" s="104" t="s">
        <v>461</v>
      </c>
      <c r="E13" s="102" t="s">
        <v>456</v>
      </c>
      <c r="F13" s="104" t="s">
        <v>115</v>
      </c>
      <c r="G13" s="105"/>
      <c r="H13" s="99" t="s">
        <v>400</v>
      </c>
      <c r="I13" s="106">
        <v>2</v>
      </c>
      <c r="J13" s="87">
        <f>IF(F13="","",VLOOKUP(F13,ARANCEL!$E$2:$F$123,2,FALSE))</f>
        <v>33370.239999999998</v>
      </c>
      <c r="K13" s="101">
        <f t="shared" si="0"/>
        <v>66740.479999999996</v>
      </c>
      <c r="L13" s="99"/>
      <c r="M13" s="100"/>
    </row>
    <row r="14" spans="1:13" x14ac:dyDescent="0.25">
      <c r="A14" s="91">
        <v>5</v>
      </c>
      <c r="B14" s="102">
        <v>85123</v>
      </c>
      <c r="C14" s="103">
        <v>42004</v>
      </c>
      <c r="D14" s="104" t="s">
        <v>471</v>
      </c>
      <c r="E14" s="102" t="s">
        <v>456</v>
      </c>
      <c r="F14" s="104" t="s">
        <v>116</v>
      </c>
      <c r="G14" s="105"/>
      <c r="H14" s="99" t="s">
        <v>434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99"/>
      <c r="M14" s="100"/>
    </row>
    <row r="15" spans="1:13" x14ac:dyDescent="0.25">
      <c r="A15" s="91">
        <v>6</v>
      </c>
      <c r="B15" s="102">
        <v>85123</v>
      </c>
      <c r="C15" s="103">
        <v>42004</v>
      </c>
      <c r="D15" s="104" t="s">
        <v>471</v>
      </c>
      <c r="E15" s="102" t="s">
        <v>456</v>
      </c>
      <c r="F15" s="104" t="s">
        <v>204</v>
      </c>
      <c r="G15" s="105"/>
      <c r="H15" s="99" t="s">
        <v>472</v>
      </c>
      <c r="I15" s="106">
        <v>1</v>
      </c>
      <c r="J15" s="87">
        <f>IF(F15="","",VLOOKUP(F15,ARANCEL!$E$2:$F$123,2,FALSE))</f>
        <v>17243.560000000001</v>
      </c>
      <c r="K15" s="101">
        <f t="shared" ref="K15:K17" si="1">IF(I15=0,"",J15*I15)</f>
        <v>17243.560000000001</v>
      </c>
      <c r="L15" s="99"/>
      <c r="M15" s="100"/>
    </row>
    <row r="16" spans="1:13" x14ac:dyDescent="0.25">
      <c r="A16" s="91">
        <v>7</v>
      </c>
      <c r="B16" s="102">
        <v>82219</v>
      </c>
      <c r="C16" s="103">
        <v>41995</v>
      </c>
      <c r="D16" s="104" t="s">
        <v>367</v>
      </c>
      <c r="E16" s="102" t="s">
        <v>368</v>
      </c>
      <c r="F16" s="104" t="s">
        <v>540</v>
      </c>
      <c r="G16" s="105"/>
      <c r="H16" s="99" t="s">
        <v>369</v>
      </c>
      <c r="I16" s="106">
        <v>1</v>
      </c>
      <c r="J16" s="96">
        <v>-18764</v>
      </c>
      <c r="K16" s="96">
        <f t="shared" si="1"/>
        <v>-18764</v>
      </c>
      <c r="L16" s="99"/>
      <c r="M16" s="100" t="s">
        <v>541</v>
      </c>
    </row>
    <row r="17" spans="1:13" x14ac:dyDescent="0.25">
      <c r="A17" s="91">
        <v>8</v>
      </c>
      <c r="B17" s="102">
        <v>87024</v>
      </c>
      <c r="C17" s="103">
        <v>42016</v>
      </c>
      <c r="D17" s="104" t="s">
        <v>3073</v>
      </c>
      <c r="E17" s="102" t="s">
        <v>396</v>
      </c>
      <c r="F17" s="104" t="s">
        <v>116</v>
      </c>
      <c r="G17" s="105"/>
      <c r="H17" s="99" t="s">
        <v>400</v>
      </c>
      <c r="I17" s="106">
        <v>2</v>
      </c>
      <c r="J17" s="87">
        <f>IF(F17="","",VLOOKUP(F17,ARANCEL!$E$2:$F$123,2,FALSE))</f>
        <v>5274.3600000000006</v>
      </c>
      <c r="K17" s="101">
        <f t="shared" si="1"/>
        <v>10548.720000000001</v>
      </c>
      <c r="L17" s="99"/>
      <c r="M17" s="100"/>
    </row>
    <row r="18" spans="1:13" x14ac:dyDescent="0.25">
      <c r="A18" s="91">
        <v>9</v>
      </c>
      <c r="B18" s="102">
        <v>87068</v>
      </c>
      <c r="C18" s="103">
        <v>42016</v>
      </c>
      <c r="D18" s="104" t="s">
        <v>1108</v>
      </c>
      <c r="E18" s="102" t="s">
        <v>396</v>
      </c>
      <c r="F18" s="104" t="s">
        <v>210</v>
      </c>
      <c r="G18" s="105"/>
      <c r="H18" s="99" t="s">
        <v>400</v>
      </c>
      <c r="I18" s="106">
        <v>2</v>
      </c>
      <c r="J18" s="87">
        <f>IF(F18="","",VLOOKUP(F18,ARANCEL!$E$2:$F$123,2,FALSE))</f>
        <v>14098.999999999998</v>
      </c>
      <c r="K18" s="101">
        <f t="shared" si="0"/>
        <v>28197.999999999996</v>
      </c>
      <c r="L18" s="99"/>
      <c r="M18" s="100"/>
    </row>
    <row r="19" spans="1:13" x14ac:dyDescent="0.25">
      <c r="A19" s="91">
        <v>10</v>
      </c>
      <c r="B19" s="102">
        <v>85377</v>
      </c>
      <c r="C19" s="103">
        <v>42009</v>
      </c>
      <c r="D19" s="104" t="s">
        <v>1177</v>
      </c>
      <c r="E19" s="102" t="s">
        <v>456</v>
      </c>
      <c r="F19" s="104" t="s">
        <v>537</v>
      </c>
      <c r="G19" s="105"/>
      <c r="H19" s="99" t="s">
        <v>511</v>
      </c>
      <c r="I19" s="106">
        <v>1</v>
      </c>
      <c r="J19" s="87">
        <f>IF(F19="","",VLOOKUP(F19,ARANCEL!$E$2:$F$123,2,FALSE))</f>
        <v>30428.999999999996</v>
      </c>
      <c r="K19" s="101">
        <f t="shared" si="0"/>
        <v>30428.999999999996</v>
      </c>
      <c r="L19" s="99"/>
      <c r="M19" s="100"/>
    </row>
    <row r="20" spans="1:13" x14ac:dyDescent="0.25">
      <c r="A20" s="102">
        <v>11</v>
      </c>
      <c r="B20" s="102">
        <v>86400</v>
      </c>
      <c r="C20" s="103">
        <v>42017</v>
      </c>
      <c r="D20" s="104" t="s">
        <v>1182</v>
      </c>
      <c r="E20" s="102" t="s">
        <v>456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99"/>
      <c r="M20" s="100"/>
    </row>
    <row r="21" spans="1:13" x14ac:dyDescent="0.25">
      <c r="A21" s="102">
        <v>12</v>
      </c>
      <c r="B21" s="102">
        <v>86166</v>
      </c>
      <c r="C21" s="103">
        <v>42012</v>
      </c>
      <c r="D21" s="104" t="s">
        <v>3075</v>
      </c>
      <c r="E21" s="102" t="s">
        <v>456</v>
      </c>
      <c r="F21" s="104" t="s">
        <v>537</v>
      </c>
      <c r="G21" s="105"/>
      <c r="H21" s="99" t="s">
        <v>392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99"/>
      <c r="M21" s="100"/>
    </row>
    <row r="22" spans="1:13" x14ac:dyDescent="0.25">
      <c r="A22" s="102">
        <v>13</v>
      </c>
      <c r="B22" s="102">
        <v>86504</v>
      </c>
      <c r="C22" s="103">
        <v>42011</v>
      </c>
      <c r="D22" s="104" t="s">
        <v>468</v>
      </c>
      <c r="E22" s="102" t="s">
        <v>396</v>
      </c>
      <c r="F22" s="104" t="s">
        <v>115</v>
      </c>
      <c r="G22" s="105"/>
      <c r="H22" s="99" t="s">
        <v>442</v>
      </c>
      <c r="I22" s="106">
        <v>1</v>
      </c>
      <c r="J22" s="87">
        <f>IF(F22="","",VLOOKUP(F22,ARANCEL!$E$2:$F$123,2,FALSE))</f>
        <v>33370.239999999998</v>
      </c>
      <c r="K22" s="101">
        <f t="shared" si="0"/>
        <v>33370.239999999998</v>
      </c>
      <c r="L22" s="99"/>
      <c r="M22" s="100"/>
    </row>
    <row r="23" spans="1:13" x14ac:dyDescent="0.25">
      <c r="A23" s="102">
        <v>14</v>
      </c>
      <c r="B23" s="102">
        <v>86503</v>
      </c>
      <c r="C23" s="103">
        <v>42011</v>
      </c>
      <c r="D23" s="104" t="s">
        <v>3079</v>
      </c>
      <c r="E23" s="102" t="s">
        <v>396</v>
      </c>
      <c r="F23" s="104" t="s">
        <v>336</v>
      </c>
      <c r="G23" s="105"/>
      <c r="H23" s="99" t="s">
        <v>417</v>
      </c>
      <c r="I23" s="106">
        <v>1</v>
      </c>
      <c r="J23" s="87">
        <f>IF(F23="","",VLOOKUP(F23,ARANCEL!$E$2:$F$123,2,FALSE))</f>
        <v>29439.999999999996</v>
      </c>
      <c r="K23" s="101">
        <f t="shared" si="0"/>
        <v>29439.999999999996</v>
      </c>
      <c r="L23" s="99"/>
      <c r="M23" s="100"/>
    </row>
    <row r="24" spans="1:13" x14ac:dyDescent="0.25">
      <c r="A24" s="102">
        <v>15</v>
      </c>
      <c r="B24" s="102">
        <v>86723</v>
      </c>
      <c r="C24" s="103">
        <v>42013</v>
      </c>
      <c r="D24" s="104" t="s">
        <v>3076</v>
      </c>
      <c r="E24" s="102" t="s">
        <v>3077</v>
      </c>
      <c r="F24" s="104" t="s">
        <v>197</v>
      </c>
      <c r="G24" s="105"/>
      <c r="H24" s="99" t="s">
        <v>392</v>
      </c>
      <c r="I24" s="106">
        <v>1</v>
      </c>
      <c r="J24" s="87">
        <f>IF(F24="","",VLOOKUP(F24,ARANCEL!$E$2:$F$123,2,FALSE))</f>
        <v>2738.8399999999997</v>
      </c>
      <c r="K24" s="101">
        <f t="shared" si="0"/>
        <v>2738.8399999999997</v>
      </c>
      <c r="L24" s="99"/>
      <c r="M24" s="100"/>
    </row>
    <row r="25" spans="1:13" x14ac:dyDescent="0.25">
      <c r="A25" s="102">
        <v>16</v>
      </c>
      <c r="B25" s="102">
        <v>87628</v>
      </c>
      <c r="C25" s="103">
        <v>42016</v>
      </c>
      <c r="D25" s="104" t="s">
        <v>467</v>
      </c>
      <c r="E25" s="102" t="s">
        <v>396</v>
      </c>
      <c r="F25" s="104" t="s">
        <v>188</v>
      </c>
      <c r="G25" s="105"/>
      <c r="H25" s="99" t="s">
        <v>442</v>
      </c>
      <c r="I25" s="106">
        <v>1</v>
      </c>
      <c r="J25" s="87">
        <f>IF(F25="","",VLOOKUP(F25,ARANCEL!$E$2:$F$123,2,FALSE))</f>
        <v>42600.6</v>
      </c>
      <c r="K25" s="101">
        <f t="shared" si="0"/>
        <v>42600.6</v>
      </c>
      <c r="L25" s="99"/>
      <c r="M25" s="100"/>
    </row>
    <row r="26" spans="1:13" x14ac:dyDescent="0.25">
      <c r="A26" s="102">
        <v>17</v>
      </c>
      <c r="B26" s="102">
        <v>87553</v>
      </c>
      <c r="C26" s="103">
        <v>42017</v>
      </c>
      <c r="D26" s="104" t="s">
        <v>3080</v>
      </c>
      <c r="E26" s="102" t="s">
        <v>456</v>
      </c>
      <c r="F26" s="104" t="s">
        <v>537</v>
      </c>
      <c r="G26" s="105"/>
      <c r="H26" s="99" t="s">
        <v>442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99"/>
      <c r="M26" s="100"/>
    </row>
    <row r="27" spans="1:13" x14ac:dyDescent="0.25">
      <c r="A27" s="102">
        <v>18</v>
      </c>
      <c r="B27" s="102">
        <v>87482</v>
      </c>
      <c r="C27" s="103">
        <v>42017</v>
      </c>
      <c r="D27" s="104" t="s">
        <v>1188</v>
      </c>
      <c r="E27" s="102" t="s">
        <v>456</v>
      </c>
      <c r="F27" s="104" t="s">
        <v>537</v>
      </c>
      <c r="G27" s="105"/>
      <c r="H27" s="99" t="s">
        <v>415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99"/>
      <c r="M27" s="100"/>
    </row>
    <row r="28" spans="1:13" x14ac:dyDescent="0.25">
      <c r="A28" s="102">
        <v>19</v>
      </c>
      <c r="B28" s="102">
        <v>87634</v>
      </c>
      <c r="C28" s="103">
        <v>42017</v>
      </c>
      <c r="D28" s="104" t="s">
        <v>3081</v>
      </c>
      <c r="E28" s="102" t="s">
        <v>456</v>
      </c>
      <c r="F28" s="104" t="s">
        <v>116</v>
      </c>
      <c r="G28" s="105"/>
      <c r="H28" s="99" t="s">
        <v>445</v>
      </c>
      <c r="I28" s="106">
        <v>1</v>
      </c>
      <c r="J28" s="87">
        <f>IF(F28="","",VLOOKUP(F28,ARANCEL!$E$2:$F$123,2,FALSE))</f>
        <v>5274.3600000000006</v>
      </c>
      <c r="K28" s="101">
        <f t="shared" si="0"/>
        <v>5274.3600000000006</v>
      </c>
      <c r="L28" s="99"/>
      <c r="M28" s="100"/>
    </row>
    <row r="29" spans="1:13" x14ac:dyDescent="0.25">
      <c r="A29" s="102">
        <v>20</v>
      </c>
      <c r="B29" s="102">
        <v>87728</v>
      </c>
      <c r="C29" s="103">
        <v>42017</v>
      </c>
      <c r="D29" s="104" t="s">
        <v>3082</v>
      </c>
      <c r="E29" s="102" t="s">
        <v>456</v>
      </c>
      <c r="F29" s="104" t="s">
        <v>537</v>
      </c>
      <c r="G29" s="105"/>
      <c r="H29" s="99" t="s">
        <v>417</v>
      </c>
      <c r="I29" s="106">
        <v>1</v>
      </c>
      <c r="J29" s="87">
        <f>IF(F29="","",VLOOKUP(F29,ARANCEL!$E$2:$F$123,2,FALSE))</f>
        <v>30428.999999999996</v>
      </c>
      <c r="K29" s="101">
        <f t="shared" si="0"/>
        <v>30428.999999999996</v>
      </c>
      <c r="L29" s="99"/>
      <c r="M29" s="100"/>
    </row>
    <row r="30" spans="1:13" x14ac:dyDescent="0.25">
      <c r="A30" s="102">
        <v>21</v>
      </c>
      <c r="B30" s="102">
        <v>88019</v>
      </c>
      <c r="C30" s="103">
        <v>42017</v>
      </c>
      <c r="D30" s="104" t="s">
        <v>3083</v>
      </c>
      <c r="E30" s="102" t="s">
        <v>396</v>
      </c>
      <c r="F30" s="104" t="s">
        <v>116</v>
      </c>
      <c r="G30" s="105"/>
      <c r="H30" s="99" t="s">
        <v>527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99"/>
      <c r="M30" s="100"/>
    </row>
    <row r="31" spans="1:13" x14ac:dyDescent="0.25">
      <c r="A31" s="102">
        <v>22</v>
      </c>
      <c r="B31" s="102">
        <v>88019</v>
      </c>
      <c r="C31" s="103">
        <v>42017</v>
      </c>
      <c r="D31" s="104" t="s">
        <v>3083</v>
      </c>
      <c r="E31" s="102" t="s">
        <v>396</v>
      </c>
      <c r="F31" s="104" t="s">
        <v>210</v>
      </c>
      <c r="G31" s="105"/>
      <c r="H31" s="99" t="s">
        <v>527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99"/>
      <c r="M31" s="100"/>
    </row>
    <row r="32" spans="1:13" x14ac:dyDescent="0.25">
      <c r="A32" s="102">
        <v>23</v>
      </c>
      <c r="B32" s="102">
        <v>87899</v>
      </c>
      <c r="C32" s="103">
        <v>42017</v>
      </c>
      <c r="D32" s="104" t="s">
        <v>3084</v>
      </c>
      <c r="E32" s="102" t="s">
        <v>456</v>
      </c>
      <c r="F32" s="104" t="s">
        <v>357</v>
      </c>
      <c r="G32" s="105"/>
      <c r="H32" s="99" t="s">
        <v>371</v>
      </c>
      <c r="I32" s="106">
        <v>1</v>
      </c>
      <c r="J32" s="87">
        <f>IF(F32="","",VLOOKUP(F32,ARANCEL!$E$2:$F$123,2,FALSE))</f>
        <v>25800.249999999996</v>
      </c>
      <c r="K32" s="101">
        <f t="shared" si="0"/>
        <v>25800.249999999996</v>
      </c>
      <c r="L32" s="99"/>
      <c r="M32" s="100"/>
    </row>
    <row r="33" spans="1:13" x14ac:dyDescent="0.25">
      <c r="A33" s="102">
        <v>24</v>
      </c>
      <c r="B33" s="102">
        <v>88172</v>
      </c>
      <c r="C33" s="103">
        <v>42018</v>
      </c>
      <c r="D33" s="104" t="s">
        <v>3085</v>
      </c>
      <c r="E33" s="102" t="s">
        <v>396</v>
      </c>
      <c r="F33" s="104" t="s">
        <v>537</v>
      </c>
      <c r="G33" s="105"/>
      <c r="H33" s="99" t="s">
        <v>472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99"/>
      <c r="M33" s="100"/>
    </row>
    <row r="34" spans="1:13" x14ac:dyDescent="0.25">
      <c r="A34" s="102">
        <v>25</v>
      </c>
      <c r="B34" s="102">
        <v>88323</v>
      </c>
      <c r="C34" s="103">
        <v>42020</v>
      </c>
      <c r="D34" s="104" t="s">
        <v>3086</v>
      </c>
      <c r="E34" s="102" t="s">
        <v>456</v>
      </c>
      <c r="F34" s="104" t="s">
        <v>115</v>
      </c>
      <c r="G34" s="105"/>
      <c r="H34" s="99" t="s">
        <v>392</v>
      </c>
      <c r="I34" s="106">
        <v>1</v>
      </c>
      <c r="J34" s="87">
        <f>IF(F34="","",VLOOKUP(F34,ARANCEL!$E$2:$F$123,2,FALSE))</f>
        <v>33370.239999999998</v>
      </c>
      <c r="K34" s="101">
        <f t="shared" si="0"/>
        <v>33370.239999999998</v>
      </c>
      <c r="L34" s="99"/>
      <c r="M34" s="100"/>
    </row>
    <row r="35" spans="1:13" x14ac:dyDescent="0.25">
      <c r="A35" s="102">
        <v>26</v>
      </c>
      <c r="B35" s="102">
        <v>88508</v>
      </c>
      <c r="C35" s="103">
        <v>42018</v>
      </c>
      <c r="D35" s="104" t="s">
        <v>466</v>
      </c>
      <c r="E35" s="102" t="s">
        <v>456</v>
      </c>
      <c r="F35" s="104" t="s">
        <v>355</v>
      </c>
      <c r="G35" s="105"/>
      <c r="H35" s="99" t="s">
        <v>371</v>
      </c>
      <c r="I35" s="106">
        <v>1</v>
      </c>
      <c r="J35" s="87">
        <f>IF(F35="","",VLOOKUP(F35,ARANCEL!$E$2:$F$123,2,FALSE))</f>
        <v>55057.687499999993</v>
      </c>
      <c r="K35" s="101">
        <f t="shared" si="0"/>
        <v>55057.687499999993</v>
      </c>
      <c r="L35" s="99"/>
      <c r="M35" s="100"/>
    </row>
    <row r="36" spans="1:13" x14ac:dyDescent="0.25">
      <c r="A36" s="102">
        <v>27</v>
      </c>
      <c r="B36" s="102">
        <v>89055</v>
      </c>
      <c r="C36" s="103">
        <v>42020</v>
      </c>
      <c r="D36" s="104" t="s">
        <v>3088</v>
      </c>
      <c r="E36" s="102" t="s">
        <v>456</v>
      </c>
      <c r="F36" s="104" t="s">
        <v>217</v>
      </c>
      <c r="G36" s="105"/>
      <c r="H36" s="99" t="s">
        <v>371</v>
      </c>
      <c r="I36" s="106">
        <v>1</v>
      </c>
      <c r="J36" s="87">
        <f>IF(F36="","",VLOOKUP(F36,ARANCEL!$E$2:$F$123,2,FALSE))</f>
        <v>44597.287499999999</v>
      </c>
      <c r="K36" s="101">
        <f t="shared" si="0"/>
        <v>44597.287499999999</v>
      </c>
      <c r="L36" s="99"/>
      <c r="M36" s="100"/>
    </row>
    <row r="37" spans="1:13" x14ac:dyDescent="0.25">
      <c r="A37" s="102">
        <v>28</v>
      </c>
      <c r="B37" s="102">
        <v>89307</v>
      </c>
      <c r="C37" s="103">
        <v>42020</v>
      </c>
      <c r="D37" s="104" t="s">
        <v>3089</v>
      </c>
      <c r="E37" s="102" t="s">
        <v>456</v>
      </c>
      <c r="F37" s="104" t="s">
        <v>232</v>
      </c>
      <c r="G37" s="105"/>
      <c r="H37" s="99" t="s">
        <v>371</v>
      </c>
      <c r="I37" s="106">
        <v>1</v>
      </c>
      <c r="J37" s="87">
        <f>IF(F37="","",VLOOKUP(F37,ARANCEL!$E$2:$F$123,2,FALSE))</f>
        <v>17243.560000000001</v>
      </c>
      <c r="K37" s="101">
        <f t="shared" si="0"/>
        <v>17243.560000000001</v>
      </c>
      <c r="L37" s="99"/>
      <c r="M37" s="100"/>
    </row>
    <row r="38" spans="1:13" x14ac:dyDescent="0.25">
      <c r="A38" s="102">
        <v>29</v>
      </c>
      <c r="B38" s="102">
        <v>89821</v>
      </c>
      <c r="C38" s="103">
        <v>42024</v>
      </c>
      <c r="D38" s="104" t="s">
        <v>3163</v>
      </c>
      <c r="E38" s="102" t="s">
        <v>456</v>
      </c>
      <c r="F38" s="104" t="s">
        <v>116</v>
      </c>
      <c r="G38" s="105"/>
      <c r="H38" s="99" t="s">
        <v>419</v>
      </c>
      <c r="I38" s="106">
        <v>1</v>
      </c>
      <c r="J38" s="87">
        <f>IF(F38="","",VLOOKUP(F38,ARANCEL!$E$2:$F$123,2,FALSE))</f>
        <v>5274.3600000000006</v>
      </c>
      <c r="K38" s="101">
        <f t="shared" si="0"/>
        <v>5274.3600000000006</v>
      </c>
      <c r="L38" s="99"/>
      <c r="M38" s="100"/>
    </row>
    <row r="39" spans="1:13" x14ac:dyDescent="0.25">
      <c r="A39" s="102">
        <v>30</v>
      </c>
      <c r="B39" s="102">
        <v>89821</v>
      </c>
      <c r="C39" s="103">
        <v>42024</v>
      </c>
      <c r="D39" s="104" t="s">
        <v>3163</v>
      </c>
      <c r="E39" s="102" t="s">
        <v>456</v>
      </c>
      <c r="F39" s="104" t="s">
        <v>537</v>
      </c>
      <c r="G39" s="105"/>
      <c r="H39" s="99" t="s">
        <v>419</v>
      </c>
      <c r="I39" s="106">
        <v>1</v>
      </c>
      <c r="J39" s="87">
        <f>IF(F39="","",VLOOKUP(F39,ARANCEL!$E$2:$F$123,2,FALSE))</f>
        <v>30428.999999999996</v>
      </c>
      <c r="K39" s="101">
        <f t="shared" si="0"/>
        <v>30428.999999999996</v>
      </c>
      <c r="L39" s="99"/>
      <c r="M39" s="100"/>
    </row>
    <row r="40" spans="1:13" x14ac:dyDescent="0.25">
      <c r="A40" s="102">
        <v>31</v>
      </c>
      <c r="B40" s="102">
        <v>90113</v>
      </c>
      <c r="C40" s="103">
        <v>42024</v>
      </c>
      <c r="D40" s="104" t="s">
        <v>3074</v>
      </c>
      <c r="E40" s="102" t="s">
        <v>456</v>
      </c>
      <c r="F40" s="104" t="s">
        <v>192</v>
      </c>
      <c r="G40" s="105"/>
      <c r="H40" s="99" t="s">
        <v>1004</v>
      </c>
      <c r="I40" s="106">
        <v>4</v>
      </c>
      <c r="J40" s="87">
        <f>IF(F40="","",VLOOKUP(F40,ARANCEL!$E$2:$F$123,2,FALSE))</f>
        <v>57959.999999999993</v>
      </c>
      <c r="K40" s="101">
        <f t="shared" si="0"/>
        <v>231839.99999999997</v>
      </c>
      <c r="L40" s="99"/>
      <c r="M40" s="100"/>
    </row>
    <row r="41" spans="1:13" x14ac:dyDescent="0.25">
      <c r="A41" s="102">
        <v>32</v>
      </c>
      <c r="B41" s="102">
        <v>90294</v>
      </c>
      <c r="C41" s="103">
        <v>42024</v>
      </c>
      <c r="D41" s="104" t="s">
        <v>469</v>
      </c>
      <c r="E41" s="102" t="s">
        <v>456</v>
      </c>
      <c r="F41" s="104" t="s">
        <v>355</v>
      </c>
      <c r="G41" s="105"/>
      <c r="H41" s="99" t="s">
        <v>371</v>
      </c>
      <c r="I41" s="106">
        <v>1</v>
      </c>
      <c r="J41" s="87">
        <f>IF(F41="","",VLOOKUP(F41,ARANCEL!$E$2:$F$123,2,FALSE))</f>
        <v>55057.687499999993</v>
      </c>
      <c r="K41" s="101">
        <f t="shared" si="0"/>
        <v>55057.687499999993</v>
      </c>
      <c r="L41" s="99"/>
      <c r="M41" s="100"/>
    </row>
    <row r="42" spans="1:13" x14ac:dyDescent="0.25">
      <c r="A42" s="102">
        <v>33</v>
      </c>
      <c r="B42" s="102">
        <v>90267</v>
      </c>
      <c r="C42" s="103">
        <v>42024</v>
      </c>
      <c r="D42" s="104" t="s">
        <v>3166</v>
      </c>
      <c r="E42" s="102" t="s">
        <v>456</v>
      </c>
      <c r="F42" s="104" t="s">
        <v>217</v>
      </c>
      <c r="G42" s="105"/>
      <c r="H42" s="99" t="s">
        <v>371</v>
      </c>
      <c r="I42" s="106">
        <v>1</v>
      </c>
      <c r="J42" s="87">
        <f>IF(F42="","",VLOOKUP(F42,ARANCEL!$E$2:$F$123,2,FALSE))</f>
        <v>44597.287499999999</v>
      </c>
      <c r="K42" s="101">
        <f t="shared" si="0"/>
        <v>44597.287499999999</v>
      </c>
      <c r="L42" s="99"/>
      <c r="M42" s="100"/>
    </row>
    <row r="43" spans="1:13" x14ac:dyDescent="0.25">
      <c r="A43" s="91">
        <v>34</v>
      </c>
      <c r="B43" s="102">
        <v>90521</v>
      </c>
      <c r="C43" s="103">
        <v>42025</v>
      </c>
      <c r="D43" s="104" t="s">
        <v>3073</v>
      </c>
      <c r="E43" s="102" t="s">
        <v>396</v>
      </c>
      <c r="F43" s="104" t="s">
        <v>210</v>
      </c>
      <c r="G43" s="105"/>
      <c r="H43" s="99" t="s">
        <v>445</v>
      </c>
      <c r="I43" s="106">
        <v>1</v>
      </c>
      <c r="J43" s="87">
        <f>IF(F43="","",VLOOKUP(F43,ARANCEL!$E$2:$F$123,2,FALSE))</f>
        <v>14098.999999999998</v>
      </c>
      <c r="K43" s="101">
        <f t="shared" ref="K43:K45" si="2">IF(I43=0,"",J43*I43)</f>
        <v>14098.999999999998</v>
      </c>
      <c r="L43" s="99"/>
      <c r="M43" s="100"/>
    </row>
    <row r="44" spans="1:13" x14ac:dyDescent="0.25">
      <c r="A44" s="102">
        <v>33</v>
      </c>
      <c r="B44" s="102">
        <v>90578</v>
      </c>
      <c r="C44" s="103">
        <v>42025</v>
      </c>
      <c r="D44" s="104" t="s">
        <v>3168</v>
      </c>
      <c r="E44" s="102" t="s">
        <v>396</v>
      </c>
      <c r="F44" s="104" t="s">
        <v>355</v>
      </c>
      <c r="G44" s="105"/>
      <c r="H44" s="99" t="s">
        <v>371</v>
      </c>
      <c r="I44" s="106">
        <v>1</v>
      </c>
      <c r="J44" s="87">
        <f>IF(F44="","",VLOOKUP(F44,ARANCEL!$E$2:$F$123,2,FALSE))</f>
        <v>55057.687499999993</v>
      </c>
      <c r="K44" s="101">
        <f t="shared" si="2"/>
        <v>55057.687499999993</v>
      </c>
      <c r="L44" s="99"/>
      <c r="M44" s="100"/>
    </row>
    <row r="45" spans="1:13" x14ac:dyDescent="0.25">
      <c r="A45" s="91">
        <v>34</v>
      </c>
      <c r="B45" s="102">
        <v>90545</v>
      </c>
      <c r="C45" s="103">
        <v>42025</v>
      </c>
      <c r="D45" s="104" t="s">
        <v>3169</v>
      </c>
      <c r="E45" s="102" t="s">
        <v>396</v>
      </c>
      <c r="F45" s="104" t="s">
        <v>192</v>
      </c>
      <c r="G45" s="105"/>
      <c r="H45" s="99" t="s">
        <v>400</v>
      </c>
      <c r="I45" s="106">
        <v>2</v>
      </c>
      <c r="J45" s="87">
        <f>IF(F45="","",VLOOKUP(F45,ARANCEL!$E$2:$F$123,2,FALSE))</f>
        <v>57959.999999999993</v>
      </c>
      <c r="K45" s="101">
        <f t="shared" si="2"/>
        <v>115919.99999999999</v>
      </c>
      <c r="L45" s="99"/>
      <c r="M45" s="100"/>
    </row>
    <row r="46" spans="1:13" x14ac:dyDescent="0.25">
      <c r="A46" s="91">
        <v>34</v>
      </c>
      <c r="B46" s="102"/>
      <c r="C46" s="103"/>
      <c r="D46" s="104"/>
      <c r="E46" s="102"/>
      <c r="F46" s="104"/>
      <c r="G46" s="105"/>
      <c r="H46" s="99"/>
      <c r="I46" s="106"/>
      <c r="J46" s="87" t="str">
        <f>IF(F46="","",VLOOKUP(F46,ARANCEL!$E$2:$F$123,2,FALSE))</f>
        <v/>
      </c>
      <c r="K46" s="101" t="str">
        <f t="shared" si="0"/>
        <v/>
      </c>
      <c r="L46" s="99"/>
      <c r="M46" s="100"/>
    </row>
    <row r="47" spans="1:13" x14ac:dyDescent="0.25">
      <c r="A47" s="102">
        <v>33</v>
      </c>
      <c r="B47" s="102"/>
      <c r="C47" s="103"/>
      <c r="D47" s="104"/>
      <c r="E47" s="102"/>
      <c r="F47" s="104"/>
      <c r="G47" s="105"/>
      <c r="H47" s="99"/>
      <c r="I47" s="106"/>
      <c r="J47" s="87" t="str">
        <f>IF(F47="","",VLOOKUP(F47,ARANCEL!$E$2:$F$123,2,FALSE))</f>
        <v/>
      </c>
      <c r="K47" s="101" t="str">
        <f t="shared" ref="K47:K48" si="3">IF(I47=0,"",J47*I47)</f>
        <v/>
      </c>
      <c r="L47" s="99"/>
      <c r="M47" s="100"/>
    </row>
    <row r="48" spans="1:13" x14ac:dyDescent="0.25">
      <c r="A48" s="91">
        <v>34</v>
      </c>
      <c r="B48" s="102"/>
      <c r="C48" s="103"/>
      <c r="D48" s="104"/>
      <c r="E48" s="102"/>
      <c r="F48" s="104"/>
      <c r="G48" s="105"/>
      <c r="H48" s="99"/>
      <c r="I48" s="106"/>
      <c r="J48" s="87" t="str">
        <f>IF(F48="","",VLOOKUP(F48,ARANCEL!$E$2:$F$123,2,FALSE))</f>
        <v/>
      </c>
      <c r="K48" s="101" t="str">
        <f t="shared" si="3"/>
        <v/>
      </c>
      <c r="L48" s="99"/>
      <c r="M48" s="100"/>
    </row>
    <row r="51" spans="1:13" ht="20.25" customHeight="1" x14ac:dyDescent="0.25">
      <c r="A51" s="589" t="s">
        <v>366</v>
      </c>
      <c r="B51" s="589"/>
      <c r="C51" s="589"/>
      <c r="D51" s="589"/>
      <c r="E51" s="589"/>
      <c r="F51" s="589"/>
      <c r="G51" s="589"/>
      <c r="H51" s="589"/>
      <c r="I51" s="589"/>
      <c r="J51" s="589"/>
      <c r="K51" s="589"/>
    </row>
    <row r="52" spans="1:13" ht="24" x14ac:dyDescent="0.25">
      <c r="A52" s="89" t="s">
        <v>96</v>
      </c>
      <c r="B52" s="89" t="s">
        <v>97</v>
      </c>
      <c r="C52" s="90" t="s">
        <v>101</v>
      </c>
      <c r="D52" s="89" t="s">
        <v>98</v>
      </c>
      <c r="E52" s="89" t="s">
        <v>99</v>
      </c>
      <c r="F52" s="89" t="s">
        <v>100</v>
      </c>
      <c r="G52" s="89" t="s">
        <v>103</v>
      </c>
      <c r="H52" s="89" t="s">
        <v>102</v>
      </c>
      <c r="I52" s="89" t="s">
        <v>108</v>
      </c>
      <c r="J52" s="90" t="s">
        <v>104</v>
      </c>
      <c r="K52" s="90" t="s">
        <v>105</v>
      </c>
      <c r="L52" s="90" t="s">
        <v>168</v>
      </c>
      <c r="M52" s="90" t="s">
        <v>106</v>
      </c>
    </row>
    <row r="53" spans="1:13" x14ac:dyDescent="0.25">
      <c r="A53" s="114">
        <v>1</v>
      </c>
      <c r="B53" s="115">
        <v>40442</v>
      </c>
      <c r="C53" s="110">
        <v>41852</v>
      </c>
      <c r="D53" s="116" t="s">
        <v>439</v>
      </c>
      <c r="E53" s="115" t="s">
        <v>396</v>
      </c>
      <c r="F53" s="116" t="s">
        <v>422</v>
      </c>
      <c r="G53" s="111"/>
      <c r="H53" s="111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>
        <v>2</v>
      </c>
      <c r="B54" s="115" t="s">
        <v>440</v>
      </c>
      <c r="C54" s="110">
        <v>41911</v>
      </c>
      <c r="D54" s="116" t="s">
        <v>441</v>
      </c>
      <c r="E54" s="115" t="s">
        <v>396</v>
      </c>
      <c r="F54" s="116" t="s">
        <v>382</v>
      </c>
      <c r="G54" s="111"/>
      <c r="H54" s="111" t="s">
        <v>442</v>
      </c>
      <c r="I54" s="113">
        <v>1</v>
      </c>
      <c r="J54" s="117"/>
      <c r="K54" s="118"/>
      <c r="L54" s="114"/>
      <c r="M54" s="14"/>
    </row>
    <row r="55" spans="1:13" x14ac:dyDescent="0.25">
      <c r="A55" s="114">
        <v>3</v>
      </c>
      <c r="B55" s="115">
        <v>53634</v>
      </c>
      <c r="C55" s="110">
        <v>41898</v>
      </c>
      <c r="D55" s="116" t="s">
        <v>443</v>
      </c>
      <c r="E55" s="115" t="s">
        <v>396</v>
      </c>
      <c r="F55" s="116" t="s">
        <v>422</v>
      </c>
      <c r="G55" s="111"/>
      <c r="H55" s="111" t="s">
        <v>387</v>
      </c>
      <c r="I55" s="113">
        <v>2</v>
      </c>
      <c r="J55" s="117"/>
      <c r="K55" s="118"/>
      <c r="L55" s="114"/>
      <c r="M55" s="14"/>
    </row>
    <row r="56" spans="1:13" x14ac:dyDescent="0.25">
      <c r="A56" s="114">
        <v>4</v>
      </c>
      <c r="B56" s="115">
        <v>56609</v>
      </c>
      <c r="C56" s="110">
        <v>41913</v>
      </c>
      <c r="D56" s="116" t="s">
        <v>444</v>
      </c>
      <c r="E56" s="115" t="s">
        <v>396</v>
      </c>
      <c r="F56" s="116" t="s">
        <v>399</v>
      </c>
      <c r="G56" s="111"/>
      <c r="H56" s="111" t="s">
        <v>445</v>
      </c>
      <c r="I56" s="113">
        <v>1</v>
      </c>
      <c r="J56" s="117"/>
      <c r="K56" s="118"/>
      <c r="L56" s="114"/>
      <c r="M56" s="14"/>
    </row>
    <row r="57" spans="1:13" x14ac:dyDescent="0.25">
      <c r="A57" s="114">
        <v>5</v>
      </c>
      <c r="B57" s="115">
        <v>54572</v>
      </c>
      <c r="C57" s="110">
        <v>41927</v>
      </c>
      <c r="D57" s="116" t="s">
        <v>446</v>
      </c>
      <c r="E57" s="115" t="s">
        <v>396</v>
      </c>
      <c r="F57" s="116" t="s">
        <v>399</v>
      </c>
      <c r="G57" s="111"/>
      <c r="H57" s="111" t="s">
        <v>417</v>
      </c>
      <c r="I57" s="113">
        <v>1</v>
      </c>
      <c r="J57" s="117"/>
      <c r="K57" s="118"/>
      <c r="L57" s="114"/>
      <c r="M57" s="14"/>
    </row>
    <row r="58" spans="1:13" x14ac:dyDescent="0.25">
      <c r="A58" s="114">
        <v>6</v>
      </c>
      <c r="B58" s="115">
        <v>56018</v>
      </c>
      <c r="C58" s="110">
        <v>41932</v>
      </c>
      <c r="D58" s="116" t="s">
        <v>447</v>
      </c>
      <c r="E58" s="115" t="s">
        <v>396</v>
      </c>
      <c r="F58" s="116" t="s">
        <v>448</v>
      </c>
      <c r="G58" s="111"/>
      <c r="H58" s="111" t="s">
        <v>387</v>
      </c>
      <c r="I58" s="113">
        <v>2</v>
      </c>
      <c r="J58" s="117"/>
      <c r="K58" s="118"/>
      <c r="L58" s="114"/>
      <c r="M58" s="14"/>
    </row>
    <row r="59" spans="1:13" x14ac:dyDescent="0.25">
      <c r="A59" s="114">
        <v>7</v>
      </c>
      <c r="B59" s="115" t="s">
        <v>449</v>
      </c>
      <c r="C59" s="110">
        <v>41941</v>
      </c>
      <c r="D59" s="116" t="s">
        <v>450</v>
      </c>
      <c r="E59" s="115" t="s">
        <v>396</v>
      </c>
      <c r="F59" s="116" t="s">
        <v>451</v>
      </c>
      <c r="G59" s="111"/>
      <c r="H59" s="111" t="s">
        <v>369</v>
      </c>
      <c r="I59" s="113">
        <v>1</v>
      </c>
      <c r="J59" s="117"/>
      <c r="K59" s="118"/>
      <c r="L59" s="114"/>
      <c r="M59" s="14"/>
    </row>
    <row r="60" spans="1:13" x14ac:dyDescent="0.25">
      <c r="A60" s="114">
        <v>8</v>
      </c>
      <c r="B60" s="115">
        <v>59655</v>
      </c>
      <c r="C60" s="110">
        <v>41941</v>
      </c>
      <c r="D60" s="116" t="s">
        <v>450</v>
      </c>
      <c r="E60" s="115" t="s">
        <v>396</v>
      </c>
      <c r="F60" s="116" t="s">
        <v>377</v>
      </c>
      <c r="G60" s="111"/>
      <c r="H60" s="111" t="s">
        <v>371</v>
      </c>
      <c r="I60" s="113">
        <v>1</v>
      </c>
      <c r="J60" s="117"/>
      <c r="K60" s="118"/>
      <c r="L60" s="114"/>
      <c r="M60" s="14"/>
    </row>
    <row r="61" spans="1:13" x14ac:dyDescent="0.25">
      <c r="A61" s="114">
        <v>9</v>
      </c>
      <c r="B61" s="115">
        <v>60515</v>
      </c>
      <c r="C61" s="110">
        <v>41942</v>
      </c>
      <c r="D61" s="116" t="s">
        <v>452</v>
      </c>
      <c r="E61" s="115" t="s">
        <v>396</v>
      </c>
      <c r="F61" s="116" t="s">
        <v>399</v>
      </c>
      <c r="G61" s="111"/>
      <c r="H61" s="111" t="s">
        <v>445</v>
      </c>
      <c r="I61" s="113">
        <v>1</v>
      </c>
      <c r="J61" s="117"/>
      <c r="K61" s="118"/>
      <c r="L61" s="114"/>
      <c r="M61" s="14"/>
    </row>
    <row r="62" spans="1:13" x14ac:dyDescent="0.25">
      <c r="A62" s="114">
        <v>11</v>
      </c>
      <c r="B62" s="115">
        <v>62253</v>
      </c>
      <c r="C62" s="110">
        <v>41953</v>
      </c>
      <c r="D62" s="116" t="s">
        <v>454</v>
      </c>
      <c r="E62" s="115" t="s">
        <v>396</v>
      </c>
      <c r="F62" s="116" t="s">
        <v>386</v>
      </c>
      <c r="G62" s="111"/>
      <c r="H62" s="111" t="s">
        <v>369</v>
      </c>
      <c r="I62" s="113">
        <v>1</v>
      </c>
      <c r="J62" s="117"/>
      <c r="K62" s="118"/>
      <c r="L62" s="114"/>
      <c r="M62" s="14"/>
    </row>
    <row r="63" spans="1:13" x14ac:dyDescent="0.25">
      <c r="A63" s="114">
        <v>12</v>
      </c>
      <c r="B63" s="115">
        <v>68036</v>
      </c>
      <c r="C63" s="110">
        <v>41968</v>
      </c>
      <c r="D63" s="116" t="s">
        <v>455</v>
      </c>
      <c r="E63" s="115" t="s">
        <v>456</v>
      </c>
      <c r="F63" s="116" t="s">
        <v>422</v>
      </c>
      <c r="G63" s="111"/>
      <c r="H63" s="111" t="s">
        <v>371</v>
      </c>
      <c r="I63" s="113">
        <v>1</v>
      </c>
      <c r="J63" s="117"/>
      <c r="K63" s="118"/>
      <c r="L63" s="114"/>
      <c r="M63" s="14"/>
    </row>
    <row r="64" spans="1:13" x14ac:dyDescent="0.25">
      <c r="A64" s="114">
        <v>15</v>
      </c>
      <c r="B64" s="115">
        <v>71010</v>
      </c>
      <c r="C64" s="110">
        <v>41974</v>
      </c>
      <c r="D64" s="116" t="s">
        <v>459</v>
      </c>
      <c r="E64" s="115" t="s">
        <v>456</v>
      </c>
      <c r="F64" s="116" t="s">
        <v>377</v>
      </c>
      <c r="G64" s="111"/>
      <c r="H64" s="111" t="s">
        <v>371</v>
      </c>
      <c r="I64" s="113">
        <v>1</v>
      </c>
      <c r="J64" s="117"/>
      <c r="K64" s="118"/>
      <c r="L64" s="114"/>
      <c r="M64" s="14"/>
    </row>
    <row r="65" spans="1:13" x14ac:dyDescent="0.25">
      <c r="A65" s="114">
        <v>23</v>
      </c>
      <c r="B65" s="115" t="s">
        <v>462</v>
      </c>
      <c r="C65" s="110">
        <v>41996</v>
      </c>
      <c r="D65" s="116" t="s">
        <v>463</v>
      </c>
      <c r="E65" s="115" t="s">
        <v>456</v>
      </c>
      <c r="F65" s="116" t="s">
        <v>430</v>
      </c>
      <c r="G65" s="111"/>
      <c r="H65" s="111" t="s">
        <v>419</v>
      </c>
      <c r="I65" s="113">
        <v>1</v>
      </c>
      <c r="J65" s="117"/>
      <c r="K65" s="118"/>
      <c r="L65" s="114"/>
      <c r="M65" s="14"/>
    </row>
    <row r="66" spans="1:13" x14ac:dyDescent="0.25">
      <c r="A66" s="114">
        <v>24</v>
      </c>
      <c r="B66" s="115" t="s">
        <v>3164</v>
      </c>
      <c r="C66" s="110">
        <v>42023</v>
      </c>
      <c r="D66" s="116" t="s">
        <v>464</v>
      </c>
      <c r="E66" s="115" t="s">
        <v>396</v>
      </c>
      <c r="F66" s="116" t="s">
        <v>458</v>
      </c>
      <c r="G66" s="111"/>
      <c r="H66" s="111" t="s">
        <v>369</v>
      </c>
      <c r="I66" s="113">
        <v>1</v>
      </c>
      <c r="J66" s="117"/>
      <c r="K66" s="118"/>
      <c r="L66" s="114"/>
      <c r="M66" s="14"/>
    </row>
    <row r="67" spans="1:13" x14ac:dyDescent="0.25">
      <c r="A67" s="114">
        <v>25</v>
      </c>
      <c r="B67" s="115" t="s">
        <v>3087</v>
      </c>
      <c r="C67" s="110">
        <v>42019</v>
      </c>
      <c r="D67" s="116" t="s">
        <v>465</v>
      </c>
      <c r="E67" s="115" t="s">
        <v>396</v>
      </c>
      <c r="F67" s="116" t="s">
        <v>458</v>
      </c>
      <c r="G67" s="111"/>
      <c r="H67" s="111" t="s">
        <v>371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87606</v>
      </c>
      <c r="C68" s="110">
        <v>42016</v>
      </c>
      <c r="D68" s="116" t="s">
        <v>1107</v>
      </c>
      <c r="E68" s="115" t="s">
        <v>396</v>
      </c>
      <c r="F68" s="116" t="s">
        <v>386</v>
      </c>
      <c r="G68" s="111"/>
      <c r="H68" s="109" t="s">
        <v>369</v>
      </c>
      <c r="I68" s="113">
        <v>1</v>
      </c>
      <c r="J68" s="117"/>
      <c r="K68" s="117"/>
      <c r="L68" s="114"/>
      <c r="M68" s="14" t="s">
        <v>3078</v>
      </c>
    </row>
    <row r="69" spans="1:13" x14ac:dyDescent="0.25">
      <c r="A69" s="114"/>
      <c r="B69" s="115">
        <v>87523</v>
      </c>
      <c r="C69" s="110">
        <v>42016</v>
      </c>
      <c r="D69" s="116" t="s">
        <v>1211</v>
      </c>
      <c r="E69" s="115" t="s">
        <v>396</v>
      </c>
      <c r="F69" s="116" t="s">
        <v>409</v>
      </c>
      <c r="G69" s="111"/>
      <c r="H69" s="112" t="s">
        <v>400</v>
      </c>
      <c r="I69" s="113">
        <v>2</v>
      </c>
      <c r="J69" s="117"/>
      <c r="K69" s="117"/>
      <c r="L69" s="114"/>
      <c r="M69" s="14"/>
    </row>
    <row r="70" spans="1:13" x14ac:dyDescent="0.25">
      <c r="A70" s="114"/>
      <c r="B70" s="115">
        <v>89159</v>
      </c>
      <c r="C70" s="110">
        <v>42022</v>
      </c>
      <c r="D70" s="116" t="s">
        <v>3081</v>
      </c>
      <c r="E70" s="115" t="s">
        <v>456</v>
      </c>
      <c r="F70" s="116" t="s">
        <v>399</v>
      </c>
      <c r="G70" s="111"/>
      <c r="H70" s="112" t="s">
        <v>445</v>
      </c>
      <c r="I70" s="113">
        <v>1</v>
      </c>
      <c r="J70" s="117"/>
      <c r="K70" s="117"/>
      <c r="L70" s="114"/>
      <c r="M70" s="14"/>
    </row>
    <row r="71" spans="1:13" x14ac:dyDescent="0.25">
      <c r="A71" s="114"/>
      <c r="B71" s="115">
        <v>89432</v>
      </c>
      <c r="C71" s="110">
        <v>42018</v>
      </c>
      <c r="D71" s="116" t="s">
        <v>1088</v>
      </c>
      <c r="E71" s="115" t="s">
        <v>396</v>
      </c>
      <c r="F71" s="116" t="s">
        <v>386</v>
      </c>
      <c r="G71" s="111"/>
      <c r="H71" s="112" t="s">
        <v>387</v>
      </c>
      <c r="I71" s="113">
        <v>2</v>
      </c>
      <c r="J71" s="117"/>
      <c r="K71" s="117"/>
      <c r="L71" s="114"/>
      <c r="M71" s="14" t="s">
        <v>3090</v>
      </c>
    </row>
    <row r="72" spans="1:13" x14ac:dyDescent="0.25">
      <c r="A72" s="114"/>
      <c r="B72" s="115">
        <v>89968</v>
      </c>
      <c r="C72" s="110">
        <v>42024</v>
      </c>
      <c r="D72" s="116" t="s">
        <v>3165</v>
      </c>
      <c r="E72" s="115" t="s">
        <v>456</v>
      </c>
      <c r="F72" s="116" t="s">
        <v>399</v>
      </c>
      <c r="G72" s="111"/>
      <c r="H72" s="112" t="s">
        <v>594</v>
      </c>
      <c r="I72" s="113">
        <v>1</v>
      </c>
      <c r="J72" s="117"/>
      <c r="K72" s="117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112"/>
      <c r="I73" s="113"/>
      <c r="J73" s="117"/>
      <c r="K73" s="117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112"/>
      <c r="I74" s="113"/>
      <c r="J74" s="117"/>
      <c r="K74" s="117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112"/>
      <c r="I75" s="113"/>
      <c r="J75" s="117"/>
      <c r="K75" s="117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112"/>
      <c r="I76" s="113"/>
      <c r="J76" s="117"/>
      <c r="K76" s="117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112"/>
      <c r="I77" s="113"/>
      <c r="J77" s="117"/>
      <c r="K77" s="117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112"/>
      <c r="I78" s="113"/>
      <c r="J78" s="117"/>
      <c r="K78" s="117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112"/>
      <c r="I79" s="113"/>
      <c r="J79" s="117"/>
      <c r="K79" s="117"/>
      <c r="L79" s="114"/>
      <c r="M79" s="14"/>
    </row>
  </sheetData>
  <autoFilter ref="A9:M9">
    <sortState ref="A11:M14">
      <sortCondition ref="L10"/>
    </sortState>
  </autoFilter>
  <mergeCells count="9">
    <mergeCell ref="A7:B7"/>
    <mergeCell ref="A8:B8"/>
    <mergeCell ref="A51:K51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1"/>
  <sheetViews>
    <sheetView zoomScale="90" zoomScaleNormal="90" workbookViewId="0">
      <pane ySplit="9" topLeftCell="A10" activePane="bottomLeft" state="frozen"/>
      <selection activeCell="C16" sqref="C16"/>
      <selection pane="bottomLeft" activeCell="J22" sqref="J2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2.8554687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36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SOC. ODONTOLÓGICA UNO SALUD MONEDA LTDA.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76.144.936-2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7" t="s">
        <v>160</v>
      </c>
      <c r="B5" s="587"/>
      <c r="C5" s="95" t="str">
        <f>IFERROR(VLOOKUP($A$2,DATOS!$A$2:$N$14,4,FALSE),"SUCURSAL NO ENCONTRADA")</f>
        <v>MONEDA 953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MONEDA LTDA.</v>
      </c>
      <c r="H7" s="108" t="s">
        <v>164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7638928
22 7638928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84619</v>
      </c>
      <c r="C10" s="94">
        <v>42002</v>
      </c>
      <c r="D10" s="92" t="s">
        <v>507</v>
      </c>
      <c r="E10" s="91" t="s">
        <v>505</v>
      </c>
      <c r="F10" s="92" t="s">
        <v>580</v>
      </c>
      <c r="G10" s="9" t="s">
        <v>371</v>
      </c>
      <c r="H10" s="12"/>
      <c r="I10" s="120">
        <v>1</v>
      </c>
      <c r="J10" s="572">
        <v>25800</v>
      </c>
      <c r="K10" s="573">
        <f>IF(I10="","",J10*I10)</f>
        <v>25800</v>
      </c>
      <c r="L10" s="12"/>
      <c r="M10" s="93"/>
    </row>
    <row r="11" spans="1:13" x14ac:dyDescent="0.25">
      <c r="A11" s="91">
        <v>2</v>
      </c>
      <c r="B11" s="91">
        <v>82699</v>
      </c>
      <c r="C11" s="94">
        <v>41995</v>
      </c>
      <c r="D11" s="92" t="s">
        <v>1505</v>
      </c>
      <c r="E11" s="91" t="s">
        <v>500</v>
      </c>
      <c r="F11" s="92" t="s">
        <v>682</v>
      </c>
      <c r="G11" s="9" t="s">
        <v>371</v>
      </c>
      <c r="H11" s="12"/>
      <c r="I11" s="120">
        <v>1</v>
      </c>
      <c r="J11" s="572">
        <v>55058</v>
      </c>
      <c r="K11" s="573">
        <f>IF(I11="","",J11*I11)</f>
        <v>55058</v>
      </c>
      <c r="L11" s="12"/>
      <c r="M11" s="93"/>
    </row>
    <row r="12" spans="1:13" x14ac:dyDescent="0.25">
      <c r="A12" s="91">
        <v>3</v>
      </c>
      <c r="B12" s="91">
        <v>80495</v>
      </c>
      <c r="C12" s="94">
        <v>41989</v>
      </c>
      <c r="D12" s="92" t="s">
        <v>1535</v>
      </c>
      <c r="E12" s="91" t="s">
        <v>500</v>
      </c>
      <c r="F12" s="92" t="s">
        <v>217</v>
      </c>
      <c r="G12" s="9" t="s">
        <v>387</v>
      </c>
      <c r="H12" s="12"/>
      <c r="I12" s="120">
        <v>2</v>
      </c>
      <c r="J12" s="572">
        <v>44597</v>
      </c>
      <c r="K12" s="573">
        <f>IF(I12="","",J12*I12)</f>
        <v>89194</v>
      </c>
      <c r="L12" s="12"/>
      <c r="M12" s="93"/>
    </row>
    <row r="13" spans="1:13" x14ac:dyDescent="0.25">
      <c r="A13" s="91">
        <v>4</v>
      </c>
      <c r="B13" s="91">
        <v>58401</v>
      </c>
      <c r="C13" s="94">
        <v>42006</v>
      </c>
      <c r="D13" s="92" t="s">
        <v>510</v>
      </c>
      <c r="E13" s="91" t="s">
        <v>500</v>
      </c>
      <c r="F13" s="92" t="s">
        <v>204</v>
      </c>
      <c r="G13" s="9"/>
      <c r="H13" s="12" t="s">
        <v>511</v>
      </c>
      <c r="I13" s="120">
        <v>1</v>
      </c>
      <c r="J13" s="87">
        <f>IF(F13="","",VLOOKUP(F13,ARANCEL!$E$2:$F$123,2,FALSE))</f>
        <v>17243.560000000001</v>
      </c>
      <c r="K13" s="88">
        <f t="shared" ref="K13:K20" si="0">IF(I13=0,"",J13*I13)</f>
        <v>17243.560000000001</v>
      </c>
      <c r="L13" s="12"/>
      <c r="M13" s="93"/>
    </row>
    <row r="14" spans="1:13" x14ac:dyDescent="0.25">
      <c r="A14" s="91">
        <v>5</v>
      </c>
      <c r="B14" s="91">
        <v>85574</v>
      </c>
      <c r="C14" s="94">
        <v>42010</v>
      </c>
      <c r="D14" s="92" t="s">
        <v>508</v>
      </c>
      <c r="E14" s="91" t="s">
        <v>474</v>
      </c>
      <c r="F14" s="92" t="s">
        <v>217</v>
      </c>
      <c r="G14" s="9"/>
      <c r="H14" s="12" t="s">
        <v>387</v>
      </c>
      <c r="I14" s="120">
        <v>2</v>
      </c>
      <c r="J14" s="87">
        <f>IF(F14="","",VLOOKUP(F14,ARANCEL!$E$2:$F$123,2,FALSE))</f>
        <v>44597.287499999999</v>
      </c>
      <c r="K14" s="88">
        <f t="shared" si="0"/>
        <v>89194.574999999997</v>
      </c>
      <c r="L14" s="12"/>
      <c r="M14" s="93"/>
    </row>
    <row r="15" spans="1:13" x14ac:dyDescent="0.25">
      <c r="A15" s="91">
        <v>6</v>
      </c>
      <c r="B15" s="91">
        <v>87122</v>
      </c>
      <c r="C15" s="94">
        <v>42017</v>
      </c>
      <c r="D15" s="92" t="s">
        <v>3091</v>
      </c>
      <c r="E15" s="91" t="s">
        <v>500</v>
      </c>
      <c r="F15" s="92" t="s">
        <v>1542</v>
      </c>
      <c r="G15" s="9"/>
      <c r="H15" s="12" t="s">
        <v>431</v>
      </c>
      <c r="I15" s="120">
        <v>1</v>
      </c>
      <c r="J15" s="87">
        <f>IF(F15="","",VLOOKUP(F15,ARANCEL!$E$2:$F$123,2,FALSE))</f>
        <v>3651.48</v>
      </c>
      <c r="K15" s="88">
        <f t="shared" si="0"/>
        <v>3651.48</v>
      </c>
      <c r="L15" s="12"/>
      <c r="M15" s="93"/>
    </row>
    <row r="16" spans="1:13" x14ac:dyDescent="0.25">
      <c r="A16" s="91">
        <v>7</v>
      </c>
      <c r="B16" s="102">
        <v>86714</v>
      </c>
      <c r="C16" s="103">
        <v>42013</v>
      </c>
      <c r="D16" s="104" t="s">
        <v>3092</v>
      </c>
      <c r="E16" s="102" t="s">
        <v>484</v>
      </c>
      <c r="F16" s="104" t="s">
        <v>217</v>
      </c>
      <c r="G16" s="105"/>
      <c r="H16" s="99" t="s">
        <v>371</v>
      </c>
      <c r="I16" s="106">
        <v>1</v>
      </c>
      <c r="J16" s="87">
        <f>IF(F16="","",VLOOKUP(F16,ARANCEL!$E$2:$F$123,2,FALSE))</f>
        <v>44597.287499999999</v>
      </c>
      <c r="K16" s="101">
        <f t="shared" si="0"/>
        <v>44597.287499999999</v>
      </c>
      <c r="L16" s="99"/>
      <c r="M16" s="100"/>
    </row>
    <row r="17" spans="1:13" x14ac:dyDescent="0.25">
      <c r="A17" s="91">
        <v>8</v>
      </c>
      <c r="B17" s="102">
        <v>87557</v>
      </c>
      <c r="C17" s="103">
        <v>42016</v>
      </c>
      <c r="D17" s="104" t="s">
        <v>3095</v>
      </c>
      <c r="E17" s="102" t="s">
        <v>500</v>
      </c>
      <c r="F17" s="104" t="s">
        <v>235</v>
      </c>
      <c r="G17" s="105"/>
      <c r="H17" s="99" t="s">
        <v>371</v>
      </c>
      <c r="I17" s="106">
        <v>1</v>
      </c>
      <c r="J17" s="87">
        <f>IF(F17="","",VLOOKUP(F17,ARANCEL!$E$2:$F$123,2,FALSE))</f>
        <v>12499.349999999999</v>
      </c>
      <c r="K17" s="101">
        <f t="shared" si="0"/>
        <v>12499.349999999999</v>
      </c>
      <c r="L17" s="99"/>
      <c r="M17" s="100"/>
    </row>
    <row r="18" spans="1:13" x14ac:dyDescent="0.25">
      <c r="A18" s="91">
        <v>9</v>
      </c>
      <c r="B18" s="102">
        <v>88903</v>
      </c>
      <c r="C18" s="103">
        <v>42024</v>
      </c>
      <c r="D18" s="104" t="s">
        <v>3093</v>
      </c>
      <c r="E18" s="102" t="s">
        <v>484</v>
      </c>
      <c r="F18" s="104" t="s">
        <v>217</v>
      </c>
      <c r="G18" s="105"/>
      <c r="H18" s="99" t="s">
        <v>387</v>
      </c>
      <c r="I18" s="106">
        <v>2</v>
      </c>
      <c r="J18" s="87">
        <f>IF(F18="","",VLOOKUP(F18,ARANCEL!$E$2:$F$123,2,FALSE))</f>
        <v>44597.287499999999</v>
      </c>
      <c r="K18" s="101">
        <f t="shared" si="0"/>
        <v>89194.574999999997</v>
      </c>
      <c r="L18" s="99"/>
      <c r="M18" s="100"/>
    </row>
    <row r="19" spans="1:13" x14ac:dyDescent="0.25">
      <c r="A19" s="91">
        <v>10</v>
      </c>
      <c r="B19" s="102">
        <v>89958</v>
      </c>
      <c r="C19" s="103">
        <v>42025</v>
      </c>
      <c r="D19" s="104" t="s">
        <v>509</v>
      </c>
      <c r="E19" s="102" t="s">
        <v>500</v>
      </c>
      <c r="F19" s="92" t="s">
        <v>682</v>
      </c>
      <c r="G19" s="105"/>
      <c r="H19" s="99" t="s">
        <v>369</v>
      </c>
      <c r="I19" s="106">
        <v>1</v>
      </c>
      <c r="J19" s="87">
        <v>55058</v>
      </c>
      <c r="K19" s="101">
        <f t="shared" si="0"/>
        <v>55058</v>
      </c>
      <c r="L19" s="99"/>
      <c r="M19" s="100"/>
    </row>
    <row r="20" spans="1:13" x14ac:dyDescent="0.25">
      <c r="A20" s="91">
        <v>11</v>
      </c>
      <c r="B20" s="102">
        <v>90865</v>
      </c>
      <c r="C20" s="103">
        <v>42026</v>
      </c>
      <c r="D20" s="104" t="s">
        <v>3094</v>
      </c>
      <c r="E20" s="102" t="s">
        <v>1234</v>
      </c>
      <c r="F20" s="92" t="s">
        <v>682</v>
      </c>
      <c r="G20" s="105"/>
      <c r="H20" s="99" t="s">
        <v>371</v>
      </c>
      <c r="I20" s="106">
        <v>1</v>
      </c>
      <c r="J20" s="87">
        <v>55058</v>
      </c>
      <c r="K20" s="101">
        <f t="shared" si="0"/>
        <v>55058</v>
      </c>
      <c r="L20" s="99"/>
      <c r="M20" s="100"/>
    </row>
    <row r="21" spans="1:13" x14ac:dyDescent="0.25">
      <c r="A21" s="91">
        <v>10</v>
      </c>
      <c r="B21" s="102">
        <v>90513</v>
      </c>
      <c r="C21" s="103">
        <v>42025</v>
      </c>
      <c r="D21" s="104" t="s">
        <v>3100</v>
      </c>
      <c r="E21" s="102" t="s">
        <v>500</v>
      </c>
      <c r="F21" s="104" t="s">
        <v>217</v>
      </c>
      <c r="G21" s="105"/>
      <c r="H21" s="99" t="s">
        <v>371</v>
      </c>
      <c r="I21" s="106">
        <v>1</v>
      </c>
      <c r="J21" s="87">
        <f>IF(F21="","",VLOOKUP(F21,ARANCEL!$E$2:$F$123,2,FALSE))</f>
        <v>44597.287499999999</v>
      </c>
      <c r="K21" s="101">
        <f t="shared" ref="K21:K23" si="1">IF(I21=0,"",J21*I21)</f>
        <v>44597.287499999999</v>
      </c>
      <c r="L21" s="99"/>
      <c r="M21" s="100"/>
    </row>
    <row r="22" spans="1:13" x14ac:dyDescent="0.25">
      <c r="A22" s="91">
        <v>11</v>
      </c>
      <c r="B22" s="586">
        <v>42027</v>
      </c>
      <c r="C22" s="103">
        <v>42027</v>
      </c>
      <c r="D22" s="104" t="s">
        <v>3091</v>
      </c>
      <c r="E22" s="102" t="s">
        <v>500</v>
      </c>
      <c r="F22" s="104" t="s">
        <v>204</v>
      </c>
      <c r="G22" s="105"/>
      <c r="H22" s="99" t="s">
        <v>431</v>
      </c>
      <c r="I22" s="106">
        <v>1</v>
      </c>
      <c r="J22" s="87">
        <f>IF(F22="","",VLOOKUP(F22,ARANCEL!$E$2:$F$123,2,FALSE))</f>
        <v>17243.560000000001</v>
      </c>
      <c r="K22" s="101">
        <f t="shared" si="1"/>
        <v>17243.560000000001</v>
      </c>
      <c r="L22" s="99"/>
      <c r="M22" s="100"/>
    </row>
    <row r="23" spans="1:13" x14ac:dyDescent="0.25">
      <c r="A23" s="91">
        <v>11</v>
      </c>
      <c r="B23" s="102"/>
      <c r="C23" s="103"/>
      <c r="D23" s="104"/>
      <c r="E23" s="102"/>
      <c r="F23" s="104"/>
      <c r="G23" s="105"/>
      <c r="H23" s="99"/>
      <c r="I23" s="106"/>
      <c r="J23" s="87" t="str">
        <f>IF(F23="","",VLOOKUP(F23,ARANCEL!$E$2:$F$123,2,FALSE))</f>
        <v/>
      </c>
      <c r="K23" s="101" t="str">
        <f t="shared" si="1"/>
        <v/>
      </c>
      <c r="L23" s="99"/>
      <c r="M23" s="100"/>
    </row>
    <row r="24" spans="1:13" x14ac:dyDescent="0.25">
      <c r="A24" s="91">
        <v>10</v>
      </c>
      <c r="B24" s="102"/>
      <c r="C24" s="103"/>
      <c r="D24" s="104"/>
      <c r="E24" s="102"/>
      <c r="F24" s="104"/>
      <c r="G24" s="105"/>
      <c r="H24" s="99"/>
      <c r="I24" s="106"/>
      <c r="J24" s="87" t="str">
        <f>IF(F24="","",VLOOKUP(F24,ARANCEL!$E$2:$F$123,2,FALSE))</f>
        <v/>
      </c>
      <c r="K24" s="101" t="str">
        <f t="shared" ref="K24:K25" si="2">IF(I24=0,"",J24*I24)</f>
        <v/>
      </c>
      <c r="L24" s="99"/>
      <c r="M24" s="100"/>
    </row>
    <row r="25" spans="1:13" x14ac:dyDescent="0.25">
      <c r="A25" s="91">
        <v>11</v>
      </c>
      <c r="B25" s="102"/>
      <c r="C25" s="103"/>
      <c r="D25" s="104"/>
      <c r="E25" s="102"/>
      <c r="F25" s="104"/>
      <c r="G25" s="105"/>
      <c r="H25" s="99"/>
      <c r="I25" s="106"/>
      <c r="J25" s="87" t="str">
        <f>IF(F25="","",VLOOKUP(F25,ARANCEL!$E$2:$F$123,2,FALSE))</f>
        <v/>
      </c>
      <c r="K25" s="101" t="str">
        <f t="shared" si="2"/>
        <v/>
      </c>
      <c r="L25" s="99"/>
      <c r="M25" s="100"/>
    </row>
    <row r="28" spans="1:13" ht="20.25" customHeight="1" x14ac:dyDescent="0.25">
      <c r="A28" s="589" t="s">
        <v>366</v>
      </c>
      <c r="B28" s="589"/>
      <c r="C28" s="589"/>
      <c r="D28" s="589"/>
      <c r="E28" s="589"/>
      <c r="F28" s="589"/>
      <c r="G28" s="589"/>
      <c r="H28" s="589"/>
      <c r="I28" s="589"/>
      <c r="J28" s="589"/>
      <c r="K28" s="589"/>
    </row>
    <row r="29" spans="1:13" ht="24" x14ac:dyDescent="0.25">
      <c r="A29" s="89" t="s">
        <v>96</v>
      </c>
      <c r="B29" s="89" t="s">
        <v>97</v>
      </c>
      <c r="C29" s="90" t="s">
        <v>101</v>
      </c>
      <c r="D29" s="89" t="s">
        <v>98</v>
      </c>
      <c r="E29" s="89" t="s">
        <v>99</v>
      </c>
      <c r="F29" s="89" t="s">
        <v>100</v>
      </c>
      <c r="G29" s="89" t="s">
        <v>103</v>
      </c>
      <c r="H29" s="89" t="s">
        <v>102</v>
      </c>
      <c r="I29" s="89" t="s">
        <v>108</v>
      </c>
      <c r="J29" s="90" t="s">
        <v>104</v>
      </c>
      <c r="K29" s="90" t="s">
        <v>105</v>
      </c>
      <c r="L29" s="90" t="s">
        <v>168</v>
      </c>
      <c r="M29" s="90" t="s">
        <v>106</v>
      </c>
    </row>
    <row r="30" spans="1:13" x14ac:dyDescent="0.25">
      <c r="A30" s="114">
        <v>3</v>
      </c>
      <c r="B30" s="115">
        <v>69551</v>
      </c>
      <c r="C30" s="110">
        <v>41586</v>
      </c>
      <c r="D30" s="116" t="s">
        <v>473</v>
      </c>
      <c r="E30" s="115" t="s">
        <v>474</v>
      </c>
      <c r="F30" s="116" t="s">
        <v>448</v>
      </c>
      <c r="G30" s="111" t="s">
        <v>371</v>
      </c>
      <c r="H30" s="111" t="s">
        <v>371</v>
      </c>
      <c r="I30" s="113">
        <v>1</v>
      </c>
      <c r="J30" s="117"/>
      <c r="K30" s="118"/>
      <c r="L30" s="114"/>
      <c r="M30" s="14"/>
    </row>
    <row r="31" spans="1:13" x14ac:dyDescent="0.25">
      <c r="A31" s="114">
        <v>4</v>
      </c>
      <c r="B31" s="115">
        <v>78441</v>
      </c>
      <c r="C31" s="110">
        <v>41979</v>
      </c>
      <c r="D31" s="116" t="s">
        <v>473</v>
      </c>
      <c r="E31" s="115" t="s">
        <v>474</v>
      </c>
      <c r="F31" s="116" t="s">
        <v>377</v>
      </c>
      <c r="G31" s="111" t="s">
        <v>371</v>
      </c>
      <c r="H31" s="111" t="s">
        <v>371</v>
      </c>
      <c r="I31" s="113">
        <v>1</v>
      </c>
      <c r="J31" s="117"/>
      <c r="K31" s="118"/>
      <c r="L31" s="114"/>
      <c r="M31" s="14"/>
    </row>
    <row r="32" spans="1:13" x14ac:dyDescent="0.25">
      <c r="A32" s="114">
        <v>5</v>
      </c>
      <c r="B32" s="115">
        <v>80462</v>
      </c>
      <c r="C32" s="110">
        <v>41985</v>
      </c>
      <c r="D32" s="116" t="s">
        <v>473</v>
      </c>
      <c r="E32" s="115" t="s">
        <v>474</v>
      </c>
      <c r="F32" s="116" t="s">
        <v>377</v>
      </c>
      <c r="G32" s="111" t="s">
        <v>371</v>
      </c>
      <c r="H32" s="111" t="s">
        <v>371</v>
      </c>
      <c r="I32" s="113">
        <v>1</v>
      </c>
      <c r="J32" s="117"/>
      <c r="K32" s="118"/>
      <c r="L32" s="114"/>
      <c r="M32" s="14"/>
    </row>
    <row r="33" spans="1:13" x14ac:dyDescent="0.25">
      <c r="A33" s="114">
        <v>6</v>
      </c>
      <c r="B33" s="115">
        <v>74223</v>
      </c>
      <c r="C33" s="110">
        <v>41603</v>
      </c>
      <c r="D33" s="116" t="s">
        <v>475</v>
      </c>
      <c r="E33" s="115" t="s">
        <v>476</v>
      </c>
      <c r="F33" s="116" t="s">
        <v>399</v>
      </c>
      <c r="G33" s="111" t="s">
        <v>419</v>
      </c>
      <c r="H33" s="111" t="s">
        <v>419</v>
      </c>
      <c r="I33" s="113">
        <v>1</v>
      </c>
      <c r="J33" s="117"/>
      <c r="K33" s="118"/>
      <c r="L33" s="114"/>
      <c r="M33" s="14"/>
    </row>
    <row r="34" spans="1:13" x14ac:dyDescent="0.25">
      <c r="A34" s="114">
        <v>7</v>
      </c>
      <c r="B34" s="115">
        <v>5620</v>
      </c>
      <c r="C34" s="110">
        <v>41725</v>
      </c>
      <c r="D34" s="116" t="s">
        <v>477</v>
      </c>
      <c r="E34" s="115" t="s">
        <v>478</v>
      </c>
      <c r="F34" s="116" t="s">
        <v>377</v>
      </c>
      <c r="G34" s="111" t="s">
        <v>371</v>
      </c>
      <c r="H34" s="111" t="s">
        <v>371</v>
      </c>
      <c r="I34" s="113">
        <v>1</v>
      </c>
      <c r="J34" s="117"/>
      <c r="K34" s="118"/>
      <c r="L34" s="114"/>
      <c r="M34" s="14"/>
    </row>
    <row r="35" spans="1:13" x14ac:dyDescent="0.25">
      <c r="A35" s="114">
        <v>8</v>
      </c>
      <c r="B35" s="115" t="s">
        <v>479</v>
      </c>
      <c r="C35" s="110">
        <v>41746</v>
      </c>
      <c r="D35" s="116" t="s">
        <v>480</v>
      </c>
      <c r="E35" s="115" t="s">
        <v>481</v>
      </c>
      <c r="F35" s="116" t="s">
        <v>482</v>
      </c>
      <c r="G35" s="111" t="s">
        <v>371</v>
      </c>
      <c r="H35" s="111" t="s">
        <v>371</v>
      </c>
      <c r="I35" s="113">
        <v>1</v>
      </c>
      <c r="J35" s="117"/>
      <c r="K35" s="118"/>
      <c r="L35" s="114"/>
      <c r="M35" s="14"/>
    </row>
    <row r="36" spans="1:13" x14ac:dyDescent="0.25">
      <c r="A36" s="114">
        <v>9</v>
      </c>
      <c r="B36" s="115">
        <v>8025</v>
      </c>
      <c r="C36" s="110">
        <v>41733</v>
      </c>
      <c r="D36" s="116" t="s">
        <v>483</v>
      </c>
      <c r="E36" s="115" t="s">
        <v>484</v>
      </c>
      <c r="F36" s="116" t="s">
        <v>377</v>
      </c>
      <c r="G36" s="111" t="s">
        <v>485</v>
      </c>
      <c r="H36" s="111" t="s">
        <v>485</v>
      </c>
      <c r="I36" s="113">
        <v>2</v>
      </c>
      <c r="J36" s="117"/>
      <c r="K36" s="118"/>
      <c r="L36" s="114"/>
      <c r="M36" s="14"/>
    </row>
    <row r="37" spans="1:13" x14ac:dyDescent="0.25">
      <c r="A37" s="114">
        <v>10</v>
      </c>
      <c r="B37" s="115" t="s">
        <v>487</v>
      </c>
      <c r="C37" s="110">
        <v>41744</v>
      </c>
      <c r="D37" s="116" t="s">
        <v>488</v>
      </c>
      <c r="E37" s="115" t="s">
        <v>476</v>
      </c>
      <c r="F37" s="116" t="s">
        <v>377</v>
      </c>
      <c r="G37" s="111" t="s">
        <v>369</v>
      </c>
      <c r="H37" s="111" t="s">
        <v>369</v>
      </c>
      <c r="I37" s="113">
        <v>1</v>
      </c>
      <c r="J37" s="117"/>
      <c r="K37" s="118"/>
      <c r="L37" s="114"/>
      <c r="M37" s="14"/>
    </row>
    <row r="38" spans="1:13" x14ac:dyDescent="0.25">
      <c r="A38" s="114">
        <v>11</v>
      </c>
      <c r="B38" s="115">
        <v>22473</v>
      </c>
      <c r="C38" s="110">
        <v>41787</v>
      </c>
      <c r="D38" s="116" t="s">
        <v>490</v>
      </c>
      <c r="E38" s="115" t="s">
        <v>491</v>
      </c>
      <c r="F38" s="116" t="s">
        <v>492</v>
      </c>
      <c r="G38" s="111" t="s">
        <v>442</v>
      </c>
      <c r="H38" s="111" t="s">
        <v>442</v>
      </c>
      <c r="I38" s="113">
        <v>1</v>
      </c>
      <c r="J38" s="117"/>
      <c r="K38" s="118"/>
      <c r="L38" s="114"/>
      <c r="M38" s="14"/>
    </row>
    <row r="39" spans="1:13" x14ac:dyDescent="0.25">
      <c r="A39" s="114">
        <v>12</v>
      </c>
      <c r="B39" s="115">
        <v>25496</v>
      </c>
      <c r="C39" s="110">
        <v>41799</v>
      </c>
      <c r="D39" s="116" t="s">
        <v>493</v>
      </c>
      <c r="E39" s="115" t="s">
        <v>476</v>
      </c>
      <c r="F39" s="116" t="s">
        <v>386</v>
      </c>
      <c r="G39" s="111" t="s">
        <v>369</v>
      </c>
      <c r="H39" s="111" t="s">
        <v>369</v>
      </c>
      <c r="I39" s="113">
        <v>1</v>
      </c>
      <c r="J39" s="117"/>
      <c r="K39" s="118"/>
      <c r="L39" s="114"/>
      <c r="M39" s="14"/>
    </row>
    <row r="40" spans="1:13" x14ac:dyDescent="0.25">
      <c r="A40" s="114">
        <v>13</v>
      </c>
      <c r="B40" s="115">
        <v>35319</v>
      </c>
      <c r="C40" s="110">
        <v>41834</v>
      </c>
      <c r="D40" s="116" t="s">
        <v>494</v>
      </c>
      <c r="E40" s="115" t="s">
        <v>474</v>
      </c>
      <c r="F40" s="116" t="s">
        <v>386</v>
      </c>
      <c r="G40" s="111" t="s">
        <v>369</v>
      </c>
      <c r="H40" s="111" t="s">
        <v>369</v>
      </c>
      <c r="I40" s="113">
        <v>1</v>
      </c>
      <c r="J40" s="117"/>
      <c r="K40" s="118"/>
      <c r="L40" s="114"/>
      <c r="M40" s="14"/>
    </row>
    <row r="41" spans="1:13" x14ac:dyDescent="0.25">
      <c r="A41" s="114">
        <v>14</v>
      </c>
      <c r="B41" s="115">
        <v>43375</v>
      </c>
      <c r="C41" s="110">
        <v>41864</v>
      </c>
      <c r="D41" s="116" t="s">
        <v>495</v>
      </c>
      <c r="E41" s="115" t="s">
        <v>478</v>
      </c>
      <c r="F41" s="116" t="s">
        <v>496</v>
      </c>
      <c r="G41" s="111" t="s">
        <v>497</v>
      </c>
      <c r="H41" s="111" t="s">
        <v>497</v>
      </c>
      <c r="I41" s="113">
        <v>2</v>
      </c>
      <c r="J41" s="117"/>
      <c r="K41" s="118"/>
      <c r="L41" s="114"/>
      <c r="M41" s="14"/>
    </row>
    <row r="42" spans="1:13" x14ac:dyDescent="0.25">
      <c r="A42" s="114">
        <v>15</v>
      </c>
      <c r="B42" s="115">
        <v>46685</v>
      </c>
      <c r="C42" s="110">
        <v>41877</v>
      </c>
      <c r="D42" s="116" t="s">
        <v>498</v>
      </c>
      <c r="E42" s="115" t="s">
        <v>484</v>
      </c>
      <c r="F42" s="116" t="s">
        <v>377</v>
      </c>
      <c r="G42" s="111" t="s">
        <v>371</v>
      </c>
      <c r="H42" s="111" t="s">
        <v>371</v>
      </c>
      <c r="I42" s="113">
        <v>1</v>
      </c>
      <c r="J42" s="117"/>
      <c r="K42" s="118"/>
      <c r="L42" s="114"/>
      <c r="M42" s="14"/>
    </row>
    <row r="43" spans="1:13" x14ac:dyDescent="0.25">
      <c r="A43" s="114">
        <v>16</v>
      </c>
      <c r="B43" s="115">
        <v>53181</v>
      </c>
      <c r="C43" s="110">
        <v>41922</v>
      </c>
      <c r="D43" s="116" t="s">
        <v>499</v>
      </c>
      <c r="E43" s="115" t="s">
        <v>500</v>
      </c>
      <c r="F43" s="116" t="s">
        <v>409</v>
      </c>
      <c r="G43" s="111" t="s">
        <v>417</v>
      </c>
      <c r="H43" s="111" t="s">
        <v>417</v>
      </c>
      <c r="I43" s="113">
        <v>1</v>
      </c>
      <c r="J43" s="117"/>
      <c r="K43" s="118"/>
      <c r="L43" s="114"/>
      <c r="M43" s="14"/>
    </row>
    <row r="44" spans="1:13" x14ac:dyDescent="0.25">
      <c r="A44" s="114">
        <v>17</v>
      </c>
      <c r="B44" s="115">
        <v>55565</v>
      </c>
      <c r="C44" s="110">
        <v>41929</v>
      </c>
      <c r="D44" s="116" t="s">
        <v>501</v>
      </c>
      <c r="E44" s="115" t="s">
        <v>500</v>
      </c>
      <c r="F44" s="116" t="s">
        <v>422</v>
      </c>
      <c r="G44" s="111" t="s">
        <v>371</v>
      </c>
      <c r="H44" s="111" t="s">
        <v>371</v>
      </c>
      <c r="I44" s="113">
        <v>1</v>
      </c>
      <c r="J44" s="117"/>
      <c r="K44" s="118"/>
      <c r="L44" s="114"/>
      <c r="M44" s="14"/>
    </row>
    <row r="45" spans="1:13" x14ac:dyDescent="0.25">
      <c r="A45" s="114">
        <v>18</v>
      </c>
      <c r="B45" s="115">
        <v>60536</v>
      </c>
      <c r="C45" s="110">
        <v>41946</v>
      </c>
      <c r="D45" s="116" t="s">
        <v>502</v>
      </c>
      <c r="E45" s="115" t="s">
        <v>484</v>
      </c>
      <c r="F45" s="116" t="s">
        <v>386</v>
      </c>
      <c r="G45" s="111" t="s">
        <v>369</v>
      </c>
      <c r="H45" s="111" t="s">
        <v>369</v>
      </c>
      <c r="I45" s="113">
        <v>1</v>
      </c>
      <c r="J45" s="117"/>
      <c r="K45" s="118"/>
      <c r="L45" s="114"/>
      <c r="M45" s="14"/>
    </row>
    <row r="46" spans="1:13" x14ac:dyDescent="0.25">
      <c r="A46" s="114">
        <v>19</v>
      </c>
      <c r="B46" s="115">
        <v>61372</v>
      </c>
      <c r="C46" s="110">
        <v>41948</v>
      </c>
      <c r="D46" s="116" t="s">
        <v>503</v>
      </c>
      <c r="E46" s="115" t="s">
        <v>500</v>
      </c>
      <c r="F46" s="116" t="s">
        <v>409</v>
      </c>
      <c r="G46" s="111" t="s">
        <v>419</v>
      </c>
      <c r="H46" s="111" t="s">
        <v>419</v>
      </c>
      <c r="I46" s="113">
        <v>1</v>
      </c>
      <c r="J46" s="117"/>
      <c r="K46" s="118"/>
      <c r="L46" s="114"/>
      <c r="M46" s="14"/>
    </row>
    <row r="47" spans="1:13" x14ac:dyDescent="0.25">
      <c r="A47" s="114">
        <v>20</v>
      </c>
      <c r="B47" s="115">
        <v>65968</v>
      </c>
      <c r="C47" s="110">
        <v>41961</v>
      </c>
      <c r="D47" s="116" t="s">
        <v>504</v>
      </c>
      <c r="E47" s="115" t="s">
        <v>505</v>
      </c>
      <c r="F47" s="116" t="s">
        <v>422</v>
      </c>
      <c r="G47" s="111" t="s">
        <v>371</v>
      </c>
      <c r="H47" s="111" t="s">
        <v>371</v>
      </c>
      <c r="I47" s="113">
        <v>1</v>
      </c>
      <c r="J47" s="117"/>
      <c r="K47" s="118"/>
      <c r="L47" s="114"/>
      <c r="M47" s="14"/>
    </row>
    <row r="48" spans="1:13" x14ac:dyDescent="0.25">
      <c r="A48" s="114">
        <v>21</v>
      </c>
      <c r="B48" s="115">
        <v>70960</v>
      </c>
      <c r="C48" s="110">
        <v>41976</v>
      </c>
      <c r="D48" s="116" t="s">
        <v>506</v>
      </c>
      <c r="E48" s="115" t="s">
        <v>484</v>
      </c>
      <c r="F48" s="116" t="s">
        <v>422</v>
      </c>
      <c r="G48" s="111" t="s">
        <v>371</v>
      </c>
      <c r="H48" s="111" t="s">
        <v>371</v>
      </c>
      <c r="I48" s="113">
        <v>1</v>
      </c>
      <c r="J48" s="117"/>
      <c r="K48" s="117"/>
      <c r="L48" s="114"/>
      <c r="M48" s="14"/>
    </row>
    <row r="49" spans="1:13" x14ac:dyDescent="0.25">
      <c r="A49" s="114">
        <v>22</v>
      </c>
      <c r="B49" s="115">
        <v>74790</v>
      </c>
      <c r="C49" s="110">
        <v>41984</v>
      </c>
      <c r="D49" s="116" t="s">
        <v>507</v>
      </c>
      <c r="E49" s="115" t="s">
        <v>505</v>
      </c>
      <c r="F49" s="116" t="s">
        <v>422</v>
      </c>
      <c r="G49" s="111" t="s">
        <v>371</v>
      </c>
      <c r="H49" s="111" t="s">
        <v>371</v>
      </c>
      <c r="I49" s="113">
        <v>1</v>
      </c>
      <c r="J49" s="117"/>
      <c r="K49" s="117"/>
      <c r="L49" s="114"/>
      <c r="M49" s="14"/>
    </row>
    <row r="50" spans="1:13" x14ac:dyDescent="0.25">
      <c r="A50" s="114">
        <v>24</v>
      </c>
      <c r="B50" s="115">
        <v>85231</v>
      </c>
      <c r="C50" s="110">
        <v>42004</v>
      </c>
      <c r="D50" s="116" t="s">
        <v>512</v>
      </c>
      <c r="E50" s="115" t="s">
        <v>500</v>
      </c>
      <c r="F50" s="116" t="s">
        <v>377</v>
      </c>
      <c r="G50" s="111"/>
      <c r="H50" s="114"/>
      <c r="I50" s="113">
        <v>1</v>
      </c>
      <c r="J50" s="117"/>
      <c r="K50" s="117"/>
      <c r="L50" s="114"/>
      <c r="M50" s="14"/>
    </row>
    <row r="51" spans="1:13" x14ac:dyDescent="0.25">
      <c r="A51" s="114"/>
      <c r="B51" s="115" t="s">
        <v>3102</v>
      </c>
      <c r="C51" s="110">
        <v>42024</v>
      </c>
      <c r="D51" s="116" t="s">
        <v>3095</v>
      </c>
      <c r="E51" s="115" t="s">
        <v>500</v>
      </c>
      <c r="F51" s="116" t="s">
        <v>458</v>
      </c>
      <c r="G51" s="111"/>
      <c r="H51" s="109" t="s">
        <v>369</v>
      </c>
      <c r="I51" s="113">
        <v>1</v>
      </c>
      <c r="J51" s="117"/>
      <c r="K51" s="117"/>
      <c r="L51" s="114"/>
      <c r="M51" s="14"/>
    </row>
    <row r="52" spans="1:13" x14ac:dyDescent="0.25">
      <c r="A52" s="114"/>
      <c r="B52" s="115">
        <v>88015</v>
      </c>
      <c r="C52" s="110">
        <v>42018</v>
      </c>
      <c r="D52" s="116" t="s">
        <v>3096</v>
      </c>
      <c r="E52" s="115" t="s">
        <v>500</v>
      </c>
      <c r="F52" s="116" t="s">
        <v>458</v>
      </c>
      <c r="G52" s="111"/>
      <c r="H52" s="109" t="s">
        <v>387</v>
      </c>
      <c r="I52" s="113">
        <v>2</v>
      </c>
      <c r="J52" s="117"/>
      <c r="K52" s="117"/>
      <c r="L52" s="114"/>
      <c r="M52" s="14" t="s">
        <v>3097</v>
      </c>
    </row>
    <row r="53" spans="1:13" x14ac:dyDescent="0.25">
      <c r="A53" s="114"/>
      <c r="B53" s="115">
        <v>88178</v>
      </c>
      <c r="C53" s="110">
        <v>42019</v>
      </c>
      <c r="D53" s="116" t="s">
        <v>3098</v>
      </c>
      <c r="E53" s="115" t="s">
        <v>484</v>
      </c>
      <c r="F53" s="116" t="s">
        <v>386</v>
      </c>
      <c r="G53" s="111"/>
      <c r="H53" s="109" t="s">
        <v>369</v>
      </c>
      <c r="I53" s="113">
        <v>1</v>
      </c>
      <c r="J53" s="117"/>
      <c r="K53" s="117"/>
      <c r="L53" s="114"/>
      <c r="M53" s="14" t="s">
        <v>3099</v>
      </c>
    </row>
    <row r="54" spans="1:13" x14ac:dyDescent="0.25">
      <c r="A54" s="114"/>
      <c r="B54" s="115">
        <v>88563</v>
      </c>
      <c r="C54" s="110">
        <v>42020</v>
      </c>
      <c r="D54" s="116" t="s">
        <v>3101</v>
      </c>
      <c r="E54" s="115" t="s">
        <v>500</v>
      </c>
      <c r="F54" s="116" t="s">
        <v>386</v>
      </c>
      <c r="G54" s="111"/>
      <c r="H54" s="109" t="s">
        <v>371</v>
      </c>
      <c r="I54" s="113">
        <v>1</v>
      </c>
      <c r="J54" s="117"/>
      <c r="K54" s="117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109"/>
      <c r="I55" s="113"/>
      <c r="J55" s="117"/>
      <c r="K55" s="117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109"/>
      <c r="I56" s="113"/>
      <c r="J56" s="117"/>
      <c r="K56" s="117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109"/>
      <c r="I57" s="113"/>
      <c r="J57" s="117"/>
      <c r="K57" s="117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109"/>
      <c r="I58" s="113"/>
      <c r="J58" s="117"/>
      <c r="K58" s="117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109"/>
      <c r="I59" s="113"/>
      <c r="J59" s="117"/>
      <c r="K59" s="117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109"/>
      <c r="I60" s="113"/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</sheetData>
  <autoFilter ref="A9:M9">
    <sortState ref="A11:M14">
      <sortCondition ref="L10"/>
    </sortState>
  </autoFilter>
  <mergeCells count="9">
    <mergeCell ref="A7:B7"/>
    <mergeCell ref="A8:B8"/>
    <mergeCell ref="A28:K28"/>
    <mergeCell ref="A1:K1"/>
    <mergeCell ref="A2:K2"/>
    <mergeCell ref="A3:B3"/>
    <mergeCell ref="A4:B4"/>
    <mergeCell ref="A5:B5"/>
    <mergeCell ref="A6:B6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84"/>
  <sheetViews>
    <sheetView zoomScale="90" zoomScaleNormal="90" workbookViewId="0">
      <pane ySplit="9" topLeftCell="A45" activePane="bottomLeft" state="frozen"/>
      <selection activeCell="C16" sqref="C16"/>
      <selection pane="bottomLeft" activeCell="J53" sqref="J5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37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SOCIEDAD PRESTADORA DE SERVICIOS ODONTOLÓGICOS LOS ALERCES LTDA.</v>
      </c>
      <c r="H3" s="108" t="s">
        <v>166</v>
      </c>
      <c r="I3" s="95" t="str">
        <f>IFERROR(VLOOKUP($A$2,DATOS!$A$2:$N$14,8,FALSE),"SUCURSAL NO ENCONTRADA")</f>
        <v>CRISTIAN EGGERS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76.330.243-1</v>
      </c>
      <c r="H4" s="108" t="s">
        <v>164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>ILLAPE 10 LOCAL 1, PUERTO MONTT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 MÉDICO DE ATENCIÓN AMBULATORIA</v>
      </c>
      <c r="H6" s="108" t="s">
        <v>167</v>
      </c>
      <c r="I6" s="95" t="str">
        <f>IFERROR(VLOOKUP($A$2,DATOS!$A$2:$N$14,11,FALSE),"SUCURSAL NO ENCONTRADA")</f>
        <v>CLAUDIA GATICA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PUERTO MONTT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8" t="s">
        <v>165</v>
      </c>
      <c r="B8" s="588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7638990
22 7638994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>
        <v>85980</v>
      </c>
      <c r="C10" s="94">
        <v>42010</v>
      </c>
      <c r="D10" s="92" t="s">
        <v>544</v>
      </c>
      <c r="E10" s="91" t="s">
        <v>545</v>
      </c>
      <c r="F10" s="92" t="s">
        <v>537</v>
      </c>
      <c r="G10" s="9"/>
      <c r="H10" s="12" t="s">
        <v>417</v>
      </c>
      <c r="I10" s="120">
        <v>1</v>
      </c>
      <c r="J10" s="87">
        <f>IF(F10="","",VLOOKUP(F10,ARANCEL!$E$2:$F$123,2,FALSE))</f>
        <v>30428.999999999996</v>
      </c>
      <c r="K10" s="88">
        <f t="shared" ref="K10:K32" si="0">IF(I10=0,"",J10*I10)</f>
        <v>30428.999999999996</v>
      </c>
      <c r="L10" s="12"/>
      <c r="M10" s="93"/>
    </row>
    <row r="11" spans="1:13" x14ac:dyDescent="0.25">
      <c r="A11" s="102">
        <v>2</v>
      </c>
      <c r="B11" s="102">
        <v>85508</v>
      </c>
      <c r="C11" s="103">
        <v>42009</v>
      </c>
      <c r="D11" s="104" t="s">
        <v>1720</v>
      </c>
      <c r="E11" s="102" t="s">
        <v>545</v>
      </c>
      <c r="F11" s="104" t="s">
        <v>115</v>
      </c>
      <c r="G11" s="105"/>
      <c r="H11" s="99" t="s">
        <v>419</v>
      </c>
      <c r="I11" s="106">
        <v>1</v>
      </c>
      <c r="J11" s="87">
        <f>IF(F11="","",VLOOKUP(F11,ARANCEL!$E$2:$F$123,2,FALSE))</f>
        <v>33370.239999999998</v>
      </c>
      <c r="K11" s="101">
        <f t="shared" si="0"/>
        <v>33370.239999999998</v>
      </c>
      <c r="L11" s="99"/>
      <c r="M11" s="100"/>
    </row>
    <row r="12" spans="1:13" x14ac:dyDescent="0.25">
      <c r="A12" s="91">
        <v>3</v>
      </c>
      <c r="B12" s="91">
        <v>85618</v>
      </c>
      <c r="C12" s="94">
        <v>42009</v>
      </c>
      <c r="D12" s="92" t="s">
        <v>547</v>
      </c>
      <c r="E12" s="91" t="s">
        <v>545</v>
      </c>
      <c r="F12" s="92" t="s">
        <v>115</v>
      </c>
      <c r="G12" s="9"/>
      <c r="H12" s="12" t="s">
        <v>548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12"/>
      <c r="M12" s="93"/>
    </row>
    <row r="13" spans="1:13" x14ac:dyDescent="0.25">
      <c r="A13" s="91">
        <v>4</v>
      </c>
      <c r="B13" s="91">
        <v>85071</v>
      </c>
      <c r="C13" s="94">
        <v>42004</v>
      </c>
      <c r="D13" s="92" t="s">
        <v>550</v>
      </c>
      <c r="E13" s="91" t="s">
        <v>521</v>
      </c>
      <c r="F13" s="92" t="s">
        <v>184</v>
      </c>
      <c r="G13" s="9"/>
      <c r="H13" s="12" t="s">
        <v>407</v>
      </c>
      <c r="I13" s="120">
        <v>1</v>
      </c>
      <c r="J13" s="87">
        <f>IF(F13="","",VLOOKUP(F13,ARANCEL!$E$2:$F$123,2,FALSE))</f>
        <v>45643.96</v>
      </c>
      <c r="K13" s="88">
        <f t="shared" si="0"/>
        <v>45643.96</v>
      </c>
      <c r="L13" s="12"/>
      <c r="M13" s="93"/>
    </row>
    <row r="14" spans="1:13" x14ac:dyDescent="0.25">
      <c r="A14" s="102">
        <v>5</v>
      </c>
      <c r="B14" s="102">
        <v>85126</v>
      </c>
      <c r="C14" s="103">
        <v>42011</v>
      </c>
      <c r="D14" s="104" t="s">
        <v>551</v>
      </c>
      <c r="E14" s="102" t="s">
        <v>545</v>
      </c>
      <c r="F14" s="104" t="s">
        <v>116</v>
      </c>
      <c r="G14" s="105"/>
      <c r="H14" s="99" t="s">
        <v>472</v>
      </c>
      <c r="I14" s="106">
        <v>1</v>
      </c>
      <c r="J14" s="87">
        <f>IF(F14="","",VLOOKUP(F14,ARANCEL!$E$2:$F$123,2,FALSE))</f>
        <v>5274.3600000000006</v>
      </c>
      <c r="K14" s="101">
        <f t="shared" si="0"/>
        <v>5274.3600000000006</v>
      </c>
      <c r="L14" s="99"/>
      <c r="M14" s="100"/>
    </row>
    <row r="15" spans="1:13" x14ac:dyDescent="0.25">
      <c r="A15" s="91">
        <v>6</v>
      </c>
      <c r="B15" s="102">
        <v>85126</v>
      </c>
      <c r="C15" s="103">
        <v>42011</v>
      </c>
      <c r="D15" s="104" t="s">
        <v>551</v>
      </c>
      <c r="E15" s="102" t="s">
        <v>545</v>
      </c>
      <c r="F15" s="104" t="s">
        <v>210</v>
      </c>
      <c r="G15" s="105"/>
      <c r="H15" s="99" t="s">
        <v>472</v>
      </c>
      <c r="I15" s="106">
        <v>1</v>
      </c>
      <c r="J15" s="87">
        <f>IF(F15="","",VLOOKUP(F15,ARANCEL!$E$2:$F$123,2,FALSE))</f>
        <v>14098.999999999998</v>
      </c>
      <c r="K15" s="101">
        <f t="shared" si="0"/>
        <v>14098.999999999998</v>
      </c>
      <c r="L15" s="99"/>
      <c r="M15" s="100"/>
    </row>
    <row r="16" spans="1:13" x14ac:dyDescent="0.25">
      <c r="A16" s="91">
        <v>7</v>
      </c>
      <c r="B16" s="102">
        <v>85122</v>
      </c>
      <c r="C16" s="103">
        <v>42009</v>
      </c>
      <c r="D16" s="104" t="s">
        <v>552</v>
      </c>
      <c r="E16" s="102" t="s">
        <v>545</v>
      </c>
      <c r="F16" s="104" t="s">
        <v>116</v>
      </c>
      <c r="G16" s="105"/>
      <c r="H16" s="99" t="s">
        <v>392</v>
      </c>
      <c r="I16" s="106">
        <v>1</v>
      </c>
      <c r="J16" s="87">
        <f>IF(F16="","",VLOOKUP(F16,ARANCEL!$E$2:$F$123,2,FALSE))</f>
        <v>5274.3600000000006</v>
      </c>
      <c r="K16" s="101">
        <f t="shared" si="0"/>
        <v>5274.3600000000006</v>
      </c>
      <c r="L16" s="99"/>
      <c r="M16" s="100"/>
    </row>
    <row r="17" spans="1:13" x14ac:dyDescent="0.25">
      <c r="A17" s="102">
        <v>8</v>
      </c>
      <c r="B17" s="102">
        <v>85122</v>
      </c>
      <c r="C17" s="103">
        <v>42009</v>
      </c>
      <c r="D17" s="104" t="s">
        <v>552</v>
      </c>
      <c r="E17" s="102" t="s">
        <v>545</v>
      </c>
      <c r="F17" s="104" t="s">
        <v>210</v>
      </c>
      <c r="G17" s="105"/>
      <c r="H17" s="99" t="s">
        <v>392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99"/>
      <c r="M17" s="100"/>
    </row>
    <row r="18" spans="1:13" x14ac:dyDescent="0.25">
      <c r="A18" s="102">
        <v>9</v>
      </c>
      <c r="B18" s="102">
        <v>86325</v>
      </c>
      <c r="C18" s="103">
        <v>42012</v>
      </c>
      <c r="D18" s="104" t="s">
        <v>3103</v>
      </c>
      <c r="E18" s="102" t="s">
        <v>545</v>
      </c>
      <c r="F18" s="104" t="s">
        <v>355</v>
      </c>
      <c r="G18" s="105"/>
      <c r="H18" s="99" t="s">
        <v>387</v>
      </c>
      <c r="I18" s="106">
        <v>2</v>
      </c>
      <c r="J18" s="87">
        <f>IF(F18="","",VLOOKUP(F18,ARANCEL!$E$2:$F$123,2,FALSE))</f>
        <v>55057.687499999993</v>
      </c>
      <c r="K18" s="101">
        <f t="shared" si="0"/>
        <v>110115.37499999999</v>
      </c>
      <c r="L18" s="99"/>
      <c r="M18" s="100"/>
    </row>
    <row r="19" spans="1:13" x14ac:dyDescent="0.25">
      <c r="A19" s="102">
        <v>10</v>
      </c>
      <c r="B19" s="102">
        <v>87577</v>
      </c>
      <c r="C19" s="103">
        <v>42016</v>
      </c>
      <c r="D19" s="104" t="s">
        <v>3113</v>
      </c>
      <c r="E19" s="102" t="s">
        <v>545</v>
      </c>
      <c r="F19" s="104" t="s">
        <v>217</v>
      </c>
      <c r="G19" s="105"/>
      <c r="H19" s="99" t="s">
        <v>371</v>
      </c>
      <c r="I19" s="106">
        <v>1</v>
      </c>
      <c r="J19" s="87">
        <f>IF(F19="","",VLOOKUP(F19,ARANCEL!$E$2:$F$123,2,FALSE))</f>
        <v>44597.287499999999</v>
      </c>
      <c r="K19" s="101">
        <f t="shared" si="0"/>
        <v>44597.287499999999</v>
      </c>
      <c r="L19" s="99"/>
      <c r="M19" s="100"/>
    </row>
    <row r="20" spans="1:13" x14ac:dyDescent="0.25">
      <c r="A20" s="102">
        <v>11</v>
      </c>
      <c r="B20" s="102">
        <v>87287</v>
      </c>
      <c r="C20" s="103">
        <v>42016</v>
      </c>
      <c r="D20" s="104" t="s">
        <v>3114</v>
      </c>
      <c r="E20" s="102" t="s">
        <v>545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99"/>
      <c r="M20" s="100"/>
    </row>
    <row r="21" spans="1:13" x14ac:dyDescent="0.25">
      <c r="A21" s="102">
        <v>12</v>
      </c>
      <c r="B21" s="102">
        <v>87304</v>
      </c>
      <c r="C21" s="103">
        <v>42014</v>
      </c>
      <c r="D21" s="104" t="s">
        <v>3115</v>
      </c>
      <c r="E21" s="102" t="s">
        <v>545</v>
      </c>
      <c r="F21" s="104" t="s">
        <v>537</v>
      </c>
      <c r="G21" s="105"/>
      <c r="H21" s="99" t="s">
        <v>417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99"/>
      <c r="M21" s="100"/>
    </row>
    <row r="22" spans="1:13" x14ac:dyDescent="0.25">
      <c r="A22" s="102">
        <v>13</v>
      </c>
      <c r="B22" s="102">
        <v>87305</v>
      </c>
      <c r="C22" s="103">
        <v>42016</v>
      </c>
      <c r="D22" s="104" t="s">
        <v>3116</v>
      </c>
      <c r="E22" s="102" t="s">
        <v>545</v>
      </c>
      <c r="F22" s="104" t="s">
        <v>537</v>
      </c>
      <c r="G22" s="105"/>
      <c r="H22" s="99" t="s">
        <v>417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99"/>
      <c r="M22" s="100"/>
    </row>
    <row r="23" spans="1:13" x14ac:dyDescent="0.25">
      <c r="A23" s="102">
        <v>14</v>
      </c>
      <c r="B23" s="102">
        <v>87535</v>
      </c>
      <c r="C23" s="103">
        <v>42016</v>
      </c>
      <c r="D23" s="104" t="s">
        <v>3117</v>
      </c>
      <c r="E23" s="102" t="s">
        <v>545</v>
      </c>
      <c r="F23" s="104" t="s">
        <v>210</v>
      </c>
      <c r="G23" s="105"/>
      <c r="H23" s="99" t="s">
        <v>527</v>
      </c>
      <c r="I23" s="106">
        <v>1</v>
      </c>
      <c r="J23" s="87">
        <f>IF(F23="","",VLOOKUP(F23,ARANCEL!$E$2:$F$123,2,FALSE))</f>
        <v>14098.999999999998</v>
      </c>
      <c r="K23" s="101">
        <f t="shared" si="0"/>
        <v>14098.999999999998</v>
      </c>
      <c r="L23" s="99"/>
      <c r="M23" s="100"/>
    </row>
    <row r="24" spans="1:13" x14ac:dyDescent="0.25">
      <c r="A24" s="102">
        <v>15</v>
      </c>
      <c r="B24" s="102">
        <v>87718</v>
      </c>
      <c r="C24" s="103">
        <v>42017</v>
      </c>
      <c r="D24" s="104" t="s">
        <v>3118</v>
      </c>
      <c r="E24" s="102" t="s">
        <v>545</v>
      </c>
      <c r="F24" s="104" t="s">
        <v>357</v>
      </c>
      <c r="G24" s="105"/>
      <c r="H24" s="99" t="s">
        <v>371</v>
      </c>
      <c r="I24" s="106">
        <v>1</v>
      </c>
      <c r="J24" s="87">
        <f>IF(F24="","",VLOOKUP(F24,ARANCEL!$E$2:$F$123,2,FALSE))</f>
        <v>25800.249999999996</v>
      </c>
      <c r="K24" s="101">
        <f t="shared" si="0"/>
        <v>25800.249999999996</v>
      </c>
      <c r="L24" s="99"/>
      <c r="M24" s="100"/>
    </row>
    <row r="25" spans="1:13" x14ac:dyDescent="0.25">
      <c r="A25" s="102">
        <v>16</v>
      </c>
      <c r="B25" s="102">
        <v>87927</v>
      </c>
      <c r="C25" s="103">
        <v>42018</v>
      </c>
      <c r="D25" s="104" t="s">
        <v>3119</v>
      </c>
      <c r="E25" s="102" t="s">
        <v>521</v>
      </c>
      <c r="F25" s="104" t="s">
        <v>357</v>
      </c>
      <c r="G25" s="105"/>
      <c r="H25" s="99" t="s">
        <v>371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99"/>
      <c r="M25" s="100"/>
    </row>
    <row r="26" spans="1:13" x14ac:dyDescent="0.25">
      <c r="A26" s="102">
        <v>17</v>
      </c>
      <c r="B26" s="102">
        <v>88203</v>
      </c>
      <c r="C26" s="103">
        <v>42020</v>
      </c>
      <c r="D26" s="104" t="s">
        <v>3120</v>
      </c>
      <c r="E26" s="102" t="s">
        <v>521</v>
      </c>
      <c r="F26" s="104" t="s">
        <v>537</v>
      </c>
      <c r="G26" s="105"/>
      <c r="H26" s="99" t="s">
        <v>431</v>
      </c>
      <c r="I26" s="106">
        <v>1</v>
      </c>
      <c r="J26" s="87">
        <f>IF(F26="","",VLOOKUP(F26,ARANCEL!$E$2:$F$123,2,FALSE))</f>
        <v>30428.999999999996</v>
      </c>
      <c r="K26" s="101">
        <f t="shared" si="0"/>
        <v>30428.999999999996</v>
      </c>
      <c r="L26" s="99"/>
      <c r="M26" s="100"/>
    </row>
    <row r="27" spans="1:13" x14ac:dyDescent="0.25">
      <c r="A27" s="102">
        <v>18</v>
      </c>
      <c r="B27" s="102">
        <v>88194</v>
      </c>
      <c r="C27" s="103">
        <v>42017</v>
      </c>
      <c r="D27" s="104" t="s">
        <v>3121</v>
      </c>
      <c r="E27" s="102" t="s">
        <v>545</v>
      </c>
      <c r="F27" s="104" t="s">
        <v>217</v>
      </c>
      <c r="G27" s="105"/>
      <c r="H27" s="99" t="s">
        <v>371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99"/>
      <c r="M27" s="100"/>
    </row>
    <row r="28" spans="1:13" x14ac:dyDescent="0.25">
      <c r="A28" s="91">
        <v>19</v>
      </c>
      <c r="B28" s="102">
        <v>88697</v>
      </c>
      <c r="C28" s="103">
        <v>42019</v>
      </c>
      <c r="D28" s="104" t="s">
        <v>3122</v>
      </c>
      <c r="E28" s="102" t="s">
        <v>1030</v>
      </c>
      <c r="F28" s="104" t="s">
        <v>3123</v>
      </c>
      <c r="G28" s="105"/>
      <c r="H28" s="99" t="s">
        <v>371</v>
      </c>
      <c r="I28" s="106">
        <v>1</v>
      </c>
      <c r="J28" s="87">
        <f>IF(F28="","",VLOOKUP(F28,ARANCEL!$E$2:$F$123,2,FALSE))</f>
        <v>15721.88</v>
      </c>
      <c r="K28" s="101">
        <f t="shared" si="0"/>
        <v>15721.88</v>
      </c>
      <c r="L28" s="99"/>
      <c r="M28" s="100"/>
    </row>
    <row r="29" spans="1:13" x14ac:dyDescent="0.25">
      <c r="A29" s="102">
        <v>20</v>
      </c>
      <c r="B29" s="102">
        <v>88659</v>
      </c>
      <c r="C29" s="103">
        <v>42023</v>
      </c>
      <c r="D29" s="104" t="s">
        <v>3124</v>
      </c>
      <c r="E29" s="102" t="s">
        <v>545</v>
      </c>
      <c r="F29" s="104" t="s">
        <v>116</v>
      </c>
      <c r="G29" s="105"/>
      <c r="H29" s="99" t="s">
        <v>431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99"/>
      <c r="M29" s="100"/>
    </row>
    <row r="30" spans="1:13" x14ac:dyDescent="0.25">
      <c r="A30" s="102">
        <v>21</v>
      </c>
      <c r="B30" s="102">
        <v>88659</v>
      </c>
      <c r="C30" s="103">
        <v>42023</v>
      </c>
      <c r="D30" s="104" t="s">
        <v>3124</v>
      </c>
      <c r="E30" s="102" t="s">
        <v>545</v>
      </c>
      <c r="F30" s="104" t="s">
        <v>210</v>
      </c>
      <c r="G30" s="105"/>
      <c r="H30" s="99" t="s">
        <v>431</v>
      </c>
      <c r="I30" s="106">
        <v>1</v>
      </c>
      <c r="J30" s="87">
        <f>IF(F30="","",VLOOKUP(F30,ARANCEL!$E$2:$F$123,2,FALSE))</f>
        <v>14098.999999999998</v>
      </c>
      <c r="K30" s="101">
        <f t="shared" si="0"/>
        <v>14098.999999999998</v>
      </c>
      <c r="L30" s="99"/>
      <c r="M30" s="100"/>
    </row>
    <row r="31" spans="1:13" x14ac:dyDescent="0.25">
      <c r="A31" s="102">
        <v>22</v>
      </c>
      <c r="B31" s="102">
        <v>88632</v>
      </c>
      <c r="C31" s="103">
        <v>42025</v>
      </c>
      <c r="D31" s="104" t="s">
        <v>3125</v>
      </c>
      <c r="E31" s="102" t="s">
        <v>545</v>
      </c>
      <c r="F31" s="104" t="s">
        <v>537</v>
      </c>
      <c r="G31" s="105"/>
      <c r="H31" s="99" t="s">
        <v>568</v>
      </c>
      <c r="I31" s="106">
        <v>1</v>
      </c>
      <c r="J31" s="87">
        <f>IF(F31="","",VLOOKUP(F31,ARANCEL!$E$2:$F$123,2,FALSE))</f>
        <v>30428.999999999996</v>
      </c>
      <c r="K31" s="101">
        <f t="shared" si="0"/>
        <v>30428.999999999996</v>
      </c>
      <c r="L31" s="99"/>
      <c r="M31" s="100"/>
    </row>
    <row r="32" spans="1:13" x14ac:dyDescent="0.25">
      <c r="A32" s="102">
        <v>23</v>
      </c>
      <c r="B32" s="102">
        <v>89238</v>
      </c>
      <c r="C32" s="103">
        <v>42024</v>
      </c>
      <c r="D32" s="104" t="s">
        <v>3126</v>
      </c>
      <c r="E32" s="102" t="s">
        <v>545</v>
      </c>
      <c r="F32" s="104" t="s">
        <v>537</v>
      </c>
      <c r="G32" s="105"/>
      <c r="H32" s="99" t="s">
        <v>527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99"/>
      <c r="M32" s="100"/>
    </row>
    <row r="33" spans="1:13" x14ac:dyDescent="0.25">
      <c r="A33" s="91">
        <v>24</v>
      </c>
      <c r="B33" s="102">
        <v>89228</v>
      </c>
      <c r="C33" s="103">
        <v>42023</v>
      </c>
      <c r="D33" s="104" t="s">
        <v>3127</v>
      </c>
      <c r="E33" s="102" t="s">
        <v>545</v>
      </c>
      <c r="F33" s="104" t="s">
        <v>537</v>
      </c>
      <c r="G33" s="105"/>
      <c r="H33" s="99" t="s">
        <v>527</v>
      </c>
      <c r="I33" s="106">
        <v>1</v>
      </c>
      <c r="J33" s="87">
        <f>IF(F33="","",VLOOKUP(F33,ARANCEL!$E$2:$F$123,2,FALSE))</f>
        <v>30428.999999999996</v>
      </c>
      <c r="K33" s="101">
        <f t="shared" ref="K33:K45" si="1">IF(I33=0,"",J33*I33)</f>
        <v>30428.999999999996</v>
      </c>
      <c r="L33" s="99"/>
      <c r="M33" s="100"/>
    </row>
    <row r="34" spans="1:13" x14ac:dyDescent="0.25">
      <c r="A34" s="102">
        <v>25</v>
      </c>
      <c r="B34" s="102">
        <v>89157</v>
      </c>
      <c r="C34" s="103">
        <v>42020</v>
      </c>
      <c r="D34" s="104" t="s">
        <v>3128</v>
      </c>
      <c r="E34" s="102" t="s">
        <v>521</v>
      </c>
      <c r="F34" s="104" t="s">
        <v>217</v>
      </c>
      <c r="G34" s="105"/>
      <c r="H34" s="99" t="s">
        <v>387</v>
      </c>
      <c r="I34" s="106">
        <v>2</v>
      </c>
      <c r="J34" s="87">
        <f>IF(F34="","",VLOOKUP(F34,ARANCEL!$E$2:$F$123,2,FALSE))</f>
        <v>44597.287499999999</v>
      </c>
      <c r="K34" s="101">
        <f t="shared" si="1"/>
        <v>89194.574999999997</v>
      </c>
      <c r="L34" s="99"/>
      <c r="M34" s="100"/>
    </row>
    <row r="35" spans="1:13" x14ac:dyDescent="0.25">
      <c r="A35" s="102">
        <v>26</v>
      </c>
      <c r="B35" s="102">
        <v>89523</v>
      </c>
      <c r="C35" s="103">
        <v>42023</v>
      </c>
      <c r="D35" s="104" t="s">
        <v>3130</v>
      </c>
      <c r="E35" s="102" t="s">
        <v>1558</v>
      </c>
      <c r="F35" s="104" t="s">
        <v>195</v>
      </c>
      <c r="G35" s="105"/>
      <c r="H35" s="99" t="s">
        <v>371</v>
      </c>
      <c r="I35" s="106">
        <v>1</v>
      </c>
      <c r="J35" s="87">
        <f>IF(F35="","",VLOOKUP(F35,ARANCEL!$E$2:$F$123,2,FALSE))</f>
        <v>36514.799999999996</v>
      </c>
      <c r="K35" s="101">
        <f t="shared" si="1"/>
        <v>36514.799999999996</v>
      </c>
      <c r="L35" s="99"/>
      <c r="M35" s="100"/>
    </row>
    <row r="36" spans="1:13" x14ac:dyDescent="0.25">
      <c r="A36" s="102">
        <v>27</v>
      </c>
      <c r="B36" s="102">
        <v>89420</v>
      </c>
      <c r="C36" s="103">
        <v>42024</v>
      </c>
      <c r="D36" s="104" t="s">
        <v>3131</v>
      </c>
      <c r="E36" s="102" t="s">
        <v>545</v>
      </c>
      <c r="F36" s="104" t="s">
        <v>217</v>
      </c>
      <c r="G36" s="105"/>
      <c r="H36" s="99" t="s">
        <v>369</v>
      </c>
      <c r="I36" s="106">
        <v>1</v>
      </c>
      <c r="J36" s="87">
        <f>IF(F36="","",VLOOKUP(F36,ARANCEL!$E$2:$F$123,2,FALSE))</f>
        <v>44597.287499999999</v>
      </c>
      <c r="K36" s="101">
        <f t="shared" si="1"/>
        <v>44597.287499999999</v>
      </c>
      <c r="L36" s="99"/>
      <c r="M36" s="100"/>
    </row>
    <row r="37" spans="1:13" x14ac:dyDescent="0.25">
      <c r="A37" s="102">
        <v>28</v>
      </c>
      <c r="B37" s="102">
        <v>89458</v>
      </c>
      <c r="C37" s="103">
        <v>42025</v>
      </c>
      <c r="D37" s="104" t="s">
        <v>1709</v>
      </c>
      <c r="E37" s="102" t="s">
        <v>521</v>
      </c>
      <c r="F37" s="104" t="s">
        <v>210</v>
      </c>
      <c r="G37" s="105"/>
      <c r="H37" s="99" t="s">
        <v>434</v>
      </c>
      <c r="I37" s="106">
        <v>1</v>
      </c>
      <c r="J37" s="87">
        <f>IF(F37="","",VLOOKUP(F37,ARANCEL!$E$2:$F$123,2,FALSE))</f>
        <v>14098.999999999998</v>
      </c>
      <c r="K37" s="101">
        <f t="shared" si="1"/>
        <v>14098.999999999998</v>
      </c>
      <c r="L37" s="99"/>
      <c r="M37" s="100"/>
    </row>
    <row r="38" spans="1:13" x14ac:dyDescent="0.25">
      <c r="A38" s="102">
        <v>29</v>
      </c>
      <c r="B38" s="102">
        <v>89585</v>
      </c>
      <c r="C38" s="103">
        <v>42019</v>
      </c>
      <c r="D38" s="104" t="s">
        <v>3132</v>
      </c>
      <c r="E38" s="102" t="s">
        <v>545</v>
      </c>
      <c r="F38" s="104" t="s">
        <v>217</v>
      </c>
      <c r="G38" s="105"/>
      <c r="H38" s="99" t="s">
        <v>371</v>
      </c>
      <c r="I38" s="106">
        <v>1</v>
      </c>
      <c r="J38" s="87">
        <f>IF(F38="","",VLOOKUP(F38,ARANCEL!$E$2:$F$123,2,FALSE))</f>
        <v>44597.287499999999</v>
      </c>
      <c r="K38" s="101">
        <f t="shared" si="1"/>
        <v>44597.287499999999</v>
      </c>
      <c r="L38" s="99"/>
      <c r="M38" s="100"/>
    </row>
    <row r="39" spans="1:13" x14ac:dyDescent="0.25">
      <c r="A39" s="102">
        <v>30</v>
      </c>
      <c r="B39" s="102">
        <v>86445</v>
      </c>
      <c r="C39" s="103">
        <v>42017</v>
      </c>
      <c r="D39" s="104" t="s">
        <v>3133</v>
      </c>
      <c r="E39" s="102" t="s">
        <v>521</v>
      </c>
      <c r="F39" s="104" t="s">
        <v>188</v>
      </c>
      <c r="G39" s="105"/>
      <c r="H39" s="99" t="s">
        <v>3134</v>
      </c>
      <c r="I39" s="106">
        <v>3</v>
      </c>
      <c r="J39" s="87">
        <f>IF(F39="","",VLOOKUP(F39,ARANCEL!$E$2:$F$123,2,FALSE))</f>
        <v>42600.6</v>
      </c>
      <c r="K39" s="101">
        <f t="shared" si="1"/>
        <v>127801.79999999999</v>
      </c>
      <c r="L39" s="99"/>
      <c r="M39" s="100" t="s">
        <v>3135</v>
      </c>
    </row>
    <row r="40" spans="1:13" x14ac:dyDescent="0.25">
      <c r="A40" s="102">
        <v>31</v>
      </c>
      <c r="B40" s="102">
        <v>90000</v>
      </c>
      <c r="C40" s="103">
        <v>42025</v>
      </c>
      <c r="D40" s="104" t="s">
        <v>3159</v>
      </c>
      <c r="E40" s="102" t="s">
        <v>1603</v>
      </c>
      <c r="F40" s="104" t="s">
        <v>537</v>
      </c>
      <c r="G40" s="105"/>
      <c r="H40" s="99" t="s">
        <v>434</v>
      </c>
      <c r="I40" s="106">
        <v>1</v>
      </c>
      <c r="J40" s="87">
        <f>IF(F40="","",VLOOKUP(F40,ARANCEL!$E$2:$F$123,2,FALSE))</f>
        <v>30428.999999999996</v>
      </c>
      <c r="K40" s="101">
        <f t="shared" si="1"/>
        <v>30428.999999999996</v>
      </c>
      <c r="L40" s="99"/>
      <c r="M40" s="100"/>
    </row>
    <row r="41" spans="1:13" x14ac:dyDescent="0.25">
      <c r="A41" s="102">
        <v>32</v>
      </c>
      <c r="B41" s="102">
        <v>90078</v>
      </c>
      <c r="C41" s="103">
        <v>42025</v>
      </c>
      <c r="D41" s="104" t="s">
        <v>3160</v>
      </c>
      <c r="E41" s="102" t="s">
        <v>521</v>
      </c>
      <c r="F41" s="104" t="s">
        <v>1579</v>
      </c>
      <c r="G41" s="105"/>
      <c r="H41" s="99" t="s">
        <v>392</v>
      </c>
      <c r="I41" s="106">
        <v>1</v>
      </c>
      <c r="J41" s="87">
        <v>63583</v>
      </c>
      <c r="K41" s="101">
        <f t="shared" si="1"/>
        <v>63583</v>
      </c>
      <c r="L41" s="99"/>
      <c r="M41" s="100"/>
    </row>
    <row r="42" spans="1:13" x14ac:dyDescent="0.25">
      <c r="A42" s="102">
        <v>33</v>
      </c>
      <c r="B42" s="102">
        <v>90077</v>
      </c>
      <c r="C42" s="103">
        <v>42024</v>
      </c>
      <c r="D42" s="104" t="s">
        <v>3161</v>
      </c>
      <c r="E42" s="102" t="s">
        <v>521</v>
      </c>
      <c r="F42" s="104" t="s">
        <v>1579</v>
      </c>
      <c r="G42" s="105"/>
      <c r="H42" s="99" t="s">
        <v>431</v>
      </c>
      <c r="I42" s="106">
        <v>1</v>
      </c>
      <c r="J42" s="87">
        <v>63583</v>
      </c>
      <c r="K42" s="101">
        <f t="shared" si="1"/>
        <v>63583</v>
      </c>
      <c r="L42" s="99"/>
      <c r="M42" s="100"/>
    </row>
    <row r="43" spans="1:13" x14ac:dyDescent="0.25">
      <c r="A43" s="102">
        <v>34</v>
      </c>
      <c r="B43" s="102">
        <v>90894</v>
      </c>
      <c r="C43" s="103">
        <v>42027</v>
      </c>
      <c r="D43" s="104" t="s">
        <v>3170</v>
      </c>
      <c r="E43" s="102" t="s">
        <v>545</v>
      </c>
      <c r="F43" s="104" t="s">
        <v>116</v>
      </c>
      <c r="G43" s="105"/>
      <c r="H43" s="99" t="s">
        <v>410</v>
      </c>
      <c r="I43" s="106">
        <v>1</v>
      </c>
      <c r="J43" s="87">
        <f>IF(F43="","",VLOOKUP(F43,ARANCEL!$E$2:$F$123,2,FALSE))</f>
        <v>5274.3600000000006</v>
      </c>
      <c r="K43" s="101">
        <f t="shared" si="1"/>
        <v>5274.3600000000006</v>
      </c>
      <c r="L43" s="99"/>
      <c r="M43" s="100"/>
    </row>
    <row r="44" spans="1:13" x14ac:dyDescent="0.25">
      <c r="A44" s="102">
        <v>35</v>
      </c>
      <c r="B44" s="102">
        <v>90894</v>
      </c>
      <c r="C44" s="103">
        <v>42027</v>
      </c>
      <c r="D44" s="104" t="s">
        <v>3170</v>
      </c>
      <c r="E44" s="102" t="s">
        <v>545</v>
      </c>
      <c r="F44" s="104" t="s">
        <v>116</v>
      </c>
      <c r="G44" s="105"/>
      <c r="H44" s="99" t="s">
        <v>410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99"/>
      <c r="M44" s="100"/>
    </row>
    <row r="45" spans="1:13" x14ac:dyDescent="0.25">
      <c r="A45" s="91">
        <v>36</v>
      </c>
      <c r="B45" s="102">
        <v>90683</v>
      </c>
      <c r="C45" s="103">
        <v>42027</v>
      </c>
      <c r="D45" s="104" t="s">
        <v>3171</v>
      </c>
      <c r="E45" s="102" t="s">
        <v>545</v>
      </c>
      <c r="F45" s="104" t="s">
        <v>116</v>
      </c>
      <c r="G45" s="105"/>
      <c r="H45" s="99" t="s">
        <v>383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99"/>
      <c r="M45" s="100"/>
    </row>
    <row r="46" spans="1:13" x14ac:dyDescent="0.25">
      <c r="A46" s="102">
        <v>34</v>
      </c>
      <c r="B46" s="102">
        <v>90683</v>
      </c>
      <c r="C46" s="103">
        <v>42027</v>
      </c>
      <c r="D46" s="104" t="s">
        <v>3171</v>
      </c>
      <c r="E46" s="102" t="s">
        <v>545</v>
      </c>
      <c r="F46" s="104" t="s">
        <v>210</v>
      </c>
      <c r="G46" s="105"/>
      <c r="H46" s="99" t="s">
        <v>383</v>
      </c>
      <c r="I46" s="106">
        <v>1</v>
      </c>
      <c r="J46" s="87">
        <f>IF(F46="","",VLOOKUP(F46,ARANCEL!$E$2:$F$123,2,FALSE))</f>
        <v>14098.999999999998</v>
      </c>
      <c r="K46" s="101">
        <f t="shared" ref="K46:K49" si="2">IF(I46=0,"",J46*I46)</f>
        <v>14098.999999999998</v>
      </c>
      <c r="L46" s="99"/>
      <c r="M46" s="100"/>
    </row>
    <row r="47" spans="1:13" x14ac:dyDescent="0.25">
      <c r="A47" s="102">
        <v>35</v>
      </c>
      <c r="B47" s="102">
        <v>90323</v>
      </c>
      <c r="C47" s="103">
        <v>42026</v>
      </c>
      <c r="D47" s="104" t="s">
        <v>3172</v>
      </c>
      <c r="E47" s="102" t="s">
        <v>1603</v>
      </c>
      <c r="F47" s="104" t="s">
        <v>116</v>
      </c>
      <c r="G47" s="105"/>
      <c r="H47" s="99" t="s">
        <v>445</v>
      </c>
      <c r="I47" s="106">
        <v>1</v>
      </c>
      <c r="J47" s="87">
        <f>IF(F47="","",VLOOKUP(F47,ARANCEL!$E$2:$F$123,2,FALSE))</f>
        <v>5274.3600000000006</v>
      </c>
      <c r="K47" s="101">
        <f t="shared" si="2"/>
        <v>5274.3600000000006</v>
      </c>
      <c r="L47" s="99"/>
      <c r="M47" s="100"/>
    </row>
    <row r="48" spans="1:13" x14ac:dyDescent="0.25">
      <c r="A48" s="91">
        <v>36</v>
      </c>
      <c r="B48" s="102">
        <v>90445</v>
      </c>
      <c r="C48" s="103">
        <v>42025</v>
      </c>
      <c r="D48" s="104" t="s">
        <v>1709</v>
      </c>
      <c r="E48" s="102" t="s">
        <v>521</v>
      </c>
      <c r="F48" s="104" t="s">
        <v>115</v>
      </c>
      <c r="G48" s="105"/>
      <c r="H48" s="99" t="s">
        <v>431</v>
      </c>
      <c r="I48" s="106">
        <v>1</v>
      </c>
      <c r="J48" s="87">
        <f>IF(F48="","",VLOOKUP(F48,ARANCEL!$E$2:$F$123,2,FALSE))</f>
        <v>33370.239999999998</v>
      </c>
      <c r="K48" s="101">
        <f t="shared" si="2"/>
        <v>33370.239999999998</v>
      </c>
      <c r="L48" s="99"/>
      <c r="M48" s="100"/>
    </row>
    <row r="49" spans="1:13" x14ac:dyDescent="0.25">
      <c r="A49" s="91">
        <v>36</v>
      </c>
      <c r="B49" s="102">
        <v>90306</v>
      </c>
      <c r="C49" s="103">
        <v>42024</v>
      </c>
      <c r="D49" s="104" t="s">
        <v>551</v>
      </c>
      <c r="E49" s="102" t="s">
        <v>545</v>
      </c>
      <c r="F49" s="104" t="s">
        <v>116</v>
      </c>
      <c r="G49" s="105"/>
      <c r="H49" s="99" t="s">
        <v>472</v>
      </c>
      <c r="I49" s="106">
        <v>1</v>
      </c>
      <c r="J49" s="87">
        <f>IF(F49="","",VLOOKUP(F49,ARANCEL!$E$2:$F$123,2,FALSE))</f>
        <v>5274.3600000000006</v>
      </c>
      <c r="K49" s="101">
        <f t="shared" si="2"/>
        <v>5274.3600000000006</v>
      </c>
      <c r="L49" s="99"/>
      <c r="M49" s="100"/>
    </row>
    <row r="50" spans="1:13" x14ac:dyDescent="0.25">
      <c r="A50" s="102">
        <v>34</v>
      </c>
      <c r="B50" s="102">
        <v>90306</v>
      </c>
      <c r="C50" s="103">
        <v>42024</v>
      </c>
      <c r="D50" s="104" t="s">
        <v>551</v>
      </c>
      <c r="E50" s="102" t="s">
        <v>545</v>
      </c>
      <c r="F50" s="104" t="s">
        <v>210</v>
      </c>
      <c r="G50" s="105"/>
      <c r="H50" s="99" t="s">
        <v>472</v>
      </c>
      <c r="I50" s="106">
        <v>1</v>
      </c>
      <c r="J50" s="87">
        <f>IF(F50="","",VLOOKUP(F50,ARANCEL!$E$2:$F$123,2,FALSE))</f>
        <v>14098.999999999998</v>
      </c>
      <c r="K50" s="101">
        <f t="shared" ref="K50:K52" si="3">IF(I50=0,"",J50*I50)</f>
        <v>14098.999999999998</v>
      </c>
      <c r="L50" s="99"/>
      <c r="M50" s="100"/>
    </row>
    <row r="51" spans="1:13" x14ac:dyDescent="0.25">
      <c r="A51" s="102">
        <v>35</v>
      </c>
      <c r="B51" s="102">
        <v>90412</v>
      </c>
      <c r="C51" s="103">
        <v>42025</v>
      </c>
      <c r="D51" s="104" t="s">
        <v>1669</v>
      </c>
      <c r="E51" s="102" t="s">
        <v>545</v>
      </c>
      <c r="F51" s="104" t="s">
        <v>115</v>
      </c>
      <c r="G51" s="105"/>
      <c r="H51" s="99" t="s">
        <v>419</v>
      </c>
      <c r="I51" s="106">
        <v>1</v>
      </c>
      <c r="J51" s="87">
        <f>IF(F51="","",VLOOKUP(F51,ARANCEL!$E$2:$F$123,2,FALSE))</f>
        <v>33370.239999999998</v>
      </c>
      <c r="K51" s="101">
        <f t="shared" si="3"/>
        <v>33370.239999999998</v>
      </c>
      <c r="L51" s="99"/>
      <c r="M51" s="100"/>
    </row>
    <row r="52" spans="1:13" x14ac:dyDescent="0.25">
      <c r="A52" s="91">
        <v>36</v>
      </c>
      <c r="B52" s="102">
        <v>90589</v>
      </c>
      <c r="C52" s="103">
        <v>42026</v>
      </c>
      <c r="D52" s="104" t="s">
        <v>3176</v>
      </c>
      <c r="E52" s="102" t="s">
        <v>545</v>
      </c>
      <c r="F52" s="104" t="s">
        <v>537</v>
      </c>
      <c r="G52" s="105"/>
      <c r="H52" s="99" t="s">
        <v>392</v>
      </c>
      <c r="I52" s="106">
        <v>1</v>
      </c>
      <c r="J52" s="87">
        <f>IF(F52="","",VLOOKUP(F52,ARANCEL!$E$2:$F$123,2,FALSE))</f>
        <v>30428.999999999996</v>
      </c>
      <c r="K52" s="101">
        <f t="shared" si="3"/>
        <v>30428.999999999996</v>
      </c>
      <c r="L52" s="99"/>
      <c r="M52" s="100"/>
    </row>
    <row r="53" spans="1:13" x14ac:dyDescent="0.25">
      <c r="A53" s="102">
        <v>35</v>
      </c>
      <c r="B53" s="102">
        <v>90717</v>
      </c>
      <c r="C53" s="103">
        <v>42027</v>
      </c>
      <c r="D53" s="104" t="s">
        <v>3177</v>
      </c>
      <c r="E53" s="102" t="s">
        <v>521</v>
      </c>
      <c r="F53" s="104" t="s">
        <v>537</v>
      </c>
      <c r="G53" s="105"/>
      <c r="H53" s="99" t="s">
        <v>527</v>
      </c>
      <c r="I53" s="106">
        <v>1</v>
      </c>
      <c r="J53" s="87">
        <f>IF(F53="","",VLOOKUP(F53,ARANCEL!$E$2:$F$123,2,FALSE))</f>
        <v>30428.999999999996</v>
      </c>
      <c r="K53" s="101">
        <f t="shared" ref="K53:K55" si="4">IF(I53=0,"",J53*I53)</f>
        <v>30428.999999999996</v>
      </c>
      <c r="L53" s="99"/>
      <c r="M53" s="100"/>
    </row>
    <row r="54" spans="1:13" x14ac:dyDescent="0.25">
      <c r="A54" s="91">
        <v>36</v>
      </c>
      <c r="B54" s="102"/>
      <c r="C54" s="103"/>
      <c r="D54" s="104"/>
      <c r="E54" s="102"/>
      <c r="F54" s="104"/>
      <c r="G54" s="105"/>
      <c r="H54" s="99"/>
      <c r="I54" s="106"/>
      <c r="J54" s="87" t="str">
        <f>IF(F54="","",VLOOKUP(F54,ARANCEL!$E$2:$F$123,2,FALSE))</f>
        <v/>
      </c>
      <c r="K54" s="101" t="str">
        <f t="shared" si="4"/>
        <v/>
      </c>
      <c r="L54" s="99"/>
      <c r="M54" s="100"/>
    </row>
    <row r="55" spans="1:13" x14ac:dyDescent="0.25">
      <c r="A55" s="91">
        <v>36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4"/>
        <v/>
      </c>
      <c r="L55" s="99"/>
      <c r="M55" s="100"/>
    </row>
    <row r="56" spans="1:13" x14ac:dyDescent="0.25">
      <c r="A56" s="102">
        <v>35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ref="K56:K57" si="5">IF(I56=0,"",J56*I56)</f>
        <v/>
      </c>
      <c r="L56" s="99"/>
      <c r="M56" s="100"/>
    </row>
    <row r="57" spans="1:13" x14ac:dyDescent="0.25">
      <c r="A57" s="91">
        <v>36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si="5"/>
        <v/>
      </c>
      <c r="L57" s="99"/>
      <c r="M57" s="100"/>
    </row>
    <row r="60" spans="1:13" ht="20.25" customHeight="1" x14ac:dyDescent="0.25">
      <c r="A60" s="589" t="s">
        <v>366</v>
      </c>
      <c r="B60" s="589"/>
      <c r="C60" s="589"/>
      <c r="D60" s="589"/>
      <c r="E60" s="589"/>
      <c r="F60" s="589"/>
      <c r="G60" s="589"/>
      <c r="H60" s="589"/>
      <c r="I60" s="589"/>
      <c r="J60" s="589"/>
      <c r="K60" s="589"/>
    </row>
    <row r="61" spans="1:13" ht="24" x14ac:dyDescent="0.25">
      <c r="A61" s="89" t="s">
        <v>96</v>
      </c>
      <c r="B61" s="89" t="s">
        <v>97</v>
      </c>
      <c r="C61" s="90" t="s">
        <v>101</v>
      </c>
      <c r="D61" s="89" t="s">
        <v>98</v>
      </c>
      <c r="E61" s="89" t="s">
        <v>99</v>
      </c>
      <c r="F61" s="89" t="s">
        <v>100</v>
      </c>
      <c r="G61" s="89" t="s">
        <v>103</v>
      </c>
      <c r="H61" s="89" t="s">
        <v>102</v>
      </c>
      <c r="I61" s="89" t="s">
        <v>108</v>
      </c>
      <c r="J61" s="90" t="s">
        <v>104</v>
      </c>
      <c r="K61" s="90" t="s">
        <v>105</v>
      </c>
      <c r="L61" s="90" t="s">
        <v>168</v>
      </c>
      <c r="M61" s="90" t="s">
        <v>106</v>
      </c>
    </row>
    <row r="62" spans="1:13" x14ac:dyDescent="0.25">
      <c r="A62" s="91">
        <v>1</v>
      </c>
      <c r="B62" s="583">
        <v>859810</v>
      </c>
      <c r="C62" s="584">
        <v>42010</v>
      </c>
      <c r="D62" s="585" t="s">
        <v>544</v>
      </c>
      <c r="E62" s="583" t="s">
        <v>545</v>
      </c>
      <c r="F62" s="585" t="s">
        <v>399</v>
      </c>
      <c r="G62" s="9"/>
      <c r="H62" s="12" t="s">
        <v>546</v>
      </c>
      <c r="I62" s="120">
        <v>2</v>
      </c>
      <c r="J62" s="87"/>
      <c r="K62" s="88"/>
      <c r="L62" s="12"/>
      <c r="M62" s="93"/>
    </row>
    <row r="63" spans="1:13" x14ac:dyDescent="0.25">
      <c r="A63" s="91">
        <v>2</v>
      </c>
      <c r="B63" s="583">
        <v>85077</v>
      </c>
      <c r="C63" s="584">
        <v>42009</v>
      </c>
      <c r="D63" s="585" t="s">
        <v>549</v>
      </c>
      <c r="E63" s="583" t="s">
        <v>545</v>
      </c>
      <c r="F63" s="585" t="s">
        <v>399</v>
      </c>
      <c r="G63" s="9"/>
      <c r="H63" s="12" t="s">
        <v>410</v>
      </c>
      <c r="I63" s="120">
        <v>1</v>
      </c>
      <c r="J63" s="87"/>
      <c r="K63" s="88"/>
      <c r="L63" s="12"/>
      <c r="M63" s="93"/>
    </row>
    <row r="64" spans="1:13" x14ac:dyDescent="0.25">
      <c r="A64" s="91">
        <v>3</v>
      </c>
      <c r="B64" s="583">
        <v>57061</v>
      </c>
      <c r="C64" s="584">
        <v>41936</v>
      </c>
      <c r="D64" s="585" t="s">
        <v>1682</v>
      </c>
      <c r="E64" s="583" t="s">
        <v>545</v>
      </c>
      <c r="F64" s="585" t="s">
        <v>386</v>
      </c>
      <c r="G64" s="9"/>
      <c r="H64" s="12" t="s">
        <v>369</v>
      </c>
      <c r="I64" s="120">
        <v>1</v>
      </c>
      <c r="J64" s="87"/>
      <c r="K64" s="88"/>
      <c r="L64" s="12"/>
      <c r="M64" s="93"/>
    </row>
    <row r="65" spans="1:13" x14ac:dyDescent="0.25">
      <c r="A65" s="91">
        <v>4</v>
      </c>
      <c r="B65" s="583">
        <v>61800</v>
      </c>
      <c r="C65" s="584">
        <v>41950</v>
      </c>
      <c r="D65" s="585" t="s">
        <v>3104</v>
      </c>
      <c r="E65" s="583" t="s">
        <v>1671</v>
      </c>
      <c r="F65" s="585" t="s">
        <v>3105</v>
      </c>
      <c r="G65" s="9"/>
      <c r="H65" s="12" t="s">
        <v>371</v>
      </c>
      <c r="I65" s="120">
        <v>1</v>
      </c>
      <c r="J65" s="87"/>
      <c r="K65" s="88"/>
      <c r="L65" s="12"/>
      <c r="M65" s="93"/>
    </row>
    <row r="66" spans="1:13" x14ac:dyDescent="0.25">
      <c r="A66" s="91">
        <v>5</v>
      </c>
      <c r="B66" s="583">
        <v>64376</v>
      </c>
      <c r="C66" s="584">
        <v>41957</v>
      </c>
      <c r="D66" s="585" t="s">
        <v>1612</v>
      </c>
      <c r="E66" s="583" t="s">
        <v>545</v>
      </c>
      <c r="F66" s="585" t="s">
        <v>399</v>
      </c>
      <c r="G66" s="9"/>
      <c r="H66" s="12" t="s">
        <v>1655</v>
      </c>
      <c r="I66" s="120">
        <v>3</v>
      </c>
      <c r="J66" s="87"/>
      <c r="K66" s="88"/>
      <c r="L66" s="12"/>
      <c r="M66" s="93"/>
    </row>
    <row r="67" spans="1:13" x14ac:dyDescent="0.25">
      <c r="A67" s="91">
        <v>6</v>
      </c>
      <c r="B67" s="583">
        <v>65902</v>
      </c>
      <c r="C67" s="584">
        <v>41960</v>
      </c>
      <c r="D67" s="585" t="s">
        <v>3106</v>
      </c>
      <c r="E67" s="583" t="s">
        <v>1603</v>
      </c>
      <c r="F67" s="585" t="s">
        <v>409</v>
      </c>
      <c r="G67" s="9"/>
      <c r="H67" s="12" t="s">
        <v>407</v>
      </c>
      <c r="I67" s="120">
        <v>1</v>
      </c>
      <c r="J67" s="87"/>
      <c r="K67" s="88"/>
      <c r="L67" s="12"/>
      <c r="M67" s="93"/>
    </row>
    <row r="68" spans="1:13" x14ac:dyDescent="0.25">
      <c r="A68" s="91">
        <v>7</v>
      </c>
      <c r="B68" s="583">
        <v>65969</v>
      </c>
      <c r="C68" s="584">
        <v>41961</v>
      </c>
      <c r="D68" s="585" t="s">
        <v>3107</v>
      </c>
      <c r="E68" s="583" t="s">
        <v>521</v>
      </c>
      <c r="F68" s="585" t="s">
        <v>448</v>
      </c>
      <c r="G68" s="9"/>
      <c r="H68" s="12" t="s">
        <v>371</v>
      </c>
      <c r="I68" s="120">
        <v>1</v>
      </c>
      <c r="J68" s="87"/>
      <c r="K68" s="88"/>
      <c r="L68" s="12"/>
      <c r="M68" s="93"/>
    </row>
    <row r="69" spans="1:13" x14ac:dyDescent="0.25">
      <c r="A69" s="91">
        <v>8</v>
      </c>
      <c r="B69" s="583">
        <v>68677</v>
      </c>
      <c r="C69" s="584">
        <v>41968</v>
      </c>
      <c r="D69" s="585" t="s">
        <v>3108</v>
      </c>
      <c r="E69" s="583" t="s">
        <v>1603</v>
      </c>
      <c r="F69" s="585" t="s">
        <v>1132</v>
      </c>
      <c r="G69" s="9"/>
      <c r="H69" s="12" t="s">
        <v>407</v>
      </c>
      <c r="I69" s="120">
        <v>1</v>
      </c>
      <c r="J69" s="87"/>
      <c r="K69" s="88"/>
      <c r="L69" s="12"/>
      <c r="M69" s="93"/>
    </row>
    <row r="70" spans="1:13" x14ac:dyDescent="0.25">
      <c r="A70" s="91">
        <v>9</v>
      </c>
      <c r="B70" s="583">
        <v>70316</v>
      </c>
      <c r="C70" s="584">
        <v>41971</v>
      </c>
      <c r="D70" s="585" t="s">
        <v>1623</v>
      </c>
      <c r="E70" s="583" t="s">
        <v>545</v>
      </c>
      <c r="F70" s="585" t="s">
        <v>399</v>
      </c>
      <c r="G70" s="9"/>
      <c r="H70" s="12" t="s">
        <v>1624</v>
      </c>
      <c r="I70" s="120">
        <v>4</v>
      </c>
      <c r="J70" s="87"/>
      <c r="K70" s="88"/>
      <c r="L70" s="12"/>
      <c r="M70" s="93"/>
    </row>
    <row r="71" spans="1:13" x14ac:dyDescent="0.25">
      <c r="A71" s="91">
        <v>11</v>
      </c>
      <c r="B71" s="583">
        <v>74722</v>
      </c>
      <c r="C71" s="584">
        <v>41984</v>
      </c>
      <c r="D71" s="585" t="s">
        <v>3109</v>
      </c>
      <c r="E71" s="583" t="s">
        <v>545</v>
      </c>
      <c r="F71" s="585" t="s">
        <v>386</v>
      </c>
      <c r="G71" s="9"/>
      <c r="H71" s="12" t="s">
        <v>369</v>
      </c>
      <c r="I71" s="120">
        <v>1</v>
      </c>
      <c r="J71" s="87"/>
      <c r="K71" s="88"/>
      <c r="L71" s="12"/>
      <c r="M71" s="93"/>
    </row>
    <row r="72" spans="1:13" x14ac:dyDescent="0.25">
      <c r="A72" s="91">
        <v>12</v>
      </c>
      <c r="B72" s="583">
        <v>53141</v>
      </c>
      <c r="C72" s="584">
        <v>41988</v>
      </c>
      <c r="D72" s="585" t="s">
        <v>3110</v>
      </c>
      <c r="E72" s="583" t="s">
        <v>545</v>
      </c>
      <c r="F72" s="585" t="s">
        <v>386</v>
      </c>
      <c r="G72" s="9"/>
      <c r="H72" s="12" t="s">
        <v>369</v>
      </c>
      <c r="I72" s="120">
        <v>1</v>
      </c>
      <c r="J72" s="87"/>
      <c r="K72" s="88"/>
      <c r="L72" s="12"/>
      <c r="M72" s="93"/>
    </row>
    <row r="73" spans="1:13" x14ac:dyDescent="0.25">
      <c r="A73" s="91">
        <v>13</v>
      </c>
      <c r="B73" s="583" t="s">
        <v>3129</v>
      </c>
      <c r="C73" s="584">
        <v>42023</v>
      </c>
      <c r="D73" s="585" t="s">
        <v>3111</v>
      </c>
      <c r="E73" s="583" t="s">
        <v>545</v>
      </c>
      <c r="F73" s="585" t="s">
        <v>458</v>
      </c>
      <c r="G73" s="9"/>
      <c r="H73" s="12" t="s">
        <v>387</v>
      </c>
      <c r="I73" s="120">
        <v>2</v>
      </c>
      <c r="J73" s="87"/>
      <c r="K73" s="88"/>
      <c r="L73" s="12"/>
      <c r="M73" s="93"/>
    </row>
    <row r="74" spans="1:13" x14ac:dyDescent="0.25">
      <c r="A74" s="91">
        <v>14</v>
      </c>
      <c r="B74" s="583">
        <v>84218</v>
      </c>
      <c r="C74" s="584">
        <v>42002</v>
      </c>
      <c r="D74" s="585" t="s">
        <v>1663</v>
      </c>
      <c r="E74" s="583" t="s">
        <v>545</v>
      </c>
      <c r="F74" s="585" t="s">
        <v>430</v>
      </c>
      <c r="G74" s="9"/>
      <c r="H74" s="12" t="s">
        <v>442</v>
      </c>
      <c r="I74" s="120">
        <v>1</v>
      </c>
      <c r="J74" s="87"/>
      <c r="K74" s="88"/>
      <c r="L74" s="12"/>
      <c r="M74" s="93"/>
    </row>
    <row r="75" spans="1:13" x14ac:dyDescent="0.25">
      <c r="A75" s="91">
        <v>15</v>
      </c>
      <c r="B75" s="583">
        <v>84501</v>
      </c>
      <c r="C75" s="584">
        <v>42003</v>
      </c>
      <c r="D75" s="585" t="s">
        <v>1691</v>
      </c>
      <c r="E75" s="583" t="s">
        <v>545</v>
      </c>
      <c r="F75" s="585" t="s">
        <v>386</v>
      </c>
      <c r="G75" s="9"/>
      <c r="H75" s="12" t="s">
        <v>369</v>
      </c>
      <c r="I75" s="120">
        <v>1</v>
      </c>
      <c r="J75" s="87"/>
      <c r="K75" s="88"/>
      <c r="L75" s="12"/>
      <c r="M75" s="93"/>
    </row>
    <row r="76" spans="1:13" x14ac:dyDescent="0.25">
      <c r="A76" s="91">
        <v>17</v>
      </c>
      <c r="B76" s="583">
        <v>86563</v>
      </c>
      <c r="C76" s="584">
        <v>42012</v>
      </c>
      <c r="D76" s="585" t="s">
        <v>3112</v>
      </c>
      <c r="E76" s="583" t="s">
        <v>521</v>
      </c>
      <c r="F76" s="585" t="s">
        <v>386</v>
      </c>
      <c r="G76" s="9"/>
      <c r="H76" s="12" t="s">
        <v>387</v>
      </c>
      <c r="I76" s="120">
        <v>2</v>
      </c>
      <c r="J76" s="117"/>
      <c r="K76" s="117"/>
      <c r="L76" s="114"/>
      <c r="M76" s="14"/>
    </row>
    <row r="77" spans="1:13" x14ac:dyDescent="0.25">
      <c r="A77" s="91">
        <v>18</v>
      </c>
      <c r="B77" s="583">
        <v>88797</v>
      </c>
      <c r="C77" s="584">
        <v>42019</v>
      </c>
      <c r="D77" s="585" t="s">
        <v>3121</v>
      </c>
      <c r="E77" s="583" t="s">
        <v>545</v>
      </c>
      <c r="F77" s="585" t="s">
        <v>386</v>
      </c>
      <c r="G77" s="9"/>
      <c r="H77" s="12" t="s">
        <v>369</v>
      </c>
      <c r="I77" s="120">
        <v>1</v>
      </c>
      <c r="J77" s="117"/>
      <c r="K77" s="117"/>
      <c r="L77" s="114"/>
      <c r="M77" s="14"/>
    </row>
    <row r="78" spans="1:13" x14ac:dyDescent="0.25">
      <c r="A78" s="91">
        <v>19</v>
      </c>
      <c r="B78" s="583">
        <v>89585</v>
      </c>
      <c r="C78" s="584">
        <v>42019</v>
      </c>
      <c r="D78" s="585" t="s">
        <v>3132</v>
      </c>
      <c r="E78" s="583" t="s">
        <v>545</v>
      </c>
      <c r="F78" s="585" t="s">
        <v>386</v>
      </c>
      <c r="G78" s="9"/>
      <c r="H78" s="12" t="s">
        <v>369</v>
      </c>
      <c r="I78" s="120">
        <v>1</v>
      </c>
      <c r="J78" s="117"/>
      <c r="K78" s="117"/>
      <c r="L78" s="114"/>
      <c r="M78" s="14"/>
    </row>
    <row r="79" spans="1:13" x14ac:dyDescent="0.25">
      <c r="A79" s="91">
        <v>20</v>
      </c>
      <c r="B79" s="583">
        <v>90316</v>
      </c>
      <c r="C79" s="584">
        <v>42024</v>
      </c>
      <c r="D79" s="585" t="s">
        <v>3173</v>
      </c>
      <c r="E79" s="583" t="s">
        <v>545</v>
      </c>
      <c r="F79" s="585" t="s">
        <v>386</v>
      </c>
      <c r="G79" s="9"/>
      <c r="H79" s="12" t="s">
        <v>387</v>
      </c>
      <c r="I79" s="120">
        <v>2</v>
      </c>
      <c r="J79" s="117"/>
      <c r="K79" s="117"/>
      <c r="L79" s="114"/>
      <c r="M79" s="14"/>
    </row>
    <row r="80" spans="1:13" x14ac:dyDescent="0.25">
      <c r="A80" s="91">
        <v>21</v>
      </c>
      <c r="B80" s="583">
        <v>90440</v>
      </c>
      <c r="C80" s="584">
        <v>42024</v>
      </c>
      <c r="D80" s="585" t="s">
        <v>3174</v>
      </c>
      <c r="E80" s="583" t="s">
        <v>545</v>
      </c>
      <c r="F80" s="585" t="s">
        <v>3175</v>
      </c>
      <c r="G80" s="9"/>
      <c r="H80" s="12" t="s">
        <v>392</v>
      </c>
      <c r="I80" s="120">
        <v>1</v>
      </c>
      <c r="J80" s="117"/>
      <c r="K80" s="117"/>
      <c r="L80" s="114"/>
      <c r="M80" s="14"/>
    </row>
    <row r="81" spans="1:13" x14ac:dyDescent="0.25">
      <c r="A81" s="91">
        <v>22</v>
      </c>
      <c r="B81" s="583"/>
      <c r="C81" s="584"/>
      <c r="D81" s="585"/>
      <c r="E81" s="583"/>
      <c r="F81" s="585"/>
      <c r="G81" s="9"/>
      <c r="H81" s="12"/>
      <c r="I81" s="120"/>
      <c r="J81" s="117"/>
      <c r="K81" s="117"/>
      <c r="L81" s="114"/>
      <c r="M81" s="14"/>
    </row>
    <row r="82" spans="1:13" x14ac:dyDescent="0.25">
      <c r="A82" s="91">
        <v>20</v>
      </c>
      <c r="B82" s="583"/>
      <c r="C82" s="584"/>
      <c r="D82" s="585"/>
      <c r="E82" s="583"/>
      <c r="F82" s="585"/>
      <c r="G82" s="9"/>
      <c r="H82" s="12"/>
      <c r="I82" s="120"/>
      <c r="J82" s="117"/>
      <c r="K82" s="117"/>
      <c r="L82" s="114"/>
      <c r="M82" s="14"/>
    </row>
    <row r="83" spans="1:13" x14ac:dyDescent="0.25">
      <c r="A83" s="91">
        <v>21</v>
      </c>
      <c r="B83" s="583"/>
      <c r="C83" s="584"/>
      <c r="D83" s="585"/>
      <c r="E83" s="583"/>
      <c r="F83" s="585"/>
      <c r="G83" s="9"/>
      <c r="H83" s="12"/>
      <c r="I83" s="120"/>
      <c r="J83" s="117"/>
      <c r="K83" s="117"/>
      <c r="L83" s="114"/>
      <c r="M83" s="14"/>
    </row>
    <row r="84" spans="1:13" x14ac:dyDescent="0.25">
      <c r="A84" s="91">
        <v>22</v>
      </c>
      <c r="B84" s="583"/>
      <c r="C84" s="584"/>
      <c r="D84" s="585"/>
      <c r="E84" s="583"/>
      <c r="F84" s="585"/>
      <c r="G84" s="9"/>
      <c r="H84" s="12"/>
      <c r="I84" s="120"/>
      <c r="J84" s="117"/>
      <c r="K84" s="117"/>
      <c r="L84" s="114"/>
      <c r="M84" s="14"/>
    </row>
  </sheetData>
  <autoFilter ref="A9:M9">
    <sortState ref="A11:M14">
      <sortCondition ref="L10"/>
    </sortState>
  </autoFilter>
  <mergeCells count="9">
    <mergeCell ref="A7:B7"/>
    <mergeCell ref="A8:B8"/>
    <mergeCell ref="A60:K6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1"/>
  <sheetViews>
    <sheetView zoomScale="90" zoomScaleNormal="90" workbookViewId="0">
      <pane ySplit="9" topLeftCell="A10" activePane="bottomLeft" state="frozen"/>
      <selection activeCell="C16" sqref="C16"/>
      <selection pane="bottomLeft" activeCell="C16" sqref="C16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38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hidden="1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SOCIEDAD ODONTOLOGICA B Y B LTDA</v>
      </c>
      <c r="H3" s="108" t="s">
        <v>166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587" t="s">
        <v>159</v>
      </c>
      <c r="B4" s="587"/>
      <c r="C4" s="95" t="str">
        <f>IFERROR(VLOOKUP($A$2,DATOS!$A$2:$N$14,3,FALSE),"SUCURSAL NO ENCONTRADA")</f>
        <v>76.339.573-1</v>
      </c>
      <c r="H4" s="108" t="s">
        <v>164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587" t="s">
        <v>160</v>
      </c>
      <c r="B5" s="587"/>
      <c r="C5" s="95" t="str">
        <f>IFERROR(VLOOKUP($A$2,DATOS!$A$2:$N$14,4,FALSE),"SUCURSAL NO ENCONTRADA")</f>
        <v xml:space="preserve">EYZAGUIRRE 650, SAN BERNARDO 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SAN BERNARDO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8" t="s">
        <v>165</v>
      </c>
      <c r="B8" s="588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22 7638958</v>
      </c>
    </row>
    <row r="9" spans="1:13" ht="24.75" customHeight="1" collapsed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2</v>
      </c>
      <c r="B10" s="91">
        <v>85635</v>
      </c>
      <c r="C10" s="94">
        <v>42009</v>
      </c>
      <c r="D10" s="92" t="s">
        <v>542</v>
      </c>
      <c r="E10" s="91" t="s">
        <v>543</v>
      </c>
      <c r="F10" s="92" t="s">
        <v>537</v>
      </c>
      <c r="G10" s="9"/>
      <c r="H10" s="12" t="s">
        <v>431</v>
      </c>
      <c r="I10" s="120">
        <v>1</v>
      </c>
      <c r="J10" s="87">
        <f>IF(F10="","",VLOOKUP(F10,ARANCEL!$E$2:$F$123,2,FALSE))</f>
        <v>30428.999999999996</v>
      </c>
      <c r="K10" s="88">
        <f t="shared" ref="K10:K16" si="0">IF(I10=0,"",J10*I10)</f>
        <v>30428.999999999996</v>
      </c>
      <c r="L10" s="12"/>
      <c r="M10" s="93"/>
    </row>
    <row r="11" spans="1:13" x14ac:dyDescent="0.25">
      <c r="A11" s="91">
        <v>4</v>
      </c>
      <c r="B11" s="91">
        <v>86252</v>
      </c>
      <c r="C11" s="94">
        <v>42012</v>
      </c>
      <c r="D11" s="92" t="s">
        <v>3139</v>
      </c>
      <c r="E11" s="91" t="s">
        <v>1737</v>
      </c>
      <c r="F11" s="92" t="s">
        <v>537</v>
      </c>
      <c r="G11" s="9"/>
      <c r="H11" s="12" t="s">
        <v>472</v>
      </c>
      <c r="I11" s="120">
        <v>1</v>
      </c>
      <c r="J11" s="87">
        <f>IF(F11="","",VLOOKUP(F11,ARANCEL!$E$2:$F$123,2,FALSE))</f>
        <v>30428.999999999996</v>
      </c>
      <c r="K11" s="88">
        <f t="shared" si="0"/>
        <v>30428.999999999996</v>
      </c>
      <c r="L11" s="12"/>
      <c r="M11" s="93"/>
    </row>
    <row r="12" spans="1:13" x14ac:dyDescent="0.25">
      <c r="A12" s="91">
        <v>5</v>
      </c>
      <c r="B12" s="102">
        <v>86713</v>
      </c>
      <c r="C12" s="103">
        <v>42012</v>
      </c>
      <c r="D12" s="104" t="s">
        <v>3140</v>
      </c>
      <c r="E12" s="102" t="s">
        <v>1737</v>
      </c>
      <c r="F12" s="104" t="s">
        <v>116</v>
      </c>
      <c r="G12" s="105"/>
      <c r="H12" s="99" t="s">
        <v>442</v>
      </c>
      <c r="I12" s="106">
        <v>1</v>
      </c>
      <c r="J12" s="87">
        <f>IF(F12="","",VLOOKUP(F12,ARANCEL!$E$2:$F$123,2,FALSE))</f>
        <v>5274.3600000000006</v>
      </c>
      <c r="K12" s="101">
        <f t="shared" si="0"/>
        <v>5274.3600000000006</v>
      </c>
      <c r="L12" s="99"/>
      <c r="M12" s="100"/>
    </row>
    <row r="13" spans="1:13" x14ac:dyDescent="0.25">
      <c r="A13" s="91">
        <v>6</v>
      </c>
      <c r="B13" s="102">
        <v>86713</v>
      </c>
      <c r="C13" s="103">
        <v>42012</v>
      </c>
      <c r="D13" s="104" t="s">
        <v>3140</v>
      </c>
      <c r="E13" s="102" t="s">
        <v>1737</v>
      </c>
      <c r="F13" s="104" t="s">
        <v>210</v>
      </c>
      <c r="G13" s="105"/>
      <c r="H13" s="99" t="s">
        <v>442</v>
      </c>
      <c r="I13" s="106">
        <v>1</v>
      </c>
      <c r="J13" s="87">
        <f>IF(F13="","",VLOOKUP(F13,ARANCEL!$E$2:$F$123,2,FALSE))</f>
        <v>14098.999999999998</v>
      </c>
      <c r="K13" s="101">
        <f t="shared" si="0"/>
        <v>14098.999999999998</v>
      </c>
      <c r="L13" s="99"/>
      <c r="M13" s="100"/>
    </row>
    <row r="14" spans="1:13" x14ac:dyDescent="0.25">
      <c r="A14" s="91">
        <v>7</v>
      </c>
      <c r="B14" s="102">
        <v>89090</v>
      </c>
      <c r="C14" s="103">
        <v>42020</v>
      </c>
      <c r="D14" s="104" t="s">
        <v>1763</v>
      </c>
      <c r="E14" s="102" t="s">
        <v>543</v>
      </c>
      <c r="F14" s="104" t="s">
        <v>115</v>
      </c>
      <c r="G14" s="105"/>
      <c r="H14" s="99" t="s">
        <v>442</v>
      </c>
      <c r="I14" s="106">
        <v>1</v>
      </c>
      <c r="J14" s="87">
        <f>IF(F14="","",VLOOKUP(F14,ARANCEL!$E$2:$F$123,2,FALSE))</f>
        <v>33370.239999999998</v>
      </c>
      <c r="K14" s="101">
        <f t="shared" si="0"/>
        <v>33370.239999999998</v>
      </c>
      <c r="L14" s="99"/>
      <c r="M14" s="100"/>
    </row>
    <row r="15" spans="1:13" x14ac:dyDescent="0.25">
      <c r="A15" s="91">
        <v>8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9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9" spans="1:13" ht="20.25" customHeight="1" x14ac:dyDescent="0.25">
      <c r="A19" s="589" t="s">
        <v>366</v>
      </c>
      <c r="B19" s="589"/>
      <c r="C19" s="589"/>
      <c r="D19" s="589"/>
      <c r="E19" s="589"/>
      <c r="F19" s="589"/>
      <c r="G19" s="589"/>
      <c r="H19" s="589"/>
      <c r="I19" s="589"/>
      <c r="J19" s="589"/>
      <c r="K19" s="589"/>
    </row>
    <row r="20" spans="1:13" ht="24" x14ac:dyDescent="0.25">
      <c r="A20" s="89" t="s">
        <v>96</v>
      </c>
      <c r="B20" s="89" t="s">
        <v>97</v>
      </c>
      <c r="C20" s="90" t="s">
        <v>101</v>
      </c>
      <c r="D20" s="89" t="s">
        <v>98</v>
      </c>
      <c r="E20" s="89" t="s">
        <v>99</v>
      </c>
      <c r="F20" s="89" t="s">
        <v>100</v>
      </c>
      <c r="G20" s="89" t="s">
        <v>103</v>
      </c>
      <c r="H20" s="89" t="s">
        <v>102</v>
      </c>
      <c r="I20" s="89" t="s">
        <v>108</v>
      </c>
      <c r="J20" s="90" t="s">
        <v>104</v>
      </c>
      <c r="K20" s="90" t="s">
        <v>105</v>
      </c>
      <c r="L20" s="90" t="s">
        <v>168</v>
      </c>
      <c r="M20" s="90" t="s">
        <v>106</v>
      </c>
    </row>
    <row r="21" spans="1:13" x14ac:dyDescent="0.25">
      <c r="A21" s="114">
        <v>3</v>
      </c>
      <c r="B21" s="115" t="s">
        <v>412</v>
      </c>
      <c r="C21" s="110">
        <v>41925</v>
      </c>
      <c r="D21" s="116" t="s">
        <v>413</v>
      </c>
      <c r="E21" s="115" t="s">
        <v>414</v>
      </c>
      <c r="F21" s="116" t="s">
        <v>382</v>
      </c>
      <c r="G21" s="111"/>
      <c r="H21" s="111" t="s">
        <v>415</v>
      </c>
      <c r="I21" s="113">
        <v>1</v>
      </c>
      <c r="J21" s="117"/>
      <c r="K21" s="117"/>
      <c r="L21" s="114"/>
      <c r="M21" s="14"/>
    </row>
    <row r="22" spans="1:13" x14ac:dyDescent="0.25">
      <c r="A22" s="114">
        <v>4</v>
      </c>
      <c r="B22" s="115">
        <v>53827</v>
      </c>
      <c r="C22" s="110">
        <v>41925</v>
      </c>
      <c r="D22" s="116" t="s">
        <v>416</v>
      </c>
      <c r="E22" s="115" t="s">
        <v>414</v>
      </c>
      <c r="F22" s="116" t="s">
        <v>399</v>
      </c>
      <c r="G22" s="111"/>
      <c r="H22" s="111" t="s">
        <v>417</v>
      </c>
      <c r="I22" s="113">
        <v>1</v>
      </c>
      <c r="J22" s="117"/>
      <c r="K22" s="117"/>
      <c r="L22" s="114"/>
      <c r="M22" s="14"/>
    </row>
    <row r="23" spans="1:13" x14ac:dyDescent="0.25">
      <c r="A23" s="114">
        <v>5</v>
      </c>
      <c r="B23" s="115">
        <v>53385</v>
      </c>
      <c r="C23" s="110">
        <v>41925</v>
      </c>
      <c r="D23" s="116" t="s">
        <v>418</v>
      </c>
      <c r="E23" s="115" t="s">
        <v>414</v>
      </c>
      <c r="F23" s="116" t="s">
        <v>399</v>
      </c>
      <c r="G23" s="111"/>
      <c r="H23" s="111" t="s">
        <v>419</v>
      </c>
      <c r="I23" s="113">
        <v>1</v>
      </c>
      <c r="J23" s="117"/>
      <c r="K23" s="117"/>
      <c r="L23" s="114"/>
      <c r="M23" s="14"/>
    </row>
    <row r="24" spans="1:13" x14ac:dyDescent="0.25">
      <c r="A24" s="114">
        <v>6</v>
      </c>
      <c r="B24" s="115">
        <v>52831</v>
      </c>
      <c r="C24" s="110">
        <v>41922</v>
      </c>
      <c r="D24" s="116" t="s">
        <v>420</v>
      </c>
      <c r="E24" s="115" t="s">
        <v>421</v>
      </c>
      <c r="F24" s="116" t="s">
        <v>422</v>
      </c>
      <c r="G24" s="111"/>
      <c r="H24" s="111" t="s">
        <v>371</v>
      </c>
      <c r="I24" s="113">
        <v>1</v>
      </c>
      <c r="J24" s="117"/>
      <c r="K24" s="117"/>
      <c r="L24" s="114"/>
      <c r="M24" s="14"/>
    </row>
    <row r="25" spans="1:13" x14ac:dyDescent="0.25">
      <c r="A25" s="114">
        <v>7</v>
      </c>
      <c r="B25" s="115" t="s">
        <v>3136</v>
      </c>
      <c r="C25" s="110">
        <v>41978</v>
      </c>
      <c r="D25" s="116" t="s">
        <v>3137</v>
      </c>
      <c r="E25" s="115" t="s">
        <v>1737</v>
      </c>
      <c r="F25" s="116" t="s">
        <v>377</v>
      </c>
      <c r="G25" s="111"/>
      <c r="H25" s="111" t="s">
        <v>387</v>
      </c>
      <c r="I25" s="113">
        <v>2</v>
      </c>
      <c r="J25" s="117"/>
      <c r="K25" s="117"/>
      <c r="L25" s="114"/>
      <c r="M25" s="14"/>
    </row>
    <row r="26" spans="1:13" x14ac:dyDescent="0.25">
      <c r="A26" s="9"/>
      <c r="B26" s="115">
        <v>75011</v>
      </c>
      <c r="C26" s="110">
        <v>41984</v>
      </c>
      <c r="D26" s="116" t="s">
        <v>3138</v>
      </c>
      <c r="E26" s="115" t="s">
        <v>1737</v>
      </c>
      <c r="F26" s="116" t="s">
        <v>377</v>
      </c>
      <c r="G26" s="111"/>
      <c r="H26" s="111" t="s">
        <v>387</v>
      </c>
      <c r="I26" s="113">
        <v>2</v>
      </c>
      <c r="J26" s="117"/>
      <c r="K26" s="117"/>
      <c r="L26" s="9"/>
      <c r="M26" s="9"/>
    </row>
    <row r="27" spans="1:13" x14ac:dyDescent="0.25">
      <c r="A27" s="9"/>
      <c r="B27" s="115">
        <v>86713</v>
      </c>
      <c r="C27" s="110">
        <v>42012</v>
      </c>
      <c r="D27" s="116" t="s">
        <v>3140</v>
      </c>
      <c r="E27" s="115" t="s">
        <v>1737</v>
      </c>
      <c r="F27" s="116" t="s">
        <v>399</v>
      </c>
      <c r="G27" s="111"/>
      <c r="H27" s="99" t="s">
        <v>442</v>
      </c>
      <c r="I27" s="113">
        <v>1</v>
      </c>
      <c r="J27" s="117"/>
      <c r="K27" s="117"/>
      <c r="L27" s="9"/>
      <c r="M27" s="9"/>
    </row>
    <row r="28" spans="1:13" x14ac:dyDescent="0.25">
      <c r="A28" s="9"/>
      <c r="B28" s="115"/>
      <c r="C28" s="110"/>
      <c r="D28" s="116"/>
      <c r="E28" s="115"/>
      <c r="F28" s="116"/>
      <c r="G28" s="111"/>
      <c r="H28" s="99"/>
      <c r="I28" s="113"/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</sheetData>
  <autoFilter ref="A9:M9">
    <sortState ref="A11:M14">
      <sortCondition ref="L10"/>
    </sortState>
  </autoFilter>
  <mergeCells count="9">
    <mergeCell ref="A7:B7"/>
    <mergeCell ref="A8:B8"/>
    <mergeCell ref="A19:K19"/>
    <mergeCell ref="A1:K1"/>
    <mergeCell ref="A2:K2"/>
    <mergeCell ref="A3:B3"/>
    <mergeCell ref="A4:B4"/>
    <mergeCell ref="A5:B5"/>
    <mergeCell ref="A6:B6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64"/>
  <sheetViews>
    <sheetView zoomScale="90" zoomScaleNormal="90" workbookViewId="0">
      <pane ySplit="8" topLeftCell="A43" activePane="bottomLeft" state="frozen"/>
      <selection activeCell="C16" sqref="C16"/>
      <selection pane="bottomLeft" activeCell="B52" sqref="B52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0.5703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39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customHeight="1" outlineLevel="1" x14ac:dyDescent="0.25">
      <c r="A3" s="587" t="s">
        <v>158</v>
      </c>
      <c r="B3" s="587"/>
      <c r="C3" s="95" t="str">
        <f>IFERROR(VLOOKUP($A$2,DATOS!$A$2:$N$14,2,FALSE),"SUCURSAL NO ENCONTRADA")</f>
        <v>SOC. ODONTOLÓGICA UNO SALUD SANTA LUCIA LTDA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7" t="s">
        <v>159</v>
      </c>
      <c r="B4" s="587"/>
      <c r="C4" s="95" t="str">
        <f>IFERROR(VLOOKUP($A$2,DATOS!$A$2:$N$14,3,FALSE),"SUCURSAL NO ENCONTRADA")</f>
        <v xml:space="preserve">76.324.872-0 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7" t="s">
        <v>160</v>
      </c>
      <c r="B5" s="587"/>
      <c r="C5" s="95" t="str">
        <f>IFERROR(VLOOKUP($A$2,DATOS!$A$2:$N$14,4,FALSE),"SUCURSAL NO ENCONTRADA")</f>
        <v>SANTA ROSA 12 LOCAL 14, SANTIAGO.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7" t="s">
        <v>161</v>
      </c>
      <c r="B6" s="587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587" t="s">
        <v>162</v>
      </c>
      <c r="B7" s="587"/>
      <c r="C7" s="95" t="str">
        <f>IFERROR(VLOOKUP($A$2,DATOS!$A$2:$N$14,6,FALSE),"SUCURSAL NO ENCONTRADA")</f>
        <v>UNO SALUD SANTA LUCIA LTDA.</v>
      </c>
      <c r="H7" s="108" t="s">
        <v>164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588" t="s">
        <v>165</v>
      </c>
      <c r="B8" s="588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7638984
22 7638985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collapsed="1" x14ac:dyDescent="0.25">
      <c r="A10" s="91">
        <v>48</v>
      </c>
      <c r="B10" s="91">
        <v>84838</v>
      </c>
      <c r="C10" s="94">
        <v>42006</v>
      </c>
      <c r="D10" s="92" t="s">
        <v>1936</v>
      </c>
      <c r="E10" s="91" t="s">
        <v>414</v>
      </c>
      <c r="F10" s="92" t="s">
        <v>537</v>
      </c>
      <c r="G10" s="9" t="s">
        <v>392</v>
      </c>
      <c r="H10" s="12"/>
      <c r="I10" s="120">
        <v>1</v>
      </c>
      <c r="J10" s="572">
        <v>30429</v>
      </c>
      <c r="K10" s="573">
        <f>IF(I10="","",J10*I10)</f>
        <v>30429</v>
      </c>
      <c r="L10" s="12"/>
      <c r="M10" s="93"/>
    </row>
    <row r="11" spans="1:13" x14ac:dyDescent="0.25">
      <c r="A11" s="91">
        <v>15</v>
      </c>
      <c r="B11" s="91">
        <v>74699</v>
      </c>
      <c r="C11" s="94">
        <v>41983</v>
      </c>
      <c r="D11" s="92" t="s">
        <v>1915</v>
      </c>
      <c r="E11" s="91" t="s">
        <v>414</v>
      </c>
      <c r="F11" s="92" t="s">
        <v>537</v>
      </c>
      <c r="G11" s="9" t="s">
        <v>527</v>
      </c>
      <c r="H11" s="12"/>
      <c r="I11" s="120">
        <v>1</v>
      </c>
      <c r="J11" s="572">
        <v>30429</v>
      </c>
      <c r="K11" s="573">
        <f>IF(I11="","",J11*I11)</f>
        <v>30429</v>
      </c>
      <c r="L11" s="12"/>
      <c r="M11" s="93"/>
    </row>
    <row r="12" spans="1:13" x14ac:dyDescent="0.25">
      <c r="A12" s="91">
        <v>3</v>
      </c>
      <c r="B12" s="91">
        <v>72941</v>
      </c>
      <c r="C12" s="94">
        <v>41977</v>
      </c>
      <c r="D12" s="92" t="s">
        <v>1912</v>
      </c>
      <c r="E12" s="91" t="s">
        <v>414</v>
      </c>
      <c r="F12" s="92" t="s">
        <v>1485</v>
      </c>
      <c r="G12" s="9" t="s">
        <v>400</v>
      </c>
      <c r="H12" s="12"/>
      <c r="I12" s="120">
        <v>2</v>
      </c>
      <c r="J12" s="572">
        <v>48203</v>
      </c>
      <c r="K12" s="573">
        <f>IF(I12="","",J12*I12)</f>
        <v>96406</v>
      </c>
      <c r="L12" s="12"/>
      <c r="M12" s="93"/>
    </row>
    <row r="13" spans="1:13" x14ac:dyDescent="0.25">
      <c r="A13" s="91">
        <v>2</v>
      </c>
      <c r="B13" s="91">
        <v>53215</v>
      </c>
      <c r="C13" s="94">
        <v>41925</v>
      </c>
      <c r="D13" s="92" t="s">
        <v>1848</v>
      </c>
      <c r="E13" s="91" t="s">
        <v>943</v>
      </c>
      <c r="F13" s="92" t="s">
        <v>580</v>
      </c>
      <c r="G13" s="9" t="s">
        <v>369</v>
      </c>
      <c r="H13" s="12"/>
      <c r="I13" s="120">
        <v>1</v>
      </c>
      <c r="J13" s="572">
        <v>25800</v>
      </c>
      <c r="K13" s="573">
        <f>IF(I13="","",J13*I13)</f>
        <v>25800</v>
      </c>
      <c r="L13" s="12"/>
      <c r="M13" s="574" t="s">
        <v>3051</v>
      </c>
    </row>
    <row r="14" spans="1:13" x14ac:dyDescent="0.25">
      <c r="A14" s="91">
        <v>1</v>
      </c>
      <c r="B14" s="91">
        <v>85978</v>
      </c>
      <c r="C14" s="94">
        <v>42009</v>
      </c>
      <c r="D14" s="92" t="s">
        <v>531</v>
      </c>
      <c r="E14" s="91" t="s">
        <v>414</v>
      </c>
      <c r="F14" s="92" t="s">
        <v>115</v>
      </c>
      <c r="G14" s="9"/>
      <c r="H14" s="12" t="s">
        <v>434</v>
      </c>
      <c r="I14" s="120">
        <v>1</v>
      </c>
      <c r="J14" s="87">
        <f>IF(F14="","",VLOOKUP(F14,ARANCEL!$E$2:$F$123,2,FALSE))</f>
        <v>33370.239999999998</v>
      </c>
      <c r="K14" s="88">
        <f t="shared" ref="K14:K29" si="0">IF(I14=0,"",J14*I14)</f>
        <v>33370.239999999998</v>
      </c>
      <c r="L14" s="12"/>
      <c r="M14" s="93"/>
    </row>
    <row r="15" spans="1:13" x14ac:dyDescent="0.25">
      <c r="A15" s="91">
        <v>2</v>
      </c>
      <c r="B15" s="91">
        <v>85763</v>
      </c>
      <c r="C15" s="94">
        <v>42009</v>
      </c>
      <c r="D15" s="92" t="s">
        <v>535</v>
      </c>
      <c r="E15" s="91" t="s">
        <v>536</v>
      </c>
      <c r="F15" s="92" t="s">
        <v>537</v>
      </c>
      <c r="G15" s="9"/>
      <c r="H15" s="12" t="s">
        <v>538</v>
      </c>
      <c r="I15" s="120">
        <v>1</v>
      </c>
      <c r="J15" s="87">
        <f>IF(F15="","",VLOOKUP(F15,ARANCEL!$E$2:$F$123,2,FALSE))</f>
        <v>30428.999999999996</v>
      </c>
      <c r="K15" s="88">
        <f t="shared" si="0"/>
        <v>30428.999999999996</v>
      </c>
      <c r="L15" s="12"/>
      <c r="M15" s="93"/>
    </row>
    <row r="16" spans="1:13" x14ac:dyDescent="0.25">
      <c r="A16" s="91">
        <v>3</v>
      </c>
      <c r="B16" s="91">
        <v>85440</v>
      </c>
      <c r="C16" s="94">
        <v>42009</v>
      </c>
      <c r="D16" s="92" t="s">
        <v>539</v>
      </c>
      <c r="E16" s="91" t="s">
        <v>414</v>
      </c>
      <c r="F16" s="92" t="s">
        <v>537</v>
      </c>
      <c r="G16" s="9"/>
      <c r="H16" s="12" t="s">
        <v>404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12"/>
      <c r="M16" s="93"/>
    </row>
    <row r="17" spans="1:13" x14ac:dyDescent="0.25">
      <c r="A17" s="91">
        <v>4</v>
      </c>
      <c r="B17" s="102">
        <v>86267</v>
      </c>
      <c r="C17" s="103">
        <v>42011</v>
      </c>
      <c r="D17" s="104" t="s">
        <v>3142</v>
      </c>
      <c r="E17" s="102" t="s">
        <v>414</v>
      </c>
      <c r="F17" s="104" t="s">
        <v>210</v>
      </c>
      <c r="G17" s="105"/>
      <c r="H17" s="99" t="s">
        <v>2319</v>
      </c>
      <c r="I17" s="106">
        <v>1</v>
      </c>
      <c r="J17" s="87">
        <f>IF(F17="","",VLOOKUP(F17,ARANCEL!$E$2:$F$123,2,FALSE))</f>
        <v>14098.999999999998</v>
      </c>
      <c r="K17" s="101">
        <f t="shared" si="0"/>
        <v>14098.999999999998</v>
      </c>
      <c r="L17" s="12"/>
      <c r="M17" s="100"/>
    </row>
    <row r="18" spans="1:13" x14ac:dyDescent="0.25">
      <c r="A18" s="91">
        <v>5</v>
      </c>
      <c r="B18" s="102">
        <v>86199</v>
      </c>
      <c r="C18" s="103">
        <v>42010</v>
      </c>
      <c r="D18" s="104" t="s">
        <v>529</v>
      </c>
      <c r="E18" s="102" t="s">
        <v>414</v>
      </c>
      <c r="F18" s="104" t="s">
        <v>115</v>
      </c>
      <c r="G18" s="105"/>
      <c r="H18" s="99" t="s">
        <v>530</v>
      </c>
      <c r="I18" s="106">
        <v>1</v>
      </c>
      <c r="J18" s="87">
        <f>IF(F18="","",VLOOKUP(F18,ARANCEL!$E$2:$F$123,2,FALSE))</f>
        <v>33370.239999999998</v>
      </c>
      <c r="K18" s="101">
        <f t="shared" si="0"/>
        <v>33370.239999999998</v>
      </c>
      <c r="L18" s="12"/>
      <c r="M18" s="100"/>
    </row>
    <row r="19" spans="1:13" x14ac:dyDescent="0.25">
      <c r="A19" s="91">
        <v>6</v>
      </c>
      <c r="B19" s="102">
        <v>86197</v>
      </c>
      <c r="C19" s="103">
        <v>42010</v>
      </c>
      <c r="D19" s="104" t="s">
        <v>528</v>
      </c>
      <c r="E19" s="102" t="s">
        <v>414</v>
      </c>
      <c r="F19" s="104" t="s">
        <v>115</v>
      </c>
      <c r="G19" s="105"/>
      <c r="H19" s="99" t="s">
        <v>442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12"/>
      <c r="M19" s="100"/>
    </row>
    <row r="20" spans="1:13" x14ac:dyDescent="0.25">
      <c r="A20" s="102">
        <v>7</v>
      </c>
      <c r="B20" s="102">
        <v>86527</v>
      </c>
      <c r="C20" s="103">
        <v>42011</v>
      </c>
      <c r="D20" s="104" t="s">
        <v>533</v>
      </c>
      <c r="E20" s="102" t="s">
        <v>414</v>
      </c>
      <c r="F20" s="104" t="s">
        <v>115</v>
      </c>
      <c r="G20" s="105"/>
      <c r="H20" s="99" t="s">
        <v>534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12"/>
      <c r="M20" s="100"/>
    </row>
    <row r="21" spans="1:13" x14ac:dyDescent="0.25">
      <c r="A21" s="102">
        <v>8</v>
      </c>
      <c r="B21" s="102">
        <v>87411</v>
      </c>
      <c r="C21" s="103">
        <v>42019</v>
      </c>
      <c r="D21" s="104" t="s">
        <v>3145</v>
      </c>
      <c r="E21" s="102" t="s">
        <v>414</v>
      </c>
      <c r="F21" s="104" t="s">
        <v>537</v>
      </c>
      <c r="G21" s="105"/>
      <c r="H21" s="99" t="s">
        <v>562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12"/>
      <c r="M21" s="100"/>
    </row>
    <row r="22" spans="1:13" x14ac:dyDescent="0.25">
      <c r="A22" s="102">
        <v>9</v>
      </c>
      <c r="B22" s="102">
        <v>88075</v>
      </c>
      <c r="C22" s="103">
        <v>42017</v>
      </c>
      <c r="D22" s="104" t="s">
        <v>1913</v>
      </c>
      <c r="E22" s="102" t="s">
        <v>414</v>
      </c>
      <c r="F22" s="104" t="s">
        <v>577</v>
      </c>
      <c r="G22" s="105"/>
      <c r="H22" s="99" t="s">
        <v>645</v>
      </c>
      <c r="I22" s="106">
        <v>1</v>
      </c>
      <c r="J22" s="87">
        <f>IF(F22="","",VLOOKUP(F22,ARANCEL!$E$2:$F$123,2,FALSE))</f>
        <v>49701.159999999996</v>
      </c>
      <c r="K22" s="101">
        <f t="shared" si="0"/>
        <v>49701.159999999996</v>
      </c>
      <c r="L22" s="12"/>
      <c r="M22" s="100"/>
    </row>
    <row r="23" spans="1:13" x14ac:dyDescent="0.25">
      <c r="A23" s="102">
        <v>10</v>
      </c>
      <c r="B23" s="102">
        <v>88340</v>
      </c>
      <c r="C23" s="103">
        <v>42019</v>
      </c>
      <c r="D23" s="104" t="s">
        <v>3149</v>
      </c>
      <c r="E23" s="102" t="s">
        <v>414</v>
      </c>
      <c r="F23" s="104" t="s">
        <v>537</v>
      </c>
      <c r="G23" s="105"/>
      <c r="H23" s="99" t="s">
        <v>417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12"/>
      <c r="M23" s="100"/>
    </row>
    <row r="24" spans="1:13" x14ac:dyDescent="0.25">
      <c r="A24" s="102">
        <v>11</v>
      </c>
      <c r="B24" s="102">
        <v>88690</v>
      </c>
      <c r="C24" s="103">
        <v>42019</v>
      </c>
      <c r="D24" s="104" t="s">
        <v>1901</v>
      </c>
      <c r="E24" s="102" t="s">
        <v>414</v>
      </c>
      <c r="F24" s="104" t="s">
        <v>116</v>
      </c>
      <c r="G24" s="105"/>
      <c r="H24" s="99" t="s">
        <v>527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12"/>
      <c r="M24" s="100"/>
    </row>
    <row r="25" spans="1:13" x14ac:dyDescent="0.25">
      <c r="A25" s="102">
        <v>12</v>
      </c>
      <c r="B25" s="102">
        <v>88712</v>
      </c>
      <c r="C25" s="103">
        <v>42019</v>
      </c>
      <c r="D25" s="104" t="s">
        <v>3144</v>
      </c>
      <c r="E25" s="102" t="s">
        <v>414</v>
      </c>
      <c r="F25" s="104" t="s">
        <v>115</v>
      </c>
      <c r="G25" s="105"/>
      <c r="H25" s="99" t="s">
        <v>527</v>
      </c>
      <c r="I25" s="106">
        <v>1</v>
      </c>
      <c r="J25" s="87">
        <f>IF(F25="","",VLOOKUP(F25,ARANCEL!$E$2:$F$123,2,FALSE))</f>
        <v>33370.239999999998</v>
      </c>
      <c r="K25" s="101">
        <f t="shared" si="0"/>
        <v>33370.239999999998</v>
      </c>
      <c r="L25" s="12"/>
      <c r="M25" s="100"/>
    </row>
    <row r="26" spans="1:13" x14ac:dyDescent="0.25">
      <c r="A26" s="102">
        <v>13</v>
      </c>
      <c r="B26" s="102">
        <v>89002</v>
      </c>
      <c r="C26" s="103">
        <v>42024</v>
      </c>
      <c r="D26" s="104" t="s">
        <v>3151</v>
      </c>
      <c r="E26" s="102" t="s">
        <v>536</v>
      </c>
      <c r="F26" s="104" t="s">
        <v>116</v>
      </c>
      <c r="G26" s="105"/>
      <c r="H26" s="99" t="s">
        <v>530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12"/>
      <c r="M26" s="100"/>
    </row>
    <row r="27" spans="1:13" x14ac:dyDescent="0.25">
      <c r="A27" s="102">
        <v>14</v>
      </c>
      <c r="B27" s="102">
        <v>89625</v>
      </c>
      <c r="C27" s="103">
        <v>42023</v>
      </c>
      <c r="D27" s="104" t="s">
        <v>3154</v>
      </c>
      <c r="E27" s="102" t="s">
        <v>590</v>
      </c>
      <c r="F27" s="104" t="s">
        <v>217</v>
      </c>
      <c r="G27" s="105"/>
      <c r="H27" s="99" t="s">
        <v>369</v>
      </c>
      <c r="I27" s="106">
        <v>1</v>
      </c>
      <c r="J27" s="87">
        <f>IF(F27="","",VLOOKUP(F27,ARANCEL!$E$2:$F$123,2,FALSE))</f>
        <v>44597.287499999999</v>
      </c>
      <c r="K27" s="101">
        <f t="shared" si="0"/>
        <v>44597.287499999999</v>
      </c>
      <c r="L27" s="12"/>
      <c r="M27" s="100"/>
    </row>
    <row r="28" spans="1:13" x14ac:dyDescent="0.25">
      <c r="A28" s="102">
        <v>15</v>
      </c>
      <c r="B28" s="102">
        <v>87683</v>
      </c>
      <c r="C28" s="103">
        <v>42016</v>
      </c>
      <c r="D28" s="104" t="s">
        <v>1841</v>
      </c>
      <c r="E28" s="102" t="s">
        <v>414</v>
      </c>
      <c r="F28" s="104" t="s">
        <v>115</v>
      </c>
      <c r="G28" s="105"/>
      <c r="H28" s="99" t="s">
        <v>383</v>
      </c>
      <c r="I28" s="106">
        <v>1</v>
      </c>
      <c r="J28" s="87">
        <f>IF(F28="","",VLOOKUP(F28,ARANCEL!$E$2:$F$123,2,FALSE))</f>
        <v>33370.239999999998</v>
      </c>
      <c r="K28" s="101">
        <f t="shared" si="0"/>
        <v>33370.239999999998</v>
      </c>
      <c r="L28" s="12"/>
      <c r="M28" s="100" t="s">
        <v>3155</v>
      </c>
    </row>
    <row r="29" spans="1:13" x14ac:dyDescent="0.25">
      <c r="A29" s="102">
        <v>16</v>
      </c>
      <c r="B29" s="102">
        <v>91132</v>
      </c>
      <c r="C29" s="103">
        <v>42026</v>
      </c>
      <c r="D29" s="104" t="s">
        <v>1866</v>
      </c>
      <c r="E29" s="102" t="s">
        <v>414</v>
      </c>
      <c r="F29" s="104" t="s">
        <v>115</v>
      </c>
      <c r="G29" s="105"/>
      <c r="H29" s="99" t="s">
        <v>392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99"/>
      <c r="M29" s="100"/>
    </row>
    <row r="30" spans="1:13" x14ac:dyDescent="0.25">
      <c r="A30" s="91">
        <v>17</v>
      </c>
      <c r="B30" s="102">
        <v>91066</v>
      </c>
      <c r="C30" s="103">
        <v>42026</v>
      </c>
      <c r="D30" s="104" t="s">
        <v>3178</v>
      </c>
      <c r="E30" s="102" t="s">
        <v>414</v>
      </c>
      <c r="F30" s="104" t="s">
        <v>537</v>
      </c>
      <c r="G30" s="105"/>
      <c r="H30" s="99" t="s">
        <v>568</v>
      </c>
      <c r="I30" s="106">
        <v>1</v>
      </c>
      <c r="J30" s="87">
        <f>IF(F30="","",VLOOKUP(F30,ARANCEL!$E$2:$F$123,2,FALSE))</f>
        <v>30428.999999999996</v>
      </c>
      <c r="K30" s="101">
        <f>IF(I30=0,"",J30*I30)</f>
        <v>30428.999999999996</v>
      </c>
      <c r="L30" s="99"/>
      <c r="M30" s="100"/>
    </row>
    <row r="31" spans="1:13" x14ac:dyDescent="0.25">
      <c r="A31" s="91">
        <v>18</v>
      </c>
      <c r="B31" s="102"/>
      <c r="C31" s="103"/>
      <c r="D31" s="104"/>
      <c r="E31" s="102"/>
      <c r="F31" s="104"/>
      <c r="G31" s="105"/>
      <c r="H31" s="99"/>
      <c r="I31" s="106"/>
      <c r="J31" s="87" t="str">
        <f>IF(F31="","",VLOOKUP(F31,ARANCEL!$E$2:$F$123,2,FALSE))</f>
        <v/>
      </c>
      <c r="K31" s="101" t="str">
        <f>IF(I31=0,"",J31*I31)</f>
        <v/>
      </c>
      <c r="L31" s="99"/>
      <c r="M31" s="100"/>
    </row>
    <row r="32" spans="1:13" x14ac:dyDescent="0.25">
      <c r="A32" s="91">
        <v>17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>IF(I32=0,"",J32*I32)</f>
        <v/>
      </c>
      <c r="L32" s="99"/>
      <c r="M32" s="100"/>
    </row>
    <row r="33" spans="1:13" x14ac:dyDescent="0.25">
      <c r="A33" s="91">
        <v>18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>IF(I33=0,"",J33*I33)</f>
        <v/>
      </c>
      <c r="L33" s="99"/>
      <c r="M33" s="100"/>
    </row>
    <row r="36" spans="1:13" ht="20.25" customHeight="1" x14ac:dyDescent="0.25">
      <c r="A36" s="589" t="s">
        <v>366</v>
      </c>
      <c r="B36" s="589"/>
      <c r="C36" s="589"/>
      <c r="D36" s="589"/>
      <c r="E36" s="589"/>
      <c r="F36" s="589"/>
      <c r="G36" s="589"/>
      <c r="H36" s="589"/>
      <c r="I36" s="589"/>
      <c r="J36" s="589"/>
      <c r="K36" s="589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108</v>
      </c>
      <c r="J37" s="90" t="s">
        <v>104</v>
      </c>
      <c r="K37" s="90" t="s">
        <v>105</v>
      </c>
      <c r="L37" s="90" t="s">
        <v>168</v>
      </c>
      <c r="M37" s="90" t="s">
        <v>106</v>
      </c>
    </row>
    <row r="38" spans="1:13" x14ac:dyDescent="0.25">
      <c r="A38" s="114">
        <v>2</v>
      </c>
      <c r="B38" s="115">
        <v>50931</v>
      </c>
      <c r="C38" s="110">
        <v>41890</v>
      </c>
      <c r="D38" s="116" t="s">
        <v>513</v>
      </c>
      <c r="E38" s="115" t="s">
        <v>414</v>
      </c>
      <c r="F38" s="116" t="s">
        <v>399</v>
      </c>
      <c r="G38" s="111"/>
      <c r="H38" s="111" t="s">
        <v>417</v>
      </c>
      <c r="I38" s="113">
        <v>1</v>
      </c>
      <c r="J38" s="117"/>
      <c r="K38" s="117"/>
      <c r="L38" s="114"/>
      <c r="M38" s="14"/>
    </row>
    <row r="39" spans="1:13" x14ac:dyDescent="0.25">
      <c r="A39" s="114">
        <v>3</v>
      </c>
      <c r="B39" s="115">
        <v>56403</v>
      </c>
      <c r="C39" s="110">
        <v>41933</v>
      </c>
      <c r="D39" s="116" t="s">
        <v>514</v>
      </c>
      <c r="E39" s="115" t="s">
        <v>515</v>
      </c>
      <c r="F39" s="116" t="s">
        <v>422</v>
      </c>
      <c r="G39" s="111"/>
      <c r="H39" s="111" t="s">
        <v>371</v>
      </c>
      <c r="I39" s="113">
        <v>1</v>
      </c>
      <c r="J39" s="117"/>
      <c r="K39" s="117"/>
      <c r="L39" s="114"/>
      <c r="M39" s="14"/>
    </row>
    <row r="40" spans="1:13" x14ac:dyDescent="0.25">
      <c r="A40" s="114">
        <v>4</v>
      </c>
      <c r="B40" s="115" t="s">
        <v>516</v>
      </c>
      <c r="C40" s="110">
        <v>41968</v>
      </c>
      <c r="D40" s="116" t="s">
        <v>517</v>
      </c>
      <c r="E40" s="115" t="s">
        <v>414</v>
      </c>
      <c r="F40" s="116" t="s">
        <v>518</v>
      </c>
      <c r="G40" s="111"/>
      <c r="H40" s="111" t="s">
        <v>383</v>
      </c>
      <c r="I40" s="113">
        <v>1</v>
      </c>
      <c r="J40" s="117"/>
      <c r="K40" s="117"/>
      <c r="L40" s="114"/>
      <c r="M40" s="14"/>
    </row>
    <row r="41" spans="1:13" x14ac:dyDescent="0.25">
      <c r="A41" s="114">
        <v>5</v>
      </c>
      <c r="B41" s="115" t="s">
        <v>3152</v>
      </c>
      <c r="C41" s="110">
        <v>42024</v>
      </c>
      <c r="D41" s="116" t="s">
        <v>519</v>
      </c>
      <c r="E41" s="115" t="s">
        <v>414</v>
      </c>
      <c r="F41" s="116" t="s">
        <v>377</v>
      </c>
      <c r="G41" s="111"/>
      <c r="H41" s="111" t="s">
        <v>387</v>
      </c>
      <c r="I41" s="113">
        <v>2</v>
      </c>
      <c r="J41" s="117"/>
      <c r="K41" s="117"/>
      <c r="L41" s="114"/>
      <c r="M41" s="14" t="s">
        <v>3141</v>
      </c>
    </row>
    <row r="42" spans="1:13" x14ac:dyDescent="0.25">
      <c r="A42" s="114">
        <v>6</v>
      </c>
      <c r="B42" s="115">
        <v>62734</v>
      </c>
      <c r="C42" s="110">
        <v>41953</v>
      </c>
      <c r="D42" s="116" t="s">
        <v>520</v>
      </c>
      <c r="E42" s="115" t="s">
        <v>521</v>
      </c>
      <c r="F42" s="116" t="s">
        <v>422</v>
      </c>
      <c r="G42" s="111"/>
      <c r="H42" s="111" t="s">
        <v>522</v>
      </c>
      <c r="I42" s="113">
        <v>1</v>
      </c>
      <c r="J42" s="117"/>
      <c r="K42" s="117"/>
      <c r="L42" s="114"/>
      <c r="M42" s="14"/>
    </row>
    <row r="43" spans="1:13" x14ac:dyDescent="0.25">
      <c r="A43" s="114">
        <v>7</v>
      </c>
      <c r="B43" s="115">
        <v>62683</v>
      </c>
      <c r="C43" s="110">
        <v>41953</v>
      </c>
      <c r="D43" s="116" t="s">
        <v>523</v>
      </c>
      <c r="E43" s="115" t="s">
        <v>414</v>
      </c>
      <c r="F43" s="116" t="s">
        <v>422</v>
      </c>
      <c r="G43" s="111"/>
      <c r="H43" s="111" t="s">
        <v>371</v>
      </c>
      <c r="I43" s="113">
        <v>1</v>
      </c>
      <c r="J43" s="117"/>
      <c r="K43" s="117"/>
      <c r="L43" s="114"/>
      <c r="M43" s="14"/>
    </row>
    <row r="44" spans="1:13" x14ac:dyDescent="0.25">
      <c r="A44" s="114">
        <v>9</v>
      </c>
      <c r="B44" s="115">
        <v>69118</v>
      </c>
      <c r="C44" s="110">
        <v>41968</v>
      </c>
      <c r="D44" s="116" t="s">
        <v>524</v>
      </c>
      <c r="E44" s="115" t="s">
        <v>414</v>
      </c>
      <c r="F44" s="116" t="s">
        <v>399</v>
      </c>
      <c r="G44" s="111"/>
      <c r="H44" s="111" t="s">
        <v>434</v>
      </c>
      <c r="I44" s="113">
        <v>1</v>
      </c>
      <c r="J44" s="117"/>
      <c r="K44" s="117"/>
      <c r="L44" s="114"/>
      <c r="M44" s="14"/>
    </row>
    <row r="45" spans="1:13" x14ac:dyDescent="0.25">
      <c r="A45" s="114">
        <v>12</v>
      </c>
      <c r="B45" s="115">
        <v>71643</v>
      </c>
      <c r="C45" s="110">
        <v>41974</v>
      </c>
      <c r="D45" s="116" t="s">
        <v>399</v>
      </c>
      <c r="E45" s="115" t="s">
        <v>414</v>
      </c>
      <c r="F45" s="116" t="s">
        <v>399</v>
      </c>
      <c r="G45" s="111"/>
      <c r="H45" s="111" t="s">
        <v>527</v>
      </c>
      <c r="I45" s="113">
        <v>1</v>
      </c>
      <c r="J45" s="117"/>
      <c r="K45" s="117"/>
      <c r="L45" s="114"/>
      <c r="M45" s="14"/>
    </row>
    <row r="46" spans="1:13" x14ac:dyDescent="0.25">
      <c r="A46" s="114">
        <v>19</v>
      </c>
      <c r="B46" s="115">
        <v>84620</v>
      </c>
      <c r="C46" s="110">
        <v>42003</v>
      </c>
      <c r="D46" s="116" t="s">
        <v>532</v>
      </c>
      <c r="E46" s="115" t="s">
        <v>414</v>
      </c>
      <c r="F46" s="116" t="s">
        <v>399</v>
      </c>
      <c r="G46" s="111"/>
      <c r="H46" s="111" t="s">
        <v>410</v>
      </c>
      <c r="I46" s="113">
        <v>1</v>
      </c>
      <c r="J46" s="117"/>
      <c r="K46" s="117"/>
      <c r="L46" s="114"/>
      <c r="M46" s="14"/>
    </row>
    <row r="47" spans="1:13" x14ac:dyDescent="0.25">
      <c r="A47" s="9"/>
      <c r="B47" s="115">
        <v>86277</v>
      </c>
      <c r="C47" s="110">
        <v>42010</v>
      </c>
      <c r="D47" s="116" t="s">
        <v>3143</v>
      </c>
      <c r="E47" s="115" t="s">
        <v>414</v>
      </c>
      <c r="F47" s="116" t="s">
        <v>409</v>
      </c>
      <c r="G47" s="111"/>
      <c r="H47" s="111" t="s">
        <v>400</v>
      </c>
      <c r="I47" s="113">
        <v>2</v>
      </c>
      <c r="J47" s="117"/>
      <c r="K47" s="117"/>
      <c r="L47" s="9"/>
      <c r="M47" s="9"/>
    </row>
    <row r="48" spans="1:13" x14ac:dyDescent="0.25">
      <c r="A48" s="9"/>
      <c r="B48" s="115">
        <v>88025</v>
      </c>
      <c r="C48" s="110">
        <v>42017</v>
      </c>
      <c r="D48" s="116" t="s">
        <v>3146</v>
      </c>
      <c r="E48" s="115" t="s">
        <v>536</v>
      </c>
      <c r="F48" s="116" t="s">
        <v>386</v>
      </c>
      <c r="G48" s="111"/>
      <c r="H48" s="111" t="s">
        <v>371</v>
      </c>
      <c r="I48" s="113">
        <v>1</v>
      </c>
      <c r="J48" s="117"/>
      <c r="K48" s="117"/>
      <c r="L48" s="9"/>
      <c r="M48" s="9"/>
    </row>
    <row r="49" spans="1:13" x14ac:dyDescent="0.25">
      <c r="A49" s="9"/>
      <c r="B49" s="115">
        <v>88024</v>
      </c>
      <c r="C49" s="110">
        <v>42017</v>
      </c>
      <c r="D49" s="116" t="s">
        <v>3147</v>
      </c>
      <c r="E49" s="115" t="s">
        <v>536</v>
      </c>
      <c r="F49" s="116" t="s">
        <v>386</v>
      </c>
      <c r="G49" s="111"/>
      <c r="H49" s="111" t="s">
        <v>369</v>
      </c>
      <c r="I49" s="113">
        <v>1</v>
      </c>
      <c r="J49" s="117"/>
      <c r="K49" s="117"/>
      <c r="L49" s="9"/>
      <c r="M49" s="9"/>
    </row>
    <row r="50" spans="1:13" x14ac:dyDescent="0.25">
      <c r="A50" s="91"/>
      <c r="B50" s="115">
        <v>88436</v>
      </c>
      <c r="C50" s="110">
        <v>42018</v>
      </c>
      <c r="D50" s="116" t="s">
        <v>1818</v>
      </c>
      <c r="E50" s="115" t="s">
        <v>414</v>
      </c>
      <c r="F50" s="116" t="s">
        <v>386</v>
      </c>
      <c r="G50" s="111"/>
      <c r="H50" s="111" t="s">
        <v>371</v>
      </c>
      <c r="I50" s="113">
        <v>1</v>
      </c>
      <c r="J50" s="117"/>
      <c r="K50" s="117"/>
      <c r="L50" s="12"/>
      <c r="M50" s="93" t="s">
        <v>3150</v>
      </c>
    </row>
    <row r="51" spans="1:13" x14ac:dyDescent="0.25">
      <c r="A51" s="91"/>
      <c r="B51" s="115">
        <v>89359</v>
      </c>
      <c r="C51" s="110">
        <v>42026</v>
      </c>
      <c r="D51" s="116" t="s">
        <v>3153</v>
      </c>
      <c r="E51" s="115" t="s">
        <v>414</v>
      </c>
      <c r="F51" s="116" t="s">
        <v>458</v>
      </c>
      <c r="G51" s="111"/>
      <c r="H51" s="111" t="s">
        <v>387</v>
      </c>
      <c r="I51" s="113">
        <v>2</v>
      </c>
      <c r="J51" s="117"/>
      <c r="K51" s="117"/>
      <c r="L51" s="12"/>
      <c r="M51" s="93"/>
    </row>
    <row r="52" spans="1:13" x14ac:dyDescent="0.25">
      <c r="A52" s="91"/>
      <c r="B52" s="115"/>
      <c r="C52" s="110"/>
      <c r="D52" s="116"/>
      <c r="E52" s="115"/>
      <c r="F52" s="116"/>
      <c r="G52" s="111"/>
      <c r="H52" s="111"/>
      <c r="I52" s="113"/>
      <c r="J52" s="117"/>
      <c r="K52" s="117"/>
      <c r="L52" s="12"/>
      <c r="M52" s="93"/>
    </row>
    <row r="53" spans="1:13" x14ac:dyDescent="0.25">
      <c r="A53" s="91"/>
      <c r="B53" s="115"/>
      <c r="C53" s="110"/>
      <c r="D53" s="116"/>
      <c r="E53" s="115"/>
      <c r="F53" s="116"/>
      <c r="G53" s="111"/>
      <c r="H53" s="111"/>
      <c r="I53" s="113"/>
      <c r="J53" s="117"/>
      <c r="K53" s="117"/>
      <c r="L53" s="12"/>
      <c r="M53" s="93"/>
    </row>
    <row r="54" spans="1:13" x14ac:dyDescent="0.25">
      <c r="A54" s="91"/>
      <c r="B54" s="115"/>
      <c r="C54" s="110"/>
      <c r="D54" s="116"/>
      <c r="E54" s="115"/>
      <c r="F54" s="116"/>
      <c r="G54" s="111"/>
      <c r="H54" s="111"/>
      <c r="I54" s="113"/>
      <c r="J54" s="117"/>
      <c r="K54" s="117"/>
      <c r="L54" s="12"/>
      <c r="M54" s="93"/>
    </row>
    <row r="55" spans="1:13" x14ac:dyDescent="0.25">
      <c r="A55" s="91"/>
      <c r="B55" s="115"/>
      <c r="C55" s="110"/>
      <c r="D55" s="116"/>
      <c r="E55" s="115"/>
      <c r="F55" s="116"/>
      <c r="G55" s="111"/>
      <c r="H55" s="111"/>
      <c r="I55" s="113"/>
      <c r="J55" s="117"/>
      <c r="K55" s="117"/>
      <c r="L55" s="12"/>
      <c r="M55" s="93"/>
    </row>
    <row r="56" spans="1:13" x14ac:dyDescent="0.25">
      <c r="A56" s="91"/>
      <c r="B56" s="115"/>
      <c r="C56" s="110"/>
      <c r="D56" s="116"/>
      <c r="E56" s="115"/>
      <c r="F56" s="116"/>
      <c r="G56" s="111"/>
      <c r="H56" s="111"/>
      <c r="I56" s="113"/>
      <c r="J56" s="117"/>
      <c r="K56" s="117"/>
      <c r="L56" s="12"/>
      <c r="M56" s="93"/>
    </row>
    <row r="57" spans="1:13" x14ac:dyDescent="0.25">
      <c r="A57" s="91"/>
      <c r="B57" s="115"/>
      <c r="C57" s="110"/>
      <c r="D57" s="116"/>
      <c r="E57" s="115"/>
      <c r="F57" s="116"/>
      <c r="G57" s="111"/>
      <c r="H57" s="111"/>
      <c r="I57" s="113"/>
      <c r="J57" s="117"/>
      <c r="K57" s="117"/>
      <c r="L57" s="12"/>
      <c r="M57" s="93"/>
    </row>
    <row r="58" spans="1:13" x14ac:dyDescent="0.25">
      <c r="A58" s="91"/>
      <c r="B58" s="115"/>
      <c r="C58" s="110"/>
      <c r="D58" s="116"/>
      <c r="E58" s="115"/>
      <c r="F58" s="116"/>
      <c r="G58" s="111"/>
      <c r="H58" s="111"/>
      <c r="I58" s="113"/>
      <c r="J58" s="117"/>
      <c r="K58" s="117"/>
      <c r="L58" s="12"/>
      <c r="M58" s="93"/>
    </row>
    <row r="59" spans="1:13" x14ac:dyDescent="0.25">
      <c r="A59" s="91"/>
      <c r="B59" s="115"/>
      <c r="C59" s="110"/>
      <c r="D59" s="116"/>
      <c r="E59" s="115"/>
      <c r="F59" s="116"/>
      <c r="G59" s="111"/>
      <c r="H59" s="111"/>
      <c r="I59" s="113"/>
      <c r="J59" s="117"/>
      <c r="K59" s="117"/>
      <c r="L59" s="12"/>
      <c r="M59" s="93"/>
    </row>
    <row r="60" spans="1:13" x14ac:dyDescent="0.25">
      <c r="A60" s="91"/>
      <c r="B60" s="115"/>
      <c r="C60" s="110"/>
      <c r="D60" s="116"/>
      <c r="E60" s="115"/>
      <c r="F60" s="116"/>
      <c r="G60" s="111"/>
      <c r="H60" s="111"/>
      <c r="I60" s="113"/>
      <c r="J60" s="117"/>
      <c r="K60" s="117"/>
      <c r="L60" s="12"/>
      <c r="M60" s="93"/>
    </row>
    <row r="61" spans="1:13" x14ac:dyDescent="0.25">
      <c r="A61" s="91"/>
      <c r="B61" s="115"/>
      <c r="C61" s="110"/>
      <c r="D61" s="116"/>
      <c r="E61" s="115"/>
      <c r="F61" s="116"/>
      <c r="G61" s="111"/>
      <c r="H61" s="111"/>
      <c r="I61" s="113"/>
      <c r="J61" s="117"/>
      <c r="K61" s="117"/>
      <c r="L61" s="12"/>
      <c r="M61" s="93"/>
    </row>
    <row r="62" spans="1:13" x14ac:dyDescent="0.25">
      <c r="A62" s="91"/>
      <c r="B62" s="115"/>
      <c r="C62" s="110"/>
      <c r="D62" s="116"/>
      <c r="E62" s="115"/>
      <c r="F62" s="116"/>
      <c r="G62" s="111"/>
      <c r="H62" s="111"/>
      <c r="I62" s="113"/>
      <c r="J62" s="117"/>
      <c r="K62" s="117"/>
      <c r="L62" s="12"/>
      <c r="M62" s="93"/>
    </row>
    <row r="63" spans="1:13" x14ac:dyDescent="0.25">
      <c r="A63" s="91"/>
      <c r="B63" s="115"/>
      <c r="C63" s="110"/>
      <c r="D63" s="116"/>
      <c r="E63" s="115"/>
      <c r="F63" s="116"/>
      <c r="G63" s="111"/>
      <c r="H63" s="111"/>
      <c r="I63" s="113"/>
      <c r="J63" s="117"/>
      <c r="K63" s="117"/>
      <c r="L63" s="12"/>
      <c r="M63" s="93"/>
    </row>
    <row r="64" spans="1:13" x14ac:dyDescent="0.25">
      <c r="A64" s="91"/>
      <c r="B64" s="115"/>
      <c r="C64" s="110"/>
      <c r="D64" s="116"/>
      <c r="E64" s="115"/>
      <c r="F64" s="116"/>
      <c r="G64" s="111"/>
      <c r="H64" s="111"/>
      <c r="I64" s="113"/>
      <c r="J64" s="117"/>
      <c r="K64" s="117"/>
      <c r="L64" s="12"/>
      <c r="M64" s="93"/>
    </row>
  </sheetData>
  <autoFilter ref="A9:M9">
    <sortState ref="A11:M14">
      <sortCondition ref="L10"/>
    </sortState>
  </autoFilter>
  <mergeCells count="9">
    <mergeCell ref="A7:B7"/>
    <mergeCell ref="A8:B8"/>
    <mergeCell ref="A36:K36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29"/>
  <sheetViews>
    <sheetView zoomScale="90" zoomScaleNormal="90" workbookViewId="0">
      <selection activeCell="A9" sqref="A9:XFD9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0" t="s">
        <v>157</v>
      </c>
      <c r="B1" s="590"/>
      <c r="C1" s="590"/>
      <c r="D1" s="590"/>
      <c r="E1" s="590"/>
      <c r="F1" s="590"/>
      <c r="G1" s="590"/>
      <c r="H1" s="590"/>
      <c r="I1" s="590"/>
      <c r="J1" s="590"/>
      <c r="K1" s="590"/>
    </row>
    <row r="2" spans="1:13" ht="27" x14ac:dyDescent="0.5">
      <c r="A2" s="591" t="s">
        <v>373</v>
      </c>
      <c r="B2" s="591"/>
      <c r="C2" s="591"/>
      <c r="D2" s="591"/>
      <c r="E2" s="591"/>
      <c r="F2" s="591"/>
      <c r="G2" s="591"/>
      <c r="H2" s="591"/>
      <c r="I2" s="591"/>
      <c r="J2" s="591"/>
      <c r="K2" s="591"/>
    </row>
    <row r="3" spans="1:13" ht="12.75" customHeight="1" x14ac:dyDescent="0.25">
      <c r="A3" s="587" t="s">
        <v>158</v>
      </c>
      <c r="B3" s="587"/>
      <c r="C3" s="95" t="str">
        <f>IFERROR(VLOOKUP($A$2,DATOS!$A$2:$N$14,2,FALSE),"SUCURSAL NO ENCONTRADA")</f>
        <v>SUCURSAL NO ENCONTRADA</v>
      </c>
      <c r="H3" s="84" t="s">
        <v>166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587" t="s">
        <v>159</v>
      </c>
      <c r="B4" s="587"/>
      <c r="C4" s="95" t="str">
        <f>IFERROR(VLOOKUP($A$2,DATOS!$A$2:$N$14,3,FALSE),"SUCURSAL NO ENCONTRADA")</f>
        <v>SUCURSAL NO ENCONTRADA</v>
      </c>
      <c r="H4" s="84" t="s">
        <v>164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587" t="s">
        <v>160</v>
      </c>
      <c r="B5" s="587"/>
      <c r="C5" s="95" t="str">
        <f>IFERROR(VLOOKUP($A$2,DATOS!$A$2:$N$14,4,FALSE),"SUCURSAL NO ENCONTRADA")</f>
        <v>SUCURSAL NO ENCONTRADA</v>
      </c>
      <c r="H5" s="84" t="s">
        <v>163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587" t="s">
        <v>161</v>
      </c>
      <c r="B6" s="587"/>
      <c r="C6" s="95" t="str">
        <f>IFERROR(VLOOKUP($A$2,DATOS!$A$2:$N$14,5,FALSE),"SUCURSAL NO ENCONTRADA")</f>
        <v>SUCURSAL NO ENCONTRADA</v>
      </c>
      <c r="H6" s="84" t="s">
        <v>167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587" t="s">
        <v>162</v>
      </c>
      <c r="B7" s="587"/>
      <c r="C7" s="95" t="str">
        <f>IFERROR(VLOOKUP($A$2,DATOS!$A$2:$N$14,6,FALSE),"SUCURSAL NO ENCONTRADA")</f>
        <v>SUCURSAL NO ENCONTRADA</v>
      </c>
      <c r="H7" s="84" t="s">
        <v>164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588" t="s">
        <v>165</v>
      </c>
      <c r="B8" s="588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163</v>
      </c>
      <c r="I8" s="95" t="str">
        <f>IFERROR(VLOOKUP($A$2,DATOS!$A$2:$N$14,13,FALSE),"SUCURSAL NO ENCONTRADA")</f>
        <v>SUCURSAL NO ENCONTRADA</v>
      </c>
    </row>
    <row r="9" spans="1:13" ht="24.75" customHeight="1" x14ac:dyDescent="0.25">
      <c r="A9" s="81" t="s">
        <v>96</v>
      </c>
      <c r="B9" s="81" t="s">
        <v>97</v>
      </c>
      <c r="C9" s="82" t="s">
        <v>101</v>
      </c>
      <c r="D9" s="81" t="s">
        <v>98</v>
      </c>
      <c r="E9" s="81" t="s">
        <v>99</v>
      </c>
      <c r="F9" s="81" t="s">
        <v>100</v>
      </c>
      <c r="G9" s="81" t="s">
        <v>103</v>
      </c>
      <c r="H9" s="81" t="s">
        <v>102</v>
      </c>
      <c r="I9" s="81" t="s">
        <v>108</v>
      </c>
      <c r="J9" s="82" t="s">
        <v>104</v>
      </c>
      <c r="K9" s="82" t="s">
        <v>105</v>
      </c>
      <c r="L9" s="83" t="s">
        <v>168</v>
      </c>
      <c r="M9" s="83" t="s">
        <v>106</v>
      </c>
    </row>
    <row r="10" spans="1:13" x14ac:dyDescent="0.25">
      <c r="A10" s="91">
        <v>1</v>
      </c>
      <c r="B10" s="91"/>
      <c r="C10" s="94"/>
      <c r="D10" s="92"/>
      <c r="E10" s="91"/>
      <c r="F10" s="92"/>
      <c r="G10" s="9"/>
      <c r="H10" s="12"/>
      <c r="I10" s="120"/>
      <c r="J10" s="87" t="str">
        <f>IF(F10="","",VLOOKUP(F10,ARANCEL!$E$2:$F$123,2,FALSE))</f>
        <v/>
      </c>
      <c r="K10" s="88" t="str">
        <f t="shared" ref="K10:K17" si="0">IF(I10=0,"",J10*I10)</f>
        <v/>
      </c>
      <c r="L10" s="12"/>
      <c r="M10" s="93"/>
    </row>
    <row r="11" spans="1:13" x14ac:dyDescent="0.25">
      <c r="A11" s="91">
        <v>2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si="0"/>
        <v/>
      </c>
      <c r="L11" s="12"/>
      <c r="M11" s="93"/>
    </row>
    <row r="12" spans="1:13" x14ac:dyDescent="0.25">
      <c r="A12" s="91">
        <v>3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89" t="s">
        <v>366</v>
      </c>
      <c r="B20" s="589"/>
      <c r="C20" s="589"/>
      <c r="D20" s="589"/>
      <c r="E20" s="589"/>
      <c r="F20" s="589"/>
      <c r="G20" s="589"/>
      <c r="H20" s="589"/>
      <c r="I20" s="589"/>
      <c r="J20" s="589"/>
      <c r="K20" s="589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91"/>
      <c r="B22" s="583"/>
      <c r="C22" s="584"/>
      <c r="D22" s="585"/>
      <c r="E22" s="583"/>
      <c r="F22" s="585"/>
      <c r="G22" s="9"/>
      <c r="H22" s="12"/>
      <c r="I22" s="120"/>
      <c r="J22" s="87"/>
      <c r="K22" s="88"/>
      <c r="L22" s="12"/>
      <c r="M22" s="93"/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</sheetData>
  <autoFilter ref="A9:M9">
    <sortState ref="A11:M14">
      <sortCondition ref="L10"/>
    </sortState>
  </autoFilter>
  <mergeCells count="9">
    <mergeCell ref="A7:B7"/>
    <mergeCell ref="A8:B8"/>
    <mergeCell ref="A20:K20"/>
    <mergeCell ref="A1:K1"/>
    <mergeCell ref="A2:K2"/>
    <mergeCell ref="A3:B3"/>
    <mergeCell ref="A4:B4"/>
    <mergeCell ref="A5:B5"/>
    <mergeCell ref="A6:B6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54" workbookViewId="0">
      <selection activeCell="C58" sqref="C58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330</v>
      </c>
      <c r="B1" s="18" t="s">
        <v>331</v>
      </c>
      <c r="C1" s="18" t="s">
        <v>332</v>
      </c>
      <c r="D1" s="19" t="s">
        <v>333</v>
      </c>
      <c r="E1" s="18" t="s">
        <v>334</v>
      </c>
      <c r="F1" s="75" t="s">
        <v>365</v>
      </c>
    </row>
    <row r="2" spans="1:6" ht="22.5" x14ac:dyDescent="0.25">
      <c r="A2" s="17" t="s">
        <v>191</v>
      </c>
      <c r="B2" s="17" t="s">
        <v>243</v>
      </c>
      <c r="C2" s="17"/>
      <c r="D2" s="24"/>
      <c r="E2" s="26" t="s">
        <v>115</v>
      </c>
      <c r="F2" s="64">
        <v>33370.239999999998</v>
      </c>
    </row>
    <row r="3" spans="1:6" ht="22.5" x14ac:dyDescent="0.25">
      <c r="A3" s="17" t="s">
        <v>190</v>
      </c>
      <c r="B3" s="17" t="s">
        <v>243</v>
      </c>
      <c r="C3" s="17"/>
      <c r="D3" s="24"/>
      <c r="E3" s="26" t="s">
        <v>336</v>
      </c>
      <c r="F3" s="64">
        <v>29439.999999999996</v>
      </c>
    </row>
    <row r="4" spans="1:6" ht="33.75" x14ac:dyDescent="0.25">
      <c r="A4" s="17" t="s">
        <v>244</v>
      </c>
      <c r="B4" s="17" t="s">
        <v>243</v>
      </c>
      <c r="C4" s="17" t="s">
        <v>335</v>
      </c>
      <c r="D4" s="24"/>
      <c r="E4" s="26" t="s">
        <v>337</v>
      </c>
      <c r="F4" s="64">
        <v>51627.64</v>
      </c>
    </row>
    <row r="5" spans="1:6" ht="22.5" x14ac:dyDescent="0.25">
      <c r="A5" s="17" t="s">
        <v>245</v>
      </c>
      <c r="B5" s="17" t="s">
        <v>243</v>
      </c>
      <c r="C5" s="25" t="s">
        <v>338</v>
      </c>
      <c r="D5" s="24"/>
      <c r="E5" s="26" t="s">
        <v>339</v>
      </c>
      <c r="F5" s="64">
        <v>7100.56</v>
      </c>
    </row>
    <row r="6" spans="1:6" x14ac:dyDescent="0.25">
      <c r="A6" s="23" t="s">
        <v>193</v>
      </c>
      <c r="B6" s="23" t="s">
        <v>246</v>
      </c>
      <c r="C6" s="27"/>
      <c r="D6" s="28"/>
      <c r="E6" s="29" t="s">
        <v>192</v>
      </c>
      <c r="F6" s="65">
        <v>57959.999999999993</v>
      </c>
    </row>
    <row r="7" spans="1:6" ht="22.5" x14ac:dyDescent="0.25">
      <c r="A7" s="23" t="s">
        <v>231</v>
      </c>
      <c r="B7" s="23" t="s">
        <v>246</v>
      </c>
      <c r="C7" s="27" t="s">
        <v>327</v>
      </c>
      <c r="D7" s="28"/>
      <c r="E7" s="29" t="s">
        <v>340</v>
      </c>
      <c r="F7" s="65">
        <v>57959.999999999993</v>
      </c>
    </row>
    <row r="8" spans="1:6" x14ac:dyDescent="0.25">
      <c r="A8" s="23" t="s">
        <v>183</v>
      </c>
      <c r="B8" s="23" t="s">
        <v>246</v>
      </c>
      <c r="C8" s="27"/>
      <c r="D8" s="28"/>
      <c r="E8" s="29" t="s">
        <v>182</v>
      </c>
      <c r="F8" s="65">
        <v>55061.999999999993</v>
      </c>
    </row>
    <row r="9" spans="1:6" x14ac:dyDescent="0.25">
      <c r="A9" s="23" t="s">
        <v>208</v>
      </c>
      <c r="B9" s="23" t="s">
        <v>246</v>
      </c>
      <c r="C9" s="27"/>
      <c r="D9" s="28"/>
      <c r="E9" s="29" t="s">
        <v>207</v>
      </c>
      <c r="F9" s="65">
        <v>55061.999999999993</v>
      </c>
    </row>
    <row r="10" spans="1:6" x14ac:dyDescent="0.25">
      <c r="A10" s="23" t="s">
        <v>247</v>
      </c>
      <c r="B10" s="23" t="s">
        <v>246</v>
      </c>
      <c r="C10" s="27"/>
      <c r="D10" s="28"/>
      <c r="E10" s="29" t="s">
        <v>341</v>
      </c>
      <c r="F10" s="65">
        <v>115919.99999999999</v>
      </c>
    </row>
    <row r="11" spans="1:6" x14ac:dyDescent="0.25">
      <c r="A11" s="23" t="s">
        <v>187</v>
      </c>
      <c r="B11" s="23" t="s">
        <v>246</v>
      </c>
      <c r="C11" s="27"/>
      <c r="D11" s="28"/>
      <c r="E11" s="29" t="s">
        <v>186</v>
      </c>
      <c r="F11" s="65">
        <v>149730</v>
      </c>
    </row>
    <row r="12" spans="1:6" x14ac:dyDescent="0.25">
      <c r="A12" s="23" t="s">
        <v>248</v>
      </c>
      <c r="B12" s="23" t="s">
        <v>246</v>
      </c>
      <c r="C12" s="27" t="s">
        <v>327</v>
      </c>
      <c r="D12" s="28"/>
      <c r="E12" s="29" t="s">
        <v>342</v>
      </c>
      <c r="F12" s="65">
        <v>57959.999999999993</v>
      </c>
    </row>
    <row r="13" spans="1:6" x14ac:dyDescent="0.25">
      <c r="A13" s="30" t="s">
        <v>203</v>
      </c>
      <c r="B13" s="30" t="s">
        <v>249</v>
      </c>
      <c r="C13" s="31"/>
      <c r="D13" s="32"/>
      <c r="E13" s="33" t="s">
        <v>577</v>
      </c>
      <c r="F13" s="66">
        <v>49701.159999999996</v>
      </c>
    </row>
    <row r="14" spans="1:6" x14ac:dyDescent="0.25">
      <c r="A14" s="30" t="s">
        <v>180</v>
      </c>
      <c r="B14" s="30" t="s">
        <v>249</v>
      </c>
      <c r="C14" s="31"/>
      <c r="D14" s="32"/>
      <c r="E14" s="33" t="s">
        <v>3148</v>
      </c>
      <c r="F14" s="66">
        <v>49701.159999999996</v>
      </c>
    </row>
    <row r="15" spans="1:6" x14ac:dyDescent="0.25">
      <c r="A15" s="38" t="s">
        <v>176</v>
      </c>
      <c r="B15" s="38" t="s">
        <v>250</v>
      </c>
      <c r="C15" s="39"/>
      <c r="D15" s="40"/>
      <c r="E15" s="41" t="s">
        <v>116</v>
      </c>
      <c r="F15" s="67">
        <v>5274.3600000000006</v>
      </c>
    </row>
    <row r="16" spans="1:6" x14ac:dyDescent="0.25">
      <c r="A16" s="38" t="s">
        <v>175</v>
      </c>
      <c r="B16" s="38" t="s">
        <v>250</v>
      </c>
      <c r="C16" s="39"/>
      <c r="D16" s="40"/>
      <c r="E16" s="41" t="s">
        <v>175</v>
      </c>
      <c r="F16" s="67">
        <v>5274.3600000000006</v>
      </c>
    </row>
    <row r="17" spans="1:6" x14ac:dyDescent="0.25">
      <c r="A17" s="38" t="s">
        <v>251</v>
      </c>
      <c r="B17" s="38" t="s">
        <v>250</v>
      </c>
      <c r="C17" s="39"/>
      <c r="D17" s="40"/>
      <c r="E17" s="41"/>
      <c r="F17" s="67">
        <v>0</v>
      </c>
    </row>
    <row r="18" spans="1:6" x14ac:dyDescent="0.25">
      <c r="A18" s="38" t="s">
        <v>252</v>
      </c>
      <c r="B18" s="38" t="s">
        <v>250</v>
      </c>
      <c r="C18" s="39"/>
      <c r="D18" s="40"/>
      <c r="E18" s="41"/>
      <c r="F18" s="67">
        <v>0</v>
      </c>
    </row>
    <row r="19" spans="1:6" x14ac:dyDescent="0.25">
      <c r="A19" s="34" t="s">
        <v>206</v>
      </c>
      <c r="B19" s="34" t="s">
        <v>253</v>
      </c>
      <c r="C19" s="35"/>
      <c r="D19" s="36"/>
      <c r="E19" s="37" t="s">
        <v>537</v>
      </c>
      <c r="F19" s="68">
        <v>30428.999999999996</v>
      </c>
    </row>
    <row r="20" spans="1:6" x14ac:dyDescent="0.25">
      <c r="A20" s="34" t="s">
        <v>181</v>
      </c>
      <c r="B20" s="34" t="s">
        <v>253</v>
      </c>
      <c r="C20" s="35"/>
      <c r="D20" s="36"/>
      <c r="E20" s="37"/>
      <c r="F20" s="68">
        <v>30428.999999999996</v>
      </c>
    </row>
    <row r="21" spans="1:6" x14ac:dyDescent="0.25">
      <c r="A21" s="34" t="s">
        <v>254</v>
      </c>
      <c r="B21" s="34" t="s">
        <v>253</v>
      </c>
      <c r="C21" s="35"/>
      <c r="D21" s="36"/>
      <c r="E21" s="37"/>
      <c r="F21" s="68">
        <v>33472.36</v>
      </c>
    </row>
    <row r="22" spans="1:6" x14ac:dyDescent="0.25">
      <c r="A22" s="34" t="s">
        <v>255</v>
      </c>
      <c r="B22" s="34" t="s">
        <v>253</v>
      </c>
      <c r="C22" s="35"/>
      <c r="D22" s="36"/>
      <c r="E22" s="37"/>
      <c r="F22" s="68">
        <v>15214.960000000001</v>
      </c>
    </row>
    <row r="23" spans="1:6" x14ac:dyDescent="0.25">
      <c r="A23" s="34" t="s">
        <v>256</v>
      </c>
      <c r="B23" s="34" t="s">
        <v>253</v>
      </c>
      <c r="C23" s="35" t="s">
        <v>343</v>
      </c>
      <c r="D23" s="36"/>
      <c r="E23" s="37"/>
      <c r="F23" s="68">
        <v>9129.16</v>
      </c>
    </row>
    <row r="24" spans="1:6" x14ac:dyDescent="0.25">
      <c r="A24" s="42" t="s">
        <v>258</v>
      </c>
      <c r="B24" s="42" t="s">
        <v>257</v>
      </c>
      <c r="C24" s="43"/>
      <c r="D24" s="44"/>
      <c r="E24" s="45" t="s">
        <v>353</v>
      </c>
      <c r="F24" s="69">
        <v>9129.16</v>
      </c>
    </row>
    <row r="25" spans="1:6" x14ac:dyDescent="0.25">
      <c r="A25" s="42" t="s">
        <v>259</v>
      </c>
      <c r="B25" s="42" t="s">
        <v>257</v>
      </c>
      <c r="C25" s="43"/>
      <c r="D25" s="44"/>
      <c r="E25" s="45"/>
      <c r="F25" s="69">
        <v>13186.36</v>
      </c>
    </row>
    <row r="26" spans="1:6" x14ac:dyDescent="0.25">
      <c r="A26" s="42" t="s">
        <v>260</v>
      </c>
      <c r="B26" s="42" t="s">
        <v>257</v>
      </c>
      <c r="C26" s="43"/>
      <c r="D26" s="44"/>
      <c r="E26" s="45" t="s">
        <v>354</v>
      </c>
      <c r="F26" s="69">
        <v>24343.199999999997</v>
      </c>
    </row>
    <row r="27" spans="1:6" x14ac:dyDescent="0.25">
      <c r="A27" s="42" t="s">
        <v>261</v>
      </c>
      <c r="B27" s="42" t="s">
        <v>257</v>
      </c>
      <c r="C27" s="43"/>
      <c r="D27" s="44"/>
      <c r="E27" s="45"/>
      <c r="F27" s="69">
        <v>45643.96</v>
      </c>
    </row>
    <row r="28" spans="1:6" x14ac:dyDescent="0.25">
      <c r="A28" s="42" t="s">
        <v>205</v>
      </c>
      <c r="B28" s="42" t="s">
        <v>257</v>
      </c>
      <c r="C28" s="43"/>
      <c r="D28" s="44"/>
      <c r="E28" s="45" t="s">
        <v>204</v>
      </c>
      <c r="F28" s="69">
        <v>17243.560000000001</v>
      </c>
    </row>
    <row r="29" spans="1:6" x14ac:dyDescent="0.25">
      <c r="A29" s="42" t="s">
        <v>211</v>
      </c>
      <c r="B29" s="42" t="s">
        <v>257</v>
      </c>
      <c r="C29" s="43"/>
      <c r="D29" s="44"/>
      <c r="E29" s="45" t="s">
        <v>210</v>
      </c>
      <c r="F29" s="69">
        <v>14098.999999999998</v>
      </c>
    </row>
    <row r="30" spans="1:6" x14ac:dyDescent="0.25">
      <c r="A30" s="42" t="s">
        <v>212</v>
      </c>
      <c r="B30" s="42" t="s">
        <v>257</v>
      </c>
      <c r="C30" s="43"/>
      <c r="D30" s="44"/>
      <c r="E30" s="45" t="s">
        <v>352</v>
      </c>
      <c r="F30" s="69">
        <v>23836.28</v>
      </c>
    </row>
    <row r="31" spans="1:6" x14ac:dyDescent="0.25">
      <c r="A31" s="42" t="s">
        <v>230</v>
      </c>
      <c r="B31" s="42" t="s">
        <v>257</v>
      </c>
      <c r="C31" s="43"/>
      <c r="D31" s="44"/>
      <c r="E31" s="45" t="s">
        <v>1542</v>
      </c>
      <c r="F31" s="69">
        <v>3651.48</v>
      </c>
    </row>
    <row r="32" spans="1:6" x14ac:dyDescent="0.25">
      <c r="A32" s="46" t="s">
        <v>263</v>
      </c>
      <c r="B32" s="46" t="s">
        <v>262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328</v>
      </c>
      <c r="B33" s="46" t="s">
        <v>262</v>
      </c>
      <c r="C33" s="47" t="s">
        <v>264</v>
      </c>
      <c r="D33" s="48"/>
      <c r="E33" s="49"/>
      <c r="F33" s="70">
        <v>83071.399999999994</v>
      </c>
    </row>
    <row r="34" spans="1:6" x14ac:dyDescent="0.25">
      <c r="A34" s="46" t="s">
        <v>221</v>
      </c>
      <c r="B34" s="46" t="s">
        <v>262</v>
      </c>
      <c r="C34" s="47"/>
      <c r="D34" s="48"/>
      <c r="E34" s="49" t="s">
        <v>355</v>
      </c>
      <c r="F34" s="70">
        <v>55057.687499999993</v>
      </c>
    </row>
    <row r="35" spans="1:6" x14ac:dyDescent="0.25">
      <c r="A35" s="46" t="s">
        <v>194</v>
      </c>
      <c r="B35" s="46" t="s">
        <v>262</v>
      </c>
      <c r="C35" s="47"/>
      <c r="D35" s="48"/>
      <c r="E35" s="49" t="s">
        <v>356</v>
      </c>
      <c r="F35" s="70">
        <v>9129.16</v>
      </c>
    </row>
    <row r="36" spans="1:6" ht="22.5" x14ac:dyDescent="0.25">
      <c r="A36" s="46" t="s">
        <v>215</v>
      </c>
      <c r="B36" s="46" t="s">
        <v>262</v>
      </c>
      <c r="C36" s="47" t="s">
        <v>265</v>
      </c>
      <c r="D36" s="48"/>
      <c r="E36" s="49" t="s">
        <v>357</v>
      </c>
      <c r="F36" s="70">
        <v>25800.249999999996</v>
      </c>
    </row>
    <row r="37" spans="1:6" x14ac:dyDescent="0.25">
      <c r="A37" s="46" t="s">
        <v>216</v>
      </c>
      <c r="B37" s="46" t="s">
        <v>262</v>
      </c>
      <c r="C37" s="47"/>
      <c r="D37" s="48"/>
      <c r="E37" s="49" t="s">
        <v>364</v>
      </c>
      <c r="F37" s="70">
        <v>35500.959999999999</v>
      </c>
    </row>
    <row r="38" spans="1:6" x14ac:dyDescent="0.25">
      <c r="A38" s="46" t="s">
        <v>266</v>
      </c>
      <c r="B38" s="46" t="s">
        <v>262</v>
      </c>
      <c r="C38" s="47"/>
      <c r="D38" s="48"/>
      <c r="E38" s="49"/>
      <c r="F38" s="70">
        <v>42600.6</v>
      </c>
    </row>
    <row r="39" spans="1:6" x14ac:dyDescent="0.25">
      <c r="A39" s="46" t="s">
        <v>241</v>
      </c>
      <c r="B39" s="46" t="s">
        <v>262</v>
      </c>
      <c r="C39" s="47"/>
      <c r="D39" s="48"/>
      <c r="E39" s="49" t="s">
        <v>358</v>
      </c>
      <c r="F39" s="70">
        <v>53758.36</v>
      </c>
    </row>
    <row r="40" spans="1:6" x14ac:dyDescent="0.25">
      <c r="A40" s="46" t="s">
        <v>218</v>
      </c>
      <c r="B40" s="46" t="s">
        <v>262</v>
      </c>
      <c r="C40" s="47"/>
      <c r="D40" s="48"/>
      <c r="E40" s="49" t="s">
        <v>217</v>
      </c>
      <c r="F40" s="70">
        <v>44597.287499999999</v>
      </c>
    </row>
    <row r="41" spans="1:6" x14ac:dyDescent="0.25">
      <c r="A41" s="46" t="s">
        <v>329</v>
      </c>
      <c r="B41" s="46" t="s">
        <v>262</v>
      </c>
      <c r="C41" s="47"/>
      <c r="D41" s="48"/>
      <c r="E41" s="49" t="s">
        <v>219</v>
      </c>
      <c r="F41" s="70">
        <v>22299.074999999997</v>
      </c>
    </row>
    <row r="42" spans="1:6" x14ac:dyDescent="0.25">
      <c r="A42" s="46" t="s">
        <v>267</v>
      </c>
      <c r="B42" s="46" t="s">
        <v>262</v>
      </c>
      <c r="C42" s="47"/>
      <c r="D42" s="48"/>
      <c r="E42" s="49"/>
      <c r="F42" s="70">
        <v>17250</v>
      </c>
    </row>
    <row r="43" spans="1:6" x14ac:dyDescent="0.25">
      <c r="A43" s="46" t="s">
        <v>233</v>
      </c>
      <c r="B43" s="46" t="s">
        <v>262</v>
      </c>
      <c r="C43" s="47"/>
      <c r="D43" s="48"/>
      <c r="E43" s="49" t="s">
        <v>232</v>
      </c>
      <c r="F43" s="70">
        <v>17243.560000000001</v>
      </c>
    </row>
    <row r="44" spans="1:6" x14ac:dyDescent="0.25">
      <c r="A44" s="46" t="s">
        <v>268</v>
      </c>
      <c r="B44" s="46" t="s">
        <v>262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234</v>
      </c>
      <c r="B45" s="46" t="s">
        <v>262</v>
      </c>
      <c r="C45" s="47"/>
      <c r="D45" s="48"/>
      <c r="E45" s="49" t="s">
        <v>359</v>
      </c>
      <c r="F45" s="70">
        <v>10143</v>
      </c>
    </row>
    <row r="46" spans="1:6" ht="22.5" x14ac:dyDescent="0.25">
      <c r="A46" s="46" t="s">
        <v>236</v>
      </c>
      <c r="B46" s="46" t="s">
        <v>262</v>
      </c>
      <c r="C46" s="47"/>
      <c r="D46" s="48"/>
      <c r="E46" s="49" t="s">
        <v>235</v>
      </c>
      <c r="F46" s="70">
        <v>12499.349999999999</v>
      </c>
    </row>
    <row r="47" spans="1:6" x14ac:dyDescent="0.25">
      <c r="A47" s="46" t="s">
        <v>238</v>
      </c>
      <c r="B47" s="46" t="s">
        <v>262</v>
      </c>
      <c r="C47" s="47"/>
      <c r="D47" s="48"/>
      <c r="E47" s="49" t="s">
        <v>237</v>
      </c>
      <c r="F47" s="70">
        <v>10400.599999999999</v>
      </c>
    </row>
    <row r="48" spans="1:6" x14ac:dyDescent="0.25">
      <c r="A48" s="46" t="s">
        <v>269</v>
      </c>
      <c r="B48" s="46" t="s">
        <v>262</v>
      </c>
      <c r="C48" s="47"/>
      <c r="D48" s="48"/>
      <c r="E48" s="49"/>
      <c r="F48" s="70">
        <v>5071.96</v>
      </c>
    </row>
    <row r="49" spans="1:6" x14ac:dyDescent="0.25">
      <c r="A49" s="50" t="s">
        <v>222</v>
      </c>
      <c r="B49" s="50" t="s">
        <v>270</v>
      </c>
      <c r="C49" s="51"/>
      <c r="D49" s="52"/>
      <c r="E49" s="53" t="s">
        <v>118</v>
      </c>
      <c r="F49" s="71">
        <v>65929.959999999992</v>
      </c>
    </row>
    <row r="50" spans="1:6" x14ac:dyDescent="0.25">
      <c r="A50" s="50" t="s">
        <v>271</v>
      </c>
      <c r="B50" s="50" t="s">
        <v>270</v>
      </c>
      <c r="C50" s="51"/>
      <c r="D50" s="52"/>
      <c r="E50" s="53" t="s">
        <v>360</v>
      </c>
      <c r="F50" s="71">
        <v>87229.799999999988</v>
      </c>
    </row>
    <row r="51" spans="1:6" x14ac:dyDescent="0.25">
      <c r="A51" s="50" t="s">
        <v>224</v>
      </c>
      <c r="B51" s="50" t="s">
        <v>270</v>
      </c>
      <c r="C51" s="51"/>
      <c r="D51" s="52"/>
      <c r="E51" s="53" t="s">
        <v>223</v>
      </c>
      <c r="F51" s="71">
        <v>40572</v>
      </c>
    </row>
    <row r="52" spans="1:6" x14ac:dyDescent="0.25">
      <c r="A52" s="50" t="s">
        <v>240</v>
      </c>
      <c r="B52" s="50" t="s">
        <v>270</v>
      </c>
      <c r="C52" s="51"/>
      <c r="D52" s="52"/>
      <c r="E52" s="53" t="s">
        <v>239</v>
      </c>
      <c r="F52" s="71">
        <v>19272.16</v>
      </c>
    </row>
    <row r="53" spans="1:6" x14ac:dyDescent="0.25">
      <c r="A53" s="50" t="s">
        <v>272</v>
      </c>
      <c r="B53" s="50" t="s">
        <v>270</v>
      </c>
      <c r="C53" s="51"/>
      <c r="D53" s="52"/>
      <c r="E53" s="53"/>
      <c r="F53" s="71">
        <v>23329.360000000001</v>
      </c>
    </row>
    <row r="54" spans="1:6" ht="45" x14ac:dyDescent="0.25">
      <c r="A54" s="22" t="s">
        <v>196</v>
      </c>
      <c r="B54" s="22" t="s">
        <v>344</v>
      </c>
      <c r="C54" s="54" t="s">
        <v>273</v>
      </c>
      <c r="D54" s="55"/>
      <c r="E54" s="56"/>
      <c r="F54" s="72">
        <v>110519.59999999999</v>
      </c>
    </row>
    <row r="55" spans="1:6" ht="45" x14ac:dyDescent="0.25">
      <c r="A55" s="22" t="s">
        <v>345</v>
      </c>
      <c r="B55" s="22" t="s">
        <v>344</v>
      </c>
      <c r="C55" s="54" t="s">
        <v>273</v>
      </c>
      <c r="D55" s="55"/>
      <c r="E55" s="56"/>
      <c r="F55" s="72">
        <v>204520.59999999998</v>
      </c>
    </row>
    <row r="56" spans="1:6" ht="22.5" x14ac:dyDescent="0.25">
      <c r="A56" s="22" t="s">
        <v>220</v>
      </c>
      <c r="B56" s="22" t="s">
        <v>344</v>
      </c>
      <c r="C56" s="54" t="s">
        <v>274</v>
      </c>
      <c r="D56" s="55"/>
      <c r="E56" s="56" t="s">
        <v>846</v>
      </c>
      <c r="F56" s="72">
        <v>334719</v>
      </c>
    </row>
    <row r="57" spans="1:6" ht="22.5" x14ac:dyDescent="0.25">
      <c r="A57" s="22" t="s">
        <v>185</v>
      </c>
      <c r="B57" s="22" t="s">
        <v>344</v>
      </c>
      <c r="C57" s="54" t="s">
        <v>275</v>
      </c>
      <c r="D57" s="55"/>
      <c r="E57" s="56" t="s">
        <v>184</v>
      </c>
      <c r="F57" s="72">
        <v>45643.96</v>
      </c>
    </row>
    <row r="58" spans="1:6" ht="22.5" x14ac:dyDescent="0.25">
      <c r="A58" s="22" t="s">
        <v>189</v>
      </c>
      <c r="B58" s="22" t="s">
        <v>344</v>
      </c>
      <c r="C58" s="54" t="s">
        <v>276</v>
      </c>
      <c r="D58" s="55"/>
      <c r="E58" s="56" t="s">
        <v>188</v>
      </c>
      <c r="F58" s="72">
        <v>42600.6</v>
      </c>
    </row>
    <row r="59" spans="1:6" ht="22.5" x14ac:dyDescent="0.25">
      <c r="A59" s="22" t="s">
        <v>213</v>
      </c>
      <c r="B59" s="22" t="s">
        <v>344</v>
      </c>
      <c r="C59" s="54" t="s">
        <v>277</v>
      </c>
      <c r="D59" s="55"/>
      <c r="E59" s="56" t="s">
        <v>361</v>
      </c>
      <c r="F59" s="72">
        <v>22314.6</v>
      </c>
    </row>
    <row r="60" spans="1:6" x14ac:dyDescent="0.25">
      <c r="A60" s="22" t="s">
        <v>278</v>
      </c>
      <c r="B60" s="22" t="s">
        <v>344</v>
      </c>
      <c r="C60" s="54" t="s">
        <v>346</v>
      </c>
      <c r="D60" s="55"/>
      <c r="E60" s="56" t="s">
        <v>362</v>
      </c>
      <c r="F60" s="72">
        <v>0</v>
      </c>
    </row>
    <row r="61" spans="1:6" ht="22.5" x14ac:dyDescent="0.25">
      <c r="A61" s="22" t="s">
        <v>279</v>
      </c>
      <c r="B61" s="22" t="s">
        <v>344</v>
      </c>
      <c r="C61" s="54" t="s">
        <v>347</v>
      </c>
      <c r="D61" s="55"/>
      <c r="E61" s="56"/>
      <c r="F61" s="72">
        <v>84000.599999999991</v>
      </c>
    </row>
    <row r="62" spans="1:6" ht="33.75" x14ac:dyDescent="0.25">
      <c r="A62" s="22" t="s">
        <v>280</v>
      </c>
      <c r="B62" s="22" t="s">
        <v>344</v>
      </c>
      <c r="C62" s="54" t="s">
        <v>348</v>
      </c>
      <c r="D62" s="55"/>
      <c r="E62" s="56"/>
      <c r="F62" s="72">
        <v>60519.899999999994</v>
      </c>
    </row>
    <row r="63" spans="1:6" x14ac:dyDescent="0.25">
      <c r="A63" s="22" t="s">
        <v>198</v>
      </c>
      <c r="B63" s="22" t="s">
        <v>344</v>
      </c>
      <c r="C63" s="54" t="s">
        <v>327</v>
      </c>
      <c r="D63" s="55"/>
      <c r="E63" s="56" t="s">
        <v>197</v>
      </c>
      <c r="F63" s="72">
        <v>2738.8399999999997</v>
      </c>
    </row>
    <row r="64" spans="1:6" x14ac:dyDescent="0.25">
      <c r="A64" s="22" t="s">
        <v>281</v>
      </c>
      <c r="B64" s="22" t="s">
        <v>344</v>
      </c>
      <c r="C64" s="54" t="s">
        <v>327</v>
      </c>
      <c r="D64" s="55"/>
      <c r="E64" s="56"/>
      <c r="F64" s="72">
        <v>5274.3600000000006</v>
      </c>
    </row>
    <row r="65" spans="1:6" x14ac:dyDescent="0.25">
      <c r="A65" s="22" t="s">
        <v>282</v>
      </c>
      <c r="B65" s="22" t="s">
        <v>344</v>
      </c>
      <c r="C65" s="54" t="s">
        <v>327</v>
      </c>
      <c r="D65" s="55"/>
      <c r="E65" s="56"/>
      <c r="F65" s="72">
        <v>0</v>
      </c>
    </row>
    <row r="66" spans="1:6" x14ac:dyDescent="0.25">
      <c r="A66" s="22" t="s">
        <v>283</v>
      </c>
      <c r="B66" s="22" t="s">
        <v>344</v>
      </c>
      <c r="C66" s="54" t="s">
        <v>327</v>
      </c>
      <c r="D66" s="55"/>
      <c r="E66" s="56"/>
      <c r="F66" s="72">
        <v>7100.56</v>
      </c>
    </row>
    <row r="67" spans="1:6" ht="33.75" x14ac:dyDescent="0.25">
      <c r="A67" s="22" t="s">
        <v>284</v>
      </c>
      <c r="B67" s="22" t="s">
        <v>344</v>
      </c>
      <c r="C67" s="54" t="s">
        <v>285</v>
      </c>
      <c r="D67" s="55"/>
      <c r="E67" s="56"/>
      <c r="F67" s="72">
        <v>632923.19999999995</v>
      </c>
    </row>
    <row r="68" spans="1:6" ht="33.75" x14ac:dyDescent="0.25">
      <c r="A68" s="22" t="s">
        <v>286</v>
      </c>
      <c r="B68" s="22" t="s">
        <v>344</v>
      </c>
      <c r="C68" s="54" t="s">
        <v>287</v>
      </c>
      <c r="D68" s="55"/>
      <c r="E68" s="56"/>
      <c r="F68" s="72">
        <v>547722</v>
      </c>
    </row>
    <row r="69" spans="1:6" ht="22.5" x14ac:dyDescent="0.25">
      <c r="A69" s="22" t="s">
        <v>200</v>
      </c>
      <c r="B69" s="22" t="s">
        <v>344</v>
      </c>
      <c r="C69" s="54"/>
      <c r="D69" s="55"/>
      <c r="E69" s="56" t="s">
        <v>199</v>
      </c>
      <c r="F69" s="72">
        <v>13997.8</v>
      </c>
    </row>
    <row r="70" spans="1:6" ht="22.5" x14ac:dyDescent="0.25">
      <c r="A70" s="22" t="s">
        <v>202</v>
      </c>
      <c r="B70" s="22" t="s">
        <v>344</v>
      </c>
      <c r="C70" s="54" t="s">
        <v>288</v>
      </c>
      <c r="D70" s="55"/>
      <c r="E70" s="56" t="s">
        <v>3123</v>
      </c>
      <c r="F70" s="72">
        <v>15721.88</v>
      </c>
    </row>
    <row r="71" spans="1:6" ht="33.75" x14ac:dyDescent="0.25">
      <c r="A71" s="22" t="s">
        <v>201</v>
      </c>
      <c r="B71" s="22" t="s">
        <v>344</v>
      </c>
      <c r="C71" s="54" t="s">
        <v>289</v>
      </c>
      <c r="D71" s="55"/>
      <c r="E71" s="56"/>
      <c r="F71" s="72">
        <v>16735.72</v>
      </c>
    </row>
    <row r="72" spans="1:6" ht="22.5" x14ac:dyDescent="0.25">
      <c r="A72" s="22" t="s">
        <v>290</v>
      </c>
      <c r="B72" s="22" t="s">
        <v>344</v>
      </c>
      <c r="C72" s="54"/>
      <c r="D72" s="55"/>
      <c r="E72" s="56"/>
      <c r="F72" s="72">
        <v>0</v>
      </c>
    </row>
    <row r="73" spans="1:6" x14ac:dyDescent="0.25">
      <c r="A73" s="22" t="s">
        <v>226</v>
      </c>
      <c r="B73" s="22" t="s">
        <v>344</v>
      </c>
      <c r="C73" s="54"/>
      <c r="D73" s="55"/>
      <c r="E73" s="56" t="s">
        <v>225</v>
      </c>
      <c r="F73" s="72">
        <v>8520.119999999999</v>
      </c>
    </row>
    <row r="74" spans="1:6" x14ac:dyDescent="0.25">
      <c r="A74" s="22" t="s">
        <v>229</v>
      </c>
      <c r="B74" s="22" t="s">
        <v>344</v>
      </c>
      <c r="C74" s="54"/>
      <c r="D74" s="55"/>
      <c r="E74" s="56" t="s">
        <v>228</v>
      </c>
      <c r="F74" s="72">
        <v>5274.3600000000006</v>
      </c>
    </row>
    <row r="75" spans="1:6" ht="22.5" x14ac:dyDescent="0.25">
      <c r="A75" s="22" t="s">
        <v>291</v>
      </c>
      <c r="B75" s="22" t="s">
        <v>344</v>
      </c>
      <c r="C75" s="54"/>
      <c r="D75" s="55"/>
      <c r="E75" s="56"/>
      <c r="F75" s="72">
        <v>0</v>
      </c>
    </row>
    <row r="76" spans="1:6" x14ac:dyDescent="0.25">
      <c r="A76" s="22" t="s">
        <v>292</v>
      </c>
      <c r="B76" s="22" t="s">
        <v>344</v>
      </c>
      <c r="C76" s="54"/>
      <c r="D76" s="55"/>
      <c r="E76" s="56"/>
      <c r="F76" s="72">
        <v>0</v>
      </c>
    </row>
    <row r="77" spans="1:6" x14ac:dyDescent="0.25">
      <c r="A77" s="22" t="s">
        <v>293</v>
      </c>
      <c r="B77" s="22" t="s">
        <v>344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294</v>
      </c>
      <c r="B78" s="76" t="s">
        <v>350</v>
      </c>
      <c r="C78" s="77" t="s">
        <v>349</v>
      </c>
      <c r="D78" s="78"/>
      <c r="E78" s="79"/>
      <c r="F78" s="80">
        <v>17243.560000000001</v>
      </c>
    </row>
    <row r="79" spans="1:6" ht="33.75" x14ac:dyDescent="0.25">
      <c r="A79" s="76" t="s">
        <v>295</v>
      </c>
      <c r="B79" s="76" t="s">
        <v>350</v>
      </c>
      <c r="C79" s="77" t="s">
        <v>349</v>
      </c>
      <c r="D79" s="78"/>
      <c r="E79" s="79"/>
      <c r="F79" s="80">
        <v>14200.199999999999</v>
      </c>
    </row>
    <row r="80" spans="1:6" ht="33.75" x14ac:dyDescent="0.25">
      <c r="A80" s="76" t="s">
        <v>296</v>
      </c>
      <c r="B80" s="76" t="s">
        <v>350</v>
      </c>
      <c r="C80" s="77" t="s">
        <v>349</v>
      </c>
      <c r="D80" s="78"/>
      <c r="E80" s="79"/>
      <c r="F80" s="80">
        <v>17243.560000000001</v>
      </c>
    </row>
    <row r="81" spans="1:6" ht="33.75" x14ac:dyDescent="0.25">
      <c r="A81" s="76" t="s">
        <v>297</v>
      </c>
      <c r="B81" s="76" t="s">
        <v>350</v>
      </c>
      <c r="C81" s="77" t="s">
        <v>349</v>
      </c>
      <c r="D81" s="78"/>
      <c r="E81" s="79"/>
      <c r="F81" s="80">
        <v>12171.599999999999</v>
      </c>
    </row>
    <row r="82" spans="1:6" ht="33.75" x14ac:dyDescent="0.25">
      <c r="A82" s="76" t="s">
        <v>298</v>
      </c>
      <c r="B82" s="76" t="s">
        <v>350</v>
      </c>
      <c r="C82" s="77" t="s">
        <v>349</v>
      </c>
      <c r="D82" s="78"/>
      <c r="E82" s="79"/>
      <c r="F82" s="80">
        <v>8621.32</v>
      </c>
    </row>
    <row r="83" spans="1:6" ht="33.75" x14ac:dyDescent="0.25">
      <c r="A83" s="76" t="s">
        <v>299</v>
      </c>
      <c r="B83" s="76" t="s">
        <v>350</v>
      </c>
      <c r="C83" s="77" t="s">
        <v>349</v>
      </c>
      <c r="D83" s="78"/>
      <c r="E83" s="79"/>
      <c r="F83" s="80">
        <v>20286</v>
      </c>
    </row>
    <row r="84" spans="1:6" ht="33.75" x14ac:dyDescent="0.25">
      <c r="A84" s="76" t="s">
        <v>300</v>
      </c>
      <c r="B84" s="76" t="s">
        <v>350</v>
      </c>
      <c r="C84" s="77" t="s">
        <v>349</v>
      </c>
      <c r="D84" s="78"/>
      <c r="E84" s="79"/>
      <c r="F84" s="80">
        <v>20286</v>
      </c>
    </row>
    <row r="85" spans="1:6" x14ac:dyDescent="0.25">
      <c r="A85" s="60" t="s">
        <v>301</v>
      </c>
      <c r="B85" s="60" t="s">
        <v>351</v>
      </c>
      <c r="C85" s="61"/>
      <c r="D85" s="62"/>
      <c r="E85" s="63"/>
      <c r="F85" s="73">
        <v>35500.959999999999</v>
      </c>
    </row>
    <row r="86" spans="1:6" x14ac:dyDescent="0.25">
      <c r="A86" s="60" t="s">
        <v>302</v>
      </c>
      <c r="B86" s="60" t="s">
        <v>351</v>
      </c>
      <c r="C86" s="61"/>
      <c r="D86" s="62"/>
      <c r="E86" s="63"/>
      <c r="F86" s="73">
        <v>50714.999999999993</v>
      </c>
    </row>
    <row r="87" spans="1:6" x14ac:dyDescent="0.25">
      <c r="A87" s="60" t="s">
        <v>303</v>
      </c>
      <c r="B87" s="60" t="s">
        <v>351</v>
      </c>
      <c r="C87" s="61"/>
      <c r="D87" s="62"/>
      <c r="E87" s="63"/>
      <c r="F87" s="73">
        <v>15214.960000000001</v>
      </c>
    </row>
    <row r="88" spans="1:6" x14ac:dyDescent="0.25">
      <c r="A88" s="60" t="s">
        <v>304</v>
      </c>
      <c r="B88" s="60" t="s">
        <v>351</v>
      </c>
      <c r="C88" s="61"/>
      <c r="D88" s="62"/>
      <c r="E88" s="63"/>
      <c r="F88" s="73">
        <v>55786.96</v>
      </c>
    </row>
    <row r="89" spans="1:6" x14ac:dyDescent="0.25">
      <c r="A89" s="60" t="s">
        <v>305</v>
      </c>
      <c r="B89" s="60" t="s">
        <v>351</v>
      </c>
      <c r="C89" s="61"/>
      <c r="D89" s="62"/>
      <c r="E89" s="63"/>
      <c r="F89" s="73">
        <v>65929.959999999992</v>
      </c>
    </row>
    <row r="90" spans="1:6" x14ac:dyDescent="0.25">
      <c r="A90" s="60" t="s">
        <v>306</v>
      </c>
      <c r="B90" s="60" t="s">
        <v>351</v>
      </c>
      <c r="C90" s="61"/>
      <c r="D90" s="62"/>
      <c r="E90" s="63"/>
      <c r="F90" s="73">
        <v>65929.959999999992</v>
      </c>
    </row>
    <row r="91" spans="1:6" x14ac:dyDescent="0.25">
      <c r="A91" s="60" t="s">
        <v>307</v>
      </c>
      <c r="B91" s="60" t="s">
        <v>351</v>
      </c>
      <c r="C91" s="61"/>
      <c r="D91" s="62"/>
      <c r="E91" s="63"/>
      <c r="F91" s="73">
        <v>65929.959999999992</v>
      </c>
    </row>
    <row r="92" spans="1:6" x14ac:dyDescent="0.25">
      <c r="A92" s="60" t="s">
        <v>308</v>
      </c>
      <c r="B92" s="60" t="s">
        <v>351</v>
      </c>
      <c r="C92" s="61"/>
      <c r="D92" s="62"/>
      <c r="E92" s="63"/>
      <c r="F92" s="73">
        <v>35500.959999999999</v>
      </c>
    </row>
    <row r="93" spans="1:6" x14ac:dyDescent="0.25">
      <c r="A93" s="60" t="s">
        <v>309</v>
      </c>
      <c r="B93" s="60" t="s">
        <v>351</v>
      </c>
      <c r="C93" s="61"/>
      <c r="D93" s="62"/>
      <c r="E93" s="63"/>
      <c r="F93" s="73">
        <v>35500.959999999999</v>
      </c>
    </row>
    <row r="94" spans="1:6" x14ac:dyDescent="0.25">
      <c r="A94" s="60" t="s">
        <v>310</v>
      </c>
      <c r="B94" s="60" t="s">
        <v>351</v>
      </c>
      <c r="C94" s="61"/>
      <c r="D94" s="62"/>
      <c r="E94" s="63"/>
      <c r="F94" s="73">
        <v>45643.96</v>
      </c>
    </row>
    <row r="95" spans="1:6" x14ac:dyDescent="0.25">
      <c r="A95" s="60" t="s">
        <v>311</v>
      </c>
      <c r="B95" s="60" t="s">
        <v>351</v>
      </c>
      <c r="C95" s="61"/>
      <c r="D95" s="62"/>
      <c r="E95" s="63"/>
      <c r="F95" s="73">
        <v>45643.96</v>
      </c>
    </row>
    <row r="96" spans="1:6" x14ac:dyDescent="0.25">
      <c r="A96" s="60" t="s">
        <v>312</v>
      </c>
      <c r="B96" s="60" t="s">
        <v>351</v>
      </c>
      <c r="C96" s="61"/>
      <c r="D96" s="62"/>
      <c r="E96" s="63"/>
      <c r="F96" s="73">
        <v>30428.999999999996</v>
      </c>
    </row>
    <row r="97" spans="1:6" x14ac:dyDescent="0.25">
      <c r="A97" s="60" t="s">
        <v>227</v>
      </c>
      <c r="B97" s="60" t="s">
        <v>351</v>
      </c>
      <c r="C97" s="61"/>
      <c r="D97" s="62"/>
      <c r="E97" s="63"/>
      <c r="F97" s="73">
        <v>8114.4</v>
      </c>
    </row>
    <row r="98" spans="1:6" x14ac:dyDescent="0.25">
      <c r="A98" s="60" t="s">
        <v>313</v>
      </c>
      <c r="B98" s="60" t="s">
        <v>351</v>
      </c>
      <c r="C98" s="61"/>
      <c r="D98" s="62"/>
      <c r="E98" s="63"/>
      <c r="F98" s="73">
        <v>35500.959999999999</v>
      </c>
    </row>
    <row r="99" spans="1:6" x14ac:dyDescent="0.25">
      <c r="A99" s="60" t="s">
        <v>314</v>
      </c>
      <c r="B99" s="60" t="s">
        <v>351</v>
      </c>
      <c r="C99" s="61" t="s">
        <v>343</v>
      </c>
      <c r="D99" s="62"/>
      <c r="E99" s="63" t="s">
        <v>363</v>
      </c>
      <c r="F99" s="73">
        <v>9129.16</v>
      </c>
    </row>
    <row r="100" spans="1:6" x14ac:dyDescent="0.25">
      <c r="A100" s="60" t="s">
        <v>315</v>
      </c>
      <c r="B100" s="60" t="s">
        <v>351</v>
      </c>
      <c r="C100" s="61"/>
      <c r="D100" s="62"/>
      <c r="E100" s="63"/>
      <c r="F100" s="73">
        <v>18764.32</v>
      </c>
    </row>
    <row r="101" spans="1:6" x14ac:dyDescent="0.25">
      <c r="A101" s="60" t="s">
        <v>316</v>
      </c>
      <c r="B101" s="60" t="s">
        <v>351</v>
      </c>
      <c r="C101" s="61"/>
      <c r="D101" s="62"/>
      <c r="E101" s="63"/>
      <c r="F101" s="73">
        <v>22314.6</v>
      </c>
    </row>
    <row r="102" spans="1:6" x14ac:dyDescent="0.25">
      <c r="A102" s="60" t="s">
        <v>317</v>
      </c>
      <c r="B102" s="60" t="s">
        <v>351</v>
      </c>
      <c r="C102" s="61"/>
      <c r="D102" s="62"/>
      <c r="E102" s="63"/>
      <c r="F102" s="73">
        <v>33472.36</v>
      </c>
    </row>
    <row r="103" spans="1:6" x14ac:dyDescent="0.25">
      <c r="A103" s="60" t="s">
        <v>318</v>
      </c>
      <c r="B103" s="60" t="s">
        <v>351</v>
      </c>
      <c r="C103" s="61"/>
      <c r="D103" s="62"/>
      <c r="E103" s="63"/>
      <c r="F103" s="73">
        <v>40572</v>
      </c>
    </row>
    <row r="104" spans="1:6" x14ac:dyDescent="0.25">
      <c r="A104" s="60" t="s">
        <v>319</v>
      </c>
      <c r="B104" s="60" t="s">
        <v>351</v>
      </c>
      <c r="C104" s="61"/>
      <c r="D104" s="62"/>
      <c r="E104" s="63"/>
      <c r="F104" s="73">
        <v>33472.36</v>
      </c>
    </row>
    <row r="105" spans="1:6" x14ac:dyDescent="0.25">
      <c r="A105" s="60" t="s">
        <v>320</v>
      </c>
      <c r="B105" s="60" t="s">
        <v>351</v>
      </c>
      <c r="C105" s="61"/>
      <c r="D105" s="62"/>
      <c r="E105" s="63"/>
      <c r="F105" s="73">
        <v>15214.960000000001</v>
      </c>
    </row>
    <row r="106" spans="1:6" x14ac:dyDescent="0.25">
      <c r="A106" s="60" t="s">
        <v>321</v>
      </c>
      <c r="B106" s="60" t="s">
        <v>351</v>
      </c>
      <c r="C106" s="61"/>
      <c r="D106" s="62"/>
      <c r="E106" s="63"/>
      <c r="F106" s="73">
        <v>22314.6</v>
      </c>
    </row>
    <row r="107" spans="1:6" x14ac:dyDescent="0.25">
      <c r="A107" s="60" t="s">
        <v>322</v>
      </c>
      <c r="B107" s="60" t="s">
        <v>351</v>
      </c>
      <c r="C107" s="61"/>
      <c r="D107" s="62"/>
      <c r="E107" s="63"/>
      <c r="F107" s="73">
        <v>15214.960000000001</v>
      </c>
    </row>
    <row r="108" spans="1:6" x14ac:dyDescent="0.25">
      <c r="A108" s="60" t="s">
        <v>323</v>
      </c>
      <c r="B108" s="60" t="s">
        <v>351</v>
      </c>
      <c r="C108" s="61"/>
      <c r="D108" s="62"/>
      <c r="E108" s="63"/>
      <c r="F108" s="73">
        <v>25357.96</v>
      </c>
    </row>
    <row r="109" spans="1:6" x14ac:dyDescent="0.25">
      <c r="A109" s="60" t="s">
        <v>324</v>
      </c>
      <c r="B109" s="60" t="s">
        <v>351</v>
      </c>
      <c r="C109" s="61"/>
      <c r="D109" s="62"/>
      <c r="E109" s="63"/>
      <c r="F109" s="73">
        <v>30428.999999999996</v>
      </c>
    </row>
    <row r="110" spans="1:6" x14ac:dyDescent="0.25">
      <c r="A110" s="60" t="s">
        <v>325</v>
      </c>
      <c r="B110" s="60" t="s">
        <v>351</v>
      </c>
      <c r="C110" s="61"/>
      <c r="D110" s="62"/>
      <c r="E110" s="63"/>
      <c r="F110" s="73">
        <v>35500.959999999999</v>
      </c>
    </row>
    <row r="111" spans="1:6" x14ac:dyDescent="0.25">
      <c r="A111" s="21" t="s">
        <v>209</v>
      </c>
      <c r="B111" s="21" t="s">
        <v>326</v>
      </c>
      <c r="C111" s="57"/>
      <c r="D111" s="58"/>
      <c r="E111" s="59" t="s">
        <v>209</v>
      </c>
      <c r="F111" s="74">
        <v>18764.32</v>
      </c>
    </row>
    <row r="112" spans="1:6" x14ac:dyDescent="0.25">
      <c r="A112" s="21" t="s">
        <v>214</v>
      </c>
      <c r="B112" s="21" t="s">
        <v>326</v>
      </c>
      <c r="C112" s="57"/>
      <c r="D112" s="58"/>
      <c r="E112" s="59" t="s">
        <v>214</v>
      </c>
      <c r="F112" s="74">
        <v>18764.32</v>
      </c>
    </row>
    <row r="113" spans="1:6" x14ac:dyDescent="0.25">
      <c r="A113" s="21" t="s">
        <v>242</v>
      </c>
      <c r="B113" s="21" t="s">
        <v>326</v>
      </c>
      <c r="C113" s="57"/>
      <c r="D113" s="58"/>
      <c r="E113" s="59" t="s">
        <v>242</v>
      </c>
      <c r="F113" s="74">
        <v>14200.199999999999</v>
      </c>
    </row>
    <row r="114" spans="1:6" x14ac:dyDescent="0.25">
      <c r="A114" s="21" t="s">
        <v>195</v>
      </c>
      <c r="B114" s="21" t="s">
        <v>326</v>
      </c>
      <c r="C114" s="57"/>
      <c r="D114" s="58"/>
      <c r="E114" s="59" t="s">
        <v>195</v>
      </c>
      <c r="F114" s="74">
        <v>36514.799999999996</v>
      </c>
    </row>
    <row r="115" spans="1:6" ht="33.75" x14ac:dyDescent="0.25">
      <c r="A115" s="21" t="s">
        <v>169</v>
      </c>
      <c r="B115" s="21" t="s">
        <v>326</v>
      </c>
      <c r="C115" s="57" t="s">
        <v>170</v>
      </c>
      <c r="D115" s="58"/>
      <c r="E115" s="59" t="s">
        <v>169</v>
      </c>
      <c r="F115" s="74">
        <v>22310</v>
      </c>
    </row>
    <row r="116" spans="1:6" ht="90" x14ac:dyDescent="0.25">
      <c r="A116" s="21" t="s">
        <v>171</v>
      </c>
      <c r="B116" s="21" t="s">
        <v>326</v>
      </c>
      <c r="C116" s="57" t="s">
        <v>172</v>
      </c>
      <c r="D116" s="58"/>
      <c r="E116" s="59" t="s">
        <v>171</v>
      </c>
      <c r="F116" s="74">
        <v>18764</v>
      </c>
    </row>
    <row r="117" spans="1:6" ht="67.5" x14ac:dyDescent="0.25">
      <c r="A117" s="21" t="s">
        <v>173</v>
      </c>
      <c r="B117" s="21" t="s">
        <v>326</v>
      </c>
      <c r="C117" s="57" t="s">
        <v>174</v>
      </c>
      <c r="D117" s="58"/>
      <c r="E117" s="59" t="s">
        <v>173</v>
      </c>
      <c r="F117" s="74">
        <v>18764</v>
      </c>
    </row>
    <row r="118" spans="1:6" x14ac:dyDescent="0.25">
      <c r="A118" s="21" t="s">
        <v>177</v>
      </c>
      <c r="B118" s="21" t="s">
        <v>326</v>
      </c>
      <c r="C118" s="57"/>
      <c r="D118" s="58"/>
      <c r="E118" s="59" t="s">
        <v>177</v>
      </c>
      <c r="F118" s="74">
        <v>4521</v>
      </c>
    </row>
    <row r="119" spans="1:6" x14ac:dyDescent="0.25">
      <c r="A119" s="21" t="s">
        <v>178</v>
      </c>
      <c r="B119" s="21" t="s">
        <v>326</v>
      </c>
      <c r="C119" s="57"/>
      <c r="D119" s="58"/>
      <c r="E119" s="59" t="s">
        <v>178</v>
      </c>
      <c r="F119" s="74">
        <v>12374</v>
      </c>
    </row>
    <row r="120" spans="1:6" x14ac:dyDescent="0.25">
      <c r="A120" s="21" t="s">
        <v>209</v>
      </c>
      <c r="B120" s="21" t="s">
        <v>326</v>
      </c>
      <c r="C120" s="57"/>
      <c r="D120" s="58"/>
      <c r="E120" s="59" t="s">
        <v>209</v>
      </c>
      <c r="F120" s="74">
        <v>18764.32</v>
      </c>
    </row>
    <row r="121" spans="1:6" x14ac:dyDescent="0.25">
      <c r="A121" s="21" t="s">
        <v>242</v>
      </c>
      <c r="B121" s="21" t="s">
        <v>326</v>
      </c>
      <c r="C121" s="57"/>
      <c r="D121" s="58"/>
      <c r="E121" s="59" t="s">
        <v>242</v>
      </c>
      <c r="F121" s="74">
        <v>14200.199999999999</v>
      </c>
    </row>
    <row r="122" spans="1:6" x14ac:dyDescent="0.25">
      <c r="A122" s="21" t="s">
        <v>179</v>
      </c>
      <c r="B122" s="21" t="s">
        <v>326</v>
      </c>
      <c r="C122" s="57"/>
      <c r="D122" s="58"/>
      <c r="E122" s="59" t="s">
        <v>179</v>
      </c>
      <c r="F122" s="74">
        <v>18764</v>
      </c>
    </row>
    <row r="123" spans="1:6" x14ac:dyDescent="0.25">
      <c r="A123" s="21" t="s">
        <v>195</v>
      </c>
      <c r="B123" s="21" t="s">
        <v>326</v>
      </c>
      <c r="C123" s="57"/>
      <c r="D123" s="58"/>
      <c r="E123" s="59" t="s">
        <v>195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411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372</v>
      </c>
      <c r="I10" s="4" t="s">
        <v>69</v>
      </c>
      <c r="J10" s="97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553</v>
      </c>
      <c r="E1" s="122"/>
      <c r="F1" s="125" t="s">
        <v>118</v>
      </c>
      <c r="G1" s="126" t="s">
        <v>371</v>
      </c>
      <c r="H1" s="127" t="s">
        <v>554</v>
      </c>
      <c r="I1" s="128">
        <v>1</v>
      </c>
      <c r="J1" s="129">
        <v>65930</v>
      </c>
      <c r="K1" s="129">
        <v>65930</v>
      </c>
      <c r="L1" s="130" t="s">
        <v>555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556</v>
      </c>
      <c r="E2" s="135" t="s">
        <v>381</v>
      </c>
      <c r="F2" s="138" t="s">
        <v>116</v>
      </c>
      <c r="G2" s="139" t="s">
        <v>407</v>
      </c>
      <c r="H2" s="140" t="s">
        <v>557</v>
      </c>
      <c r="I2" s="141">
        <v>1</v>
      </c>
      <c r="J2" s="142">
        <v>5274</v>
      </c>
      <c r="K2" s="142">
        <v>5274</v>
      </c>
      <c r="L2" s="130" t="s">
        <v>558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559</v>
      </c>
      <c r="E3" s="135" t="s">
        <v>381</v>
      </c>
      <c r="F3" s="138" t="s">
        <v>537</v>
      </c>
      <c r="G3" s="139" t="s">
        <v>404</v>
      </c>
      <c r="H3" s="140" t="s">
        <v>560</v>
      </c>
      <c r="I3" s="141">
        <v>1</v>
      </c>
      <c r="J3" s="142">
        <v>30429</v>
      </c>
      <c r="K3" s="142">
        <v>30429</v>
      </c>
      <c r="L3" s="130" t="s">
        <v>558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561</v>
      </c>
      <c r="E4" s="135" t="s">
        <v>381</v>
      </c>
      <c r="F4" s="138" t="s">
        <v>537</v>
      </c>
      <c r="G4" s="139" t="s">
        <v>562</v>
      </c>
      <c r="H4" s="140" t="s">
        <v>563</v>
      </c>
      <c r="I4" s="141">
        <v>1</v>
      </c>
      <c r="J4" s="142">
        <v>30429</v>
      </c>
      <c r="K4" s="142">
        <v>30429</v>
      </c>
      <c r="L4" s="130" t="s">
        <v>558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564</v>
      </c>
      <c r="E5" s="135" t="s">
        <v>565</v>
      </c>
      <c r="F5" s="138" t="s">
        <v>182</v>
      </c>
      <c r="G5" s="139" t="s">
        <v>400</v>
      </c>
      <c r="H5" s="140" t="s">
        <v>566</v>
      </c>
      <c r="I5" s="141">
        <v>2</v>
      </c>
      <c r="J5" s="142">
        <v>55062</v>
      </c>
      <c r="K5" s="142">
        <v>110124</v>
      </c>
      <c r="L5" s="130" t="s">
        <v>558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567</v>
      </c>
      <c r="E6" s="135" t="s">
        <v>565</v>
      </c>
      <c r="F6" s="138" t="s">
        <v>207</v>
      </c>
      <c r="G6" s="139" t="s">
        <v>568</v>
      </c>
      <c r="H6" s="140" t="s">
        <v>569</v>
      </c>
      <c r="I6" s="141">
        <v>1</v>
      </c>
      <c r="J6" s="142">
        <v>55062</v>
      </c>
      <c r="K6" s="142">
        <v>55062</v>
      </c>
      <c r="L6" s="130" t="s">
        <v>558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570</v>
      </c>
      <c r="E7" s="135" t="s">
        <v>565</v>
      </c>
      <c r="F7" s="138" t="s">
        <v>116</v>
      </c>
      <c r="G7" s="139" t="s">
        <v>400</v>
      </c>
      <c r="H7" s="140" t="s">
        <v>569</v>
      </c>
      <c r="I7" s="141">
        <v>2</v>
      </c>
      <c r="J7" s="142">
        <v>5274</v>
      </c>
      <c r="K7" s="142">
        <v>10548</v>
      </c>
      <c r="L7" s="130" t="s">
        <v>558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571</v>
      </c>
      <c r="E8" s="135" t="s">
        <v>572</v>
      </c>
      <c r="F8" s="138" t="s">
        <v>116</v>
      </c>
      <c r="G8" s="139" t="s">
        <v>415</v>
      </c>
      <c r="H8" s="140" t="s">
        <v>573</v>
      </c>
      <c r="I8" s="141">
        <v>1</v>
      </c>
      <c r="J8" s="142">
        <v>5274</v>
      </c>
      <c r="K8" s="142">
        <v>5274</v>
      </c>
      <c r="L8" s="130" t="s">
        <v>558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574</v>
      </c>
      <c r="E9" s="135" t="s">
        <v>381</v>
      </c>
      <c r="F9" s="138" t="s">
        <v>115</v>
      </c>
      <c r="G9" s="139" t="s">
        <v>527</v>
      </c>
      <c r="H9" s="140" t="s">
        <v>575</v>
      </c>
      <c r="I9" s="141">
        <v>1</v>
      </c>
      <c r="J9" s="142">
        <v>33370</v>
      </c>
      <c r="K9" s="142">
        <v>33370</v>
      </c>
      <c r="L9" s="130" t="s">
        <v>558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576</v>
      </c>
      <c r="E10" s="135" t="s">
        <v>565</v>
      </c>
      <c r="F10" s="138" t="s">
        <v>577</v>
      </c>
      <c r="G10" s="139" t="s">
        <v>568</v>
      </c>
      <c r="H10" s="140" t="s">
        <v>554</v>
      </c>
      <c r="I10" s="141">
        <v>1</v>
      </c>
      <c r="J10" s="142">
        <v>49701</v>
      </c>
      <c r="K10" s="142">
        <v>49701</v>
      </c>
      <c r="L10" s="130" t="s">
        <v>558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578</v>
      </c>
      <c r="E11" s="135" t="s">
        <v>579</v>
      </c>
      <c r="F11" s="138" t="s">
        <v>580</v>
      </c>
      <c r="G11" s="139" t="s">
        <v>371</v>
      </c>
      <c r="H11" s="140"/>
      <c r="I11" s="141">
        <v>1</v>
      </c>
      <c r="J11" s="142">
        <v>25800</v>
      </c>
      <c r="K11" s="146">
        <v>25800</v>
      </c>
      <c r="L11" s="147" t="s">
        <v>581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582</v>
      </c>
      <c r="E12" s="135" t="s">
        <v>565</v>
      </c>
      <c r="F12" s="138" t="s">
        <v>537</v>
      </c>
      <c r="G12" s="139" t="s">
        <v>417</v>
      </c>
      <c r="H12" s="140" t="s">
        <v>583</v>
      </c>
      <c r="I12" s="141">
        <v>1</v>
      </c>
      <c r="J12" s="142">
        <v>30429</v>
      </c>
      <c r="K12" s="146">
        <v>30429</v>
      </c>
      <c r="L12" s="147" t="s">
        <v>581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584</v>
      </c>
      <c r="E13" s="135" t="s">
        <v>505</v>
      </c>
      <c r="F13" s="138" t="s">
        <v>580</v>
      </c>
      <c r="G13" s="139" t="s">
        <v>371</v>
      </c>
      <c r="H13" s="140"/>
      <c r="I13" s="141">
        <v>1</v>
      </c>
      <c r="J13" s="142">
        <v>25800</v>
      </c>
      <c r="K13" s="146">
        <v>25800</v>
      </c>
      <c r="L13" s="147" t="s">
        <v>581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585</v>
      </c>
      <c r="E14" s="135" t="s">
        <v>586</v>
      </c>
      <c r="F14" s="138" t="s">
        <v>223</v>
      </c>
      <c r="G14" s="139" t="s">
        <v>371</v>
      </c>
      <c r="H14" s="140" t="s">
        <v>554</v>
      </c>
      <c r="I14" s="141">
        <v>1</v>
      </c>
      <c r="J14" s="142">
        <v>40572</v>
      </c>
      <c r="K14" s="142">
        <v>40572</v>
      </c>
      <c r="L14" s="147" t="s">
        <v>581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587</v>
      </c>
      <c r="E15" s="135" t="s">
        <v>381</v>
      </c>
      <c r="F15" s="138" t="s">
        <v>116</v>
      </c>
      <c r="G15" s="139" t="s">
        <v>527</v>
      </c>
      <c r="H15" s="140" t="s">
        <v>489</v>
      </c>
      <c r="I15" s="141">
        <v>1</v>
      </c>
      <c r="J15" s="142">
        <v>5274</v>
      </c>
      <c r="K15" s="146">
        <v>5274</v>
      </c>
      <c r="L15" s="147" t="s">
        <v>581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588</v>
      </c>
      <c r="E16" s="135" t="s">
        <v>381</v>
      </c>
      <c r="F16" s="138" t="s">
        <v>537</v>
      </c>
      <c r="G16" s="139" t="s">
        <v>472</v>
      </c>
      <c r="H16" s="140" t="s">
        <v>583</v>
      </c>
      <c r="I16" s="141">
        <v>1</v>
      </c>
      <c r="J16" s="142">
        <v>30429</v>
      </c>
      <c r="K16" s="146">
        <v>30429</v>
      </c>
      <c r="L16" s="147" t="s">
        <v>581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589</v>
      </c>
      <c r="E17" s="135" t="s">
        <v>590</v>
      </c>
      <c r="F17" s="138" t="s">
        <v>580</v>
      </c>
      <c r="G17" s="139" t="s">
        <v>371</v>
      </c>
      <c r="H17" s="140"/>
      <c r="I17" s="141">
        <v>1</v>
      </c>
      <c r="J17" s="142">
        <v>25800</v>
      </c>
      <c r="K17" s="146">
        <v>25800</v>
      </c>
      <c r="L17" s="147" t="s">
        <v>581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591</v>
      </c>
      <c r="E18" s="135" t="s">
        <v>381</v>
      </c>
      <c r="F18" s="138" t="s">
        <v>116</v>
      </c>
      <c r="G18" s="139" t="s">
        <v>592</v>
      </c>
      <c r="H18" s="140" t="s">
        <v>489</v>
      </c>
      <c r="I18" s="141">
        <v>2</v>
      </c>
      <c r="J18" s="142">
        <v>5274</v>
      </c>
      <c r="K18" s="146">
        <v>10548</v>
      </c>
      <c r="L18" s="147" t="s">
        <v>581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593</v>
      </c>
      <c r="E19" s="135" t="s">
        <v>381</v>
      </c>
      <c r="F19" s="138" t="s">
        <v>116</v>
      </c>
      <c r="G19" s="139" t="s">
        <v>594</v>
      </c>
      <c r="H19" s="140" t="s">
        <v>489</v>
      </c>
      <c r="I19" s="141">
        <v>1</v>
      </c>
      <c r="J19" s="142">
        <v>5274</v>
      </c>
      <c r="K19" s="146">
        <v>5274</v>
      </c>
      <c r="L19" s="147" t="s">
        <v>581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595</v>
      </c>
      <c r="E20" s="135" t="s">
        <v>381</v>
      </c>
      <c r="F20" s="138" t="s">
        <v>115</v>
      </c>
      <c r="G20" s="139" t="s">
        <v>596</v>
      </c>
      <c r="H20" s="140" t="s">
        <v>597</v>
      </c>
      <c r="I20" s="141">
        <v>2</v>
      </c>
      <c r="J20" s="142">
        <v>33370</v>
      </c>
      <c r="K20" s="142">
        <v>66740</v>
      </c>
      <c r="L20" s="147" t="s">
        <v>581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598</v>
      </c>
      <c r="E21" s="148" t="s">
        <v>599</v>
      </c>
      <c r="F21" s="151" t="s">
        <v>217</v>
      </c>
      <c r="G21" s="152" t="s">
        <v>371</v>
      </c>
      <c r="H21" s="153" t="s">
        <v>573</v>
      </c>
      <c r="I21" s="154">
        <v>1</v>
      </c>
      <c r="J21" s="129">
        <v>44597</v>
      </c>
      <c r="K21" s="129">
        <v>44597</v>
      </c>
      <c r="L21" s="155" t="s">
        <v>600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601</v>
      </c>
      <c r="E22" s="148" t="s">
        <v>505</v>
      </c>
      <c r="F22" s="151" t="s">
        <v>580</v>
      </c>
      <c r="G22" s="152" t="s">
        <v>371</v>
      </c>
      <c r="H22" s="153"/>
      <c r="I22" s="154">
        <v>1</v>
      </c>
      <c r="J22" s="129">
        <v>25800</v>
      </c>
      <c r="K22" s="129">
        <v>25800</v>
      </c>
      <c r="L22" s="155" t="s">
        <v>600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602</v>
      </c>
      <c r="E23" s="122" t="s">
        <v>579</v>
      </c>
      <c r="F23" s="125" t="s">
        <v>580</v>
      </c>
      <c r="G23" s="126" t="s">
        <v>371</v>
      </c>
      <c r="H23" s="127"/>
      <c r="I23" s="128">
        <v>1</v>
      </c>
      <c r="J23" s="129">
        <v>25800</v>
      </c>
      <c r="K23" s="129">
        <v>25800</v>
      </c>
      <c r="L23" s="155" t="s">
        <v>600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591</v>
      </c>
      <c r="E24" s="148" t="s">
        <v>381</v>
      </c>
      <c r="F24" s="151" t="s">
        <v>210</v>
      </c>
      <c r="G24" s="152" t="s">
        <v>592</v>
      </c>
      <c r="H24" s="153" t="s">
        <v>489</v>
      </c>
      <c r="I24" s="154">
        <v>2</v>
      </c>
      <c r="J24" s="129">
        <v>14099</v>
      </c>
      <c r="K24" s="129">
        <v>28198</v>
      </c>
      <c r="L24" s="155" t="s">
        <v>600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603</v>
      </c>
      <c r="E25" s="122" t="s">
        <v>590</v>
      </c>
      <c r="F25" s="125" t="s">
        <v>580</v>
      </c>
      <c r="G25" s="126" t="s">
        <v>371</v>
      </c>
      <c r="H25" s="127"/>
      <c r="I25" s="128">
        <v>1</v>
      </c>
      <c r="J25" s="129">
        <v>25800</v>
      </c>
      <c r="K25" s="129">
        <v>25800</v>
      </c>
      <c r="L25" s="155" t="s">
        <v>600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604</v>
      </c>
      <c r="E26" s="148" t="s">
        <v>381</v>
      </c>
      <c r="F26" s="151" t="s">
        <v>537</v>
      </c>
      <c r="G26" s="152" t="s">
        <v>419</v>
      </c>
      <c r="H26" s="153" t="s">
        <v>566</v>
      </c>
      <c r="I26" s="154">
        <v>1</v>
      </c>
      <c r="J26" s="129">
        <v>30429</v>
      </c>
      <c r="K26" s="129">
        <v>30429</v>
      </c>
      <c r="L26" s="155" t="s">
        <v>600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593</v>
      </c>
      <c r="E27" s="148" t="s">
        <v>381</v>
      </c>
      <c r="F27" s="151" t="s">
        <v>210</v>
      </c>
      <c r="G27" s="152" t="s">
        <v>594</v>
      </c>
      <c r="H27" s="153" t="s">
        <v>489</v>
      </c>
      <c r="I27" s="154">
        <v>1</v>
      </c>
      <c r="J27" s="129">
        <v>14099</v>
      </c>
      <c r="K27" s="129">
        <v>14099</v>
      </c>
      <c r="L27" s="155" t="s">
        <v>600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605</v>
      </c>
      <c r="E28" s="122" t="s">
        <v>586</v>
      </c>
      <c r="F28" s="125" t="s">
        <v>118</v>
      </c>
      <c r="G28" s="126" t="s">
        <v>371</v>
      </c>
      <c r="H28" s="127" t="s">
        <v>554</v>
      </c>
      <c r="I28" s="128">
        <v>1</v>
      </c>
      <c r="J28" s="129">
        <v>65930</v>
      </c>
      <c r="K28" s="129">
        <v>65930</v>
      </c>
      <c r="L28" s="156" t="s">
        <v>606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607</v>
      </c>
      <c r="E29" s="148" t="s">
        <v>381</v>
      </c>
      <c r="F29" s="151" t="s">
        <v>537</v>
      </c>
      <c r="G29" s="152" t="s">
        <v>511</v>
      </c>
      <c r="H29" s="153" t="s">
        <v>597</v>
      </c>
      <c r="I29" s="154">
        <v>1</v>
      </c>
      <c r="J29" s="129">
        <v>30429</v>
      </c>
      <c r="K29" s="129">
        <v>30429</v>
      </c>
      <c r="L29" s="156" t="s">
        <v>608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609</v>
      </c>
      <c r="E30" s="148" t="s">
        <v>505</v>
      </c>
      <c r="F30" s="151" t="s">
        <v>580</v>
      </c>
      <c r="G30" s="152" t="s">
        <v>371</v>
      </c>
      <c r="H30" s="153"/>
      <c r="I30" s="154">
        <v>1</v>
      </c>
      <c r="J30" s="129">
        <v>25800</v>
      </c>
      <c r="K30" s="129">
        <v>25800</v>
      </c>
      <c r="L30" s="156" t="s">
        <v>608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610</v>
      </c>
      <c r="E31" s="148" t="s">
        <v>505</v>
      </c>
      <c r="F31" s="151" t="s">
        <v>580</v>
      </c>
      <c r="G31" s="152" t="s">
        <v>371</v>
      </c>
      <c r="H31" s="153"/>
      <c r="I31" s="154">
        <v>1</v>
      </c>
      <c r="J31" s="129">
        <v>25800</v>
      </c>
      <c r="K31" s="129">
        <v>25800</v>
      </c>
      <c r="L31" s="156" t="s">
        <v>608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611</v>
      </c>
      <c r="E32" s="122" t="s">
        <v>586</v>
      </c>
      <c r="F32" s="125" t="s">
        <v>223</v>
      </c>
      <c r="G32" s="126" t="s">
        <v>371</v>
      </c>
      <c r="H32" s="127"/>
      <c r="I32" s="128">
        <v>1</v>
      </c>
      <c r="J32" s="129">
        <v>40572</v>
      </c>
      <c r="K32" s="129">
        <v>40572</v>
      </c>
      <c r="L32" s="156" t="s">
        <v>608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612</v>
      </c>
      <c r="E33" s="148" t="s">
        <v>579</v>
      </c>
      <c r="F33" s="151" t="s">
        <v>580</v>
      </c>
      <c r="G33" s="152" t="s">
        <v>371</v>
      </c>
      <c r="H33" s="153"/>
      <c r="I33" s="154">
        <v>1</v>
      </c>
      <c r="J33" s="129">
        <v>25800</v>
      </c>
      <c r="K33" s="129">
        <v>25800</v>
      </c>
      <c r="L33" s="156" t="s">
        <v>608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613</v>
      </c>
      <c r="E34" s="122" t="s">
        <v>614</v>
      </c>
      <c r="F34" s="125" t="s">
        <v>223</v>
      </c>
      <c r="G34" s="126" t="s">
        <v>371</v>
      </c>
      <c r="H34" s="127"/>
      <c r="I34" s="128">
        <v>1</v>
      </c>
      <c r="J34" s="129">
        <v>40572</v>
      </c>
      <c r="K34" s="129">
        <v>40572</v>
      </c>
      <c r="L34" s="156" t="s">
        <v>608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615</v>
      </c>
      <c r="E35" s="122" t="s">
        <v>590</v>
      </c>
      <c r="F35" s="125" t="s">
        <v>118</v>
      </c>
      <c r="G35" s="126" t="s">
        <v>371</v>
      </c>
      <c r="H35" s="127"/>
      <c r="I35" s="128">
        <v>1</v>
      </c>
      <c r="J35" s="129">
        <v>65930</v>
      </c>
      <c r="K35" s="129">
        <v>65930</v>
      </c>
      <c r="L35" s="156" t="s">
        <v>608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615</v>
      </c>
      <c r="E36" s="122" t="s">
        <v>590</v>
      </c>
      <c r="F36" s="125" t="s">
        <v>223</v>
      </c>
      <c r="G36" s="126" t="s">
        <v>369</v>
      </c>
      <c r="H36" s="127"/>
      <c r="I36" s="128">
        <v>1</v>
      </c>
      <c r="J36" s="129">
        <v>40572</v>
      </c>
      <c r="K36" s="129">
        <v>40572</v>
      </c>
      <c r="L36" s="156" t="s">
        <v>608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616</v>
      </c>
      <c r="E37" s="122" t="s">
        <v>590</v>
      </c>
      <c r="F37" s="125" t="s">
        <v>217</v>
      </c>
      <c r="G37" s="126" t="s">
        <v>369</v>
      </c>
      <c r="H37" s="127"/>
      <c r="I37" s="128">
        <v>1</v>
      </c>
      <c r="J37" s="129">
        <v>44597</v>
      </c>
      <c r="K37" s="129">
        <v>44597</v>
      </c>
      <c r="L37" s="156" t="s">
        <v>617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618</v>
      </c>
      <c r="E38" s="122" t="s">
        <v>614</v>
      </c>
      <c r="F38" s="125" t="s">
        <v>223</v>
      </c>
      <c r="G38" s="126" t="s">
        <v>371</v>
      </c>
      <c r="H38" s="127"/>
      <c r="I38" s="128">
        <v>1</v>
      </c>
      <c r="J38" s="129">
        <v>40572</v>
      </c>
      <c r="K38" s="129">
        <v>40572</v>
      </c>
      <c r="L38" s="156" t="s">
        <v>617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619</v>
      </c>
      <c r="E39" s="122" t="s">
        <v>586</v>
      </c>
      <c r="F39" s="125" t="s">
        <v>223</v>
      </c>
      <c r="G39" s="126" t="s">
        <v>371</v>
      </c>
      <c r="H39" s="127"/>
      <c r="I39" s="128">
        <v>1</v>
      </c>
      <c r="J39" s="129">
        <v>40572</v>
      </c>
      <c r="K39" s="129">
        <v>40572</v>
      </c>
      <c r="L39" s="130" t="s">
        <v>620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621</v>
      </c>
      <c r="E41" s="122" t="s">
        <v>590</v>
      </c>
      <c r="F41" s="125" t="s">
        <v>622</v>
      </c>
      <c r="G41" s="126" t="s">
        <v>387</v>
      </c>
      <c r="H41" s="127"/>
      <c r="I41" s="128">
        <v>2</v>
      </c>
      <c r="J41" s="129">
        <v>15722</v>
      </c>
      <c r="K41" s="129">
        <v>31444</v>
      </c>
      <c r="L41" s="156" t="s">
        <v>623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621</v>
      </c>
      <c r="E42" s="122" t="s">
        <v>590</v>
      </c>
      <c r="F42" s="125" t="s">
        <v>217</v>
      </c>
      <c r="G42" s="126" t="s">
        <v>387</v>
      </c>
      <c r="H42" s="127"/>
      <c r="I42" s="128">
        <v>2</v>
      </c>
      <c r="J42" s="129">
        <v>44597</v>
      </c>
      <c r="K42" s="129">
        <v>89194</v>
      </c>
      <c r="L42" s="156" t="s">
        <v>623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621</v>
      </c>
      <c r="E43" s="122" t="s">
        <v>590</v>
      </c>
      <c r="F43" s="125" t="s">
        <v>624</v>
      </c>
      <c r="G43" s="126" t="s">
        <v>522</v>
      </c>
      <c r="H43" s="127"/>
      <c r="I43" s="128">
        <v>6</v>
      </c>
      <c r="J43" s="129">
        <v>45147</v>
      </c>
      <c r="K43" s="129">
        <v>270882</v>
      </c>
      <c r="L43" s="156" t="s">
        <v>623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625</v>
      </c>
      <c r="E44" s="122" t="s">
        <v>626</v>
      </c>
      <c r="F44" s="125" t="s">
        <v>537</v>
      </c>
      <c r="G44" s="126" t="s">
        <v>511</v>
      </c>
      <c r="H44" s="127" t="s">
        <v>563</v>
      </c>
      <c r="I44" s="128">
        <v>1</v>
      </c>
      <c r="J44" s="129">
        <v>30429</v>
      </c>
      <c r="K44" s="129">
        <v>30429</v>
      </c>
      <c r="L44" s="163" t="s">
        <v>555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627</v>
      </c>
      <c r="E45" s="122" t="s">
        <v>376</v>
      </c>
      <c r="F45" s="125" t="s">
        <v>217</v>
      </c>
      <c r="G45" s="126" t="s">
        <v>371</v>
      </c>
      <c r="H45" s="127" t="s">
        <v>489</v>
      </c>
      <c r="I45" s="128">
        <v>1</v>
      </c>
      <c r="J45" s="129">
        <v>44597</v>
      </c>
      <c r="K45" s="129">
        <v>44597</v>
      </c>
      <c r="L45" s="163" t="s">
        <v>555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628</v>
      </c>
      <c r="E46" s="122" t="s">
        <v>545</v>
      </c>
      <c r="F46" s="125" t="s">
        <v>537</v>
      </c>
      <c r="G46" s="126" t="s">
        <v>415</v>
      </c>
      <c r="H46" s="127" t="s">
        <v>629</v>
      </c>
      <c r="I46" s="128">
        <v>1</v>
      </c>
      <c r="J46" s="129">
        <v>30429</v>
      </c>
      <c r="K46" s="129">
        <v>30429</v>
      </c>
      <c r="L46" s="163" t="s">
        <v>555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630</v>
      </c>
      <c r="E47" s="122" t="s">
        <v>545</v>
      </c>
      <c r="F47" s="125" t="s">
        <v>115</v>
      </c>
      <c r="G47" s="126" t="s">
        <v>472</v>
      </c>
      <c r="H47" s="127" t="s">
        <v>629</v>
      </c>
      <c r="I47" s="128">
        <v>1</v>
      </c>
      <c r="J47" s="129">
        <v>33370</v>
      </c>
      <c r="K47" s="129">
        <v>33370</v>
      </c>
      <c r="L47" s="163" t="s">
        <v>555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631</v>
      </c>
      <c r="E48" s="122" t="s">
        <v>545</v>
      </c>
      <c r="F48" s="125" t="s">
        <v>537</v>
      </c>
      <c r="G48" s="126" t="s">
        <v>562</v>
      </c>
      <c r="H48" s="127" t="s">
        <v>629</v>
      </c>
      <c r="I48" s="128">
        <v>1</v>
      </c>
      <c r="J48" s="129">
        <v>30429</v>
      </c>
      <c r="K48" s="129">
        <v>30429</v>
      </c>
      <c r="L48" s="163" t="s">
        <v>555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632</v>
      </c>
      <c r="E49" s="122" t="s">
        <v>545</v>
      </c>
      <c r="F49" s="125" t="s">
        <v>116</v>
      </c>
      <c r="G49" s="126" t="s">
        <v>417</v>
      </c>
      <c r="H49" s="127" t="s">
        <v>573</v>
      </c>
      <c r="I49" s="128">
        <v>1</v>
      </c>
      <c r="J49" s="129">
        <v>5274</v>
      </c>
      <c r="K49" s="129">
        <v>5274</v>
      </c>
      <c r="L49" s="163" t="s">
        <v>555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633</v>
      </c>
      <c r="E50" s="122" t="s">
        <v>545</v>
      </c>
      <c r="F50" s="125" t="s">
        <v>217</v>
      </c>
      <c r="G50" s="126" t="s">
        <v>371</v>
      </c>
      <c r="H50" s="127" t="s">
        <v>573</v>
      </c>
      <c r="I50" s="128">
        <v>1</v>
      </c>
      <c r="J50" s="129">
        <v>44597</v>
      </c>
      <c r="K50" s="129">
        <v>44597</v>
      </c>
      <c r="L50" s="163" t="s">
        <v>555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634</v>
      </c>
      <c r="E51" s="122" t="s">
        <v>545</v>
      </c>
      <c r="F51" s="125" t="s">
        <v>537</v>
      </c>
      <c r="G51" s="126" t="s">
        <v>562</v>
      </c>
      <c r="H51" s="127" t="s">
        <v>629</v>
      </c>
      <c r="I51" s="128">
        <v>1</v>
      </c>
      <c r="J51" s="129">
        <v>30429</v>
      </c>
      <c r="K51" s="129">
        <v>30429</v>
      </c>
      <c r="L51" s="163" t="s">
        <v>555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635</v>
      </c>
      <c r="E52" s="122" t="s">
        <v>478</v>
      </c>
      <c r="F52" s="125" t="s">
        <v>217</v>
      </c>
      <c r="G52" s="126" t="s">
        <v>371</v>
      </c>
      <c r="H52" s="127" t="s">
        <v>489</v>
      </c>
      <c r="I52" s="128">
        <v>1</v>
      </c>
      <c r="J52" s="129">
        <v>44597</v>
      </c>
      <c r="K52" s="129">
        <v>44597</v>
      </c>
      <c r="L52" s="163" t="s">
        <v>555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636</v>
      </c>
      <c r="E53" s="122" t="s">
        <v>545</v>
      </c>
      <c r="F53" s="125" t="s">
        <v>217</v>
      </c>
      <c r="G53" s="126" t="s">
        <v>371</v>
      </c>
      <c r="H53" s="127" t="s">
        <v>486</v>
      </c>
      <c r="I53" s="128">
        <v>1</v>
      </c>
      <c r="J53" s="129">
        <v>44597</v>
      </c>
      <c r="K53" s="129">
        <v>44597</v>
      </c>
      <c r="L53" s="163" t="s">
        <v>555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637</v>
      </c>
      <c r="E54" s="122" t="s">
        <v>545</v>
      </c>
      <c r="F54" s="125" t="s">
        <v>537</v>
      </c>
      <c r="G54" s="126" t="s">
        <v>404</v>
      </c>
      <c r="H54" s="127" t="s">
        <v>563</v>
      </c>
      <c r="I54" s="128">
        <v>1</v>
      </c>
      <c r="J54" s="129">
        <v>30429</v>
      </c>
      <c r="K54" s="129">
        <v>30429</v>
      </c>
      <c r="L54" s="163" t="s">
        <v>555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638</v>
      </c>
      <c r="E55" s="122" t="s">
        <v>545</v>
      </c>
      <c r="F55" s="125" t="s">
        <v>537</v>
      </c>
      <c r="G55" s="126" t="s">
        <v>415</v>
      </c>
      <c r="H55" s="127" t="s">
        <v>629</v>
      </c>
      <c r="I55" s="128">
        <v>1</v>
      </c>
      <c r="J55" s="129">
        <v>30429</v>
      </c>
      <c r="K55" s="129">
        <v>30429</v>
      </c>
      <c r="L55" s="163" t="s">
        <v>555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639</v>
      </c>
      <c r="E56" s="122" t="s">
        <v>545</v>
      </c>
      <c r="F56" s="125" t="s">
        <v>537</v>
      </c>
      <c r="G56" s="126" t="s">
        <v>562</v>
      </c>
      <c r="H56" s="127" t="s">
        <v>563</v>
      </c>
      <c r="I56" s="128">
        <v>1</v>
      </c>
      <c r="J56" s="129">
        <v>30429</v>
      </c>
      <c r="K56" s="129">
        <v>30429</v>
      </c>
      <c r="L56" s="163" t="s">
        <v>555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640</v>
      </c>
      <c r="E57" s="122" t="s">
        <v>545</v>
      </c>
      <c r="F57" s="125" t="s">
        <v>537</v>
      </c>
      <c r="G57" s="126" t="s">
        <v>431</v>
      </c>
      <c r="H57" s="127" t="s">
        <v>629</v>
      </c>
      <c r="I57" s="128">
        <v>1</v>
      </c>
      <c r="J57" s="129">
        <v>30429</v>
      </c>
      <c r="K57" s="129">
        <v>30429</v>
      </c>
      <c r="L57" s="163" t="s">
        <v>555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641</v>
      </c>
      <c r="E58" s="122" t="s">
        <v>545</v>
      </c>
      <c r="F58" s="125" t="s">
        <v>115</v>
      </c>
      <c r="G58" s="126" t="s">
        <v>417</v>
      </c>
      <c r="H58" s="127" t="s">
        <v>642</v>
      </c>
      <c r="I58" s="128">
        <v>1</v>
      </c>
      <c r="J58" s="129">
        <v>33370</v>
      </c>
      <c r="K58" s="129">
        <v>33370</v>
      </c>
      <c r="L58" s="163" t="s">
        <v>555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643</v>
      </c>
      <c r="E59" s="122" t="s">
        <v>545</v>
      </c>
      <c r="F59" s="125" t="s">
        <v>644</v>
      </c>
      <c r="G59" s="126" t="s">
        <v>645</v>
      </c>
      <c r="H59" s="127" t="s">
        <v>629</v>
      </c>
      <c r="I59" s="128">
        <v>1</v>
      </c>
      <c r="J59" s="129">
        <v>29440</v>
      </c>
      <c r="K59" s="129">
        <v>29440</v>
      </c>
      <c r="L59" s="163" t="s">
        <v>555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646</v>
      </c>
      <c r="E60" s="122" t="s">
        <v>545</v>
      </c>
      <c r="F60" s="125" t="s">
        <v>537</v>
      </c>
      <c r="G60" s="126" t="s">
        <v>511</v>
      </c>
      <c r="H60" s="127" t="s">
        <v>629</v>
      </c>
      <c r="I60" s="128">
        <v>1</v>
      </c>
      <c r="J60" s="129">
        <v>30429</v>
      </c>
      <c r="K60" s="129">
        <v>30429</v>
      </c>
      <c r="L60" s="163" t="s">
        <v>555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647</v>
      </c>
      <c r="E61" s="122" t="s">
        <v>545</v>
      </c>
      <c r="F61" s="125" t="s">
        <v>537</v>
      </c>
      <c r="G61" s="126" t="s">
        <v>404</v>
      </c>
      <c r="H61" s="127" t="s">
        <v>563</v>
      </c>
      <c r="I61" s="128">
        <v>1</v>
      </c>
      <c r="J61" s="129">
        <v>30429</v>
      </c>
      <c r="K61" s="129">
        <v>30429</v>
      </c>
      <c r="L61" s="163" t="s">
        <v>555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648</v>
      </c>
      <c r="E62" s="122" t="s">
        <v>376</v>
      </c>
      <c r="F62" s="125" t="s">
        <v>115</v>
      </c>
      <c r="G62" s="126" t="s">
        <v>538</v>
      </c>
      <c r="H62" s="127" t="s">
        <v>629</v>
      </c>
      <c r="I62" s="128">
        <v>1</v>
      </c>
      <c r="J62" s="129">
        <v>33370</v>
      </c>
      <c r="K62" s="129">
        <v>33370</v>
      </c>
      <c r="L62" s="163" t="s">
        <v>555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649</v>
      </c>
      <c r="E63" s="122" t="s">
        <v>376</v>
      </c>
      <c r="F63" s="125" t="s">
        <v>537</v>
      </c>
      <c r="G63" s="126" t="s">
        <v>431</v>
      </c>
      <c r="H63" s="127" t="s">
        <v>650</v>
      </c>
      <c r="I63" s="128">
        <v>1</v>
      </c>
      <c r="J63" s="129">
        <v>30429</v>
      </c>
      <c r="K63" s="129">
        <v>30429</v>
      </c>
      <c r="L63" s="163" t="s">
        <v>555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651</v>
      </c>
      <c r="E64" s="122" t="s">
        <v>545</v>
      </c>
      <c r="F64" s="125" t="s">
        <v>537</v>
      </c>
      <c r="G64" s="126" t="s">
        <v>472</v>
      </c>
      <c r="H64" s="127" t="s">
        <v>629</v>
      </c>
      <c r="I64" s="128">
        <v>1</v>
      </c>
      <c r="J64" s="129">
        <v>30429</v>
      </c>
      <c r="K64" s="129">
        <v>30429</v>
      </c>
      <c r="L64" s="163" t="s">
        <v>555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652</v>
      </c>
      <c r="E65" s="122" t="s">
        <v>545</v>
      </c>
      <c r="F65" s="125" t="s">
        <v>217</v>
      </c>
      <c r="G65" s="126" t="s">
        <v>369</v>
      </c>
      <c r="H65" s="127" t="s">
        <v>489</v>
      </c>
      <c r="I65" s="128">
        <v>1</v>
      </c>
      <c r="J65" s="129">
        <v>44597</v>
      </c>
      <c r="K65" s="129">
        <v>44597</v>
      </c>
      <c r="L65" s="163" t="s">
        <v>555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653</v>
      </c>
      <c r="E66" s="122" t="s">
        <v>545</v>
      </c>
      <c r="F66" s="125" t="s">
        <v>115</v>
      </c>
      <c r="G66" s="126" t="s">
        <v>392</v>
      </c>
      <c r="H66" s="127" t="s">
        <v>629</v>
      </c>
      <c r="I66" s="128">
        <v>1</v>
      </c>
      <c r="J66" s="129">
        <v>33370</v>
      </c>
      <c r="K66" s="129">
        <v>33370</v>
      </c>
      <c r="L66" s="163" t="s">
        <v>555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654</v>
      </c>
      <c r="E67" s="122" t="s">
        <v>478</v>
      </c>
      <c r="F67" s="125" t="s">
        <v>188</v>
      </c>
      <c r="G67" s="126" t="s">
        <v>442</v>
      </c>
      <c r="H67" s="127" t="s">
        <v>642</v>
      </c>
      <c r="I67" s="128">
        <v>1</v>
      </c>
      <c r="J67" s="129">
        <v>42601</v>
      </c>
      <c r="K67" s="129">
        <v>42601</v>
      </c>
      <c r="L67" s="163" t="s">
        <v>555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655</v>
      </c>
      <c r="E68" s="122" t="s">
        <v>545</v>
      </c>
      <c r="F68" s="125" t="s">
        <v>204</v>
      </c>
      <c r="G68" s="126" t="s">
        <v>472</v>
      </c>
      <c r="H68" s="127"/>
      <c r="I68" s="128">
        <v>1</v>
      </c>
      <c r="J68" s="129">
        <v>17244</v>
      </c>
      <c r="K68" s="129">
        <v>17244</v>
      </c>
      <c r="L68" s="163" t="s">
        <v>555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656</v>
      </c>
      <c r="E69" s="122" t="s">
        <v>545</v>
      </c>
      <c r="F69" s="125" t="s">
        <v>537</v>
      </c>
      <c r="G69" s="126" t="s">
        <v>562</v>
      </c>
      <c r="H69" s="127" t="s">
        <v>629</v>
      </c>
      <c r="I69" s="128">
        <v>1</v>
      </c>
      <c r="J69" s="129">
        <v>30429</v>
      </c>
      <c r="K69" s="129">
        <v>30429</v>
      </c>
      <c r="L69" s="163" t="s">
        <v>555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657</v>
      </c>
      <c r="E70" s="122" t="s">
        <v>545</v>
      </c>
      <c r="F70" s="125" t="s">
        <v>537</v>
      </c>
      <c r="G70" s="126" t="s">
        <v>594</v>
      </c>
      <c r="H70" s="127" t="s">
        <v>658</v>
      </c>
      <c r="I70" s="128">
        <v>1</v>
      </c>
      <c r="J70" s="129">
        <v>30429</v>
      </c>
      <c r="K70" s="129">
        <v>30429</v>
      </c>
      <c r="L70" s="163" t="s">
        <v>555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659</v>
      </c>
      <c r="E71" s="122" t="s">
        <v>545</v>
      </c>
      <c r="F71" s="125" t="s">
        <v>537</v>
      </c>
      <c r="G71" s="126" t="s">
        <v>419</v>
      </c>
      <c r="H71" s="127" t="s">
        <v>629</v>
      </c>
      <c r="I71" s="128">
        <v>1</v>
      </c>
      <c r="J71" s="129">
        <v>30429</v>
      </c>
      <c r="K71" s="129">
        <v>30429</v>
      </c>
      <c r="L71" s="163" t="s">
        <v>555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660</v>
      </c>
      <c r="E72" s="122" t="s">
        <v>545</v>
      </c>
      <c r="F72" s="125" t="s">
        <v>116</v>
      </c>
      <c r="G72" s="126" t="s">
        <v>383</v>
      </c>
      <c r="H72" s="127"/>
      <c r="I72" s="128">
        <v>1</v>
      </c>
      <c r="J72" s="129">
        <v>5274</v>
      </c>
      <c r="K72" s="129">
        <v>5274</v>
      </c>
      <c r="L72" s="163" t="s">
        <v>555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660</v>
      </c>
      <c r="E73" s="122" t="s">
        <v>545</v>
      </c>
      <c r="F73" s="125" t="s">
        <v>210</v>
      </c>
      <c r="G73" s="126" t="s">
        <v>383</v>
      </c>
      <c r="H73" s="127"/>
      <c r="I73" s="128">
        <v>1</v>
      </c>
      <c r="J73" s="129">
        <v>14099</v>
      </c>
      <c r="K73" s="129">
        <v>14099</v>
      </c>
      <c r="L73" s="163" t="s">
        <v>555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660</v>
      </c>
      <c r="E74" s="122" t="s">
        <v>545</v>
      </c>
      <c r="F74" s="125" t="s">
        <v>115</v>
      </c>
      <c r="G74" s="126" t="s">
        <v>383</v>
      </c>
      <c r="H74" s="127" t="s">
        <v>563</v>
      </c>
      <c r="I74" s="128">
        <v>1</v>
      </c>
      <c r="J74" s="129">
        <v>33370</v>
      </c>
      <c r="K74" s="129">
        <v>33370</v>
      </c>
      <c r="L74" s="163" t="s">
        <v>555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660</v>
      </c>
      <c r="E75" s="122" t="s">
        <v>545</v>
      </c>
      <c r="F75" s="125" t="s">
        <v>116</v>
      </c>
      <c r="G75" s="126" t="s">
        <v>442</v>
      </c>
      <c r="H75" s="127" t="s">
        <v>489</v>
      </c>
      <c r="I75" s="128">
        <v>1</v>
      </c>
      <c r="J75" s="129">
        <v>5274</v>
      </c>
      <c r="K75" s="129">
        <v>5274</v>
      </c>
      <c r="L75" s="163" t="s">
        <v>555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661</v>
      </c>
      <c r="E76" s="122" t="s">
        <v>545</v>
      </c>
      <c r="F76" s="125" t="s">
        <v>537</v>
      </c>
      <c r="G76" s="126" t="s">
        <v>417</v>
      </c>
      <c r="H76" s="127" t="s">
        <v>563</v>
      </c>
      <c r="I76" s="128">
        <v>1</v>
      </c>
      <c r="J76" s="129">
        <v>30429</v>
      </c>
      <c r="K76" s="129">
        <v>30429</v>
      </c>
      <c r="L76" s="163" t="s">
        <v>555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662</v>
      </c>
      <c r="E77" s="122" t="s">
        <v>545</v>
      </c>
      <c r="F77" s="125" t="s">
        <v>197</v>
      </c>
      <c r="G77" s="126" t="s">
        <v>663</v>
      </c>
      <c r="H77" s="127"/>
      <c r="I77" s="128">
        <v>5</v>
      </c>
      <c r="J77" s="129">
        <v>2739</v>
      </c>
      <c r="K77" s="129">
        <v>13695</v>
      </c>
      <c r="L77" s="163" t="s">
        <v>555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664</v>
      </c>
      <c r="E78" s="122" t="s">
        <v>665</v>
      </c>
      <c r="F78" s="125" t="s">
        <v>580</v>
      </c>
      <c r="G78" s="126" t="s">
        <v>371</v>
      </c>
      <c r="H78" s="127"/>
      <c r="I78" s="128">
        <v>1</v>
      </c>
      <c r="J78" s="129">
        <v>25800</v>
      </c>
      <c r="K78" s="129">
        <v>25800</v>
      </c>
      <c r="L78" s="163" t="s">
        <v>555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666</v>
      </c>
      <c r="E79" s="122" t="s">
        <v>545</v>
      </c>
      <c r="F79" s="125" t="s">
        <v>580</v>
      </c>
      <c r="G79" s="126" t="s">
        <v>371</v>
      </c>
      <c r="H79" s="127"/>
      <c r="I79" s="128">
        <v>1</v>
      </c>
      <c r="J79" s="129">
        <v>25800</v>
      </c>
      <c r="K79" s="129">
        <v>25800</v>
      </c>
      <c r="L79" s="163" t="s">
        <v>555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667</v>
      </c>
      <c r="E80" s="135" t="s">
        <v>545</v>
      </c>
      <c r="F80" s="138" t="s">
        <v>116</v>
      </c>
      <c r="G80" s="139" t="s">
        <v>562</v>
      </c>
      <c r="H80" s="140" t="s">
        <v>489</v>
      </c>
      <c r="I80" s="141">
        <v>1</v>
      </c>
      <c r="J80" s="142">
        <v>5274</v>
      </c>
      <c r="K80" s="142">
        <v>5274</v>
      </c>
      <c r="L80" s="167" t="s">
        <v>558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667</v>
      </c>
      <c r="E81" s="135" t="s">
        <v>545</v>
      </c>
      <c r="F81" s="138" t="s">
        <v>210</v>
      </c>
      <c r="G81" s="139" t="s">
        <v>562</v>
      </c>
      <c r="H81" s="140" t="s">
        <v>489</v>
      </c>
      <c r="I81" s="141">
        <v>1</v>
      </c>
      <c r="J81" s="142">
        <v>14099</v>
      </c>
      <c r="K81" s="142">
        <v>14099</v>
      </c>
      <c r="L81" s="167" t="s">
        <v>558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668</v>
      </c>
      <c r="E82" s="135" t="s">
        <v>626</v>
      </c>
      <c r="F82" s="138" t="s">
        <v>537</v>
      </c>
      <c r="G82" s="139" t="s">
        <v>431</v>
      </c>
      <c r="H82" s="140" t="s">
        <v>629</v>
      </c>
      <c r="I82" s="141">
        <v>1</v>
      </c>
      <c r="J82" s="142">
        <v>30429</v>
      </c>
      <c r="K82" s="169">
        <v>30429</v>
      </c>
      <c r="L82" s="167" t="s">
        <v>558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669</v>
      </c>
      <c r="E83" s="135" t="s">
        <v>545</v>
      </c>
      <c r="F83" s="138" t="s">
        <v>192</v>
      </c>
      <c r="G83" s="139" t="s">
        <v>431</v>
      </c>
      <c r="H83" s="140"/>
      <c r="I83" s="141">
        <v>1</v>
      </c>
      <c r="J83" s="142">
        <v>57960</v>
      </c>
      <c r="K83" s="142">
        <v>57960</v>
      </c>
      <c r="L83" s="167" t="s">
        <v>558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670</v>
      </c>
      <c r="E84" s="135" t="s">
        <v>545</v>
      </c>
      <c r="F84" s="138" t="s">
        <v>537</v>
      </c>
      <c r="G84" s="139" t="s">
        <v>419</v>
      </c>
      <c r="H84" s="140" t="s">
        <v>629</v>
      </c>
      <c r="I84" s="141">
        <v>1</v>
      </c>
      <c r="J84" s="142">
        <v>30429</v>
      </c>
      <c r="K84" s="142">
        <v>30429</v>
      </c>
      <c r="L84" s="167" t="s">
        <v>558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671</v>
      </c>
      <c r="E85" s="135" t="s">
        <v>478</v>
      </c>
      <c r="F85" s="138" t="s">
        <v>622</v>
      </c>
      <c r="G85" s="139" t="s">
        <v>371</v>
      </c>
      <c r="H85" s="140"/>
      <c r="I85" s="141">
        <v>1</v>
      </c>
      <c r="J85" s="142">
        <v>15722</v>
      </c>
      <c r="K85" s="142">
        <v>15722</v>
      </c>
      <c r="L85" s="167" t="s">
        <v>558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672</v>
      </c>
      <c r="E86" s="135" t="s">
        <v>376</v>
      </c>
      <c r="F86" s="138" t="s">
        <v>197</v>
      </c>
      <c r="G86" s="139" t="s">
        <v>400</v>
      </c>
      <c r="H86" s="140"/>
      <c r="I86" s="141">
        <v>2</v>
      </c>
      <c r="J86" s="142">
        <v>2739</v>
      </c>
      <c r="K86" s="142">
        <v>5478</v>
      </c>
      <c r="L86" s="167" t="s">
        <v>558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673</v>
      </c>
      <c r="E87" s="135" t="s">
        <v>478</v>
      </c>
      <c r="F87" s="138" t="s">
        <v>237</v>
      </c>
      <c r="G87" s="139" t="s">
        <v>369</v>
      </c>
      <c r="H87" s="140"/>
      <c r="I87" s="141">
        <v>1</v>
      </c>
      <c r="J87" s="142">
        <v>10401</v>
      </c>
      <c r="K87" s="142">
        <v>10401</v>
      </c>
      <c r="L87" s="167" t="s">
        <v>558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674</v>
      </c>
      <c r="E88" s="135" t="s">
        <v>376</v>
      </c>
      <c r="F88" s="138" t="s">
        <v>537</v>
      </c>
      <c r="G88" s="139" t="s">
        <v>392</v>
      </c>
      <c r="H88" s="140" t="s">
        <v>563</v>
      </c>
      <c r="I88" s="141">
        <v>1</v>
      </c>
      <c r="J88" s="142">
        <v>30429</v>
      </c>
      <c r="K88" s="142">
        <v>30429</v>
      </c>
      <c r="L88" s="167" t="s">
        <v>558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675</v>
      </c>
      <c r="E89" s="135" t="s">
        <v>545</v>
      </c>
      <c r="F89" s="138" t="s">
        <v>537</v>
      </c>
      <c r="G89" s="139" t="s">
        <v>417</v>
      </c>
      <c r="H89" s="140" t="s">
        <v>563</v>
      </c>
      <c r="I89" s="141">
        <v>1</v>
      </c>
      <c r="J89" s="142">
        <v>30429</v>
      </c>
      <c r="K89" s="142">
        <v>30429</v>
      </c>
      <c r="L89" s="167" t="s">
        <v>558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676</v>
      </c>
      <c r="E90" s="135" t="s">
        <v>478</v>
      </c>
      <c r="F90" s="138" t="s">
        <v>217</v>
      </c>
      <c r="G90" s="139" t="s">
        <v>371</v>
      </c>
      <c r="H90" s="140" t="s">
        <v>489</v>
      </c>
      <c r="I90" s="141">
        <v>1</v>
      </c>
      <c r="J90" s="142">
        <v>44597</v>
      </c>
      <c r="K90" s="169">
        <v>44597</v>
      </c>
      <c r="L90" s="167" t="s">
        <v>558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677</v>
      </c>
      <c r="E91" s="135" t="s">
        <v>545</v>
      </c>
      <c r="F91" s="138" t="s">
        <v>210</v>
      </c>
      <c r="G91" s="139" t="s">
        <v>534</v>
      </c>
      <c r="H91" s="140"/>
      <c r="I91" s="141">
        <v>1</v>
      </c>
      <c r="J91" s="142">
        <v>14099</v>
      </c>
      <c r="K91" s="142">
        <v>14099</v>
      </c>
      <c r="L91" s="167" t="s">
        <v>558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677</v>
      </c>
      <c r="E92" s="135" t="s">
        <v>545</v>
      </c>
      <c r="F92" s="138" t="s">
        <v>115</v>
      </c>
      <c r="G92" s="139" t="s">
        <v>534</v>
      </c>
      <c r="H92" s="140" t="s">
        <v>678</v>
      </c>
      <c r="I92" s="141">
        <v>1</v>
      </c>
      <c r="J92" s="142">
        <v>33370</v>
      </c>
      <c r="K92" s="142">
        <v>33370</v>
      </c>
      <c r="L92" s="167" t="s">
        <v>558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679</v>
      </c>
      <c r="E93" s="135" t="s">
        <v>376</v>
      </c>
      <c r="F93" s="138" t="s">
        <v>217</v>
      </c>
      <c r="G93" s="139" t="s">
        <v>371</v>
      </c>
      <c r="H93" s="140" t="s">
        <v>489</v>
      </c>
      <c r="I93" s="141">
        <v>1</v>
      </c>
      <c r="J93" s="142">
        <v>44597</v>
      </c>
      <c r="K93" s="142">
        <v>44597</v>
      </c>
      <c r="L93" s="167" t="s">
        <v>558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679</v>
      </c>
      <c r="E94" s="135" t="s">
        <v>478</v>
      </c>
      <c r="F94" s="138" t="s">
        <v>622</v>
      </c>
      <c r="G94" s="139" t="s">
        <v>371</v>
      </c>
      <c r="H94" s="140" t="s">
        <v>489</v>
      </c>
      <c r="I94" s="141">
        <v>1</v>
      </c>
      <c r="J94" s="142">
        <v>15722</v>
      </c>
      <c r="K94" s="142">
        <v>15722</v>
      </c>
      <c r="L94" s="167" t="s">
        <v>558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680</v>
      </c>
      <c r="E95" s="135" t="s">
        <v>545</v>
      </c>
      <c r="F95" s="138" t="s">
        <v>116</v>
      </c>
      <c r="G95" s="139" t="s">
        <v>562</v>
      </c>
      <c r="H95" s="140" t="s">
        <v>573</v>
      </c>
      <c r="I95" s="141">
        <v>1</v>
      </c>
      <c r="J95" s="142">
        <v>5274</v>
      </c>
      <c r="K95" s="142">
        <v>5274</v>
      </c>
      <c r="L95" s="167" t="s">
        <v>558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680</v>
      </c>
      <c r="E96" s="135" t="s">
        <v>545</v>
      </c>
      <c r="F96" s="138" t="s">
        <v>210</v>
      </c>
      <c r="G96" s="139" t="s">
        <v>562</v>
      </c>
      <c r="H96" s="140" t="s">
        <v>563</v>
      </c>
      <c r="I96" s="141">
        <v>1</v>
      </c>
      <c r="J96" s="142">
        <v>14099</v>
      </c>
      <c r="K96" s="142">
        <v>14099</v>
      </c>
      <c r="L96" s="167" t="s">
        <v>558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680</v>
      </c>
      <c r="E97" s="135" t="s">
        <v>545</v>
      </c>
      <c r="F97" s="138" t="s">
        <v>537</v>
      </c>
      <c r="G97" s="139" t="s">
        <v>417</v>
      </c>
      <c r="H97" s="140" t="s">
        <v>563</v>
      </c>
      <c r="I97" s="141">
        <v>1</v>
      </c>
      <c r="J97" s="142">
        <v>30429</v>
      </c>
      <c r="K97" s="142">
        <v>30429</v>
      </c>
      <c r="L97" s="167" t="s">
        <v>558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681</v>
      </c>
      <c r="E98" s="135" t="s">
        <v>545</v>
      </c>
      <c r="F98" s="138" t="s">
        <v>682</v>
      </c>
      <c r="G98" s="139" t="s">
        <v>371</v>
      </c>
      <c r="H98" s="140" t="s">
        <v>486</v>
      </c>
      <c r="I98" s="141">
        <v>1</v>
      </c>
      <c r="J98" s="142">
        <v>55058</v>
      </c>
      <c r="K98" s="142">
        <v>55058</v>
      </c>
      <c r="L98" s="167" t="s">
        <v>558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683</v>
      </c>
      <c r="E99" s="135" t="s">
        <v>545</v>
      </c>
      <c r="F99" s="138" t="s">
        <v>580</v>
      </c>
      <c r="G99" s="139" t="s">
        <v>371</v>
      </c>
      <c r="H99" s="140"/>
      <c r="I99" s="141">
        <v>1</v>
      </c>
      <c r="J99" s="142">
        <v>25800</v>
      </c>
      <c r="K99" s="142">
        <v>25800</v>
      </c>
      <c r="L99" s="167" t="s">
        <v>558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660</v>
      </c>
      <c r="E100" s="135" t="s">
        <v>545</v>
      </c>
      <c r="F100" s="138" t="s">
        <v>116</v>
      </c>
      <c r="G100" s="139" t="s">
        <v>442</v>
      </c>
      <c r="H100" s="140" t="s">
        <v>489</v>
      </c>
      <c r="I100" s="141">
        <v>1</v>
      </c>
      <c r="J100" s="142">
        <v>5274</v>
      </c>
      <c r="K100" s="142">
        <v>5274</v>
      </c>
      <c r="L100" s="167" t="s">
        <v>558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660</v>
      </c>
      <c r="E101" s="135" t="s">
        <v>545</v>
      </c>
      <c r="F101" s="138" t="s">
        <v>210</v>
      </c>
      <c r="G101" s="139" t="s">
        <v>442</v>
      </c>
      <c r="H101" s="140" t="s">
        <v>489</v>
      </c>
      <c r="I101" s="141">
        <v>1</v>
      </c>
      <c r="J101" s="142">
        <v>14099</v>
      </c>
      <c r="K101" s="142">
        <v>14099</v>
      </c>
      <c r="L101" s="167" t="s">
        <v>558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660</v>
      </c>
      <c r="E102" s="135" t="s">
        <v>545</v>
      </c>
      <c r="F102" s="138" t="s">
        <v>115</v>
      </c>
      <c r="G102" s="139" t="s">
        <v>442</v>
      </c>
      <c r="H102" s="140" t="s">
        <v>629</v>
      </c>
      <c r="I102" s="141">
        <v>1</v>
      </c>
      <c r="J102" s="142">
        <v>33370</v>
      </c>
      <c r="K102" s="142">
        <v>33370</v>
      </c>
      <c r="L102" s="167" t="s">
        <v>558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684</v>
      </c>
      <c r="E103" s="135" t="s">
        <v>545</v>
      </c>
      <c r="F103" s="138" t="s">
        <v>537</v>
      </c>
      <c r="G103" s="139" t="s">
        <v>472</v>
      </c>
      <c r="H103" s="140" t="s">
        <v>563</v>
      </c>
      <c r="I103" s="141">
        <v>1</v>
      </c>
      <c r="J103" s="142">
        <v>30429</v>
      </c>
      <c r="K103" s="142">
        <v>30429</v>
      </c>
      <c r="L103" s="167" t="s">
        <v>558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685</v>
      </c>
      <c r="E104" s="135" t="s">
        <v>545</v>
      </c>
      <c r="F104" s="138" t="s">
        <v>537</v>
      </c>
      <c r="G104" s="139" t="s">
        <v>645</v>
      </c>
      <c r="H104" s="140" t="s">
        <v>629</v>
      </c>
      <c r="I104" s="141">
        <v>1</v>
      </c>
      <c r="J104" s="142">
        <v>30429</v>
      </c>
      <c r="K104" s="142">
        <v>30429</v>
      </c>
      <c r="L104" s="167" t="s">
        <v>558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686</v>
      </c>
      <c r="E105" s="135" t="s">
        <v>545</v>
      </c>
      <c r="F105" s="138" t="s">
        <v>580</v>
      </c>
      <c r="G105" s="139" t="s">
        <v>371</v>
      </c>
      <c r="H105" s="140"/>
      <c r="I105" s="141">
        <v>1</v>
      </c>
      <c r="J105" s="142">
        <v>25800</v>
      </c>
      <c r="K105" s="142">
        <v>25800</v>
      </c>
      <c r="L105" s="167" t="s">
        <v>558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687</v>
      </c>
      <c r="E106" s="135" t="s">
        <v>376</v>
      </c>
      <c r="F106" s="138" t="s">
        <v>217</v>
      </c>
      <c r="G106" s="139" t="s">
        <v>371</v>
      </c>
      <c r="H106" s="140" t="s">
        <v>573</v>
      </c>
      <c r="I106" s="141">
        <v>1</v>
      </c>
      <c r="J106" s="142">
        <v>44597</v>
      </c>
      <c r="K106" s="142">
        <v>44597</v>
      </c>
      <c r="L106" s="167" t="s">
        <v>558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688</v>
      </c>
      <c r="E107" s="135" t="s">
        <v>389</v>
      </c>
      <c r="F107" s="138" t="s">
        <v>115</v>
      </c>
      <c r="G107" s="139" t="s">
        <v>404</v>
      </c>
      <c r="H107" s="140"/>
      <c r="I107" s="141">
        <v>1</v>
      </c>
      <c r="J107" s="142">
        <v>33370</v>
      </c>
      <c r="K107" s="142">
        <v>33370</v>
      </c>
      <c r="L107" s="167" t="s">
        <v>558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625</v>
      </c>
      <c r="E108" s="135" t="s">
        <v>689</v>
      </c>
      <c r="F108" s="138" t="s">
        <v>116</v>
      </c>
      <c r="G108" s="139" t="s">
        <v>562</v>
      </c>
      <c r="H108" s="140" t="s">
        <v>573</v>
      </c>
      <c r="I108" s="141">
        <v>1</v>
      </c>
      <c r="J108" s="142">
        <v>5274</v>
      </c>
      <c r="K108" s="142">
        <v>5274</v>
      </c>
      <c r="L108" s="170" t="s">
        <v>581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625</v>
      </c>
      <c r="E109" s="135" t="s">
        <v>689</v>
      </c>
      <c r="F109" s="138" t="s">
        <v>115</v>
      </c>
      <c r="G109" s="139" t="s">
        <v>562</v>
      </c>
      <c r="H109" s="140" t="s">
        <v>690</v>
      </c>
      <c r="I109" s="141">
        <v>1</v>
      </c>
      <c r="J109" s="142">
        <v>33370</v>
      </c>
      <c r="K109" s="142">
        <v>33370</v>
      </c>
      <c r="L109" s="170" t="s">
        <v>581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691</v>
      </c>
      <c r="E110" s="135" t="s">
        <v>381</v>
      </c>
      <c r="F110" s="138" t="s">
        <v>537</v>
      </c>
      <c r="G110" s="139" t="s">
        <v>419</v>
      </c>
      <c r="H110" s="140" t="s">
        <v>563</v>
      </c>
      <c r="I110" s="141">
        <v>1</v>
      </c>
      <c r="J110" s="142">
        <v>30429</v>
      </c>
      <c r="K110" s="142">
        <v>30429</v>
      </c>
      <c r="L110" s="170" t="s">
        <v>581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692</v>
      </c>
      <c r="E111" s="135" t="s">
        <v>478</v>
      </c>
      <c r="F111" s="138" t="s">
        <v>116</v>
      </c>
      <c r="G111" s="139" t="s">
        <v>410</v>
      </c>
      <c r="H111" s="140" t="s">
        <v>486</v>
      </c>
      <c r="I111" s="141">
        <v>1</v>
      </c>
      <c r="J111" s="142">
        <v>5274</v>
      </c>
      <c r="K111" s="142">
        <v>5274</v>
      </c>
      <c r="L111" s="170" t="s">
        <v>581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375</v>
      </c>
      <c r="E112" s="135" t="s">
        <v>689</v>
      </c>
      <c r="F112" s="138" t="s">
        <v>116</v>
      </c>
      <c r="G112" s="139" t="s">
        <v>445</v>
      </c>
      <c r="H112" s="140" t="s">
        <v>693</v>
      </c>
      <c r="I112" s="141">
        <v>1</v>
      </c>
      <c r="J112" s="142">
        <v>5274</v>
      </c>
      <c r="K112" s="142">
        <v>5274</v>
      </c>
      <c r="L112" s="170" t="s">
        <v>581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694</v>
      </c>
      <c r="E113" s="135" t="s">
        <v>376</v>
      </c>
      <c r="F113" s="138" t="s">
        <v>217</v>
      </c>
      <c r="G113" s="139" t="s">
        <v>371</v>
      </c>
      <c r="H113" s="140" t="s">
        <v>486</v>
      </c>
      <c r="I113" s="141">
        <v>1</v>
      </c>
      <c r="J113" s="142">
        <v>44597</v>
      </c>
      <c r="K113" s="142">
        <v>44597</v>
      </c>
      <c r="L113" s="170" t="s">
        <v>581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695</v>
      </c>
      <c r="E114" s="135" t="s">
        <v>689</v>
      </c>
      <c r="F114" s="138" t="s">
        <v>580</v>
      </c>
      <c r="G114" s="139" t="s">
        <v>371</v>
      </c>
      <c r="H114" s="140"/>
      <c r="I114" s="141">
        <v>1</v>
      </c>
      <c r="J114" s="142">
        <v>25800</v>
      </c>
      <c r="K114" s="142">
        <v>25800</v>
      </c>
      <c r="L114" s="170" t="s">
        <v>581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628</v>
      </c>
      <c r="E115" s="135" t="s">
        <v>389</v>
      </c>
      <c r="F115" s="138" t="s">
        <v>682</v>
      </c>
      <c r="G115" s="139" t="s">
        <v>485</v>
      </c>
      <c r="H115" s="140" t="s">
        <v>489</v>
      </c>
      <c r="I115" s="141">
        <v>2</v>
      </c>
      <c r="J115" s="142">
        <v>55058</v>
      </c>
      <c r="K115" s="142">
        <v>110116</v>
      </c>
      <c r="L115" s="170" t="s">
        <v>581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696</v>
      </c>
      <c r="E116" s="135" t="s">
        <v>697</v>
      </c>
      <c r="F116" s="138" t="s">
        <v>580</v>
      </c>
      <c r="G116" s="139" t="s">
        <v>371</v>
      </c>
      <c r="H116" s="140"/>
      <c r="I116" s="141">
        <v>1</v>
      </c>
      <c r="J116" s="142">
        <v>25800</v>
      </c>
      <c r="K116" s="142">
        <v>25800</v>
      </c>
      <c r="L116" s="170" t="s">
        <v>581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698</v>
      </c>
      <c r="E117" s="135" t="s">
        <v>689</v>
      </c>
      <c r="F117" s="138" t="s">
        <v>537</v>
      </c>
      <c r="G117" s="139" t="s">
        <v>527</v>
      </c>
      <c r="H117" s="140" t="s">
        <v>569</v>
      </c>
      <c r="I117" s="141">
        <v>1</v>
      </c>
      <c r="J117" s="142">
        <v>30429</v>
      </c>
      <c r="K117" s="142">
        <v>30429</v>
      </c>
      <c r="L117" s="170" t="s">
        <v>581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699</v>
      </c>
      <c r="E118" s="135" t="s">
        <v>389</v>
      </c>
      <c r="F118" s="138" t="s">
        <v>217</v>
      </c>
      <c r="G118" s="139" t="s">
        <v>485</v>
      </c>
      <c r="H118" s="140" t="s">
        <v>489</v>
      </c>
      <c r="I118" s="141">
        <v>2</v>
      </c>
      <c r="J118" s="142">
        <v>44597</v>
      </c>
      <c r="K118" s="142">
        <v>89194</v>
      </c>
      <c r="L118" s="170" t="s">
        <v>581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700</v>
      </c>
      <c r="E119" s="135" t="s">
        <v>389</v>
      </c>
      <c r="F119" s="138" t="s">
        <v>217</v>
      </c>
      <c r="G119" s="139" t="s">
        <v>387</v>
      </c>
      <c r="H119" s="140" t="s">
        <v>489</v>
      </c>
      <c r="I119" s="141">
        <v>2</v>
      </c>
      <c r="J119" s="142">
        <v>44597</v>
      </c>
      <c r="K119" s="142">
        <v>89194</v>
      </c>
      <c r="L119" s="170" t="s">
        <v>581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701</v>
      </c>
      <c r="E120" s="135" t="s">
        <v>689</v>
      </c>
      <c r="F120" s="138" t="s">
        <v>237</v>
      </c>
      <c r="G120" s="139" t="s">
        <v>369</v>
      </c>
      <c r="H120" s="140"/>
      <c r="I120" s="141">
        <v>1</v>
      </c>
      <c r="J120" s="142">
        <v>10401</v>
      </c>
      <c r="K120" s="142">
        <v>10401</v>
      </c>
      <c r="L120" s="170" t="s">
        <v>581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702</v>
      </c>
      <c r="E121" s="135" t="s">
        <v>389</v>
      </c>
      <c r="F121" s="138" t="s">
        <v>217</v>
      </c>
      <c r="G121" s="139" t="s">
        <v>485</v>
      </c>
      <c r="H121" s="140" t="s">
        <v>703</v>
      </c>
      <c r="I121" s="141">
        <v>2</v>
      </c>
      <c r="J121" s="142">
        <v>44597</v>
      </c>
      <c r="K121" s="142">
        <v>89194</v>
      </c>
      <c r="L121" s="170" t="s">
        <v>581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704</v>
      </c>
      <c r="E122" s="135" t="s">
        <v>689</v>
      </c>
      <c r="F122" s="138" t="s">
        <v>217</v>
      </c>
      <c r="G122" s="139" t="s">
        <v>485</v>
      </c>
      <c r="H122" s="140"/>
      <c r="I122" s="141">
        <v>1</v>
      </c>
      <c r="J122" s="142">
        <v>44597</v>
      </c>
      <c r="K122" s="142">
        <v>44597</v>
      </c>
      <c r="L122" s="170" t="s">
        <v>581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705</v>
      </c>
      <c r="E123" s="135" t="s">
        <v>389</v>
      </c>
      <c r="F123" s="138" t="s">
        <v>537</v>
      </c>
      <c r="G123" s="139" t="s">
        <v>527</v>
      </c>
      <c r="H123" s="140" t="s">
        <v>629</v>
      </c>
      <c r="I123" s="141">
        <v>1</v>
      </c>
      <c r="J123" s="142">
        <v>30429</v>
      </c>
      <c r="K123" s="142">
        <v>30429</v>
      </c>
      <c r="L123" s="170" t="s">
        <v>581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706</v>
      </c>
      <c r="E124" s="135" t="s">
        <v>478</v>
      </c>
      <c r="F124" s="138" t="s">
        <v>217</v>
      </c>
      <c r="G124" s="139" t="s">
        <v>387</v>
      </c>
      <c r="H124" s="140" t="s">
        <v>489</v>
      </c>
      <c r="I124" s="141">
        <v>2</v>
      </c>
      <c r="J124" s="142">
        <v>44597</v>
      </c>
      <c r="K124" s="142">
        <v>89194</v>
      </c>
      <c r="L124" s="170" t="s">
        <v>581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707</v>
      </c>
      <c r="E125" s="135" t="s">
        <v>689</v>
      </c>
      <c r="F125" s="138" t="s">
        <v>537</v>
      </c>
      <c r="G125" s="139" t="s">
        <v>511</v>
      </c>
      <c r="H125" s="140" t="s">
        <v>569</v>
      </c>
      <c r="I125" s="141">
        <v>1</v>
      </c>
      <c r="J125" s="171">
        <v>30429</v>
      </c>
      <c r="K125" s="142">
        <v>30429</v>
      </c>
      <c r="L125" s="170" t="s">
        <v>581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707</v>
      </c>
      <c r="E126" s="135" t="s">
        <v>376</v>
      </c>
      <c r="F126" s="138" t="s">
        <v>188</v>
      </c>
      <c r="G126" s="139" t="s">
        <v>708</v>
      </c>
      <c r="H126" s="140" t="s">
        <v>629</v>
      </c>
      <c r="I126" s="141">
        <v>2</v>
      </c>
      <c r="J126" s="142">
        <v>42601</v>
      </c>
      <c r="K126" s="142">
        <v>85202</v>
      </c>
      <c r="L126" s="170" t="s">
        <v>581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680</v>
      </c>
      <c r="E127" s="135" t="s">
        <v>389</v>
      </c>
      <c r="F127" s="138" t="s">
        <v>115</v>
      </c>
      <c r="G127" s="139" t="s">
        <v>562</v>
      </c>
      <c r="H127" s="140" t="s">
        <v>563</v>
      </c>
      <c r="I127" s="141">
        <v>1</v>
      </c>
      <c r="J127" s="142">
        <v>33370</v>
      </c>
      <c r="K127" s="142">
        <v>33370</v>
      </c>
      <c r="L127" s="170" t="s">
        <v>581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709</v>
      </c>
      <c r="E128" s="135" t="s">
        <v>389</v>
      </c>
      <c r="F128" s="138" t="s">
        <v>217</v>
      </c>
      <c r="G128" s="139" t="s">
        <v>369</v>
      </c>
      <c r="H128" s="140" t="s">
        <v>489</v>
      </c>
      <c r="I128" s="141">
        <v>1</v>
      </c>
      <c r="J128" s="142">
        <v>44597</v>
      </c>
      <c r="K128" s="142">
        <v>44597</v>
      </c>
      <c r="L128" s="170" t="s">
        <v>581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710</v>
      </c>
      <c r="E129" s="135" t="s">
        <v>689</v>
      </c>
      <c r="F129" s="138" t="s">
        <v>580</v>
      </c>
      <c r="G129" s="139" t="s">
        <v>371</v>
      </c>
      <c r="H129" s="140"/>
      <c r="I129" s="141">
        <v>1</v>
      </c>
      <c r="J129" s="142">
        <v>25800</v>
      </c>
      <c r="K129" s="142">
        <v>25800</v>
      </c>
      <c r="L129" s="170" t="s">
        <v>581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711</v>
      </c>
      <c r="E130" s="135" t="s">
        <v>478</v>
      </c>
      <c r="F130" s="138" t="s">
        <v>237</v>
      </c>
      <c r="G130" s="139" t="s">
        <v>369</v>
      </c>
      <c r="H130" s="140"/>
      <c r="I130" s="141">
        <v>1</v>
      </c>
      <c r="J130" s="142">
        <v>10401</v>
      </c>
      <c r="K130" s="142">
        <v>10401</v>
      </c>
      <c r="L130" s="170" t="s">
        <v>581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712</v>
      </c>
      <c r="E131" s="135" t="s">
        <v>689</v>
      </c>
      <c r="F131" s="138" t="s">
        <v>115</v>
      </c>
      <c r="G131" s="139" t="s">
        <v>419</v>
      </c>
      <c r="H131" s="140" t="s">
        <v>629</v>
      </c>
      <c r="I131" s="141">
        <v>1</v>
      </c>
      <c r="J131" s="142">
        <v>33370</v>
      </c>
      <c r="K131" s="142">
        <v>33370</v>
      </c>
      <c r="L131" s="170" t="s">
        <v>581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713</v>
      </c>
      <c r="E132" s="135" t="s">
        <v>689</v>
      </c>
      <c r="F132" s="138" t="s">
        <v>537</v>
      </c>
      <c r="G132" s="139" t="s">
        <v>415</v>
      </c>
      <c r="H132" s="140" t="s">
        <v>569</v>
      </c>
      <c r="I132" s="141">
        <v>1</v>
      </c>
      <c r="J132" s="142">
        <v>30429</v>
      </c>
      <c r="K132" s="142">
        <v>30429</v>
      </c>
      <c r="L132" s="170" t="s">
        <v>581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714</v>
      </c>
      <c r="E133" s="135" t="s">
        <v>381</v>
      </c>
      <c r="F133" s="138" t="s">
        <v>537</v>
      </c>
      <c r="G133" s="139" t="s">
        <v>431</v>
      </c>
      <c r="H133" s="140" t="s">
        <v>583</v>
      </c>
      <c r="I133" s="141">
        <v>1</v>
      </c>
      <c r="J133" s="142">
        <v>30429</v>
      </c>
      <c r="K133" s="142">
        <v>30429</v>
      </c>
      <c r="L133" s="170" t="s">
        <v>581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715</v>
      </c>
      <c r="E134" s="135" t="s">
        <v>376</v>
      </c>
      <c r="F134" s="138" t="s">
        <v>219</v>
      </c>
      <c r="G134" s="139" t="s">
        <v>371</v>
      </c>
      <c r="H134" s="140" t="s">
        <v>486</v>
      </c>
      <c r="I134" s="141">
        <v>1</v>
      </c>
      <c r="J134" s="142">
        <v>22299</v>
      </c>
      <c r="K134" s="142">
        <v>22299</v>
      </c>
      <c r="L134" s="173" t="s">
        <v>600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716</v>
      </c>
      <c r="E135" s="135" t="s">
        <v>376</v>
      </c>
      <c r="F135" s="138" t="s">
        <v>217</v>
      </c>
      <c r="G135" s="139" t="s">
        <v>371</v>
      </c>
      <c r="H135" s="140" t="s">
        <v>489</v>
      </c>
      <c r="I135" s="141">
        <v>1</v>
      </c>
      <c r="J135" s="142">
        <v>44597</v>
      </c>
      <c r="K135" s="142">
        <v>44597</v>
      </c>
      <c r="L135" s="173" t="s">
        <v>600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717</v>
      </c>
      <c r="E136" s="174" t="s">
        <v>389</v>
      </c>
      <c r="F136" s="176" t="s">
        <v>237</v>
      </c>
      <c r="G136" s="177" t="s">
        <v>369</v>
      </c>
      <c r="H136" s="178"/>
      <c r="I136" s="179">
        <v>1</v>
      </c>
      <c r="J136" s="142">
        <v>10401</v>
      </c>
      <c r="K136" s="142">
        <v>10401</v>
      </c>
      <c r="L136" s="173" t="s">
        <v>600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717</v>
      </c>
      <c r="E137" s="135" t="s">
        <v>389</v>
      </c>
      <c r="F137" s="138" t="s">
        <v>682</v>
      </c>
      <c r="G137" s="139" t="s">
        <v>369</v>
      </c>
      <c r="H137" s="140" t="s">
        <v>718</v>
      </c>
      <c r="I137" s="141">
        <v>1</v>
      </c>
      <c r="J137" s="142">
        <v>55058</v>
      </c>
      <c r="K137" s="142">
        <v>55058</v>
      </c>
      <c r="L137" s="173" t="s">
        <v>600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719</v>
      </c>
      <c r="E138" s="135" t="s">
        <v>376</v>
      </c>
      <c r="F138" s="138" t="s">
        <v>580</v>
      </c>
      <c r="G138" s="139" t="s">
        <v>371</v>
      </c>
      <c r="H138" s="140" t="s">
        <v>629</v>
      </c>
      <c r="I138" s="141">
        <v>1</v>
      </c>
      <c r="J138" s="142">
        <v>25800</v>
      </c>
      <c r="K138" s="142">
        <v>25800</v>
      </c>
      <c r="L138" s="173" t="s">
        <v>600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720</v>
      </c>
      <c r="E139" s="135" t="s">
        <v>381</v>
      </c>
      <c r="F139" s="138" t="s">
        <v>217</v>
      </c>
      <c r="G139" s="139" t="s">
        <v>369</v>
      </c>
      <c r="H139" s="140" t="s">
        <v>721</v>
      </c>
      <c r="I139" s="141">
        <v>1</v>
      </c>
      <c r="J139" s="142">
        <v>44597</v>
      </c>
      <c r="K139" s="142">
        <v>44597</v>
      </c>
      <c r="L139" s="173" t="s">
        <v>600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722</v>
      </c>
      <c r="E140" s="135" t="s">
        <v>376</v>
      </c>
      <c r="F140" s="138" t="s">
        <v>682</v>
      </c>
      <c r="G140" s="139" t="s">
        <v>371</v>
      </c>
      <c r="H140" s="140" t="s">
        <v>489</v>
      </c>
      <c r="I140" s="141">
        <v>1</v>
      </c>
      <c r="J140" s="142">
        <v>55058</v>
      </c>
      <c r="K140" s="142">
        <v>55058</v>
      </c>
      <c r="L140" s="173" t="s">
        <v>600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723</v>
      </c>
      <c r="E141" s="135" t="s">
        <v>724</v>
      </c>
      <c r="F141" s="138" t="s">
        <v>115</v>
      </c>
      <c r="G141" s="139" t="s">
        <v>725</v>
      </c>
      <c r="H141" s="140"/>
      <c r="I141" s="141">
        <v>3</v>
      </c>
      <c r="J141" s="142">
        <v>33370</v>
      </c>
      <c r="K141" s="142">
        <v>100110</v>
      </c>
      <c r="L141" s="173" t="s">
        <v>600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726</v>
      </c>
      <c r="E142" s="135" t="s">
        <v>376</v>
      </c>
      <c r="F142" s="138" t="s">
        <v>217</v>
      </c>
      <c r="G142" s="139" t="s">
        <v>485</v>
      </c>
      <c r="H142" s="140" t="s">
        <v>489</v>
      </c>
      <c r="I142" s="141">
        <v>2</v>
      </c>
      <c r="J142" s="142">
        <v>44597</v>
      </c>
      <c r="K142" s="142">
        <v>89194</v>
      </c>
      <c r="L142" s="173" t="s">
        <v>600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727</v>
      </c>
      <c r="E143" s="135" t="s">
        <v>376</v>
      </c>
      <c r="F143" s="138" t="s">
        <v>682</v>
      </c>
      <c r="G143" s="139" t="s">
        <v>371</v>
      </c>
      <c r="H143" s="140" t="s">
        <v>718</v>
      </c>
      <c r="I143" s="141">
        <v>1</v>
      </c>
      <c r="J143" s="142">
        <v>55058</v>
      </c>
      <c r="K143" s="142">
        <v>55058</v>
      </c>
      <c r="L143" s="173" t="s">
        <v>600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728</v>
      </c>
      <c r="E144" s="135" t="s">
        <v>389</v>
      </c>
      <c r="F144" s="138" t="s">
        <v>537</v>
      </c>
      <c r="G144" s="139" t="s">
        <v>472</v>
      </c>
      <c r="H144" s="140" t="s">
        <v>729</v>
      </c>
      <c r="I144" s="141">
        <v>1</v>
      </c>
      <c r="J144" s="142">
        <v>30429</v>
      </c>
      <c r="K144" s="142">
        <v>30429</v>
      </c>
      <c r="L144" s="173" t="s">
        <v>606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730</v>
      </c>
      <c r="E145" s="135" t="s">
        <v>381</v>
      </c>
      <c r="F145" s="138" t="s">
        <v>580</v>
      </c>
      <c r="G145" s="139" t="s">
        <v>371</v>
      </c>
      <c r="H145" s="140"/>
      <c r="I145" s="141">
        <v>1</v>
      </c>
      <c r="J145" s="142">
        <v>25800</v>
      </c>
      <c r="K145" s="142">
        <v>25800</v>
      </c>
      <c r="L145" s="173" t="s">
        <v>606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393</v>
      </c>
      <c r="E146" s="135" t="s">
        <v>381</v>
      </c>
      <c r="F146" s="138" t="s">
        <v>217</v>
      </c>
      <c r="G146" s="139" t="s">
        <v>371</v>
      </c>
      <c r="H146" s="140" t="s">
        <v>489</v>
      </c>
      <c r="I146" s="141">
        <v>1</v>
      </c>
      <c r="J146" s="142">
        <v>44597</v>
      </c>
      <c r="K146" s="142">
        <v>44597</v>
      </c>
      <c r="L146" s="173" t="s">
        <v>606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731</v>
      </c>
      <c r="E147" s="135" t="s">
        <v>376</v>
      </c>
      <c r="F147" s="138" t="s">
        <v>217</v>
      </c>
      <c r="G147" s="139" t="s">
        <v>371</v>
      </c>
      <c r="H147" s="140"/>
      <c r="I147" s="141">
        <v>1</v>
      </c>
      <c r="J147" s="142">
        <v>44597</v>
      </c>
      <c r="K147" s="142">
        <v>44597</v>
      </c>
      <c r="L147" s="173" t="s">
        <v>606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732</v>
      </c>
      <c r="E148" s="135" t="s">
        <v>389</v>
      </c>
      <c r="F148" s="138" t="s">
        <v>116</v>
      </c>
      <c r="G148" s="139" t="s">
        <v>419</v>
      </c>
      <c r="H148" s="140" t="s">
        <v>718</v>
      </c>
      <c r="I148" s="141">
        <v>1</v>
      </c>
      <c r="J148" s="142">
        <v>5274</v>
      </c>
      <c r="K148" s="142">
        <v>5274</v>
      </c>
      <c r="L148" s="173" t="s">
        <v>606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732</v>
      </c>
      <c r="E149" s="135" t="s">
        <v>389</v>
      </c>
      <c r="F149" s="138" t="s">
        <v>210</v>
      </c>
      <c r="G149" s="139" t="s">
        <v>419</v>
      </c>
      <c r="H149" s="140"/>
      <c r="I149" s="141">
        <v>1</v>
      </c>
      <c r="J149" s="142">
        <v>14099</v>
      </c>
      <c r="K149" s="142">
        <v>14099</v>
      </c>
      <c r="L149" s="173" t="s">
        <v>606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733</v>
      </c>
      <c r="E150" s="135" t="s">
        <v>376</v>
      </c>
      <c r="F150" s="138" t="s">
        <v>217</v>
      </c>
      <c r="G150" s="139" t="s">
        <v>371</v>
      </c>
      <c r="H150" s="140" t="s">
        <v>573</v>
      </c>
      <c r="I150" s="141">
        <v>1</v>
      </c>
      <c r="J150" s="142">
        <v>44597</v>
      </c>
      <c r="K150" s="142">
        <v>44597</v>
      </c>
      <c r="L150" s="173" t="s">
        <v>606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635</v>
      </c>
      <c r="E151" s="135" t="s">
        <v>478</v>
      </c>
      <c r="F151" s="138" t="s">
        <v>217</v>
      </c>
      <c r="G151" s="139" t="s">
        <v>369</v>
      </c>
      <c r="H151" s="140" t="s">
        <v>489</v>
      </c>
      <c r="I151" s="141">
        <v>1</v>
      </c>
      <c r="J151" s="142">
        <v>44597</v>
      </c>
      <c r="K151" s="142">
        <v>44597</v>
      </c>
      <c r="L151" s="173" t="s">
        <v>606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734</v>
      </c>
      <c r="E152" s="135" t="s">
        <v>389</v>
      </c>
      <c r="F152" s="138" t="s">
        <v>537</v>
      </c>
      <c r="G152" s="139" t="s">
        <v>472</v>
      </c>
      <c r="H152" s="140" t="s">
        <v>735</v>
      </c>
      <c r="I152" s="141">
        <v>1</v>
      </c>
      <c r="J152" s="142">
        <v>30429</v>
      </c>
      <c r="K152" s="142">
        <v>30429</v>
      </c>
      <c r="L152" s="173" t="s">
        <v>606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736</v>
      </c>
      <c r="E153" s="135" t="s">
        <v>389</v>
      </c>
      <c r="F153" s="138" t="s">
        <v>537</v>
      </c>
      <c r="G153" s="139" t="s">
        <v>431</v>
      </c>
      <c r="H153" s="140" t="s">
        <v>737</v>
      </c>
      <c r="I153" s="141">
        <v>1</v>
      </c>
      <c r="J153" s="142">
        <v>30429</v>
      </c>
      <c r="K153" s="142">
        <v>30429</v>
      </c>
      <c r="L153" s="173" t="s">
        <v>606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738</v>
      </c>
      <c r="E154" s="135" t="s">
        <v>381</v>
      </c>
      <c r="F154" s="138" t="s">
        <v>682</v>
      </c>
      <c r="G154" s="139" t="s">
        <v>371</v>
      </c>
      <c r="H154" s="140" t="s">
        <v>489</v>
      </c>
      <c r="I154" s="141">
        <v>1</v>
      </c>
      <c r="J154" s="142">
        <v>55058</v>
      </c>
      <c r="K154" s="142">
        <v>55058</v>
      </c>
      <c r="L154" s="173" t="s">
        <v>606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739</v>
      </c>
      <c r="E155" s="135" t="s">
        <v>381</v>
      </c>
      <c r="F155" s="138" t="s">
        <v>537</v>
      </c>
      <c r="G155" s="139" t="s">
        <v>472</v>
      </c>
      <c r="H155" s="140" t="s">
        <v>642</v>
      </c>
      <c r="I155" s="141">
        <v>1</v>
      </c>
      <c r="J155" s="142">
        <v>30429</v>
      </c>
      <c r="K155" s="142">
        <v>30429</v>
      </c>
      <c r="L155" s="173" t="s">
        <v>606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740</v>
      </c>
      <c r="E156" s="135" t="s">
        <v>376</v>
      </c>
      <c r="F156" s="138" t="s">
        <v>682</v>
      </c>
      <c r="G156" s="139" t="s">
        <v>371</v>
      </c>
      <c r="H156" s="140" t="s">
        <v>573</v>
      </c>
      <c r="I156" s="141">
        <v>1</v>
      </c>
      <c r="J156" s="142">
        <v>55058</v>
      </c>
      <c r="K156" s="142">
        <v>55058</v>
      </c>
      <c r="L156" s="173" t="s">
        <v>606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741</v>
      </c>
      <c r="E157" s="135" t="s">
        <v>376</v>
      </c>
      <c r="F157" s="138" t="s">
        <v>217</v>
      </c>
      <c r="G157" s="139" t="s">
        <v>371</v>
      </c>
      <c r="H157" s="140" t="s">
        <v>573</v>
      </c>
      <c r="I157" s="141">
        <v>1</v>
      </c>
      <c r="J157" s="142">
        <v>44597</v>
      </c>
      <c r="K157" s="142">
        <v>44597</v>
      </c>
      <c r="L157" s="173" t="s">
        <v>606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742</v>
      </c>
      <c r="E158" s="174" t="s">
        <v>545</v>
      </c>
      <c r="F158" s="176" t="s">
        <v>217</v>
      </c>
      <c r="G158" s="177" t="s">
        <v>485</v>
      </c>
      <c r="H158" s="178" t="s">
        <v>743</v>
      </c>
      <c r="I158" s="179">
        <v>2</v>
      </c>
      <c r="J158" s="142">
        <v>44597</v>
      </c>
      <c r="K158" s="180" t="s">
        <v>744</v>
      </c>
      <c r="L158" s="173" t="s">
        <v>606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745</v>
      </c>
      <c r="E159" s="135" t="s">
        <v>746</v>
      </c>
      <c r="F159" s="138" t="s">
        <v>217</v>
      </c>
      <c r="G159" s="139" t="s">
        <v>371</v>
      </c>
      <c r="H159" s="140"/>
      <c r="I159" s="141">
        <v>1</v>
      </c>
      <c r="J159" s="142">
        <v>44597</v>
      </c>
      <c r="K159" s="142">
        <v>44597</v>
      </c>
      <c r="L159" s="173" t="s">
        <v>606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747</v>
      </c>
      <c r="E160" s="135" t="s">
        <v>376</v>
      </c>
      <c r="F160" s="138" t="s">
        <v>537</v>
      </c>
      <c r="G160" s="139" t="s">
        <v>415</v>
      </c>
      <c r="H160" s="140" t="s">
        <v>554</v>
      </c>
      <c r="I160" s="141">
        <v>1</v>
      </c>
      <c r="J160" s="142">
        <v>30429</v>
      </c>
      <c r="K160" s="142">
        <v>30429</v>
      </c>
      <c r="L160" s="173" t="s">
        <v>606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748</v>
      </c>
      <c r="E161" s="135" t="s">
        <v>389</v>
      </c>
      <c r="F161" s="138" t="s">
        <v>537</v>
      </c>
      <c r="G161" s="139" t="s">
        <v>527</v>
      </c>
      <c r="H161" s="140" t="s">
        <v>554</v>
      </c>
      <c r="I161" s="141">
        <v>1</v>
      </c>
      <c r="J161" s="142">
        <v>30429</v>
      </c>
      <c r="K161" s="142">
        <v>30429</v>
      </c>
      <c r="L161" s="173" t="s">
        <v>606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749</v>
      </c>
      <c r="E162" s="135" t="s">
        <v>376</v>
      </c>
      <c r="F162" s="138" t="s">
        <v>217</v>
      </c>
      <c r="G162" s="139" t="s">
        <v>371</v>
      </c>
      <c r="H162" s="140"/>
      <c r="I162" s="141">
        <v>1</v>
      </c>
      <c r="J162" s="142">
        <v>44597</v>
      </c>
      <c r="K162" s="142">
        <v>44597</v>
      </c>
      <c r="L162" s="181" t="s">
        <v>608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750</v>
      </c>
      <c r="E163" s="135" t="s">
        <v>376</v>
      </c>
      <c r="F163" s="138" t="s">
        <v>219</v>
      </c>
      <c r="G163" s="139" t="s">
        <v>371</v>
      </c>
      <c r="H163" s="140"/>
      <c r="I163" s="141">
        <v>1</v>
      </c>
      <c r="J163" s="142">
        <v>22299</v>
      </c>
      <c r="K163" s="142">
        <v>22299</v>
      </c>
      <c r="L163" s="181" t="s">
        <v>608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751</v>
      </c>
      <c r="E164" s="135" t="s">
        <v>376</v>
      </c>
      <c r="F164" s="138" t="s">
        <v>116</v>
      </c>
      <c r="G164" s="139" t="s">
        <v>562</v>
      </c>
      <c r="H164" s="140"/>
      <c r="I164" s="141">
        <v>1</v>
      </c>
      <c r="J164" s="142">
        <v>5274</v>
      </c>
      <c r="K164" s="142">
        <v>5274</v>
      </c>
      <c r="L164" s="181" t="s">
        <v>608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752</v>
      </c>
      <c r="E165" s="135" t="s">
        <v>376</v>
      </c>
      <c r="F165" s="138" t="s">
        <v>217</v>
      </c>
      <c r="G165" s="139" t="s">
        <v>369</v>
      </c>
      <c r="H165" s="140"/>
      <c r="I165" s="141">
        <v>1</v>
      </c>
      <c r="J165" s="142">
        <v>44597</v>
      </c>
      <c r="K165" s="142">
        <v>44597</v>
      </c>
      <c r="L165" s="181" t="s">
        <v>608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753</v>
      </c>
      <c r="E166" s="135" t="s">
        <v>376</v>
      </c>
      <c r="F166" s="138" t="s">
        <v>217</v>
      </c>
      <c r="G166" s="139" t="s">
        <v>371</v>
      </c>
      <c r="H166" s="140"/>
      <c r="I166" s="141">
        <v>1</v>
      </c>
      <c r="J166" s="142">
        <v>44597</v>
      </c>
      <c r="K166" s="142">
        <v>44597</v>
      </c>
      <c r="L166" s="181" t="s">
        <v>608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652</v>
      </c>
      <c r="E167" s="135" t="s">
        <v>376</v>
      </c>
      <c r="F167" s="138" t="s">
        <v>217</v>
      </c>
      <c r="G167" s="139" t="s">
        <v>371</v>
      </c>
      <c r="H167" s="140"/>
      <c r="I167" s="141">
        <v>1</v>
      </c>
      <c r="J167" s="142">
        <v>44597</v>
      </c>
      <c r="K167" s="142">
        <v>44597</v>
      </c>
      <c r="L167" s="181" t="s">
        <v>608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754</v>
      </c>
      <c r="E168" s="135" t="s">
        <v>381</v>
      </c>
      <c r="F168" s="138" t="s">
        <v>217</v>
      </c>
      <c r="G168" s="139" t="s">
        <v>369</v>
      </c>
      <c r="H168" s="140"/>
      <c r="I168" s="141">
        <v>1</v>
      </c>
      <c r="J168" s="142">
        <v>44597</v>
      </c>
      <c r="K168" s="142">
        <v>44597</v>
      </c>
      <c r="L168" s="181" t="s">
        <v>608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755</v>
      </c>
      <c r="E169" s="135" t="s">
        <v>376</v>
      </c>
      <c r="F169" s="138" t="s">
        <v>580</v>
      </c>
      <c r="G169" s="139" t="s">
        <v>371</v>
      </c>
      <c r="H169" s="140"/>
      <c r="I169" s="141">
        <v>1</v>
      </c>
      <c r="J169" s="142">
        <v>25800</v>
      </c>
      <c r="K169" s="142">
        <v>25800</v>
      </c>
      <c r="L169" s="181" t="s">
        <v>608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756</v>
      </c>
      <c r="E170" s="135" t="s">
        <v>381</v>
      </c>
      <c r="F170" s="138" t="s">
        <v>580</v>
      </c>
      <c r="G170" s="139" t="s">
        <v>371</v>
      </c>
      <c r="H170" s="140"/>
      <c r="I170" s="141">
        <v>1</v>
      </c>
      <c r="J170" s="142">
        <v>25800</v>
      </c>
      <c r="K170" s="142">
        <v>25800</v>
      </c>
      <c r="L170" s="181" t="s">
        <v>608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757</v>
      </c>
      <c r="E171" s="135" t="s">
        <v>381</v>
      </c>
      <c r="F171" s="138" t="s">
        <v>217</v>
      </c>
      <c r="G171" s="139" t="s">
        <v>369</v>
      </c>
      <c r="H171" s="140"/>
      <c r="I171" s="141">
        <v>1</v>
      </c>
      <c r="J171" s="142">
        <v>44597</v>
      </c>
      <c r="K171" s="142">
        <v>44597</v>
      </c>
      <c r="L171" s="181" t="s">
        <v>608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758</v>
      </c>
      <c r="E172" s="135" t="s">
        <v>376</v>
      </c>
      <c r="F172" s="138" t="s">
        <v>217</v>
      </c>
      <c r="G172" s="139" t="s">
        <v>371</v>
      </c>
      <c r="H172" s="140"/>
      <c r="I172" s="141">
        <v>1</v>
      </c>
      <c r="J172" s="142">
        <v>44597</v>
      </c>
      <c r="K172" s="142">
        <v>44597</v>
      </c>
      <c r="L172" s="181" t="s">
        <v>608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759</v>
      </c>
      <c r="E173" s="135" t="s">
        <v>389</v>
      </c>
      <c r="F173" s="138" t="s">
        <v>217</v>
      </c>
      <c r="G173" s="139" t="s">
        <v>387</v>
      </c>
      <c r="H173" s="140"/>
      <c r="I173" s="141">
        <v>2</v>
      </c>
      <c r="J173" s="142">
        <v>44597</v>
      </c>
      <c r="K173" s="142">
        <v>89194</v>
      </c>
      <c r="L173" s="182" t="s">
        <v>760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761</v>
      </c>
      <c r="E174" s="135" t="s">
        <v>381</v>
      </c>
      <c r="F174" s="138" t="s">
        <v>217</v>
      </c>
      <c r="G174" s="139" t="s">
        <v>371</v>
      </c>
      <c r="H174" s="140"/>
      <c r="I174" s="141">
        <v>1</v>
      </c>
      <c r="J174" s="142">
        <v>44597</v>
      </c>
      <c r="K174" s="142">
        <v>44597</v>
      </c>
      <c r="L174" s="182" t="s">
        <v>760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762</v>
      </c>
      <c r="E175" s="135" t="s">
        <v>381</v>
      </c>
      <c r="F175" s="138" t="s">
        <v>537</v>
      </c>
      <c r="G175" s="139" t="s">
        <v>562</v>
      </c>
      <c r="H175" s="140"/>
      <c r="I175" s="141">
        <v>1</v>
      </c>
      <c r="J175" s="142">
        <v>30429</v>
      </c>
      <c r="K175" s="142">
        <v>30429</v>
      </c>
      <c r="L175" s="182" t="s">
        <v>760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763</v>
      </c>
      <c r="E176" s="135" t="s">
        <v>376</v>
      </c>
      <c r="F176" s="138" t="s">
        <v>580</v>
      </c>
      <c r="G176" s="139" t="s">
        <v>371</v>
      </c>
      <c r="H176" s="140"/>
      <c r="I176" s="141">
        <v>1</v>
      </c>
      <c r="J176" s="142">
        <v>25800</v>
      </c>
      <c r="K176" s="142">
        <v>25800</v>
      </c>
      <c r="L176" s="182" t="s">
        <v>760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764</v>
      </c>
      <c r="E177" s="135" t="s">
        <v>478</v>
      </c>
      <c r="F177" s="138" t="s">
        <v>219</v>
      </c>
      <c r="G177" s="139" t="s">
        <v>369</v>
      </c>
      <c r="H177" s="140"/>
      <c r="I177" s="141">
        <v>1</v>
      </c>
      <c r="J177" s="142">
        <v>22299</v>
      </c>
      <c r="K177" s="142">
        <v>22299</v>
      </c>
      <c r="L177" s="182" t="s">
        <v>760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765</v>
      </c>
      <c r="E178" s="135" t="s">
        <v>389</v>
      </c>
      <c r="F178" s="138" t="s">
        <v>217</v>
      </c>
      <c r="G178" s="139" t="s">
        <v>371</v>
      </c>
      <c r="H178" s="140"/>
      <c r="I178" s="141">
        <v>1</v>
      </c>
      <c r="J178" s="142">
        <v>44597</v>
      </c>
      <c r="K178" s="142">
        <v>44597</v>
      </c>
      <c r="L178" s="182" t="s">
        <v>760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766</v>
      </c>
      <c r="E179" s="135" t="s">
        <v>381</v>
      </c>
      <c r="F179" s="138" t="s">
        <v>537</v>
      </c>
      <c r="G179" s="139" t="s">
        <v>472</v>
      </c>
      <c r="H179" s="140"/>
      <c r="I179" s="141">
        <v>1</v>
      </c>
      <c r="J179" s="142">
        <v>30429</v>
      </c>
      <c r="K179" s="142">
        <v>30429</v>
      </c>
      <c r="L179" s="182" t="s">
        <v>760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767</v>
      </c>
      <c r="E180" s="135" t="s">
        <v>376</v>
      </c>
      <c r="F180" s="138" t="s">
        <v>217</v>
      </c>
      <c r="G180" s="139" t="s">
        <v>387</v>
      </c>
      <c r="H180" s="140"/>
      <c r="I180" s="141">
        <v>2</v>
      </c>
      <c r="J180" s="142">
        <v>44597</v>
      </c>
      <c r="K180" s="142">
        <v>89194</v>
      </c>
      <c r="L180" s="182" t="s">
        <v>760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768</v>
      </c>
      <c r="E181" s="135" t="s">
        <v>389</v>
      </c>
      <c r="F181" s="138" t="s">
        <v>237</v>
      </c>
      <c r="G181" s="139" t="s">
        <v>369</v>
      </c>
      <c r="H181" s="140"/>
      <c r="I181" s="141">
        <v>1</v>
      </c>
      <c r="J181" s="142">
        <v>10401</v>
      </c>
      <c r="K181" s="142">
        <v>10401</v>
      </c>
      <c r="L181" s="182" t="s">
        <v>760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769</v>
      </c>
      <c r="E182" s="135" t="s">
        <v>376</v>
      </c>
      <c r="F182" s="138" t="s">
        <v>682</v>
      </c>
      <c r="G182" s="139" t="s">
        <v>371</v>
      </c>
      <c r="H182" s="140"/>
      <c r="I182" s="141">
        <v>1</v>
      </c>
      <c r="J182" s="142">
        <v>55058</v>
      </c>
      <c r="K182" s="142">
        <v>55058</v>
      </c>
      <c r="L182" s="182" t="s">
        <v>760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752</v>
      </c>
      <c r="E183" s="135" t="s">
        <v>376</v>
      </c>
      <c r="F183" s="138" t="s">
        <v>217</v>
      </c>
      <c r="G183" s="139" t="s">
        <v>371</v>
      </c>
      <c r="H183" s="140"/>
      <c r="I183" s="141">
        <v>1</v>
      </c>
      <c r="J183" s="142">
        <v>44597</v>
      </c>
      <c r="K183" s="142">
        <v>44597</v>
      </c>
      <c r="L183" s="182" t="s">
        <v>760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770</v>
      </c>
      <c r="E184" s="135" t="s">
        <v>389</v>
      </c>
      <c r="F184" s="138" t="s">
        <v>580</v>
      </c>
      <c r="G184" s="139" t="s">
        <v>371</v>
      </c>
      <c r="H184" s="140"/>
      <c r="I184" s="141">
        <v>1</v>
      </c>
      <c r="J184" s="142">
        <v>25800</v>
      </c>
      <c r="K184" s="142">
        <v>25800</v>
      </c>
      <c r="L184" s="182" t="s">
        <v>760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673</v>
      </c>
      <c r="E185" s="135" t="s">
        <v>381</v>
      </c>
      <c r="F185" s="138" t="s">
        <v>217</v>
      </c>
      <c r="G185" s="139" t="s">
        <v>369</v>
      </c>
      <c r="H185" s="140"/>
      <c r="I185" s="141">
        <v>1</v>
      </c>
      <c r="J185" s="142">
        <v>44597</v>
      </c>
      <c r="K185" s="142">
        <v>44597</v>
      </c>
      <c r="L185" s="182" t="s">
        <v>760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771</v>
      </c>
      <c r="E186" s="135" t="s">
        <v>478</v>
      </c>
      <c r="F186" s="138" t="s">
        <v>217</v>
      </c>
      <c r="G186" s="139" t="s">
        <v>371</v>
      </c>
      <c r="H186" s="140"/>
      <c r="I186" s="141">
        <v>1</v>
      </c>
      <c r="J186" s="142">
        <v>44597</v>
      </c>
      <c r="K186" s="142">
        <v>44597</v>
      </c>
      <c r="L186" s="182" t="s">
        <v>760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704</v>
      </c>
      <c r="E187" s="135" t="s">
        <v>381</v>
      </c>
      <c r="F187" s="138" t="s">
        <v>682</v>
      </c>
      <c r="G187" s="139" t="s">
        <v>371</v>
      </c>
      <c r="H187" s="140"/>
      <c r="I187" s="141">
        <v>1</v>
      </c>
      <c r="J187" s="142">
        <v>55058</v>
      </c>
      <c r="K187" s="142">
        <v>55058</v>
      </c>
      <c r="L187" s="182" t="s">
        <v>760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772</v>
      </c>
      <c r="E188" s="135" t="s">
        <v>478</v>
      </c>
      <c r="F188" s="138" t="s">
        <v>116</v>
      </c>
      <c r="G188" s="139" t="s">
        <v>445</v>
      </c>
      <c r="H188" s="140"/>
      <c r="I188" s="141">
        <v>1</v>
      </c>
      <c r="J188" s="142">
        <v>5274</v>
      </c>
      <c r="K188" s="142">
        <v>5274</v>
      </c>
      <c r="L188" s="182" t="s">
        <v>760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773</v>
      </c>
      <c r="E189" s="135" t="s">
        <v>376</v>
      </c>
      <c r="F189" s="138" t="s">
        <v>217</v>
      </c>
      <c r="G189" s="139" t="s">
        <v>371</v>
      </c>
      <c r="H189" s="140"/>
      <c r="I189" s="141">
        <v>1</v>
      </c>
      <c r="J189" s="142">
        <v>44597</v>
      </c>
      <c r="K189" s="142">
        <v>44597</v>
      </c>
      <c r="L189" s="182" t="s">
        <v>760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774</v>
      </c>
      <c r="E190" s="135" t="s">
        <v>381</v>
      </c>
      <c r="F190" s="138" t="s">
        <v>115</v>
      </c>
      <c r="G190" s="139" t="s">
        <v>511</v>
      </c>
      <c r="H190" s="140"/>
      <c r="I190" s="141">
        <v>1</v>
      </c>
      <c r="J190" s="142">
        <v>33370</v>
      </c>
      <c r="K190" s="142">
        <v>33370</v>
      </c>
      <c r="L190" s="182" t="s">
        <v>760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775</v>
      </c>
      <c r="E191" s="135" t="s">
        <v>381</v>
      </c>
      <c r="F191" s="138" t="s">
        <v>537</v>
      </c>
      <c r="G191" s="139" t="s">
        <v>431</v>
      </c>
      <c r="H191" s="140"/>
      <c r="I191" s="141">
        <v>1</v>
      </c>
      <c r="J191" s="142">
        <v>30429</v>
      </c>
      <c r="K191" s="142">
        <v>30429</v>
      </c>
      <c r="L191" s="182" t="s">
        <v>760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776</v>
      </c>
      <c r="E192" s="135" t="s">
        <v>389</v>
      </c>
      <c r="F192" s="138" t="s">
        <v>537</v>
      </c>
      <c r="G192" s="139" t="s">
        <v>562</v>
      </c>
      <c r="H192" s="140"/>
      <c r="I192" s="141">
        <v>1</v>
      </c>
      <c r="J192" s="142">
        <v>30429</v>
      </c>
      <c r="K192" s="142">
        <v>30429</v>
      </c>
      <c r="L192" s="182" t="s">
        <v>760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777</v>
      </c>
      <c r="E193" s="135" t="s">
        <v>381</v>
      </c>
      <c r="F193" s="138" t="s">
        <v>217</v>
      </c>
      <c r="G193" s="139" t="s">
        <v>371</v>
      </c>
      <c r="H193" s="140"/>
      <c r="I193" s="141">
        <v>1</v>
      </c>
      <c r="J193" s="142">
        <v>44597</v>
      </c>
      <c r="K193" s="142">
        <v>44597</v>
      </c>
      <c r="L193" s="182" t="s">
        <v>760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778</v>
      </c>
      <c r="E194" s="135" t="s">
        <v>521</v>
      </c>
      <c r="F194" s="138" t="s">
        <v>580</v>
      </c>
      <c r="G194" s="139" t="s">
        <v>371</v>
      </c>
      <c r="H194" s="140"/>
      <c r="I194" s="141">
        <v>1</v>
      </c>
      <c r="J194" s="142">
        <v>25800</v>
      </c>
      <c r="K194" s="142">
        <v>25800</v>
      </c>
      <c r="L194" s="182" t="s">
        <v>760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779</v>
      </c>
      <c r="E195" s="135" t="s">
        <v>376</v>
      </c>
      <c r="F195" s="138" t="s">
        <v>217</v>
      </c>
      <c r="G195" s="139" t="s">
        <v>369</v>
      </c>
      <c r="H195" s="140"/>
      <c r="I195" s="141">
        <v>1</v>
      </c>
      <c r="J195" s="142">
        <v>44597</v>
      </c>
      <c r="K195" s="142">
        <v>44597</v>
      </c>
      <c r="L195" s="182" t="s">
        <v>760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780</v>
      </c>
      <c r="E196" s="135" t="s">
        <v>389</v>
      </c>
      <c r="F196" s="138" t="s">
        <v>192</v>
      </c>
      <c r="G196" s="139" t="s">
        <v>410</v>
      </c>
      <c r="H196" s="140"/>
      <c r="I196" s="141">
        <v>1</v>
      </c>
      <c r="J196" s="142">
        <v>57960</v>
      </c>
      <c r="K196" s="142">
        <v>57960</v>
      </c>
      <c r="L196" s="182" t="s">
        <v>760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781</v>
      </c>
      <c r="E197" s="135" t="s">
        <v>478</v>
      </c>
      <c r="F197" s="138" t="s">
        <v>217</v>
      </c>
      <c r="G197" s="139" t="s">
        <v>371</v>
      </c>
      <c r="H197" s="140"/>
      <c r="I197" s="141">
        <v>1</v>
      </c>
      <c r="J197" s="142">
        <v>44597</v>
      </c>
      <c r="K197" s="142">
        <v>44597</v>
      </c>
      <c r="L197" s="182" t="s">
        <v>760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742</v>
      </c>
      <c r="E198" s="135" t="s">
        <v>381</v>
      </c>
      <c r="F198" s="138" t="s">
        <v>682</v>
      </c>
      <c r="G198" s="139" t="s">
        <v>369</v>
      </c>
      <c r="H198" s="140"/>
      <c r="I198" s="141">
        <v>1</v>
      </c>
      <c r="J198" s="142">
        <v>55058</v>
      </c>
      <c r="K198" s="142">
        <v>55058</v>
      </c>
      <c r="L198" s="182" t="s">
        <v>760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782</v>
      </c>
      <c r="E199" s="135" t="s">
        <v>389</v>
      </c>
      <c r="F199" s="138" t="s">
        <v>682</v>
      </c>
      <c r="G199" s="139" t="s">
        <v>371</v>
      </c>
      <c r="H199" s="140"/>
      <c r="I199" s="141">
        <v>1</v>
      </c>
      <c r="J199" s="142">
        <v>55058</v>
      </c>
      <c r="K199" s="142">
        <v>55058</v>
      </c>
      <c r="L199" s="182" t="s">
        <v>760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783</v>
      </c>
      <c r="E200" s="135" t="s">
        <v>381</v>
      </c>
      <c r="F200" s="138" t="s">
        <v>682</v>
      </c>
      <c r="G200" s="139" t="s">
        <v>387</v>
      </c>
      <c r="H200" s="140"/>
      <c r="I200" s="141">
        <v>2</v>
      </c>
      <c r="J200" s="142">
        <v>55058</v>
      </c>
      <c r="K200" s="142">
        <v>110116</v>
      </c>
      <c r="L200" s="182" t="s">
        <v>760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784</v>
      </c>
      <c r="E201" s="135" t="s">
        <v>376</v>
      </c>
      <c r="F201" s="138" t="s">
        <v>217</v>
      </c>
      <c r="G201" s="139" t="s">
        <v>371</v>
      </c>
      <c r="H201" s="140"/>
      <c r="I201" s="141">
        <v>1</v>
      </c>
      <c r="J201" s="142">
        <v>44597</v>
      </c>
      <c r="K201" s="142">
        <v>44597</v>
      </c>
      <c r="L201" s="182" t="s">
        <v>760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785</v>
      </c>
      <c r="E202" s="135" t="s">
        <v>389</v>
      </c>
      <c r="F202" s="138" t="s">
        <v>116</v>
      </c>
      <c r="G202" s="139" t="s">
        <v>445</v>
      </c>
      <c r="H202" s="140"/>
      <c r="I202" s="141">
        <v>1</v>
      </c>
      <c r="J202" s="142">
        <v>5274</v>
      </c>
      <c r="K202" s="142">
        <v>5274</v>
      </c>
      <c r="L202" s="182" t="s">
        <v>760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785</v>
      </c>
      <c r="E203" s="135" t="s">
        <v>389</v>
      </c>
      <c r="F203" s="138" t="s">
        <v>210</v>
      </c>
      <c r="G203" s="139" t="s">
        <v>445</v>
      </c>
      <c r="H203" s="140"/>
      <c r="I203" s="141">
        <v>1</v>
      </c>
      <c r="J203" s="142">
        <v>14099</v>
      </c>
      <c r="K203" s="142">
        <v>14099</v>
      </c>
      <c r="L203" s="182" t="s">
        <v>760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786</v>
      </c>
      <c r="E204" s="135" t="s">
        <v>376</v>
      </c>
      <c r="F204" s="138" t="s">
        <v>537</v>
      </c>
      <c r="G204" s="139" t="s">
        <v>472</v>
      </c>
      <c r="H204" s="140"/>
      <c r="I204" s="141">
        <v>1</v>
      </c>
      <c r="J204" s="142">
        <v>30429</v>
      </c>
      <c r="K204" s="142">
        <v>30429</v>
      </c>
      <c r="L204" s="182" t="s">
        <v>760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787</v>
      </c>
      <c r="E205" s="135" t="s">
        <v>478</v>
      </c>
      <c r="F205" s="138" t="s">
        <v>116</v>
      </c>
      <c r="G205" s="139" t="s">
        <v>419</v>
      </c>
      <c r="H205" s="140"/>
      <c r="I205" s="141">
        <v>1</v>
      </c>
      <c r="J205" s="142">
        <v>5274</v>
      </c>
      <c r="K205" s="142">
        <v>5274</v>
      </c>
      <c r="L205" s="182" t="s">
        <v>788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789</v>
      </c>
      <c r="E206" s="135" t="s">
        <v>697</v>
      </c>
      <c r="F206" s="138" t="s">
        <v>217</v>
      </c>
      <c r="G206" s="139" t="s">
        <v>371</v>
      </c>
      <c r="H206" s="140"/>
      <c r="I206" s="141">
        <v>1</v>
      </c>
      <c r="J206" s="142">
        <v>44597</v>
      </c>
      <c r="K206" s="142">
        <v>44597</v>
      </c>
      <c r="L206" s="182" t="s">
        <v>788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790</v>
      </c>
      <c r="E207" s="135" t="s">
        <v>389</v>
      </c>
      <c r="F207" s="138" t="s">
        <v>537</v>
      </c>
      <c r="G207" s="139" t="s">
        <v>472</v>
      </c>
      <c r="H207" s="140"/>
      <c r="I207" s="141">
        <v>1</v>
      </c>
      <c r="J207" s="142">
        <v>30429</v>
      </c>
      <c r="K207" s="142">
        <v>30429</v>
      </c>
      <c r="L207" s="182" t="s">
        <v>788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791</v>
      </c>
      <c r="E208" s="135" t="s">
        <v>381</v>
      </c>
      <c r="F208" s="138" t="s">
        <v>217</v>
      </c>
      <c r="G208" s="139" t="s">
        <v>371</v>
      </c>
      <c r="H208" s="140"/>
      <c r="I208" s="141">
        <v>1</v>
      </c>
      <c r="J208" s="142">
        <v>44597</v>
      </c>
      <c r="K208" s="142">
        <v>44597</v>
      </c>
      <c r="L208" s="182" t="s">
        <v>788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792</v>
      </c>
      <c r="E209" s="135" t="s">
        <v>478</v>
      </c>
      <c r="F209" s="138" t="s">
        <v>116</v>
      </c>
      <c r="G209" s="139" t="s">
        <v>410</v>
      </c>
      <c r="H209" s="140"/>
      <c r="I209" s="141">
        <v>1</v>
      </c>
      <c r="J209" s="142">
        <v>5274</v>
      </c>
      <c r="K209" s="142">
        <v>5274</v>
      </c>
      <c r="L209" s="182" t="s">
        <v>788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793</v>
      </c>
      <c r="E210" s="135" t="s">
        <v>381</v>
      </c>
      <c r="F210" s="138" t="s">
        <v>217</v>
      </c>
      <c r="G210" s="139" t="s">
        <v>371</v>
      </c>
      <c r="H210" s="140"/>
      <c r="I210" s="141">
        <v>1</v>
      </c>
      <c r="J210" s="142">
        <v>44597</v>
      </c>
      <c r="K210" s="142">
        <v>44597</v>
      </c>
      <c r="L210" s="182" t="s">
        <v>788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794</v>
      </c>
      <c r="E211" s="135" t="s">
        <v>376</v>
      </c>
      <c r="F211" s="138" t="s">
        <v>116</v>
      </c>
      <c r="G211" s="139" t="s">
        <v>410</v>
      </c>
      <c r="H211" s="140"/>
      <c r="I211" s="141">
        <v>1</v>
      </c>
      <c r="J211" s="142">
        <v>5274</v>
      </c>
      <c r="K211" s="142">
        <v>5274</v>
      </c>
      <c r="L211" s="182" t="s">
        <v>788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795</v>
      </c>
      <c r="E212" s="135" t="s">
        <v>381</v>
      </c>
      <c r="F212" s="138" t="s">
        <v>682</v>
      </c>
      <c r="G212" s="139" t="s">
        <v>371</v>
      </c>
      <c r="H212" s="140"/>
      <c r="I212" s="141">
        <v>1</v>
      </c>
      <c r="J212" s="142">
        <v>55058</v>
      </c>
      <c r="K212" s="142">
        <v>55058</v>
      </c>
      <c r="L212" s="182" t="s">
        <v>788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796</v>
      </c>
      <c r="E213" s="135" t="s">
        <v>376</v>
      </c>
      <c r="F213" s="138" t="s">
        <v>580</v>
      </c>
      <c r="G213" s="139" t="s">
        <v>371</v>
      </c>
      <c r="H213" s="140"/>
      <c r="I213" s="141">
        <v>1</v>
      </c>
      <c r="J213" s="142">
        <v>25800</v>
      </c>
      <c r="K213" s="142">
        <v>25800</v>
      </c>
      <c r="L213" s="182" t="s">
        <v>788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797</v>
      </c>
      <c r="E214" s="135" t="s">
        <v>381</v>
      </c>
      <c r="F214" s="138" t="s">
        <v>682</v>
      </c>
      <c r="G214" s="139" t="s">
        <v>371</v>
      </c>
      <c r="H214" s="140"/>
      <c r="I214" s="141">
        <v>1</v>
      </c>
      <c r="J214" s="142">
        <v>55058</v>
      </c>
      <c r="K214" s="142">
        <v>55058</v>
      </c>
      <c r="L214" s="182" t="s">
        <v>788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798</v>
      </c>
      <c r="E215" s="135" t="s">
        <v>389</v>
      </c>
      <c r="F215" s="138" t="s">
        <v>537</v>
      </c>
      <c r="G215" s="139" t="s">
        <v>415</v>
      </c>
      <c r="H215" s="140"/>
      <c r="I215" s="141">
        <v>1</v>
      </c>
      <c r="J215" s="142">
        <v>30429</v>
      </c>
      <c r="K215" s="142">
        <v>30429</v>
      </c>
      <c r="L215" s="182" t="s">
        <v>788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799</v>
      </c>
      <c r="E216" s="135" t="s">
        <v>376</v>
      </c>
      <c r="F216" s="138" t="s">
        <v>682</v>
      </c>
      <c r="G216" s="139" t="s">
        <v>369</v>
      </c>
      <c r="H216" s="140"/>
      <c r="I216" s="141">
        <v>1</v>
      </c>
      <c r="J216" s="142">
        <v>55058</v>
      </c>
      <c r="K216" s="142">
        <v>55058</v>
      </c>
      <c r="L216" s="182" t="s">
        <v>788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800</v>
      </c>
      <c r="E217" s="135" t="s">
        <v>381</v>
      </c>
      <c r="F217" s="138" t="s">
        <v>682</v>
      </c>
      <c r="G217" s="139" t="s">
        <v>369</v>
      </c>
      <c r="H217" s="140"/>
      <c r="I217" s="141">
        <v>1</v>
      </c>
      <c r="J217" s="142">
        <v>55058</v>
      </c>
      <c r="K217" s="142">
        <v>55058</v>
      </c>
      <c r="L217" s="182" t="s">
        <v>788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801</v>
      </c>
      <c r="E218" s="135" t="s">
        <v>802</v>
      </c>
      <c r="F218" s="138" t="s">
        <v>237</v>
      </c>
      <c r="G218" s="139" t="s">
        <v>371</v>
      </c>
      <c r="H218" s="140"/>
      <c r="I218" s="141">
        <v>1</v>
      </c>
      <c r="J218" s="142">
        <v>10401</v>
      </c>
      <c r="K218" s="142">
        <v>10401</v>
      </c>
      <c r="L218" s="182" t="s">
        <v>788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803</v>
      </c>
      <c r="E219" s="135" t="s">
        <v>381</v>
      </c>
      <c r="F219" s="138" t="s">
        <v>682</v>
      </c>
      <c r="G219" s="139" t="s">
        <v>371</v>
      </c>
      <c r="H219" s="140"/>
      <c r="I219" s="141">
        <v>1</v>
      </c>
      <c r="J219" s="142">
        <v>55058</v>
      </c>
      <c r="K219" s="142">
        <v>55058</v>
      </c>
      <c r="L219" s="182" t="s">
        <v>788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804</v>
      </c>
      <c r="E220" s="135" t="s">
        <v>381</v>
      </c>
      <c r="F220" s="138" t="s">
        <v>115</v>
      </c>
      <c r="G220" s="139" t="s">
        <v>805</v>
      </c>
      <c r="H220" s="140"/>
      <c r="I220" s="141">
        <v>1</v>
      </c>
      <c r="J220" s="142">
        <v>33370</v>
      </c>
      <c r="K220" s="142">
        <v>33370</v>
      </c>
      <c r="L220" s="182" t="s">
        <v>788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806</v>
      </c>
      <c r="E221" s="135" t="s">
        <v>376</v>
      </c>
      <c r="F221" s="138" t="s">
        <v>580</v>
      </c>
      <c r="G221" s="139" t="s">
        <v>371</v>
      </c>
      <c r="H221" s="140"/>
      <c r="I221" s="141">
        <v>1</v>
      </c>
      <c r="J221" s="142">
        <v>25800</v>
      </c>
      <c r="K221" s="142">
        <v>25800</v>
      </c>
      <c r="L221" s="182" t="s">
        <v>788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807</v>
      </c>
      <c r="E222" s="135" t="s">
        <v>381</v>
      </c>
      <c r="F222" s="138" t="s">
        <v>115</v>
      </c>
      <c r="G222" s="139" t="s">
        <v>404</v>
      </c>
      <c r="H222" s="140"/>
      <c r="I222" s="141">
        <v>1</v>
      </c>
      <c r="J222" s="142">
        <v>33370</v>
      </c>
      <c r="K222" s="142">
        <v>33370</v>
      </c>
      <c r="L222" s="182" t="s">
        <v>788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808</v>
      </c>
      <c r="E223" s="135" t="s">
        <v>376</v>
      </c>
      <c r="F223" s="138" t="s">
        <v>219</v>
      </c>
      <c r="G223" s="139" t="s">
        <v>371</v>
      </c>
      <c r="H223" s="140"/>
      <c r="I223" s="141">
        <v>1</v>
      </c>
      <c r="J223" s="142">
        <v>22299</v>
      </c>
      <c r="K223" s="142">
        <v>22299</v>
      </c>
      <c r="L223" s="182" t="s">
        <v>788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809</v>
      </c>
      <c r="E224" s="135" t="s">
        <v>376</v>
      </c>
      <c r="F224" s="138" t="s">
        <v>217</v>
      </c>
      <c r="G224" s="139" t="s">
        <v>369</v>
      </c>
      <c r="H224" s="140"/>
      <c r="I224" s="141">
        <v>1</v>
      </c>
      <c r="J224" s="142">
        <v>44597</v>
      </c>
      <c r="K224" s="142">
        <v>44597</v>
      </c>
      <c r="L224" s="182" t="s">
        <v>788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810</v>
      </c>
      <c r="E225" s="135" t="s">
        <v>381</v>
      </c>
      <c r="F225" s="138" t="s">
        <v>217</v>
      </c>
      <c r="G225" s="139" t="s">
        <v>371</v>
      </c>
      <c r="H225" s="140"/>
      <c r="I225" s="141">
        <v>1</v>
      </c>
      <c r="J225" s="142">
        <v>44597</v>
      </c>
      <c r="K225" s="142">
        <v>44597</v>
      </c>
      <c r="L225" s="182" t="s">
        <v>788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811</v>
      </c>
      <c r="E226" s="135" t="s">
        <v>389</v>
      </c>
      <c r="F226" s="138" t="s">
        <v>116</v>
      </c>
      <c r="G226" s="139" t="s">
        <v>812</v>
      </c>
      <c r="H226" s="140"/>
      <c r="I226" s="141">
        <v>3</v>
      </c>
      <c r="J226" s="142">
        <v>5274</v>
      </c>
      <c r="K226" s="142">
        <v>15822</v>
      </c>
      <c r="L226" s="182" t="s">
        <v>788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785</v>
      </c>
      <c r="E227" s="135" t="s">
        <v>389</v>
      </c>
      <c r="F227" s="138" t="s">
        <v>192</v>
      </c>
      <c r="G227" s="139" t="s">
        <v>445</v>
      </c>
      <c r="H227" s="140"/>
      <c r="I227" s="141">
        <v>1</v>
      </c>
      <c r="J227" s="142">
        <v>57960</v>
      </c>
      <c r="K227" s="142">
        <v>57960</v>
      </c>
      <c r="L227" s="182" t="s">
        <v>788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813</v>
      </c>
      <c r="E228" s="135" t="s">
        <v>381</v>
      </c>
      <c r="F228" s="138" t="s">
        <v>217</v>
      </c>
      <c r="G228" s="139" t="s">
        <v>369</v>
      </c>
      <c r="H228" s="140"/>
      <c r="I228" s="141">
        <v>1</v>
      </c>
      <c r="J228" s="142">
        <v>44597</v>
      </c>
      <c r="K228" s="142">
        <v>44597</v>
      </c>
      <c r="L228" s="182" t="s">
        <v>617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814</v>
      </c>
      <c r="E229" s="135" t="s">
        <v>371</v>
      </c>
      <c r="F229" s="138" t="s">
        <v>217</v>
      </c>
      <c r="G229" s="139" t="s">
        <v>371</v>
      </c>
      <c r="H229" s="140"/>
      <c r="I229" s="141">
        <v>1</v>
      </c>
      <c r="J229" s="142">
        <v>44597</v>
      </c>
      <c r="K229" s="142">
        <v>44597</v>
      </c>
      <c r="L229" s="182" t="s">
        <v>617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815</v>
      </c>
      <c r="E230" s="135" t="s">
        <v>376</v>
      </c>
      <c r="F230" s="138" t="s">
        <v>116</v>
      </c>
      <c r="G230" s="139" t="s">
        <v>816</v>
      </c>
      <c r="H230" s="140"/>
      <c r="I230" s="141">
        <v>3</v>
      </c>
      <c r="J230" s="142">
        <v>5274</v>
      </c>
      <c r="K230" s="142">
        <v>15822</v>
      </c>
      <c r="L230" s="182" t="s">
        <v>617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817</v>
      </c>
      <c r="E231" s="135" t="s">
        <v>521</v>
      </c>
      <c r="F231" s="138" t="s">
        <v>580</v>
      </c>
      <c r="G231" s="139" t="s">
        <v>371</v>
      </c>
      <c r="H231" s="140"/>
      <c r="I231" s="141">
        <v>1</v>
      </c>
      <c r="J231" s="142">
        <v>25800</v>
      </c>
      <c r="K231" s="142">
        <v>25800</v>
      </c>
      <c r="L231" s="182" t="s">
        <v>617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818</v>
      </c>
      <c r="E232" s="135" t="s">
        <v>381</v>
      </c>
      <c r="F232" s="138" t="s">
        <v>217</v>
      </c>
      <c r="G232" s="139" t="s">
        <v>371</v>
      </c>
      <c r="H232" s="140"/>
      <c r="I232" s="141">
        <v>1</v>
      </c>
      <c r="J232" s="142">
        <v>44597</v>
      </c>
      <c r="K232" s="142">
        <v>44597</v>
      </c>
      <c r="L232" s="182" t="s">
        <v>617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819</v>
      </c>
      <c r="E233" s="135" t="s">
        <v>381</v>
      </c>
      <c r="F233" s="138" t="s">
        <v>217</v>
      </c>
      <c r="G233" s="139" t="s">
        <v>371</v>
      </c>
      <c r="H233" s="140"/>
      <c r="I233" s="141">
        <v>1</v>
      </c>
      <c r="J233" s="142">
        <v>44597</v>
      </c>
      <c r="K233" s="142">
        <v>44597</v>
      </c>
      <c r="L233" s="182" t="s">
        <v>617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820</v>
      </c>
      <c r="E234" s="135" t="s">
        <v>381</v>
      </c>
      <c r="F234" s="138" t="s">
        <v>115</v>
      </c>
      <c r="G234" s="139" t="s">
        <v>472</v>
      </c>
      <c r="H234" s="140"/>
      <c r="I234" s="141">
        <v>1</v>
      </c>
      <c r="J234" s="142">
        <v>33370</v>
      </c>
      <c r="K234" s="180">
        <v>33370</v>
      </c>
      <c r="L234" s="182" t="s">
        <v>617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821</v>
      </c>
      <c r="E235" s="135" t="s">
        <v>376</v>
      </c>
      <c r="F235" s="138" t="s">
        <v>217</v>
      </c>
      <c r="G235" s="139" t="s">
        <v>371</v>
      </c>
      <c r="H235" s="140"/>
      <c r="I235" s="141">
        <v>1</v>
      </c>
      <c r="J235" s="142">
        <v>44597</v>
      </c>
      <c r="K235" s="142">
        <v>44597</v>
      </c>
      <c r="L235" s="182" t="s">
        <v>617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822</v>
      </c>
      <c r="E236" s="135" t="s">
        <v>376</v>
      </c>
      <c r="F236" s="138" t="s">
        <v>217</v>
      </c>
      <c r="G236" s="139" t="s">
        <v>369</v>
      </c>
      <c r="H236" s="140"/>
      <c r="I236" s="141">
        <v>1</v>
      </c>
      <c r="J236" s="142">
        <v>44597</v>
      </c>
      <c r="K236" s="142">
        <v>44597</v>
      </c>
      <c r="L236" s="182" t="s">
        <v>617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823</v>
      </c>
      <c r="E237" s="135" t="s">
        <v>381</v>
      </c>
      <c r="F237" s="138" t="s">
        <v>682</v>
      </c>
      <c r="G237" s="139" t="s">
        <v>371</v>
      </c>
      <c r="H237" s="140"/>
      <c r="I237" s="141">
        <v>1</v>
      </c>
      <c r="J237" s="142">
        <v>55058</v>
      </c>
      <c r="K237" s="142">
        <v>55058</v>
      </c>
      <c r="L237" s="182" t="s">
        <v>617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824</v>
      </c>
      <c r="E238" s="135" t="s">
        <v>376</v>
      </c>
      <c r="F238" s="138" t="s">
        <v>217</v>
      </c>
      <c r="G238" s="139" t="s">
        <v>371</v>
      </c>
      <c r="H238" s="140"/>
      <c r="I238" s="141">
        <v>1</v>
      </c>
      <c r="J238" s="142">
        <v>44597</v>
      </c>
      <c r="K238" s="142">
        <v>44597</v>
      </c>
      <c r="L238" s="182" t="s">
        <v>617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825</v>
      </c>
      <c r="E239" s="135" t="s">
        <v>521</v>
      </c>
      <c r="F239" s="138" t="s">
        <v>580</v>
      </c>
      <c r="G239" s="139" t="s">
        <v>371</v>
      </c>
      <c r="H239" s="140"/>
      <c r="I239" s="141">
        <v>1</v>
      </c>
      <c r="J239" s="142">
        <v>25800</v>
      </c>
      <c r="K239" s="180">
        <v>25800</v>
      </c>
      <c r="L239" s="182" t="s">
        <v>617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826</v>
      </c>
      <c r="E240" s="135" t="s">
        <v>381</v>
      </c>
      <c r="F240" s="138" t="s">
        <v>580</v>
      </c>
      <c r="G240" s="139" t="s">
        <v>371</v>
      </c>
      <c r="H240" s="140"/>
      <c r="I240" s="141">
        <v>1</v>
      </c>
      <c r="J240" s="142">
        <v>25800</v>
      </c>
      <c r="K240" s="142">
        <v>25800</v>
      </c>
      <c r="L240" s="182" t="s">
        <v>617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827</v>
      </c>
      <c r="E241" s="135" t="s">
        <v>381</v>
      </c>
      <c r="F241" s="138" t="s">
        <v>116</v>
      </c>
      <c r="G241" s="139" t="s">
        <v>511</v>
      </c>
      <c r="H241" s="140"/>
      <c r="I241" s="141">
        <v>1</v>
      </c>
      <c r="J241" s="142">
        <v>5274</v>
      </c>
      <c r="K241" s="142">
        <v>5274</v>
      </c>
      <c r="L241" s="182" t="s">
        <v>617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827</v>
      </c>
      <c r="E242" s="135" t="s">
        <v>381</v>
      </c>
      <c r="F242" s="138" t="s">
        <v>210</v>
      </c>
      <c r="G242" s="139" t="s">
        <v>511</v>
      </c>
      <c r="H242" s="140"/>
      <c r="I242" s="141">
        <v>1</v>
      </c>
      <c r="J242" s="142">
        <v>14099</v>
      </c>
      <c r="K242" s="142">
        <v>14099</v>
      </c>
      <c r="L242" s="182" t="s">
        <v>617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828</v>
      </c>
      <c r="E243" s="135" t="s">
        <v>802</v>
      </c>
      <c r="F243" s="138" t="s">
        <v>197</v>
      </c>
      <c r="G243" s="139" t="s">
        <v>829</v>
      </c>
      <c r="H243" s="140"/>
      <c r="I243" s="141">
        <v>4</v>
      </c>
      <c r="J243" s="142">
        <v>2739</v>
      </c>
      <c r="K243" s="142">
        <v>10956</v>
      </c>
      <c r="L243" s="182" t="s">
        <v>617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830</v>
      </c>
      <c r="E244" s="135" t="s">
        <v>389</v>
      </c>
      <c r="F244" s="138" t="s">
        <v>116</v>
      </c>
      <c r="G244" s="139" t="s">
        <v>392</v>
      </c>
      <c r="H244" s="140"/>
      <c r="I244" s="141">
        <v>1</v>
      </c>
      <c r="J244" s="142">
        <v>5274</v>
      </c>
      <c r="K244" s="142">
        <v>5274</v>
      </c>
      <c r="L244" s="182" t="s">
        <v>617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831</v>
      </c>
      <c r="E245" s="135" t="s">
        <v>381</v>
      </c>
      <c r="F245" s="138" t="s">
        <v>682</v>
      </c>
      <c r="G245" s="139" t="s">
        <v>387</v>
      </c>
      <c r="H245" s="140"/>
      <c r="I245" s="141">
        <v>2</v>
      </c>
      <c r="J245" s="142">
        <v>55058</v>
      </c>
      <c r="K245" s="142">
        <v>110116</v>
      </c>
      <c r="L245" s="182" t="s">
        <v>617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832</v>
      </c>
      <c r="E246" s="135" t="s">
        <v>376</v>
      </c>
      <c r="F246" s="138" t="s">
        <v>217</v>
      </c>
      <c r="G246" s="139" t="s">
        <v>369</v>
      </c>
      <c r="H246" s="140"/>
      <c r="I246" s="141">
        <v>1</v>
      </c>
      <c r="J246" s="142">
        <v>44597</v>
      </c>
      <c r="K246" s="142">
        <v>44597</v>
      </c>
      <c r="L246" s="182" t="s">
        <v>617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833</v>
      </c>
      <c r="E247" s="135" t="s">
        <v>376</v>
      </c>
      <c r="F247" s="138" t="s">
        <v>235</v>
      </c>
      <c r="G247" s="139" t="s">
        <v>369</v>
      </c>
      <c r="H247" s="140"/>
      <c r="I247" s="141">
        <v>1</v>
      </c>
      <c r="J247" s="142">
        <v>12499</v>
      </c>
      <c r="K247" s="142">
        <v>12499</v>
      </c>
      <c r="L247" s="182" t="s">
        <v>617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834</v>
      </c>
      <c r="E248" s="135" t="s">
        <v>381</v>
      </c>
      <c r="F248" s="138" t="s">
        <v>537</v>
      </c>
      <c r="G248" s="139" t="s">
        <v>417</v>
      </c>
      <c r="H248" s="140"/>
      <c r="I248" s="141">
        <v>1</v>
      </c>
      <c r="J248" s="142">
        <v>30429</v>
      </c>
      <c r="K248" s="142">
        <v>30429</v>
      </c>
      <c r="L248" s="182" t="s">
        <v>617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835</v>
      </c>
      <c r="E249" s="135" t="s">
        <v>381</v>
      </c>
      <c r="F249" s="138" t="s">
        <v>682</v>
      </c>
      <c r="G249" s="139" t="s">
        <v>371</v>
      </c>
      <c r="H249" s="140"/>
      <c r="I249" s="141">
        <v>1</v>
      </c>
      <c r="J249" s="142">
        <v>55058</v>
      </c>
      <c r="K249" s="142">
        <v>55058</v>
      </c>
      <c r="L249" s="182" t="s">
        <v>617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836</v>
      </c>
      <c r="E250" s="135" t="s">
        <v>389</v>
      </c>
      <c r="F250" s="138" t="s">
        <v>682</v>
      </c>
      <c r="G250" s="139" t="s">
        <v>387</v>
      </c>
      <c r="H250" s="140"/>
      <c r="I250" s="141">
        <v>2</v>
      </c>
      <c r="J250" s="142">
        <v>55058</v>
      </c>
      <c r="K250" s="142">
        <v>110116</v>
      </c>
      <c r="L250" s="182" t="s">
        <v>617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711</v>
      </c>
      <c r="E251" s="135" t="s">
        <v>381</v>
      </c>
      <c r="F251" s="138" t="s">
        <v>837</v>
      </c>
      <c r="G251" s="139" t="s">
        <v>369</v>
      </c>
      <c r="H251" s="140"/>
      <c r="I251" s="141">
        <v>1</v>
      </c>
      <c r="J251" s="142">
        <v>110520</v>
      </c>
      <c r="K251" s="142">
        <v>110520</v>
      </c>
      <c r="L251" s="182" t="s">
        <v>617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394</v>
      </c>
      <c r="E252" s="135" t="s">
        <v>376</v>
      </c>
      <c r="F252" s="138" t="s">
        <v>217</v>
      </c>
      <c r="G252" s="139" t="s">
        <v>371</v>
      </c>
      <c r="H252" s="140"/>
      <c r="I252" s="141">
        <v>1</v>
      </c>
      <c r="J252" s="142">
        <v>44597</v>
      </c>
      <c r="K252" s="142">
        <v>44597</v>
      </c>
      <c r="L252" s="182" t="s">
        <v>617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838</v>
      </c>
      <c r="E253" s="135" t="s">
        <v>381</v>
      </c>
      <c r="F253" s="138" t="s">
        <v>537</v>
      </c>
      <c r="G253" s="139" t="s">
        <v>472</v>
      </c>
      <c r="H253" s="140"/>
      <c r="I253" s="141">
        <v>1</v>
      </c>
      <c r="J253" s="142">
        <v>30429</v>
      </c>
      <c r="K253" s="142">
        <v>30429</v>
      </c>
      <c r="L253" s="182" t="s">
        <v>617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406</v>
      </c>
      <c r="E254" s="135" t="s">
        <v>389</v>
      </c>
      <c r="F254" s="138" t="s">
        <v>115</v>
      </c>
      <c r="G254" s="139" t="s">
        <v>410</v>
      </c>
      <c r="H254" s="140"/>
      <c r="I254" s="141">
        <v>1</v>
      </c>
      <c r="J254" s="142">
        <v>33370</v>
      </c>
      <c r="K254" s="142">
        <v>33370</v>
      </c>
      <c r="L254" s="186" t="s">
        <v>620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839</v>
      </c>
      <c r="E255" s="135" t="s">
        <v>389</v>
      </c>
      <c r="F255" s="138" t="s">
        <v>217</v>
      </c>
      <c r="G255" s="139" t="s">
        <v>371</v>
      </c>
      <c r="H255" s="140"/>
      <c r="I255" s="141">
        <v>1</v>
      </c>
      <c r="J255" s="142">
        <v>44597</v>
      </c>
      <c r="K255" s="142">
        <v>44597</v>
      </c>
      <c r="L255" s="186" t="s">
        <v>620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840</v>
      </c>
      <c r="E256" s="135" t="s">
        <v>376</v>
      </c>
      <c r="F256" s="138" t="s">
        <v>217</v>
      </c>
      <c r="G256" s="139" t="s">
        <v>371</v>
      </c>
      <c r="H256" s="140"/>
      <c r="I256" s="141">
        <v>1</v>
      </c>
      <c r="J256" s="142">
        <v>44597</v>
      </c>
      <c r="K256" s="142">
        <v>44597</v>
      </c>
      <c r="L256" s="186" t="s">
        <v>620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841</v>
      </c>
      <c r="E257" s="135" t="s">
        <v>376</v>
      </c>
      <c r="F257" s="138" t="s">
        <v>217</v>
      </c>
      <c r="G257" s="139" t="s">
        <v>371</v>
      </c>
      <c r="H257" s="140"/>
      <c r="I257" s="141">
        <v>1</v>
      </c>
      <c r="J257" s="142">
        <v>44597</v>
      </c>
      <c r="K257" s="142">
        <v>44597</v>
      </c>
      <c r="L257" s="186" t="s">
        <v>620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393</v>
      </c>
      <c r="E258" s="135" t="s">
        <v>381</v>
      </c>
      <c r="F258" s="138" t="s">
        <v>217</v>
      </c>
      <c r="G258" s="139" t="s">
        <v>371</v>
      </c>
      <c r="H258" s="140"/>
      <c r="I258" s="141">
        <v>1</v>
      </c>
      <c r="J258" s="142">
        <v>44597</v>
      </c>
      <c r="K258" s="142">
        <v>44597</v>
      </c>
      <c r="L258" s="186" t="s">
        <v>620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842</v>
      </c>
      <c r="E259" s="135" t="s">
        <v>376</v>
      </c>
      <c r="F259" s="138" t="s">
        <v>217</v>
      </c>
      <c r="G259" s="139" t="s">
        <v>371</v>
      </c>
      <c r="H259" s="140"/>
      <c r="I259" s="141">
        <v>1</v>
      </c>
      <c r="J259" s="142">
        <v>44597</v>
      </c>
      <c r="K259" s="142">
        <v>44597</v>
      </c>
      <c r="L259" s="186" t="s">
        <v>620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843</v>
      </c>
      <c r="E260" s="135" t="s">
        <v>376</v>
      </c>
      <c r="F260" s="138" t="s">
        <v>217</v>
      </c>
      <c r="G260" s="139" t="s">
        <v>371</v>
      </c>
      <c r="H260" s="140"/>
      <c r="I260" s="141">
        <v>1</v>
      </c>
      <c r="J260" s="142">
        <v>44597</v>
      </c>
      <c r="K260" s="142">
        <v>44597</v>
      </c>
      <c r="L260" s="186" t="s">
        <v>620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844</v>
      </c>
      <c r="E261" s="135" t="s">
        <v>381</v>
      </c>
      <c r="F261" s="138" t="s">
        <v>217</v>
      </c>
      <c r="G261" s="139" t="s">
        <v>371</v>
      </c>
      <c r="H261" s="140"/>
      <c r="I261" s="141">
        <v>1</v>
      </c>
      <c r="J261" s="142">
        <v>44597</v>
      </c>
      <c r="K261" s="142">
        <v>44597</v>
      </c>
      <c r="L261" s="186" t="s">
        <v>620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845</v>
      </c>
      <c r="E262" s="135" t="s">
        <v>376</v>
      </c>
      <c r="F262" s="138" t="s">
        <v>217</v>
      </c>
      <c r="G262" s="139" t="s">
        <v>369</v>
      </c>
      <c r="H262" s="140"/>
      <c r="I262" s="141">
        <v>1</v>
      </c>
      <c r="J262" s="142">
        <v>44597</v>
      </c>
      <c r="K262" s="142">
        <v>44597</v>
      </c>
      <c r="L262" s="186" t="s">
        <v>620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845</v>
      </c>
      <c r="E263" s="135" t="s">
        <v>376</v>
      </c>
      <c r="F263" s="138" t="s">
        <v>217</v>
      </c>
      <c r="G263" s="139" t="s">
        <v>371</v>
      </c>
      <c r="H263" s="140"/>
      <c r="I263" s="141">
        <v>1</v>
      </c>
      <c r="J263" s="142">
        <v>44597</v>
      </c>
      <c r="K263" s="142">
        <v>44597</v>
      </c>
      <c r="L263" s="186" t="s">
        <v>620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671</v>
      </c>
      <c r="E264" s="135" t="s">
        <v>381</v>
      </c>
      <c r="F264" s="138" t="s">
        <v>846</v>
      </c>
      <c r="G264" s="139" t="s">
        <v>371</v>
      </c>
      <c r="H264" s="140"/>
      <c r="I264" s="141">
        <v>1</v>
      </c>
      <c r="J264" s="142">
        <v>334719</v>
      </c>
      <c r="K264" s="142">
        <v>334719</v>
      </c>
      <c r="L264" s="186" t="s">
        <v>620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847</v>
      </c>
      <c r="E265" s="135" t="s">
        <v>389</v>
      </c>
      <c r="F265" s="138" t="s">
        <v>537</v>
      </c>
      <c r="G265" s="139" t="s">
        <v>431</v>
      </c>
      <c r="H265" s="140"/>
      <c r="I265" s="141">
        <v>1</v>
      </c>
      <c r="J265" s="142">
        <v>30429</v>
      </c>
      <c r="K265" s="142">
        <v>30429</v>
      </c>
      <c r="L265" s="186" t="s">
        <v>620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848</v>
      </c>
      <c r="E266" s="135" t="s">
        <v>802</v>
      </c>
      <c r="F266" s="138" t="s">
        <v>197</v>
      </c>
      <c r="G266" s="139" t="s">
        <v>829</v>
      </c>
      <c r="H266" s="140"/>
      <c r="I266" s="141">
        <v>4</v>
      </c>
      <c r="J266" s="142">
        <v>2739</v>
      </c>
      <c r="K266" s="142">
        <v>10956</v>
      </c>
      <c r="L266" s="186" t="s">
        <v>620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848</v>
      </c>
      <c r="E267" s="135" t="s">
        <v>802</v>
      </c>
      <c r="F267" s="138" t="s">
        <v>622</v>
      </c>
      <c r="G267" s="139" t="s">
        <v>371</v>
      </c>
      <c r="H267" s="140"/>
      <c r="I267" s="141">
        <v>1</v>
      </c>
      <c r="J267" s="142">
        <v>15722</v>
      </c>
      <c r="K267" s="142">
        <v>15722</v>
      </c>
      <c r="L267" s="186" t="s">
        <v>620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849</v>
      </c>
      <c r="E268" s="135" t="s">
        <v>802</v>
      </c>
      <c r="F268" s="138" t="s">
        <v>116</v>
      </c>
      <c r="G268" s="139" t="s">
        <v>400</v>
      </c>
      <c r="H268" s="140"/>
      <c r="I268" s="141">
        <v>2</v>
      </c>
      <c r="J268" s="142">
        <v>5274</v>
      </c>
      <c r="K268" s="142">
        <v>10548</v>
      </c>
      <c r="L268" s="186" t="s">
        <v>620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850</v>
      </c>
      <c r="E269" s="135" t="s">
        <v>381</v>
      </c>
      <c r="F269" s="138" t="s">
        <v>217</v>
      </c>
      <c r="G269" s="139" t="s">
        <v>371</v>
      </c>
      <c r="H269" s="140"/>
      <c r="I269" s="141">
        <v>1</v>
      </c>
      <c r="J269" s="142">
        <v>44597</v>
      </c>
      <c r="K269" s="142">
        <v>44597</v>
      </c>
      <c r="L269" s="186" t="s">
        <v>620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850</v>
      </c>
      <c r="E270" s="135" t="s">
        <v>381</v>
      </c>
      <c r="F270" s="138" t="s">
        <v>682</v>
      </c>
      <c r="G270" s="139" t="s">
        <v>369</v>
      </c>
      <c r="H270" s="140"/>
      <c r="I270" s="141">
        <v>1</v>
      </c>
      <c r="J270" s="142">
        <v>55058</v>
      </c>
      <c r="K270" s="142">
        <v>55058</v>
      </c>
      <c r="L270" s="186" t="s">
        <v>620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851</v>
      </c>
      <c r="E271" s="135" t="s">
        <v>381</v>
      </c>
      <c r="F271" s="138" t="s">
        <v>217</v>
      </c>
      <c r="G271" s="139" t="s">
        <v>371</v>
      </c>
      <c r="H271" s="140"/>
      <c r="I271" s="141">
        <v>1</v>
      </c>
      <c r="J271" s="142">
        <v>44597</v>
      </c>
      <c r="K271" s="142">
        <v>44597</v>
      </c>
      <c r="L271" s="186" t="s">
        <v>620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851</v>
      </c>
      <c r="E272" s="135" t="s">
        <v>381</v>
      </c>
      <c r="F272" s="138" t="s">
        <v>682</v>
      </c>
      <c r="G272" s="139" t="s">
        <v>369</v>
      </c>
      <c r="H272" s="140"/>
      <c r="I272" s="141">
        <v>1</v>
      </c>
      <c r="J272" s="142">
        <v>55058</v>
      </c>
      <c r="K272" s="142">
        <v>55058</v>
      </c>
      <c r="L272" s="186" t="s">
        <v>620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852</v>
      </c>
      <c r="E273" s="135" t="s">
        <v>478</v>
      </c>
      <c r="F273" s="138" t="s">
        <v>217</v>
      </c>
      <c r="G273" s="139" t="s">
        <v>371</v>
      </c>
      <c r="H273" s="140"/>
      <c r="I273" s="141">
        <v>1</v>
      </c>
      <c r="J273" s="142">
        <v>44597</v>
      </c>
      <c r="K273" s="142">
        <v>44597</v>
      </c>
      <c r="L273" s="186" t="s">
        <v>620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853</v>
      </c>
      <c r="E274" s="135" t="s">
        <v>381</v>
      </c>
      <c r="F274" s="138" t="s">
        <v>217</v>
      </c>
      <c r="G274" s="139" t="s">
        <v>371</v>
      </c>
      <c r="H274" s="140"/>
      <c r="I274" s="141">
        <v>1</v>
      </c>
      <c r="J274" s="142">
        <v>44597</v>
      </c>
      <c r="K274" s="142">
        <v>44597</v>
      </c>
      <c r="L274" s="186" t="s">
        <v>620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854</v>
      </c>
      <c r="E275" s="135" t="s">
        <v>381</v>
      </c>
      <c r="F275" s="138" t="s">
        <v>217</v>
      </c>
      <c r="G275" s="139" t="s">
        <v>371</v>
      </c>
      <c r="H275" s="140"/>
      <c r="I275" s="141">
        <v>1</v>
      </c>
      <c r="J275" s="142">
        <v>44597</v>
      </c>
      <c r="K275" s="142">
        <v>44597</v>
      </c>
      <c r="L275" s="186" t="s">
        <v>620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855</v>
      </c>
      <c r="E276" s="135" t="s">
        <v>802</v>
      </c>
      <c r="F276" s="138" t="s">
        <v>197</v>
      </c>
      <c r="G276" s="188" t="s">
        <v>856</v>
      </c>
      <c r="H276" s="140"/>
      <c r="I276" s="141">
        <v>11</v>
      </c>
      <c r="J276" s="142">
        <v>2739</v>
      </c>
      <c r="K276" s="142">
        <v>30129</v>
      </c>
      <c r="L276" s="186" t="s">
        <v>620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855</v>
      </c>
      <c r="E277" s="135" t="s">
        <v>802</v>
      </c>
      <c r="F277" s="138" t="s">
        <v>622</v>
      </c>
      <c r="G277" s="139" t="s">
        <v>387</v>
      </c>
      <c r="H277" s="140"/>
      <c r="I277" s="141">
        <v>2</v>
      </c>
      <c r="J277" s="142">
        <v>15722</v>
      </c>
      <c r="K277" s="142">
        <v>31444</v>
      </c>
      <c r="L277" s="186" t="s">
        <v>620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857</v>
      </c>
      <c r="E278" s="135" t="s">
        <v>381</v>
      </c>
      <c r="F278" s="138" t="s">
        <v>682</v>
      </c>
      <c r="G278" s="139" t="s">
        <v>369</v>
      </c>
      <c r="H278" s="140"/>
      <c r="I278" s="141">
        <v>1</v>
      </c>
      <c r="J278" s="142">
        <v>55058</v>
      </c>
      <c r="K278" s="142">
        <v>55058</v>
      </c>
      <c r="L278" s="186" t="s">
        <v>620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858</v>
      </c>
      <c r="E279" s="135" t="s">
        <v>381</v>
      </c>
      <c r="F279" s="138" t="s">
        <v>217</v>
      </c>
      <c r="G279" s="139" t="s">
        <v>371</v>
      </c>
      <c r="H279" s="140"/>
      <c r="I279" s="141">
        <v>1</v>
      </c>
      <c r="J279" s="142">
        <v>44597</v>
      </c>
      <c r="K279" s="142">
        <v>44597</v>
      </c>
      <c r="L279" s="186" t="s">
        <v>620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859</v>
      </c>
      <c r="E280" s="135" t="s">
        <v>376</v>
      </c>
      <c r="F280" s="138" t="s">
        <v>217</v>
      </c>
      <c r="G280" s="139" t="s">
        <v>371</v>
      </c>
      <c r="H280" s="140"/>
      <c r="I280" s="141">
        <v>1</v>
      </c>
      <c r="J280" s="142">
        <v>44597</v>
      </c>
      <c r="K280" s="142">
        <v>44597</v>
      </c>
      <c r="L280" s="186" t="s">
        <v>620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859</v>
      </c>
      <c r="E281" s="135" t="s">
        <v>376</v>
      </c>
      <c r="F281" s="138" t="s">
        <v>682</v>
      </c>
      <c r="G281" s="139" t="s">
        <v>369</v>
      </c>
      <c r="H281" s="140"/>
      <c r="I281" s="141">
        <v>1</v>
      </c>
      <c r="J281" s="142">
        <v>55058</v>
      </c>
      <c r="K281" s="142">
        <v>55058</v>
      </c>
      <c r="L281" s="186" t="s">
        <v>620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803</v>
      </c>
      <c r="E282" s="135" t="s">
        <v>381</v>
      </c>
      <c r="F282" s="138" t="s">
        <v>682</v>
      </c>
      <c r="G282" s="139" t="s">
        <v>369</v>
      </c>
      <c r="H282" s="140"/>
      <c r="I282" s="141">
        <v>1</v>
      </c>
      <c r="J282" s="142">
        <v>55058</v>
      </c>
      <c r="K282" s="142">
        <v>55058</v>
      </c>
      <c r="L282" s="186" t="s">
        <v>620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860</v>
      </c>
      <c r="E283" s="135" t="s">
        <v>381</v>
      </c>
      <c r="F283" s="138" t="s">
        <v>217</v>
      </c>
      <c r="G283" s="139" t="s">
        <v>371</v>
      </c>
      <c r="H283" s="140"/>
      <c r="I283" s="141">
        <v>1</v>
      </c>
      <c r="J283" s="142">
        <v>44597</v>
      </c>
      <c r="K283" s="142">
        <v>44597</v>
      </c>
      <c r="L283" s="186" t="s">
        <v>620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861</v>
      </c>
      <c r="E284" s="135" t="s">
        <v>862</v>
      </c>
      <c r="F284" s="138" t="s">
        <v>580</v>
      </c>
      <c r="G284" s="139" t="s">
        <v>371</v>
      </c>
      <c r="H284" s="140"/>
      <c r="I284" s="141">
        <v>1</v>
      </c>
      <c r="J284" s="142">
        <v>25800</v>
      </c>
      <c r="K284" s="142">
        <v>25800</v>
      </c>
      <c r="L284" s="186" t="s">
        <v>620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863</v>
      </c>
      <c r="E285" s="135" t="s">
        <v>376</v>
      </c>
      <c r="F285" s="138" t="s">
        <v>682</v>
      </c>
      <c r="G285" s="139" t="s">
        <v>371</v>
      </c>
      <c r="H285" s="140"/>
      <c r="I285" s="141">
        <v>1</v>
      </c>
      <c r="J285" s="142">
        <v>55058</v>
      </c>
      <c r="K285" s="142">
        <v>55058</v>
      </c>
      <c r="L285" s="186" t="s">
        <v>620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864</v>
      </c>
      <c r="E286" s="135" t="s">
        <v>376</v>
      </c>
      <c r="F286" s="138" t="s">
        <v>217</v>
      </c>
      <c r="G286" s="139" t="s">
        <v>387</v>
      </c>
      <c r="H286" s="140"/>
      <c r="I286" s="141">
        <v>2</v>
      </c>
      <c r="J286" s="142">
        <v>44597</v>
      </c>
      <c r="K286" s="142">
        <v>89194</v>
      </c>
      <c r="L286" s="186" t="s">
        <v>620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865</v>
      </c>
      <c r="E287" s="135" t="s">
        <v>389</v>
      </c>
      <c r="F287" s="138" t="s">
        <v>682</v>
      </c>
      <c r="G287" s="139" t="s">
        <v>371</v>
      </c>
      <c r="H287" s="140"/>
      <c r="I287" s="141">
        <v>1</v>
      </c>
      <c r="J287" s="142">
        <v>55058</v>
      </c>
      <c r="K287" s="142">
        <v>55058</v>
      </c>
      <c r="L287" s="186" t="s">
        <v>620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866</v>
      </c>
      <c r="E288" s="135" t="s">
        <v>376</v>
      </c>
      <c r="F288" s="138" t="s">
        <v>217</v>
      </c>
      <c r="G288" s="139" t="s">
        <v>387</v>
      </c>
      <c r="H288" s="140"/>
      <c r="I288" s="141">
        <v>2</v>
      </c>
      <c r="J288" s="142">
        <v>44597</v>
      </c>
      <c r="K288" s="142">
        <v>89194</v>
      </c>
      <c r="L288" s="186" t="s">
        <v>620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867</v>
      </c>
      <c r="E289" s="135" t="s">
        <v>381</v>
      </c>
      <c r="F289" s="138" t="s">
        <v>217</v>
      </c>
      <c r="G289" s="139" t="s">
        <v>369</v>
      </c>
      <c r="H289" s="140"/>
      <c r="I289" s="141">
        <v>1</v>
      </c>
      <c r="J289" s="142">
        <v>44597</v>
      </c>
      <c r="K289" s="142">
        <v>44597</v>
      </c>
      <c r="L289" s="186" t="s">
        <v>620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811</v>
      </c>
      <c r="E290" s="135" t="s">
        <v>389</v>
      </c>
      <c r="F290" s="138" t="s">
        <v>210</v>
      </c>
      <c r="G290" s="139" t="s">
        <v>868</v>
      </c>
      <c r="H290" s="140"/>
      <c r="I290" s="141">
        <v>2</v>
      </c>
      <c r="J290" s="142">
        <v>14099</v>
      </c>
      <c r="K290" s="142">
        <v>28198</v>
      </c>
      <c r="L290" s="186" t="s">
        <v>620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811</v>
      </c>
      <c r="E291" s="135" t="s">
        <v>389</v>
      </c>
      <c r="F291" s="138" t="s">
        <v>116</v>
      </c>
      <c r="G291" s="139" t="s">
        <v>812</v>
      </c>
      <c r="H291" s="140"/>
      <c r="I291" s="141">
        <v>3</v>
      </c>
      <c r="J291" s="142">
        <v>5274</v>
      </c>
      <c r="K291" s="142">
        <v>15822</v>
      </c>
      <c r="L291" s="186" t="s">
        <v>620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869</v>
      </c>
      <c r="E292" s="135" t="s">
        <v>381</v>
      </c>
      <c r="F292" s="138" t="s">
        <v>682</v>
      </c>
      <c r="G292" s="139" t="s">
        <v>371</v>
      </c>
      <c r="H292" s="140"/>
      <c r="I292" s="141">
        <v>1</v>
      </c>
      <c r="J292" s="142">
        <v>55058</v>
      </c>
      <c r="K292" s="142">
        <v>55058</v>
      </c>
      <c r="L292" s="186" t="s">
        <v>620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815</v>
      </c>
      <c r="E293" s="122" t="s">
        <v>376</v>
      </c>
      <c r="F293" s="125" t="s">
        <v>217</v>
      </c>
      <c r="G293" s="126" t="s">
        <v>387</v>
      </c>
      <c r="H293" s="127"/>
      <c r="I293" s="128">
        <v>2</v>
      </c>
      <c r="J293" s="129">
        <v>44597</v>
      </c>
      <c r="K293" s="129">
        <v>89194</v>
      </c>
      <c r="L293" s="182" t="s">
        <v>870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871</v>
      </c>
      <c r="E294" s="122" t="s">
        <v>381</v>
      </c>
      <c r="F294" s="125" t="s">
        <v>217</v>
      </c>
      <c r="G294" s="126" t="s">
        <v>369</v>
      </c>
      <c r="H294" s="127"/>
      <c r="I294" s="128">
        <v>1</v>
      </c>
      <c r="J294" s="129">
        <v>44597</v>
      </c>
      <c r="K294" s="129">
        <v>44597</v>
      </c>
      <c r="L294" s="182" t="s">
        <v>870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872</v>
      </c>
      <c r="E295" s="122" t="s">
        <v>381</v>
      </c>
      <c r="F295" s="125" t="s">
        <v>537</v>
      </c>
      <c r="G295" s="126" t="s">
        <v>873</v>
      </c>
      <c r="H295" s="127"/>
      <c r="I295" s="128">
        <v>2</v>
      </c>
      <c r="J295" s="129">
        <v>30429</v>
      </c>
      <c r="K295" s="129">
        <v>60858</v>
      </c>
      <c r="L295" s="182" t="s">
        <v>870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874</v>
      </c>
      <c r="E296" s="122" t="s">
        <v>381</v>
      </c>
      <c r="F296" s="125" t="s">
        <v>219</v>
      </c>
      <c r="G296" s="126" t="s">
        <v>875</v>
      </c>
      <c r="H296" s="127"/>
      <c r="I296" s="128">
        <v>1</v>
      </c>
      <c r="J296" s="129">
        <v>22299</v>
      </c>
      <c r="K296" s="129">
        <v>22299</v>
      </c>
      <c r="L296" s="182" t="s">
        <v>870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876</v>
      </c>
      <c r="E297" s="122" t="s">
        <v>389</v>
      </c>
      <c r="F297" s="125" t="s">
        <v>682</v>
      </c>
      <c r="G297" s="126" t="s">
        <v>371</v>
      </c>
      <c r="H297" s="127"/>
      <c r="I297" s="128">
        <v>1</v>
      </c>
      <c r="J297" s="129">
        <v>55058</v>
      </c>
      <c r="K297" s="129">
        <v>55058</v>
      </c>
      <c r="L297" s="182" t="s">
        <v>870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877</v>
      </c>
      <c r="E298" s="122" t="s">
        <v>381</v>
      </c>
      <c r="F298" s="125" t="s">
        <v>115</v>
      </c>
      <c r="G298" s="126" t="s">
        <v>645</v>
      </c>
      <c r="H298" s="127"/>
      <c r="I298" s="128">
        <v>1</v>
      </c>
      <c r="J298" s="129">
        <v>33370</v>
      </c>
      <c r="K298" s="129">
        <v>33370</v>
      </c>
      <c r="L298" s="182" t="s">
        <v>870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878</v>
      </c>
      <c r="E299" s="122" t="s">
        <v>389</v>
      </c>
      <c r="F299" s="125" t="s">
        <v>537</v>
      </c>
      <c r="G299" s="126" t="s">
        <v>562</v>
      </c>
      <c r="H299" s="127"/>
      <c r="I299" s="128">
        <v>1</v>
      </c>
      <c r="J299" s="129">
        <v>30429</v>
      </c>
      <c r="K299" s="129">
        <v>30429</v>
      </c>
      <c r="L299" s="182" t="s">
        <v>870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385</v>
      </c>
      <c r="E300" s="122" t="s">
        <v>381</v>
      </c>
      <c r="F300" s="125" t="s">
        <v>682</v>
      </c>
      <c r="G300" s="126" t="s">
        <v>387</v>
      </c>
      <c r="H300" s="127"/>
      <c r="I300" s="128">
        <v>2</v>
      </c>
      <c r="J300" s="129">
        <v>55058</v>
      </c>
      <c r="K300" s="129">
        <v>110116</v>
      </c>
      <c r="L300" s="182" t="s">
        <v>870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879</v>
      </c>
      <c r="E301" s="122" t="s">
        <v>376</v>
      </c>
      <c r="F301" s="125" t="s">
        <v>217</v>
      </c>
      <c r="G301" s="126" t="s">
        <v>371</v>
      </c>
      <c r="H301" s="127"/>
      <c r="I301" s="128">
        <v>1</v>
      </c>
      <c r="J301" s="129">
        <v>44597</v>
      </c>
      <c r="K301" s="129">
        <v>44597</v>
      </c>
      <c r="L301" s="182" t="s">
        <v>870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879</v>
      </c>
      <c r="E302" s="122" t="s">
        <v>376</v>
      </c>
      <c r="F302" s="125" t="s">
        <v>622</v>
      </c>
      <c r="G302" s="126" t="s">
        <v>371</v>
      </c>
      <c r="H302" s="127"/>
      <c r="I302" s="128">
        <v>1</v>
      </c>
      <c r="J302" s="129">
        <v>15722</v>
      </c>
      <c r="K302" s="129">
        <v>15722</v>
      </c>
      <c r="L302" s="182" t="s">
        <v>870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880</v>
      </c>
      <c r="E303" s="122" t="s">
        <v>376</v>
      </c>
      <c r="F303" s="125" t="s">
        <v>217</v>
      </c>
      <c r="G303" s="126" t="s">
        <v>371</v>
      </c>
      <c r="H303" s="127"/>
      <c r="I303" s="128">
        <v>1</v>
      </c>
      <c r="J303" s="129">
        <v>44597</v>
      </c>
      <c r="K303" s="129">
        <v>44597</v>
      </c>
      <c r="L303" s="182" t="s">
        <v>870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827</v>
      </c>
      <c r="E304" s="122" t="s">
        <v>381</v>
      </c>
      <c r="F304" s="125" t="s">
        <v>115</v>
      </c>
      <c r="G304" s="126" t="s">
        <v>431</v>
      </c>
      <c r="H304" s="127"/>
      <c r="I304" s="128">
        <v>1</v>
      </c>
      <c r="J304" s="129">
        <v>33370</v>
      </c>
      <c r="K304" s="129">
        <v>33370</v>
      </c>
      <c r="L304" s="182" t="s">
        <v>870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881</v>
      </c>
      <c r="E305" s="122" t="s">
        <v>381</v>
      </c>
      <c r="F305" s="125" t="s">
        <v>115</v>
      </c>
      <c r="G305" s="126" t="s">
        <v>419</v>
      </c>
      <c r="H305" s="127"/>
      <c r="I305" s="128">
        <v>1</v>
      </c>
      <c r="J305" s="129">
        <v>33370</v>
      </c>
      <c r="K305" s="129">
        <v>33370</v>
      </c>
      <c r="L305" s="182" t="s">
        <v>870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882</v>
      </c>
      <c r="E306" s="122" t="s">
        <v>389</v>
      </c>
      <c r="F306" s="125" t="s">
        <v>239</v>
      </c>
      <c r="G306" s="126" t="s">
        <v>371</v>
      </c>
      <c r="H306" s="127"/>
      <c r="I306" s="128">
        <v>1</v>
      </c>
      <c r="J306" s="129">
        <v>19272</v>
      </c>
      <c r="K306" s="129">
        <v>19272</v>
      </c>
      <c r="L306" s="182" t="s">
        <v>870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883</v>
      </c>
      <c r="E307" s="122" t="s">
        <v>381</v>
      </c>
      <c r="F307" s="125" t="s">
        <v>217</v>
      </c>
      <c r="G307" s="126" t="s">
        <v>371</v>
      </c>
      <c r="H307" s="127"/>
      <c r="I307" s="128">
        <v>1</v>
      </c>
      <c r="J307" s="129">
        <v>44597</v>
      </c>
      <c r="K307" s="129">
        <v>44597</v>
      </c>
      <c r="L307" s="182" t="s">
        <v>870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811</v>
      </c>
      <c r="E308" s="122" t="s">
        <v>389</v>
      </c>
      <c r="F308" s="125" t="s">
        <v>115</v>
      </c>
      <c r="G308" s="126" t="s">
        <v>812</v>
      </c>
      <c r="H308" s="127"/>
      <c r="I308" s="128">
        <v>3</v>
      </c>
      <c r="J308" s="129">
        <v>33370</v>
      </c>
      <c r="K308" s="129">
        <v>100110</v>
      </c>
      <c r="L308" s="182" t="s">
        <v>870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884</v>
      </c>
      <c r="E309" s="122" t="s">
        <v>381</v>
      </c>
      <c r="F309" s="125" t="s">
        <v>217</v>
      </c>
      <c r="G309" s="126" t="s">
        <v>387</v>
      </c>
      <c r="H309" s="127"/>
      <c r="I309" s="128">
        <v>2</v>
      </c>
      <c r="J309" s="129">
        <v>44597</v>
      </c>
      <c r="K309" s="129">
        <v>89194</v>
      </c>
      <c r="L309" s="182" t="s">
        <v>870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885</v>
      </c>
      <c r="E310" s="122" t="s">
        <v>381</v>
      </c>
      <c r="F310" s="125" t="s">
        <v>115</v>
      </c>
      <c r="G310" s="126" t="s">
        <v>886</v>
      </c>
      <c r="H310" s="127"/>
      <c r="I310" s="128">
        <v>1</v>
      </c>
      <c r="J310" s="129">
        <v>33370</v>
      </c>
      <c r="K310" s="129">
        <v>33370</v>
      </c>
      <c r="L310" s="189" t="s">
        <v>623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887</v>
      </c>
      <c r="E311" s="122" t="s">
        <v>381</v>
      </c>
      <c r="F311" s="125" t="s">
        <v>537</v>
      </c>
      <c r="G311" s="126" t="s">
        <v>431</v>
      </c>
      <c r="H311" s="127"/>
      <c r="I311" s="128">
        <v>1</v>
      </c>
      <c r="J311" s="129">
        <v>30429</v>
      </c>
      <c r="K311" s="129">
        <v>30429</v>
      </c>
      <c r="L311" s="189" t="s">
        <v>623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888</v>
      </c>
      <c r="E312" s="122" t="s">
        <v>381</v>
      </c>
      <c r="F312" s="125" t="s">
        <v>115</v>
      </c>
      <c r="G312" s="126" t="s">
        <v>886</v>
      </c>
      <c r="H312" s="127"/>
      <c r="I312" s="128">
        <v>1</v>
      </c>
      <c r="J312" s="129">
        <v>33370</v>
      </c>
      <c r="K312" s="129">
        <v>33370</v>
      </c>
      <c r="L312" s="189" t="s">
        <v>623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889</v>
      </c>
      <c r="E313" s="122" t="s">
        <v>381</v>
      </c>
      <c r="F313" s="125" t="s">
        <v>217</v>
      </c>
      <c r="G313" s="126" t="s">
        <v>371</v>
      </c>
      <c r="H313" s="127"/>
      <c r="I313" s="128">
        <v>1</v>
      </c>
      <c r="J313" s="129">
        <v>44597</v>
      </c>
      <c r="K313" s="129">
        <v>44597</v>
      </c>
      <c r="L313" s="189" t="s">
        <v>623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890</v>
      </c>
      <c r="E314" s="122" t="s">
        <v>381</v>
      </c>
      <c r="F314" s="125" t="s">
        <v>217</v>
      </c>
      <c r="G314" s="126" t="s">
        <v>371</v>
      </c>
      <c r="H314" s="127"/>
      <c r="I314" s="128">
        <v>1</v>
      </c>
      <c r="J314" s="129">
        <v>44597</v>
      </c>
      <c r="K314" s="129">
        <v>44597</v>
      </c>
      <c r="L314" s="189" t="s">
        <v>623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398</v>
      </c>
      <c r="E315" s="122" t="s">
        <v>381</v>
      </c>
      <c r="F315" s="125" t="s">
        <v>115</v>
      </c>
      <c r="G315" s="126" t="s">
        <v>400</v>
      </c>
      <c r="H315" s="127"/>
      <c r="I315" s="128">
        <v>2</v>
      </c>
      <c r="J315" s="129">
        <v>33370</v>
      </c>
      <c r="K315" s="129">
        <v>66740</v>
      </c>
      <c r="L315" s="189" t="s">
        <v>623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891</v>
      </c>
      <c r="E316" s="122" t="s">
        <v>381</v>
      </c>
      <c r="F316" s="125" t="s">
        <v>537</v>
      </c>
      <c r="G316" s="126" t="s">
        <v>527</v>
      </c>
      <c r="H316" s="127"/>
      <c r="I316" s="128">
        <v>1</v>
      </c>
      <c r="J316" s="129">
        <v>30429</v>
      </c>
      <c r="K316" s="129">
        <v>30429</v>
      </c>
      <c r="L316" s="189" t="s">
        <v>623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892</v>
      </c>
      <c r="E317" s="122" t="s">
        <v>802</v>
      </c>
      <c r="F317" s="125" t="s">
        <v>217</v>
      </c>
      <c r="G317" s="126" t="s">
        <v>371</v>
      </c>
      <c r="H317" s="127"/>
      <c r="I317" s="128">
        <v>1</v>
      </c>
      <c r="J317" s="129">
        <v>44597</v>
      </c>
      <c r="K317" s="129">
        <v>44597</v>
      </c>
      <c r="L317" s="189" t="s">
        <v>623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893</v>
      </c>
      <c r="E318" s="122" t="s">
        <v>381</v>
      </c>
      <c r="F318" s="125" t="s">
        <v>219</v>
      </c>
      <c r="G318" s="126" t="s">
        <v>371</v>
      </c>
      <c r="H318" s="127"/>
      <c r="I318" s="128">
        <v>1</v>
      </c>
      <c r="J318" s="129">
        <v>22299</v>
      </c>
      <c r="K318" s="129">
        <v>22299</v>
      </c>
      <c r="L318" s="189" t="s">
        <v>623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894</v>
      </c>
      <c r="E319" s="122" t="s">
        <v>389</v>
      </c>
      <c r="F319" s="125" t="s">
        <v>580</v>
      </c>
      <c r="G319" s="126" t="s">
        <v>371</v>
      </c>
      <c r="H319" s="127"/>
      <c r="I319" s="128">
        <v>1</v>
      </c>
      <c r="J319" s="129">
        <v>25800</v>
      </c>
      <c r="K319" s="129">
        <v>25800</v>
      </c>
      <c r="L319" s="189" t="s">
        <v>623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895</v>
      </c>
      <c r="E320" s="122" t="s">
        <v>381</v>
      </c>
      <c r="F320" s="125" t="s">
        <v>217</v>
      </c>
      <c r="G320" s="126" t="s">
        <v>387</v>
      </c>
      <c r="H320" s="127"/>
      <c r="I320" s="128">
        <v>2</v>
      </c>
      <c r="J320" s="129">
        <v>44597</v>
      </c>
      <c r="K320" s="129">
        <v>89194</v>
      </c>
      <c r="L320" s="189" t="s">
        <v>623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896</v>
      </c>
      <c r="E321" s="122" t="s">
        <v>381</v>
      </c>
      <c r="F321" s="125" t="s">
        <v>537</v>
      </c>
      <c r="G321" s="126" t="s">
        <v>431</v>
      </c>
      <c r="H321" s="127"/>
      <c r="I321" s="128">
        <v>1</v>
      </c>
      <c r="J321" s="129">
        <v>30429</v>
      </c>
      <c r="K321" s="129">
        <v>30429</v>
      </c>
      <c r="L321" s="189" t="s">
        <v>623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897</v>
      </c>
      <c r="E322" s="122" t="s">
        <v>381</v>
      </c>
      <c r="F322" s="125" t="s">
        <v>115</v>
      </c>
      <c r="G322" s="126" t="s">
        <v>898</v>
      </c>
      <c r="H322" s="127"/>
      <c r="I322" s="128">
        <v>3</v>
      </c>
      <c r="J322" s="129">
        <v>33370</v>
      </c>
      <c r="K322" s="129">
        <v>100110</v>
      </c>
      <c r="L322" s="189" t="s">
        <v>623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899</v>
      </c>
      <c r="E323" s="122" t="s">
        <v>478</v>
      </c>
      <c r="F323" s="125" t="s">
        <v>116</v>
      </c>
      <c r="G323" s="126" t="s">
        <v>407</v>
      </c>
      <c r="H323" s="127"/>
      <c r="I323" s="128">
        <v>1</v>
      </c>
      <c r="J323" s="129">
        <v>5274</v>
      </c>
      <c r="K323" s="129">
        <v>5274</v>
      </c>
      <c r="L323" s="189" t="s">
        <v>623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900</v>
      </c>
      <c r="E324" s="122" t="s">
        <v>381</v>
      </c>
      <c r="F324" s="125" t="s">
        <v>210</v>
      </c>
      <c r="G324" s="126" t="s">
        <v>419</v>
      </c>
      <c r="H324" s="127"/>
      <c r="I324" s="128">
        <v>1</v>
      </c>
      <c r="J324" s="129">
        <v>14099</v>
      </c>
      <c r="K324" s="129">
        <v>14099</v>
      </c>
      <c r="L324" s="189" t="s">
        <v>623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901</v>
      </c>
      <c r="E325" s="122" t="s">
        <v>381</v>
      </c>
      <c r="F325" s="125" t="s">
        <v>537</v>
      </c>
      <c r="G325" s="126" t="s">
        <v>562</v>
      </c>
      <c r="H325" s="127"/>
      <c r="I325" s="128">
        <v>1</v>
      </c>
      <c r="J325" s="129">
        <v>30429</v>
      </c>
      <c r="K325" s="129">
        <v>30429</v>
      </c>
      <c r="L325" s="189" t="s">
        <v>623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902</v>
      </c>
      <c r="E326" s="122" t="s">
        <v>381</v>
      </c>
      <c r="F326" s="125" t="s">
        <v>217</v>
      </c>
      <c r="G326" s="126" t="s">
        <v>371</v>
      </c>
      <c r="H326" s="127"/>
      <c r="I326" s="128">
        <v>1</v>
      </c>
      <c r="J326" s="129">
        <v>44597</v>
      </c>
      <c r="K326" s="129">
        <v>44597</v>
      </c>
      <c r="L326" s="189" t="s">
        <v>623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903</v>
      </c>
      <c r="E327" s="135" t="s">
        <v>904</v>
      </c>
      <c r="F327" s="138" t="s">
        <v>580</v>
      </c>
      <c r="G327" s="139" t="s">
        <v>371</v>
      </c>
      <c r="H327" s="140"/>
      <c r="I327" s="141">
        <v>1</v>
      </c>
      <c r="J327" s="142">
        <v>25800</v>
      </c>
      <c r="K327" s="142">
        <v>25800</v>
      </c>
      <c r="L327" s="167" t="s">
        <v>606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905</v>
      </c>
      <c r="E328" s="174" t="s">
        <v>906</v>
      </c>
      <c r="F328" s="176" t="s">
        <v>580</v>
      </c>
      <c r="G328" s="177" t="s">
        <v>371</v>
      </c>
      <c r="H328" s="178"/>
      <c r="I328" s="179">
        <v>1</v>
      </c>
      <c r="J328" s="142">
        <v>25800</v>
      </c>
      <c r="K328" s="142">
        <v>25800</v>
      </c>
      <c r="L328" s="167" t="s">
        <v>606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907</v>
      </c>
      <c r="E329" s="174" t="s">
        <v>904</v>
      </c>
      <c r="F329" s="176" t="s">
        <v>580</v>
      </c>
      <c r="G329" s="177" t="s">
        <v>371</v>
      </c>
      <c r="H329" s="178"/>
      <c r="I329" s="179">
        <v>1</v>
      </c>
      <c r="J329" s="142">
        <v>25800</v>
      </c>
      <c r="K329" s="142">
        <v>25800</v>
      </c>
      <c r="L329" s="167" t="s">
        <v>606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908</v>
      </c>
      <c r="E330" s="174" t="s">
        <v>909</v>
      </c>
      <c r="F330" s="176" t="s">
        <v>580</v>
      </c>
      <c r="G330" s="177" t="s">
        <v>371</v>
      </c>
      <c r="H330" s="178"/>
      <c r="I330" s="179">
        <v>1</v>
      </c>
      <c r="J330" s="142">
        <v>25800</v>
      </c>
      <c r="K330" s="142">
        <v>25800</v>
      </c>
      <c r="L330" s="167" t="s">
        <v>606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910</v>
      </c>
      <c r="E331" s="135" t="s">
        <v>906</v>
      </c>
      <c r="F331" s="138" t="s">
        <v>580</v>
      </c>
      <c r="G331" s="139" t="s">
        <v>371</v>
      </c>
      <c r="H331" s="140"/>
      <c r="I331" s="141">
        <v>1</v>
      </c>
      <c r="J331" s="142">
        <v>25800</v>
      </c>
      <c r="K331" s="142">
        <v>25800</v>
      </c>
      <c r="L331" s="167" t="s">
        <v>606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911</v>
      </c>
      <c r="E332" s="174" t="s">
        <v>912</v>
      </c>
      <c r="F332" s="176" t="s">
        <v>580</v>
      </c>
      <c r="G332" s="177" t="s">
        <v>371</v>
      </c>
      <c r="H332" s="178"/>
      <c r="I332" s="179">
        <v>1</v>
      </c>
      <c r="J332" s="142">
        <v>25800</v>
      </c>
      <c r="K332" s="142">
        <v>25800</v>
      </c>
      <c r="L332" s="170" t="s">
        <v>608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913</v>
      </c>
      <c r="E333" s="135" t="s">
        <v>376</v>
      </c>
      <c r="F333" s="138" t="s">
        <v>116</v>
      </c>
      <c r="G333" s="139" t="s">
        <v>417</v>
      </c>
      <c r="H333" s="140"/>
      <c r="I333" s="141">
        <v>1</v>
      </c>
      <c r="J333" s="142">
        <v>5274</v>
      </c>
      <c r="K333" s="142">
        <v>5274</v>
      </c>
      <c r="L333" s="170" t="s">
        <v>608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914</v>
      </c>
      <c r="E334" s="135" t="s">
        <v>915</v>
      </c>
      <c r="F334" s="138" t="s">
        <v>537</v>
      </c>
      <c r="G334" s="139" t="s">
        <v>431</v>
      </c>
      <c r="H334" s="140"/>
      <c r="I334" s="141">
        <v>1</v>
      </c>
      <c r="J334" s="142">
        <v>30429</v>
      </c>
      <c r="K334" s="142">
        <v>30429</v>
      </c>
      <c r="L334" s="170" t="s">
        <v>608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916</v>
      </c>
      <c r="E335" s="135" t="s">
        <v>917</v>
      </c>
      <c r="F335" s="138" t="s">
        <v>580</v>
      </c>
      <c r="G335" s="139" t="s">
        <v>371</v>
      </c>
      <c r="H335" s="140"/>
      <c r="I335" s="141">
        <v>1</v>
      </c>
      <c r="J335" s="142">
        <v>25800</v>
      </c>
      <c r="K335" s="142">
        <v>25800</v>
      </c>
      <c r="L335" s="170" t="s">
        <v>608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918</v>
      </c>
      <c r="E336" s="135" t="s">
        <v>906</v>
      </c>
      <c r="F336" s="138" t="s">
        <v>580</v>
      </c>
      <c r="G336" s="139" t="s">
        <v>371</v>
      </c>
      <c r="H336" s="140"/>
      <c r="I336" s="141">
        <v>1</v>
      </c>
      <c r="J336" s="142">
        <v>25800</v>
      </c>
      <c r="K336" s="142">
        <v>25800</v>
      </c>
      <c r="L336" s="170" t="s">
        <v>608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919</v>
      </c>
      <c r="E337" s="135" t="s">
        <v>904</v>
      </c>
      <c r="F337" s="138" t="s">
        <v>580</v>
      </c>
      <c r="G337" s="139" t="s">
        <v>371</v>
      </c>
      <c r="H337" s="140"/>
      <c r="I337" s="141">
        <v>1</v>
      </c>
      <c r="J337" s="142">
        <v>25800</v>
      </c>
      <c r="K337" s="142">
        <v>25800</v>
      </c>
      <c r="L337" s="170" t="s">
        <v>608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920</v>
      </c>
      <c r="E338" s="135" t="s">
        <v>476</v>
      </c>
      <c r="F338" s="138" t="s">
        <v>115</v>
      </c>
      <c r="G338" s="139" t="s">
        <v>431</v>
      </c>
      <c r="H338" s="140"/>
      <c r="I338" s="141">
        <v>1</v>
      </c>
      <c r="J338" s="142">
        <v>33370</v>
      </c>
      <c r="K338" s="142">
        <v>33370</v>
      </c>
      <c r="L338" s="170" t="s">
        <v>608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921</v>
      </c>
      <c r="E339" s="135" t="s">
        <v>909</v>
      </c>
      <c r="F339" s="138" t="s">
        <v>580</v>
      </c>
      <c r="G339" s="139" t="s">
        <v>371</v>
      </c>
      <c r="H339" s="140"/>
      <c r="I339" s="141">
        <v>1</v>
      </c>
      <c r="J339" s="142">
        <v>25800</v>
      </c>
      <c r="K339" s="142">
        <v>25800</v>
      </c>
      <c r="L339" s="170" t="s">
        <v>608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922</v>
      </c>
      <c r="E340" s="174" t="s">
        <v>476</v>
      </c>
      <c r="F340" s="176" t="s">
        <v>580</v>
      </c>
      <c r="G340" s="177" t="s">
        <v>371</v>
      </c>
      <c r="H340" s="178"/>
      <c r="I340" s="179">
        <v>1</v>
      </c>
      <c r="J340" s="142">
        <v>25800</v>
      </c>
      <c r="K340" s="142">
        <v>25800</v>
      </c>
      <c r="L340" s="170" t="s">
        <v>608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923</v>
      </c>
      <c r="E341" s="174" t="s">
        <v>912</v>
      </c>
      <c r="F341" s="176" t="s">
        <v>580</v>
      </c>
      <c r="G341" s="177" t="s">
        <v>371</v>
      </c>
      <c r="H341" s="178"/>
      <c r="I341" s="179">
        <v>1</v>
      </c>
      <c r="J341" s="142">
        <v>25800</v>
      </c>
      <c r="K341" s="142">
        <v>25800</v>
      </c>
      <c r="L341" s="170" t="s">
        <v>608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924</v>
      </c>
      <c r="E342" s="135" t="s">
        <v>909</v>
      </c>
      <c r="F342" s="138" t="s">
        <v>580</v>
      </c>
      <c r="G342" s="139" t="s">
        <v>371</v>
      </c>
      <c r="H342" s="140"/>
      <c r="I342" s="141">
        <v>1</v>
      </c>
      <c r="J342" s="142">
        <v>25800</v>
      </c>
      <c r="K342" s="142">
        <v>25800</v>
      </c>
      <c r="L342" s="170" t="s">
        <v>608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925</v>
      </c>
      <c r="E343" s="135" t="s">
        <v>476</v>
      </c>
      <c r="F343" s="138" t="s">
        <v>580</v>
      </c>
      <c r="G343" s="139" t="s">
        <v>371</v>
      </c>
      <c r="H343" s="140"/>
      <c r="I343" s="141">
        <v>1</v>
      </c>
      <c r="J343" s="142">
        <v>25800</v>
      </c>
      <c r="K343" s="142">
        <v>25800</v>
      </c>
      <c r="L343" s="194" t="s">
        <v>760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926</v>
      </c>
      <c r="E344" s="135" t="s">
        <v>476</v>
      </c>
      <c r="F344" s="138" t="s">
        <v>115</v>
      </c>
      <c r="G344" s="139" t="s">
        <v>927</v>
      </c>
      <c r="H344" s="140"/>
      <c r="I344" s="141">
        <v>2</v>
      </c>
      <c r="J344" s="142">
        <v>33370</v>
      </c>
      <c r="K344" s="142">
        <v>66740</v>
      </c>
      <c r="L344" s="194" t="s">
        <v>760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928</v>
      </c>
      <c r="E345" s="135" t="s">
        <v>476</v>
      </c>
      <c r="F345" s="138" t="s">
        <v>115</v>
      </c>
      <c r="G345" s="139" t="s">
        <v>929</v>
      </c>
      <c r="H345" s="140"/>
      <c r="I345" s="141">
        <v>2</v>
      </c>
      <c r="J345" s="142">
        <v>33370</v>
      </c>
      <c r="K345" s="142">
        <v>66740</v>
      </c>
      <c r="L345" s="194" t="s">
        <v>760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930</v>
      </c>
      <c r="E346" s="135" t="s">
        <v>476</v>
      </c>
      <c r="F346" s="138" t="s">
        <v>580</v>
      </c>
      <c r="G346" s="139" t="s">
        <v>371</v>
      </c>
      <c r="H346" s="140"/>
      <c r="I346" s="141">
        <v>1</v>
      </c>
      <c r="J346" s="142">
        <v>25800</v>
      </c>
      <c r="K346" s="142">
        <v>25800</v>
      </c>
      <c r="L346" s="194" t="s">
        <v>760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931</v>
      </c>
      <c r="E347" s="135" t="s">
        <v>932</v>
      </c>
      <c r="F347" s="138" t="s">
        <v>217</v>
      </c>
      <c r="G347" s="139" t="s">
        <v>371</v>
      </c>
      <c r="H347" s="140"/>
      <c r="I347" s="141">
        <v>1</v>
      </c>
      <c r="J347" s="142">
        <v>44597</v>
      </c>
      <c r="K347" s="142">
        <v>44597</v>
      </c>
      <c r="L347" s="194" t="s">
        <v>760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933</v>
      </c>
      <c r="E348" s="135" t="s">
        <v>915</v>
      </c>
      <c r="F348" s="138" t="s">
        <v>217</v>
      </c>
      <c r="G348" s="139" t="s">
        <v>371</v>
      </c>
      <c r="H348" s="140"/>
      <c r="I348" s="141">
        <v>1</v>
      </c>
      <c r="J348" s="142">
        <v>44597</v>
      </c>
      <c r="K348" s="142">
        <v>44597</v>
      </c>
      <c r="L348" s="194" t="s">
        <v>760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934</v>
      </c>
      <c r="E349" s="135" t="s">
        <v>515</v>
      </c>
      <c r="F349" s="138" t="s">
        <v>580</v>
      </c>
      <c r="G349" s="139" t="s">
        <v>371</v>
      </c>
      <c r="H349" s="140"/>
      <c r="I349" s="141">
        <v>1</v>
      </c>
      <c r="J349" s="142">
        <v>25800</v>
      </c>
      <c r="K349" s="142">
        <v>25800</v>
      </c>
      <c r="L349" s="196" t="s">
        <v>788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935</v>
      </c>
      <c r="E350" s="135" t="s">
        <v>912</v>
      </c>
      <c r="F350" s="138" t="s">
        <v>580</v>
      </c>
      <c r="G350" s="139" t="s">
        <v>371</v>
      </c>
      <c r="H350" s="140"/>
      <c r="I350" s="141">
        <v>1</v>
      </c>
      <c r="J350" s="142">
        <v>25800</v>
      </c>
      <c r="K350" s="142">
        <v>25800</v>
      </c>
      <c r="L350" s="196" t="s">
        <v>788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936</v>
      </c>
      <c r="E351" s="135" t="s">
        <v>906</v>
      </c>
      <c r="F351" s="138" t="s">
        <v>580</v>
      </c>
      <c r="G351" s="139" t="s">
        <v>371</v>
      </c>
      <c r="H351" s="140"/>
      <c r="I351" s="141">
        <v>1</v>
      </c>
      <c r="J351" s="142">
        <v>25800</v>
      </c>
      <c r="K351" s="142">
        <v>25800</v>
      </c>
      <c r="L351" s="196" t="s">
        <v>788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937</v>
      </c>
      <c r="E352" s="135" t="s">
        <v>915</v>
      </c>
      <c r="F352" s="138" t="s">
        <v>217</v>
      </c>
      <c r="G352" s="139" t="s">
        <v>387</v>
      </c>
      <c r="H352" s="140"/>
      <c r="I352" s="141">
        <v>2</v>
      </c>
      <c r="J352" s="142">
        <v>44597</v>
      </c>
      <c r="K352" s="142">
        <v>89194</v>
      </c>
      <c r="L352" s="196" t="s">
        <v>788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938</v>
      </c>
      <c r="E353" s="135" t="s">
        <v>476</v>
      </c>
      <c r="F353" s="138" t="s">
        <v>580</v>
      </c>
      <c r="G353" s="139" t="s">
        <v>371</v>
      </c>
      <c r="H353" s="140"/>
      <c r="I353" s="141">
        <v>1</v>
      </c>
      <c r="J353" s="142">
        <v>25800</v>
      </c>
      <c r="K353" s="142">
        <v>25800</v>
      </c>
      <c r="L353" s="196" t="s">
        <v>788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939</v>
      </c>
      <c r="E354" s="135" t="s">
        <v>476</v>
      </c>
      <c r="F354" s="138" t="s">
        <v>115</v>
      </c>
      <c r="G354" s="139" t="s">
        <v>419</v>
      </c>
      <c r="H354" s="140"/>
      <c r="I354" s="141">
        <v>1</v>
      </c>
      <c r="J354" s="142">
        <v>33370</v>
      </c>
      <c r="K354" s="142">
        <v>33370</v>
      </c>
      <c r="L354" s="163" t="s">
        <v>617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940</v>
      </c>
      <c r="E355" s="135" t="s">
        <v>909</v>
      </c>
      <c r="F355" s="138" t="s">
        <v>580</v>
      </c>
      <c r="G355" s="139" t="s">
        <v>371</v>
      </c>
      <c r="H355" s="140"/>
      <c r="I355" s="141">
        <v>1</v>
      </c>
      <c r="J355" s="142">
        <v>25800</v>
      </c>
      <c r="K355" s="180">
        <v>25800</v>
      </c>
      <c r="L355" s="163" t="s">
        <v>617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941</v>
      </c>
      <c r="E356" s="135" t="s">
        <v>476</v>
      </c>
      <c r="F356" s="138" t="s">
        <v>537</v>
      </c>
      <c r="G356" s="139" t="s">
        <v>415</v>
      </c>
      <c r="H356" s="140"/>
      <c r="I356" s="141">
        <v>1</v>
      </c>
      <c r="J356" s="142">
        <v>30429</v>
      </c>
      <c r="K356" s="142">
        <v>30429</v>
      </c>
      <c r="L356" s="163" t="s">
        <v>617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942</v>
      </c>
      <c r="E357" s="135" t="s">
        <v>943</v>
      </c>
      <c r="F357" s="138" t="s">
        <v>580</v>
      </c>
      <c r="G357" s="139" t="s">
        <v>371</v>
      </c>
      <c r="H357" s="140"/>
      <c r="I357" s="141">
        <v>1</v>
      </c>
      <c r="J357" s="142">
        <v>25800</v>
      </c>
      <c r="K357" s="142">
        <v>25800</v>
      </c>
      <c r="L357" s="163" t="s">
        <v>617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937</v>
      </c>
      <c r="E358" s="135" t="s">
        <v>915</v>
      </c>
      <c r="F358" s="138" t="s">
        <v>232</v>
      </c>
      <c r="G358" s="139" t="s">
        <v>369</v>
      </c>
      <c r="H358" s="140"/>
      <c r="I358" s="141">
        <v>1</v>
      </c>
      <c r="J358" s="142">
        <v>17244</v>
      </c>
      <c r="K358" s="142">
        <v>17244</v>
      </c>
      <c r="L358" s="163" t="s">
        <v>617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944</v>
      </c>
      <c r="E359" s="135" t="s">
        <v>912</v>
      </c>
      <c r="F359" s="138" t="s">
        <v>580</v>
      </c>
      <c r="G359" s="139" t="s">
        <v>371</v>
      </c>
      <c r="H359" s="140"/>
      <c r="I359" s="141">
        <v>1</v>
      </c>
      <c r="J359" s="142">
        <v>25800</v>
      </c>
      <c r="K359" s="142">
        <v>25800</v>
      </c>
      <c r="L359" s="163" t="s">
        <v>617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945</v>
      </c>
      <c r="E360" s="135" t="s">
        <v>943</v>
      </c>
      <c r="F360" s="138" t="s">
        <v>580</v>
      </c>
      <c r="G360" s="139" t="s">
        <v>371</v>
      </c>
      <c r="H360" s="140"/>
      <c r="I360" s="141">
        <v>1</v>
      </c>
      <c r="J360" s="142">
        <v>25800</v>
      </c>
      <c r="K360" s="142">
        <v>25800</v>
      </c>
      <c r="L360" s="163" t="s">
        <v>617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946</v>
      </c>
      <c r="E361" s="135" t="s">
        <v>476</v>
      </c>
      <c r="F361" s="138" t="s">
        <v>537</v>
      </c>
      <c r="G361" s="139" t="s">
        <v>472</v>
      </c>
      <c r="H361" s="140"/>
      <c r="I361" s="141">
        <v>1</v>
      </c>
      <c r="J361" s="142">
        <v>30429</v>
      </c>
      <c r="K361" s="142">
        <v>30429</v>
      </c>
      <c r="L361" s="163" t="s">
        <v>617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947</v>
      </c>
      <c r="E362" s="135" t="s">
        <v>476</v>
      </c>
      <c r="F362" s="138" t="s">
        <v>580</v>
      </c>
      <c r="G362" s="139" t="s">
        <v>371</v>
      </c>
      <c r="H362" s="140"/>
      <c r="I362" s="141">
        <v>1</v>
      </c>
      <c r="J362" s="142">
        <v>25800</v>
      </c>
      <c r="K362" s="142">
        <v>25800</v>
      </c>
      <c r="L362" s="197" t="s">
        <v>620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948</v>
      </c>
      <c r="E363" s="135" t="s">
        <v>909</v>
      </c>
      <c r="F363" s="138" t="s">
        <v>580</v>
      </c>
      <c r="G363" s="139" t="s">
        <v>371</v>
      </c>
      <c r="H363" s="140"/>
      <c r="I363" s="141">
        <v>1</v>
      </c>
      <c r="J363" s="142">
        <v>25800</v>
      </c>
      <c r="K363" s="142">
        <v>25800</v>
      </c>
      <c r="L363" s="197" t="s">
        <v>620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949</v>
      </c>
      <c r="E364" s="135" t="s">
        <v>476</v>
      </c>
      <c r="F364" s="138" t="s">
        <v>204</v>
      </c>
      <c r="G364" s="139" t="s">
        <v>511</v>
      </c>
      <c r="H364" s="140"/>
      <c r="I364" s="141">
        <v>1</v>
      </c>
      <c r="J364" s="142">
        <v>17244</v>
      </c>
      <c r="K364" s="142">
        <v>17244</v>
      </c>
      <c r="L364" s="197" t="s">
        <v>620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949</v>
      </c>
      <c r="E365" s="135" t="s">
        <v>476</v>
      </c>
      <c r="F365" s="138" t="s">
        <v>115</v>
      </c>
      <c r="G365" s="139" t="s">
        <v>950</v>
      </c>
      <c r="H365" s="140"/>
      <c r="I365" s="141">
        <v>2</v>
      </c>
      <c r="J365" s="142">
        <v>33370</v>
      </c>
      <c r="K365" s="142">
        <v>66740</v>
      </c>
      <c r="L365" s="197" t="s">
        <v>620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951</v>
      </c>
      <c r="E366" s="135" t="s">
        <v>515</v>
      </c>
      <c r="F366" s="138" t="s">
        <v>580</v>
      </c>
      <c r="G366" s="139" t="s">
        <v>371</v>
      </c>
      <c r="H366" s="140"/>
      <c r="I366" s="141">
        <v>1</v>
      </c>
      <c r="J366" s="142">
        <v>25800</v>
      </c>
      <c r="K366" s="142">
        <v>25800</v>
      </c>
      <c r="L366" s="197" t="s">
        <v>620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952</v>
      </c>
      <c r="E367" s="135" t="s">
        <v>476</v>
      </c>
      <c r="F367" s="138" t="s">
        <v>682</v>
      </c>
      <c r="G367" s="139" t="s">
        <v>369</v>
      </c>
      <c r="H367" s="140"/>
      <c r="I367" s="141">
        <v>1</v>
      </c>
      <c r="J367" s="142">
        <v>55058</v>
      </c>
      <c r="K367" s="142">
        <v>55058</v>
      </c>
      <c r="L367" s="197" t="s">
        <v>620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953</v>
      </c>
      <c r="E368" s="135" t="s">
        <v>476</v>
      </c>
      <c r="F368" s="138" t="s">
        <v>580</v>
      </c>
      <c r="G368" s="139" t="s">
        <v>371</v>
      </c>
      <c r="H368" s="140"/>
      <c r="I368" s="141">
        <v>1</v>
      </c>
      <c r="J368" s="142">
        <v>25800</v>
      </c>
      <c r="K368" s="142">
        <v>25800</v>
      </c>
      <c r="L368" s="197" t="s">
        <v>620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954</v>
      </c>
      <c r="E369" s="135" t="s">
        <v>932</v>
      </c>
      <c r="F369" s="138" t="s">
        <v>217</v>
      </c>
      <c r="G369" s="139" t="s">
        <v>371</v>
      </c>
      <c r="H369" s="140"/>
      <c r="I369" s="141">
        <v>1</v>
      </c>
      <c r="J369" s="142">
        <v>44597</v>
      </c>
      <c r="K369" s="142">
        <v>44597</v>
      </c>
      <c r="L369" s="197" t="s">
        <v>620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955</v>
      </c>
      <c r="E370" s="135" t="s">
        <v>476</v>
      </c>
      <c r="F370" s="138" t="s">
        <v>115</v>
      </c>
      <c r="G370" s="139" t="s">
        <v>956</v>
      </c>
      <c r="H370" s="140"/>
      <c r="I370" s="141">
        <v>2</v>
      </c>
      <c r="J370" s="142">
        <v>33370</v>
      </c>
      <c r="K370" s="142">
        <v>66740</v>
      </c>
      <c r="L370" s="197" t="s">
        <v>620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957</v>
      </c>
      <c r="E371" s="135" t="s">
        <v>476</v>
      </c>
      <c r="F371" s="138" t="s">
        <v>580</v>
      </c>
      <c r="G371" s="139" t="s">
        <v>371</v>
      </c>
      <c r="H371" s="140"/>
      <c r="I371" s="141">
        <v>1</v>
      </c>
      <c r="J371" s="142">
        <v>25800</v>
      </c>
      <c r="K371" s="142">
        <v>25800</v>
      </c>
      <c r="L371" s="197" t="s">
        <v>620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958</v>
      </c>
      <c r="E372" s="122" t="s">
        <v>959</v>
      </c>
      <c r="F372" s="125" t="s">
        <v>217</v>
      </c>
      <c r="G372" s="126" t="s">
        <v>371</v>
      </c>
      <c r="H372" s="127"/>
      <c r="I372" s="128">
        <v>1</v>
      </c>
      <c r="J372" s="129">
        <v>44597</v>
      </c>
      <c r="K372" s="129">
        <v>44597</v>
      </c>
      <c r="L372" s="163" t="s">
        <v>960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961</v>
      </c>
      <c r="E373" s="122" t="s">
        <v>962</v>
      </c>
      <c r="F373" s="125" t="s">
        <v>580</v>
      </c>
      <c r="G373" s="126" t="s">
        <v>371</v>
      </c>
      <c r="H373" s="127"/>
      <c r="I373" s="128">
        <v>1</v>
      </c>
      <c r="J373" s="129">
        <v>25800</v>
      </c>
      <c r="K373" s="129">
        <v>25800</v>
      </c>
      <c r="L373" s="163" t="s">
        <v>960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963</v>
      </c>
      <c r="E374" s="122" t="s">
        <v>909</v>
      </c>
      <c r="F374" s="125" t="s">
        <v>580</v>
      </c>
      <c r="G374" s="126" t="s">
        <v>371</v>
      </c>
      <c r="H374" s="127"/>
      <c r="I374" s="128">
        <v>1</v>
      </c>
      <c r="J374" s="129">
        <v>25800</v>
      </c>
      <c r="K374" s="129">
        <v>25800</v>
      </c>
      <c r="L374" s="163" t="s">
        <v>960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964</v>
      </c>
      <c r="E375" s="122" t="s">
        <v>909</v>
      </c>
      <c r="F375" s="125" t="s">
        <v>580</v>
      </c>
      <c r="G375" s="126" t="s">
        <v>371</v>
      </c>
      <c r="H375" s="127"/>
      <c r="I375" s="128">
        <v>1</v>
      </c>
      <c r="J375" s="129">
        <v>25800</v>
      </c>
      <c r="K375" s="129">
        <v>25800</v>
      </c>
      <c r="L375" s="163" t="s">
        <v>960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965</v>
      </c>
      <c r="E376" s="122" t="s">
        <v>915</v>
      </c>
      <c r="F376" s="125" t="s">
        <v>217</v>
      </c>
      <c r="G376" s="126" t="s">
        <v>369</v>
      </c>
      <c r="H376" s="127"/>
      <c r="I376" s="128">
        <v>1</v>
      </c>
      <c r="J376" s="129">
        <v>44597</v>
      </c>
      <c r="K376" s="129">
        <v>44597</v>
      </c>
      <c r="L376" s="163" t="s">
        <v>960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966</v>
      </c>
      <c r="E377" s="122" t="s">
        <v>909</v>
      </c>
      <c r="F377" s="125" t="s">
        <v>580</v>
      </c>
      <c r="G377" s="126" t="s">
        <v>371</v>
      </c>
      <c r="H377" s="127"/>
      <c r="I377" s="128">
        <v>1</v>
      </c>
      <c r="J377" s="129">
        <v>25800</v>
      </c>
      <c r="K377" s="129">
        <v>25800</v>
      </c>
      <c r="L377" s="163" t="s">
        <v>960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967</v>
      </c>
      <c r="E378" s="122" t="s">
        <v>959</v>
      </c>
      <c r="F378" s="125" t="s">
        <v>217</v>
      </c>
      <c r="G378" s="126" t="s">
        <v>371</v>
      </c>
      <c r="H378" s="127"/>
      <c r="I378" s="128">
        <v>1</v>
      </c>
      <c r="J378" s="129">
        <v>44597</v>
      </c>
      <c r="K378" s="129">
        <v>44597</v>
      </c>
      <c r="L378" s="163" t="s">
        <v>960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968</v>
      </c>
      <c r="E379" s="122" t="s">
        <v>969</v>
      </c>
      <c r="F379" s="125" t="s">
        <v>580</v>
      </c>
      <c r="G379" s="126" t="s">
        <v>371</v>
      </c>
      <c r="H379" s="127"/>
      <c r="I379" s="128">
        <v>1</v>
      </c>
      <c r="J379" s="129">
        <v>25800</v>
      </c>
      <c r="K379" s="129">
        <v>25800</v>
      </c>
      <c r="L379" s="163" t="s">
        <v>960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970</v>
      </c>
      <c r="E380" s="122" t="s">
        <v>909</v>
      </c>
      <c r="F380" s="125" t="s">
        <v>580</v>
      </c>
      <c r="G380" s="126" t="s">
        <v>371</v>
      </c>
      <c r="H380" s="127"/>
      <c r="I380" s="128">
        <v>1</v>
      </c>
      <c r="J380" s="129">
        <v>25800</v>
      </c>
      <c r="K380" s="129">
        <v>25800</v>
      </c>
      <c r="L380" s="163" t="s">
        <v>960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971</v>
      </c>
      <c r="E381" s="122" t="s">
        <v>909</v>
      </c>
      <c r="F381" s="125" t="s">
        <v>580</v>
      </c>
      <c r="G381" s="126" t="s">
        <v>371</v>
      </c>
      <c r="H381" s="127"/>
      <c r="I381" s="128">
        <v>1</v>
      </c>
      <c r="J381" s="129">
        <v>25800</v>
      </c>
      <c r="K381" s="129">
        <v>25800</v>
      </c>
      <c r="L381" s="163" t="s">
        <v>960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460</v>
      </c>
      <c r="E382" s="122" t="s">
        <v>915</v>
      </c>
      <c r="F382" s="125" t="s">
        <v>217</v>
      </c>
      <c r="G382" s="126" t="s">
        <v>371</v>
      </c>
      <c r="H382" s="127"/>
      <c r="I382" s="128">
        <v>1</v>
      </c>
      <c r="J382" s="129">
        <v>44597</v>
      </c>
      <c r="K382" s="129">
        <v>44597</v>
      </c>
      <c r="L382" s="163" t="s">
        <v>960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972</v>
      </c>
      <c r="E383" s="122" t="s">
        <v>973</v>
      </c>
      <c r="F383" s="125" t="s">
        <v>580</v>
      </c>
      <c r="G383" s="126" t="s">
        <v>371</v>
      </c>
      <c r="H383" s="127"/>
      <c r="I383" s="128">
        <v>1</v>
      </c>
      <c r="J383" s="129">
        <v>25800</v>
      </c>
      <c r="K383" s="129">
        <v>25800</v>
      </c>
      <c r="L383" s="163" t="s">
        <v>960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974</v>
      </c>
      <c r="E384" s="122" t="s">
        <v>909</v>
      </c>
      <c r="F384" s="125" t="s">
        <v>580</v>
      </c>
      <c r="G384" s="126" t="s">
        <v>371</v>
      </c>
      <c r="H384" s="127"/>
      <c r="I384" s="128">
        <v>1</v>
      </c>
      <c r="J384" s="129">
        <v>25800</v>
      </c>
      <c r="K384" s="129">
        <v>25800</v>
      </c>
      <c r="L384" s="163" t="s">
        <v>960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975</v>
      </c>
      <c r="E385" s="122" t="s">
        <v>426</v>
      </c>
      <c r="F385" s="125" t="s">
        <v>537</v>
      </c>
      <c r="G385" s="126" t="s">
        <v>442</v>
      </c>
      <c r="H385" s="127"/>
      <c r="I385" s="128">
        <v>1</v>
      </c>
      <c r="J385" s="129">
        <v>30429</v>
      </c>
      <c r="K385" s="129">
        <v>30429</v>
      </c>
      <c r="L385" s="170" t="s">
        <v>620</v>
      </c>
      <c r="M385" s="187" t="s">
        <v>411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429</v>
      </c>
      <c r="E386" s="122" t="s">
        <v>426</v>
      </c>
      <c r="F386" s="125" t="s">
        <v>116</v>
      </c>
      <c r="G386" s="126" t="s">
        <v>431</v>
      </c>
      <c r="H386" s="127"/>
      <c r="I386" s="128">
        <v>1</v>
      </c>
      <c r="J386" s="129">
        <v>5274</v>
      </c>
      <c r="K386" s="129">
        <v>5274</v>
      </c>
      <c r="L386" s="170" t="s">
        <v>620</v>
      </c>
      <c r="M386" s="187" t="s">
        <v>411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976</v>
      </c>
      <c r="E387" s="122" t="s">
        <v>426</v>
      </c>
      <c r="F387" s="125" t="s">
        <v>116</v>
      </c>
      <c r="G387" s="126" t="s">
        <v>472</v>
      </c>
      <c r="H387" s="127"/>
      <c r="I387" s="128">
        <v>1</v>
      </c>
      <c r="J387" s="129">
        <v>5274</v>
      </c>
      <c r="K387" s="129">
        <v>5274</v>
      </c>
      <c r="L387" s="182" t="s">
        <v>960</v>
      </c>
      <c r="M387" s="167" t="s">
        <v>411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976</v>
      </c>
      <c r="E388" s="122" t="s">
        <v>426</v>
      </c>
      <c r="F388" s="125" t="s">
        <v>210</v>
      </c>
      <c r="G388" s="126" t="s">
        <v>472</v>
      </c>
      <c r="H388" s="127"/>
      <c r="I388" s="128">
        <v>1</v>
      </c>
      <c r="J388" s="129">
        <v>14099</v>
      </c>
      <c r="K388" s="129">
        <v>14099</v>
      </c>
      <c r="L388" s="182" t="s">
        <v>960</v>
      </c>
      <c r="M388" s="187" t="s">
        <v>411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977</v>
      </c>
      <c r="E389" s="122" t="s">
        <v>426</v>
      </c>
      <c r="F389" s="125" t="s">
        <v>580</v>
      </c>
      <c r="G389" s="126" t="s">
        <v>371</v>
      </c>
      <c r="H389" s="127"/>
      <c r="I389" s="128">
        <v>1</v>
      </c>
      <c r="J389" s="129">
        <v>25800</v>
      </c>
      <c r="K389" s="129">
        <v>25800</v>
      </c>
      <c r="L389" s="182" t="s">
        <v>960</v>
      </c>
      <c r="M389" s="167" t="s">
        <v>411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429</v>
      </c>
      <c r="E390" s="122" t="s">
        <v>426</v>
      </c>
      <c r="F390" s="125" t="s">
        <v>210</v>
      </c>
      <c r="G390" s="126" t="s">
        <v>431</v>
      </c>
      <c r="H390" s="127"/>
      <c r="I390" s="128">
        <v>1</v>
      </c>
      <c r="J390" s="129">
        <v>14099</v>
      </c>
      <c r="K390" s="129">
        <v>14099</v>
      </c>
      <c r="L390" s="182" t="s">
        <v>960</v>
      </c>
      <c r="M390" s="187" t="s">
        <v>411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978</v>
      </c>
      <c r="E391" s="122" t="s">
        <v>426</v>
      </c>
      <c r="F391" s="125" t="s">
        <v>580</v>
      </c>
      <c r="G391" s="126" t="s">
        <v>371</v>
      </c>
      <c r="H391" s="127"/>
      <c r="I391" s="128">
        <v>1</v>
      </c>
      <c r="J391" s="129">
        <v>25800</v>
      </c>
      <c r="K391" s="129">
        <v>25800</v>
      </c>
      <c r="L391" s="182" t="s">
        <v>960</v>
      </c>
      <c r="M391" s="167" t="s">
        <v>411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427</v>
      </c>
      <c r="E392" s="122" t="s">
        <v>426</v>
      </c>
      <c r="F392" s="125" t="s">
        <v>210</v>
      </c>
      <c r="G392" s="126" t="s">
        <v>383</v>
      </c>
      <c r="H392" s="127"/>
      <c r="I392" s="128">
        <v>1</v>
      </c>
      <c r="J392" s="129">
        <v>14099</v>
      </c>
      <c r="K392" s="129">
        <v>14099</v>
      </c>
      <c r="L392" s="182" t="s">
        <v>960</v>
      </c>
      <c r="M392" s="187" t="s">
        <v>411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979</v>
      </c>
      <c r="E393" s="122" t="s">
        <v>980</v>
      </c>
      <c r="F393" s="125" t="s">
        <v>537</v>
      </c>
      <c r="G393" s="126" t="s">
        <v>562</v>
      </c>
      <c r="H393" s="127"/>
      <c r="I393" s="128">
        <v>1</v>
      </c>
      <c r="J393" s="129">
        <v>30429</v>
      </c>
      <c r="K393" s="129">
        <v>30429</v>
      </c>
      <c r="L393" s="182" t="s">
        <v>960</v>
      </c>
      <c r="M393" s="167" t="s">
        <v>411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981</v>
      </c>
      <c r="E394" s="122" t="s">
        <v>426</v>
      </c>
      <c r="F394" s="125" t="s">
        <v>217</v>
      </c>
      <c r="G394" s="126" t="s">
        <v>371</v>
      </c>
      <c r="H394" s="127"/>
      <c r="I394" s="128">
        <v>1</v>
      </c>
      <c r="J394" s="129">
        <v>44597</v>
      </c>
      <c r="K394" s="129">
        <v>44597</v>
      </c>
      <c r="L394" s="189" t="s">
        <v>623</v>
      </c>
      <c r="M394" s="187" t="s">
        <v>411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982</v>
      </c>
      <c r="E395" s="122" t="s">
        <v>426</v>
      </c>
      <c r="F395" s="125" t="s">
        <v>116</v>
      </c>
      <c r="G395" s="126" t="s">
        <v>410</v>
      </c>
      <c r="H395" s="127"/>
      <c r="I395" s="128">
        <v>1</v>
      </c>
      <c r="J395" s="129">
        <v>5274</v>
      </c>
      <c r="K395" s="129">
        <v>5274</v>
      </c>
      <c r="L395" s="189" t="s">
        <v>623</v>
      </c>
      <c r="M395" s="187" t="s">
        <v>411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983</v>
      </c>
      <c r="E396" s="122" t="s">
        <v>426</v>
      </c>
      <c r="F396" s="125" t="s">
        <v>217</v>
      </c>
      <c r="G396" s="126" t="s">
        <v>371</v>
      </c>
      <c r="H396" s="127"/>
      <c r="I396" s="128">
        <v>1</v>
      </c>
      <c r="J396" s="129">
        <v>44597</v>
      </c>
      <c r="K396" s="129">
        <v>44597</v>
      </c>
      <c r="L396" s="189" t="s">
        <v>623</v>
      </c>
      <c r="M396" s="187" t="s">
        <v>411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984</v>
      </c>
      <c r="E397" s="122" t="s">
        <v>426</v>
      </c>
      <c r="F397" s="125" t="s">
        <v>217</v>
      </c>
      <c r="G397" s="126" t="s">
        <v>371</v>
      </c>
      <c r="H397" s="127"/>
      <c r="I397" s="128">
        <v>1</v>
      </c>
      <c r="J397" s="129">
        <v>44597</v>
      </c>
      <c r="K397" s="129">
        <v>44597</v>
      </c>
      <c r="L397" s="189" t="s">
        <v>623</v>
      </c>
      <c r="M397" s="187" t="s">
        <v>411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985</v>
      </c>
      <c r="E398" s="122" t="s">
        <v>986</v>
      </c>
      <c r="F398" s="125" t="s">
        <v>987</v>
      </c>
      <c r="G398" s="126" t="s">
        <v>371</v>
      </c>
      <c r="H398" s="127"/>
      <c r="I398" s="128">
        <v>1</v>
      </c>
      <c r="J398" s="129">
        <v>22315</v>
      </c>
      <c r="K398" s="129">
        <v>22315</v>
      </c>
      <c r="L398" s="189" t="s">
        <v>623</v>
      </c>
      <c r="M398" s="187" t="s">
        <v>411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988</v>
      </c>
      <c r="E399" s="122" t="s">
        <v>426</v>
      </c>
      <c r="F399" s="125" t="s">
        <v>537</v>
      </c>
      <c r="G399" s="126" t="s">
        <v>404</v>
      </c>
      <c r="H399" s="127"/>
      <c r="I399" s="128">
        <v>1</v>
      </c>
      <c r="J399" s="129">
        <v>30429</v>
      </c>
      <c r="K399" s="129">
        <v>30429</v>
      </c>
      <c r="L399" s="189" t="s">
        <v>623</v>
      </c>
      <c r="M399" s="187" t="s">
        <v>411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989</v>
      </c>
      <c r="E400" s="122" t="s">
        <v>426</v>
      </c>
      <c r="F400" s="125" t="s">
        <v>537</v>
      </c>
      <c r="G400" s="126" t="s">
        <v>431</v>
      </c>
      <c r="H400" s="127"/>
      <c r="I400" s="128">
        <v>1</v>
      </c>
      <c r="J400" s="129">
        <v>30429</v>
      </c>
      <c r="K400" s="129">
        <v>30429</v>
      </c>
      <c r="L400" s="189" t="s">
        <v>623</v>
      </c>
      <c r="M400" s="187" t="s">
        <v>411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990</v>
      </c>
      <c r="E401" s="122" t="s">
        <v>426</v>
      </c>
      <c r="F401" s="125" t="s">
        <v>537</v>
      </c>
      <c r="G401" s="126" t="s">
        <v>415</v>
      </c>
      <c r="H401" s="127"/>
      <c r="I401" s="128">
        <v>1</v>
      </c>
      <c r="J401" s="129">
        <v>30429</v>
      </c>
      <c r="K401" s="129">
        <v>30429</v>
      </c>
      <c r="L401" s="189" t="s">
        <v>623</v>
      </c>
      <c r="M401" s="187" t="s">
        <v>411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991</v>
      </c>
      <c r="E402" s="122" t="s">
        <v>426</v>
      </c>
      <c r="F402" s="125" t="s">
        <v>116</v>
      </c>
      <c r="G402" s="126" t="s">
        <v>434</v>
      </c>
      <c r="H402" s="127"/>
      <c r="I402" s="128">
        <v>1</v>
      </c>
      <c r="J402" s="129">
        <v>5274</v>
      </c>
      <c r="K402" s="129">
        <v>5274</v>
      </c>
      <c r="L402" s="189" t="s">
        <v>623</v>
      </c>
      <c r="M402" s="187" t="s">
        <v>411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992</v>
      </c>
      <c r="E403" s="122" t="s">
        <v>426</v>
      </c>
      <c r="F403" s="125" t="s">
        <v>116</v>
      </c>
      <c r="G403" s="126" t="s">
        <v>568</v>
      </c>
      <c r="H403" s="127"/>
      <c r="I403" s="128">
        <v>1</v>
      </c>
      <c r="J403" s="129">
        <v>5274</v>
      </c>
      <c r="K403" s="129">
        <v>5274</v>
      </c>
      <c r="L403" s="189" t="s">
        <v>623</v>
      </c>
      <c r="M403" s="187" t="s">
        <v>411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993</v>
      </c>
      <c r="E404" s="122" t="s">
        <v>426</v>
      </c>
      <c r="F404" s="125" t="s">
        <v>116</v>
      </c>
      <c r="G404" s="126" t="s">
        <v>994</v>
      </c>
      <c r="H404" s="127"/>
      <c r="I404" s="128">
        <v>4</v>
      </c>
      <c r="J404" s="129">
        <v>5274</v>
      </c>
      <c r="K404" s="129">
        <v>21096</v>
      </c>
      <c r="L404" s="189" t="s">
        <v>623</v>
      </c>
      <c r="M404" s="187" t="s">
        <v>411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435</v>
      </c>
      <c r="E405" s="122" t="s">
        <v>426</v>
      </c>
      <c r="F405" s="125" t="s">
        <v>210</v>
      </c>
      <c r="G405" s="126" t="s">
        <v>417</v>
      </c>
      <c r="H405" s="127"/>
      <c r="I405" s="128">
        <v>1</v>
      </c>
      <c r="J405" s="129">
        <v>14099</v>
      </c>
      <c r="K405" s="129">
        <v>14099</v>
      </c>
      <c r="L405" s="189" t="s">
        <v>623</v>
      </c>
      <c r="M405" s="187" t="s">
        <v>411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995</v>
      </c>
      <c r="E406" s="122" t="s">
        <v>996</v>
      </c>
      <c r="F406" s="125" t="s">
        <v>116</v>
      </c>
      <c r="G406" s="126" t="s">
        <v>392</v>
      </c>
      <c r="H406" s="127"/>
      <c r="I406" s="128">
        <v>1</v>
      </c>
      <c r="J406" s="129">
        <v>5274</v>
      </c>
      <c r="K406" s="129">
        <v>5274</v>
      </c>
      <c r="L406" s="189" t="s">
        <v>623</v>
      </c>
      <c r="M406" s="187" t="s">
        <v>411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997</v>
      </c>
      <c r="E407" s="122" t="s">
        <v>426</v>
      </c>
      <c r="F407" s="125" t="s">
        <v>537</v>
      </c>
      <c r="G407" s="126" t="s">
        <v>431</v>
      </c>
      <c r="H407" s="127"/>
      <c r="I407" s="128">
        <v>1</v>
      </c>
      <c r="J407" s="129">
        <v>30429</v>
      </c>
      <c r="K407" s="129">
        <v>30429</v>
      </c>
      <c r="L407" s="189" t="s">
        <v>623</v>
      </c>
      <c r="M407" s="187" t="s">
        <v>411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998</v>
      </c>
      <c r="E408" s="122" t="s">
        <v>999</v>
      </c>
      <c r="F408" s="200" t="s">
        <v>173</v>
      </c>
      <c r="G408" s="126" t="s">
        <v>371</v>
      </c>
      <c r="H408" s="127"/>
      <c r="I408" s="128">
        <v>1</v>
      </c>
      <c r="J408" s="129">
        <v>18764</v>
      </c>
      <c r="K408" s="129">
        <v>18764</v>
      </c>
      <c r="L408" s="189" t="s">
        <v>623</v>
      </c>
      <c r="M408" s="187" t="s">
        <v>411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1000</v>
      </c>
      <c r="E409" s="122" t="s">
        <v>426</v>
      </c>
      <c r="F409" s="125" t="s">
        <v>217</v>
      </c>
      <c r="G409" s="126" t="s">
        <v>371</v>
      </c>
      <c r="H409" s="127"/>
      <c r="I409" s="128">
        <v>1</v>
      </c>
      <c r="J409" s="129">
        <v>44597</v>
      </c>
      <c r="K409" s="129">
        <v>44597</v>
      </c>
      <c r="L409" s="189" t="s">
        <v>623</v>
      </c>
      <c r="M409" s="187" t="s">
        <v>411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1001</v>
      </c>
      <c r="E410" s="122" t="s">
        <v>426</v>
      </c>
      <c r="F410" s="125" t="s">
        <v>537</v>
      </c>
      <c r="G410" s="126" t="s">
        <v>472</v>
      </c>
      <c r="H410" s="127"/>
      <c r="I410" s="128">
        <v>1</v>
      </c>
      <c r="J410" s="129">
        <v>30429</v>
      </c>
      <c r="K410" s="129">
        <v>30429</v>
      </c>
      <c r="L410" s="189" t="s">
        <v>623</v>
      </c>
      <c r="M410" s="187" t="s">
        <v>411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976</v>
      </c>
      <c r="E411" s="122" t="s">
        <v>426</v>
      </c>
      <c r="F411" s="125" t="s">
        <v>115</v>
      </c>
      <c r="G411" s="126" t="s">
        <v>472</v>
      </c>
      <c r="H411" s="127"/>
      <c r="I411" s="128">
        <v>1</v>
      </c>
      <c r="J411" s="129">
        <v>33370</v>
      </c>
      <c r="K411" s="129">
        <v>33370</v>
      </c>
      <c r="L411" s="189" t="s">
        <v>623</v>
      </c>
      <c r="M411" s="187" t="s">
        <v>411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1002</v>
      </c>
      <c r="E412" s="122" t="s">
        <v>426</v>
      </c>
      <c r="F412" s="125" t="s">
        <v>223</v>
      </c>
      <c r="G412" s="126" t="s">
        <v>371</v>
      </c>
      <c r="H412" s="127"/>
      <c r="I412" s="128">
        <v>1</v>
      </c>
      <c r="J412" s="129">
        <v>40572</v>
      </c>
      <c r="K412" s="129">
        <v>40572</v>
      </c>
      <c r="L412" s="189" t="s">
        <v>623</v>
      </c>
      <c r="M412" s="187" t="s">
        <v>411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1003</v>
      </c>
      <c r="E413" s="122" t="s">
        <v>426</v>
      </c>
      <c r="F413" s="125" t="s">
        <v>116</v>
      </c>
      <c r="G413" s="126" t="s">
        <v>1004</v>
      </c>
      <c r="H413" s="127"/>
      <c r="I413" s="128">
        <v>4</v>
      </c>
      <c r="J413" s="129">
        <v>5274</v>
      </c>
      <c r="K413" s="129">
        <v>21096</v>
      </c>
      <c r="L413" s="189" t="s">
        <v>623</v>
      </c>
      <c r="M413" s="187" t="s">
        <v>411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1005</v>
      </c>
      <c r="E414" s="122" t="s">
        <v>426</v>
      </c>
      <c r="F414" s="125" t="s">
        <v>537</v>
      </c>
      <c r="G414" s="126" t="s">
        <v>527</v>
      </c>
      <c r="H414" s="127"/>
      <c r="I414" s="128">
        <v>1</v>
      </c>
      <c r="J414" s="129">
        <v>30429</v>
      </c>
      <c r="K414" s="129">
        <v>30429</v>
      </c>
      <c r="L414" s="189" t="s">
        <v>623</v>
      </c>
      <c r="M414" s="187" t="s">
        <v>411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1006</v>
      </c>
      <c r="E415" s="122" t="s">
        <v>999</v>
      </c>
      <c r="F415" s="125" t="s">
        <v>1007</v>
      </c>
      <c r="G415" s="126" t="s">
        <v>369</v>
      </c>
      <c r="H415" s="127"/>
      <c r="I415" s="128">
        <v>1</v>
      </c>
      <c r="J415" s="129">
        <v>34587</v>
      </c>
      <c r="K415" s="129">
        <v>34587</v>
      </c>
      <c r="L415" s="189" t="s">
        <v>623</v>
      </c>
      <c r="M415" s="187" t="s">
        <v>411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977</v>
      </c>
      <c r="E416" s="122" t="s">
        <v>426</v>
      </c>
      <c r="F416" s="125" t="s">
        <v>537</v>
      </c>
      <c r="G416" s="126" t="s">
        <v>527</v>
      </c>
      <c r="H416" s="127"/>
      <c r="I416" s="128">
        <v>1</v>
      </c>
      <c r="J416" s="129">
        <v>30429</v>
      </c>
      <c r="K416" s="129">
        <v>30429</v>
      </c>
      <c r="L416" s="189" t="s">
        <v>623</v>
      </c>
      <c r="M416" s="187" t="s">
        <v>411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1008</v>
      </c>
      <c r="E417" s="122" t="s">
        <v>426</v>
      </c>
      <c r="F417" s="125" t="s">
        <v>537</v>
      </c>
      <c r="G417" s="126" t="s">
        <v>527</v>
      </c>
      <c r="H417" s="127"/>
      <c r="I417" s="128">
        <v>1</v>
      </c>
      <c r="J417" s="129">
        <v>30429</v>
      </c>
      <c r="K417" s="129">
        <v>30429</v>
      </c>
      <c r="L417" s="189" t="s">
        <v>623</v>
      </c>
      <c r="M417" s="187" t="s">
        <v>411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1009</v>
      </c>
      <c r="E418" s="122" t="s">
        <v>996</v>
      </c>
      <c r="F418" s="125" t="s">
        <v>116</v>
      </c>
      <c r="G418" s="126" t="s">
        <v>410</v>
      </c>
      <c r="H418" s="127"/>
      <c r="I418" s="128">
        <v>1</v>
      </c>
      <c r="J418" s="129">
        <v>5274</v>
      </c>
      <c r="K418" s="129">
        <v>5274</v>
      </c>
      <c r="L418" s="189" t="s">
        <v>623</v>
      </c>
      <c r="M418" s="187" t="s">
        <v>411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1010</v>
      </c>
      <c r="E419" s="122" t="s">
        <v>426</v>
      </c>
      <c r="F419" s="125" t="s">
        <v>210</v>
      </c>
      <c r="G419" s="126" t="s">
        <v>407</v>
      </c>
      <c r="H419" s="127"/>
      <c r="I419" s="128">
        <v>1</v>
      </c>
      <c r="J419" s="129">
        <v>14099</v>
      </c>
      <c r="K419" s="129">
        <v>14099</v>
      </c>
      <c r="L419" s="189" t="s">
        <v>623</v>
      </c>
      <c r="M419" s="187" t="s">
        <v>411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470</v>
      </c>
      <c r="E420" s="122" t="s">
        <v>426</v>
      </c>
      <c r="F420" s="125" t="s">
        <v>1011</v>
      </c>
      <c r="G420" s="126" t="s">
        <v>387</v>
      </c>
      <c r="H420" s="127"/>
      <c r="I420" s="128">
        <v>2</v>
      </c>
      <c r="J420" s="129">
        <v>9129</v>
      </c>
      <c r="K420" s="129">
        <v>18258</v>
      </c>
      <c r="L420" s="189" t="s">
        <v>623</v>
      </c>
      <c r="M420" s="187" t="s">
        <v>411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1012</v>
      </c>
      <c r="E421" s="122" t="s">
        <v>426</v>
      </c>
      <c r="F421" s="125" t="s">
        <v>537</v>
      </c>
      <c r="G421" s="126" t="s">
        <v>415</v>
      </c>
      <c r="H421" s="127"/>
      <c r="I421" s="128">
        <v>1</v>
      </c>
      <c r="J421" s="129">
        <v>30429</v>
      </c>
      <c r="K421" s="129">
        <v>30429</v>
      </c>
      <c r="L421" s="189" t="s">
        <v>623</v>
      </c>
      <c r="M421" s="187" t="s">
        <v>411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1013</v>
      </c>
      <c r="E422" s="122" t="s">
        <v>1014</v>
      </c>
      <c r="F422" s="125" t="s">
        <v>846</v>
      </c>
      <c r="G422" s="126" t="s">
        <v>371</v>
      </c>
      <c r="H422" s="127"/>
      <c r="I422" s="128">
        <v>1</v>
      </c>
      <c r="J422" s="129">
        <v>334719</v>
      </c>
      <c r="K422" s="608" t="s">
        <v>1015</v>
      </c>
      <c r="L422" s="201" t="s">
        <v>555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1013</v>
      </c>
      <c r="E423" s="122" t="s">
        <v>1014</v>
      </c>
      <c r="F423" s="125" t="s">
        <v>837</v>
      </c>
      <c r="G423" s="126" t="s">
        <v>371</v>
      </c>
      <c r="H423" s="127"/>
      <c r="I423" s="128">
        <v>1</v>
      </c>
      <c r="J423" s="129">
        <v>110520</v>
      </c>
      <c r="K423" s="609"/>
      <c r="L423" s="201" t="s">
        <v>555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1016</v>
      </c>
      <c r="E424" s="122" t="s">
        <v>491</v>
      </c>
      <c r="F424" s="125" t="s">
        <v>192</v>
      </c>
      <c r="G424" s="126" t="s">
        <v>445</v>
      </c>
      <c r="H424" s="127" t="s">
        <v>1017</v>
      </c>
      <c r="I424" s="128">
        <v>1</v>
      </c>
      <c r="J424" s="129">
        <v>57960</v>
      </c>
      <c r="K424" s="129" t="s">
        <v>1018</v>
      </c>
      <c r="L424" s="201" t="s">
        <v>555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1019</v>
      </c>
      <c r="E425" s="135" t="s">
        <v>1020</v>
      </c>
      <c r="F425" s="138" t="s">
        <v>580</v>
      </c>
      <c r="G425" s="139" t="s">
        <v>371</v>
      </c>
      <c r="H425" s="140"/>
      <c r="I425" s="141">
        <v>1</v>
      </c>
      <c r="J425" s="142">
        <v>25800</v>
      </c>
      <c r="K425" s="142">
        <v>25800</v>
      </c>
      <c r="L425" s="592" t="s">
        <v>558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1021</v>
      </c>
      <c r="E426" s="135" t="s">
        <v>1014</v>
      </c>
      <c r="F426" s="138" t="s">
        <v>116</v>
      </c>
      <c r="G426" s="139" t="s">
        <v>404</v>
      </c>
      <c r="H426" s="140" t="s">
        <v>489</v>
      </c>
      <c r="I426" s="141">
        <v>1</v>
      </c>
      <c r="J426" s="142">
        <v>5274</v>
      </c>
      <c r="K426" s="142">
        <v>5274</v>
      </c>
      <c r="L426" s="593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1022</v>
      </c>
      <c r="E427" s="135" t="s">
        <v>599</v>
      </c>
      <c r="F427" s="138" t="s">
        <v>116</v>
      </c>
      <c r="G427" s="139" t="s">
        <v>1023</v>
      </c>
      <c r="H427" s="140"/>
      <c r="I427" s="141">
        <v>3</v>
      </c>
      <c r="J427" s="142">
        <v>5274</v>
      </c>
      <c r="K427" s="142">
        <v>15822</v>
      </c>
      <c r="L427" s="593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1024</v>
      </c>
      <c r="E428" s="202" t="s">
        <v>1025</v>
      </c>
      <c r="F428" s="199" t="s">
        <v>580</v>
      </c>
      <c r="G428" s="204" t="s">
        <v>371</v>
      </c>
      <c r="H428" s="204"/>
      <c r="I428" s="205">
        <v>1</v>
      </c>
      <c r="J428" s="180">
        <v>25800</v>
      </c>
      <c r="K428" s="180" t="s">
        <v>1026</v>
      </c>
      <c r="L428" s="593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1027</v>
      </c>
      <c r="E429" s="135" t="s">
        <v>599</v>
      </c>
      <c r="F429" s="138" t="s">
        <v>537</v>
      </c>
      <c r="G429" s="139" t="s">
        <v>1028</v>
      </c>
      <c r="H429" s="140" t="s">
        <v>583</v>
      </c>
      <c r="I429" s="141">
        <v>2</v>
      </c>
      <c r="J429" s="142">
        <v>30429</v>
      </c>
      <c r="K429" s="142">
        <v>60858</v>
      </c>
      <c r="L429" s="593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1029</v>
      </c>
      <c r="E430" s="135" t="s">
        <v>1030</v>
      </c>
      <c r="F430" s="138" t="s">
        <v>580</v>
      </c>
      <c r="G430" s="139" t="s">
        <v>371</v>
      </c>
      <c r="H430" s="140"/>
      <c r="I430" s="141">
        <v>1</v>
      </c>
      <c r="J430" s="142">
        <v>25800</v>
      </c>
      <c r="K430" s="142">
        <v>25800</v>
      </c>
      <c r="L430" s="593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454</v>
      </c>
      <c r="E431" s="135" t="s">
        <v>1014</v>
      </c>
      <c r="F431" s="138" t="s">
        <v>115</v>
      </c>
      <c r="G431" s="139" t="s">
        <v>407</v>
      </c>
      <c r="H431" s="140" t="s">
        <v>629</v>
      </c>
      <c r="I431" s="141">
        <v>1</v>
      </c>
      <c r="J431" s="142">
        <v>33370</v>
      </c>
      <c r="K431" s="142">
        <v>33370</v>
      </c>
      <c r="L431" s="593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1031</v>
      </c>
      <c r="E432" s="135" t="s">
        <v>599</v>
      </c>
      <c r="F432" s="138" t="s">
        <v>537</v>
      </c>
      <c r="G432" s="139" t="s">
        <v>511</v>
      </c>
      <c r="H432" s="140" t="s">
        <v>563</v>
      </c>
      <c r="I432" s="141">
        <v>1</v>
      </c>
      <c r="J432" s="142">
        <v>30429</v>
      </c>
      <c r="K432" s="142">
        <v>30429</v>
      </c>
      <c r="L432" s="593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1032</v>
      </c>
      <c r="E433" s="135" t="s">
        <v>599</v>
      </c>
      <c r="F433" s="138" t="s">
        <v>237</v>
      </c>
      <c r="G433" s="139" t="s">
        <v>369</v>
      </c>
      <c r="H433" s="140"/>
      <c r="I433" s="141">
        <v>1</v>
      </c>
      <c r="J433" s="142">
        <v>10401</v>
      </c>
      <c r="K433" s="142">
        <v>10401</v>
      </c>
      <c r="L433" s="593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1033</v>
      </c>
      <c r="E434" s="135" t="s">
        <v>599</v>
      </c>
      <c r="F434" s="138" t="s">
        <v>188</v>
      </c>
      <c r="G434" s="139" t="s">
        <v>392</v>
      </c>
      <c r="H434" s="140"/>
      <c r="I434" s="141">
        <v>1</v>
      </c>
      <c r="J434" s="142">
        <v>42601</v>
      </c>
      <c r="K434" s="142">
        <v>42601</v>
      </c>
      <c r="L434" s="593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1034</v>
      </c>
      <c r="E435" s="135" t="s">
        <v>599</v>
      </c>
      <c r="F435" s="138" t="s">
        <v>1035</v>
      </c>
      <c r="G435" s="139" t="s">
        <v>369</v>
      </c>
      <c r="H435" s="140"/>
      <c r="I435" s="141">
        <v>1</v>
      </c>
      <c r="J435" s="142">
        <v>10143</v>
      </c>
      <c r="K435" s="142" t="s">
        <v>1036</v>
      </c>
      <c r="L435" s="593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1034</v>
      </c>
      <c r="E436" s="135" t="s">
        <v>599</v>
      </c>
      <c r="F436" s="138" t="s">
        <v>237</v>
      </c>
      <c r="G436" s="139" t="s">
        <v>369</v>
      </c>
      <c r="H436" s="140"/>
      <c r="I436" s="141">
        <v>1</v>
      </c>
      <c r="J436" s="142">
        <v>10401</v>
      </c>
      <c r="K436" s="142">
        <v>10401</v>
      </c>
      <c r="L436" s="593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1037</v>
      </c>
      <c r="E437" s="135" t="s">
        <v>599</v>
      </c>
      <c r="F437" s="138" t="s">
        <v>537</v>
      </c>
      <c r="G437" s="139" t="s">
        <v>392</v>
      </c>
      <c r="H437" s="140" t="s">
        <v>563</v>
      </c>
      <c r="I437" s="141">
        <v>1</v>
      </c>
      <c r="J437" s="142">
        <v>30429</v>
      </c>
      <c r="K437" s="142">
        <v>30429</v>
      </c>
      <c r="L437" s="593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1038</v>
      </c>
      <c r="E438" s="135" t="s">
        <v>1039</v>
      </c>
      <c r="F438" s="138" t="s">
        <v>116</v>
      </c>
      <c r="G438" s="139" t="s">
        <v>527</v>
      </c>
      <c r="H438" s="140" t="s">
        <v>703</v>
      </c>
      <c r="I438" s="141">
        <v>1</v>
      </c>
      <c r="J438" s="142">
        <v>5274</v>
      </c>
      <c r="K438" s="142">
        <v>5274</v>
      </c>
      <c r="L438" s="593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1040</v>
      </c>
      <c r="E439" s="202" t="s">
        <v>1020</v>
      </c>
      <c r="F439" s="199" t="s">
        <v>580</v>
      </c>
      <c r="G439" s="204" t="s">
        <v>371</v>
      </c>
      <c r="H439" s="204"/>
      <c r="I439" s="205">
        <v>1</v>
      </c>
      <c r="J439" s="180">
        <v>25800</v>
      </c>
      <c r="K439" s="180" t="s">
        <v>1026</v>
      </c>
      <c r="L439" s="593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1041</v>
      </c>
      <c r="E440" s="135" t="s">
        <v>1014</v>
      </c>
      <c r="F440" s="138" t="s">
        <v>116</v>
      </c>
      <c r="G440" s="139" t="s">
        <v>497</v>
      </c>
      <c r="H440" s="140" t="s">
        <v>489</v>
      </c>
      <c r="I440" s="141">
        <v>2</v>
      </c>
      <c r="J440" s="142">
        <v>5274</v>
      </c>
      <c r="K440" s="142">
        <v>10548</v>
      </c>
      <c r="L440" s="593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1042</v>
      </c>
      <c r="E441" s="135" t="s">
        <v>1025</v>
      </c>
      <c r="F441" s="138" t="s">
        <v>580</v>
      </c>
      <c r="G441" s="139" t="s">
        <v>371</v>
      </c>
      <c r="H441" s="140"/>
      <c r="I441" s="141">
        <v>1</v>
      </c>
      <c r="J441" s="142">
        <v>25800</v>
      </c>
      <c r="K441" s="142">
        <v>25800</v>
      </c>
      <c r="L441" s="593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1043</v>
      </c>
      <c r="E442" s="135" t="s">
        <v>599</v>
      </c>
      <c r="F442" s="138" t="s">
        <v>537</v>
      </c>
      <c r="G442" s="139" t="s">
        <v>472</v>
      </c>
      <c r="H442" s="140" t="s">
        <v>583</v>
      </c>
      <c r="I442" s="141">
        <v>1</v>
      </c>
      <c r="J442" s="142">
        <v>30429</v>
      </c>
      <c r="K442" s="142">
        <v>30429</v>
      </c>
      <c r="L442" s="593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1044</v>
      </c>
      <c r="E443" s="135" t="s">
        <v>1025</v>
      </c>
      <c r="F443" s="138" t="s">
        <v>580</v>
      </c>
      <c r="G443" s="139" t="s">
        <v>371</v>
      </c>
      <c r="H443" s="140"/>
      <c r="I443" s="141">
        <v>1</v>
      </c>
      <c r="J443" s="142">
        <v>25800</v>
      </c>
      <c r="K443" s="142">
        <v>25800</v>
      </c>
      <c r="L443" s="593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1045</v>
      </c>
      <c r="E444" s="135" t="s">
        <v>599</v>
      </c>
      <c r="F444" s="138" t="s">
        <v>116</v>
      </c>
      <c r="G444" s="139" t="s">
        <v>392</v>
      </c>
      <c r="H444" s="140" t="s">
        <v>489</v>
      </c>
      <c r="I444" s="141">
        <v>1</v>
      </c>
      <c r="J444" s="142">
        <v>5274</v>
      </c>
      <c r="K444" s="142">
        <v>5274</v>
      </c>
      <c r="L444" s="593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1046</v>
      </c>
      <c r="E445" s="135" t="s">
        <v>599</v>
      </c>
      <c r="F445" s="138" t="s">
        <v>115</v>
      </c>
      <c r="G445" s="139" t="s">
        <v>527</v>
      </c>
      <c r="H445" s="140" t="s">
        <v>1047</v>
      </c>
      <c r="I445" s="141">
        <v>1</v>
      </c>
      <c r="J445" s="142">
        <v>33370</v>
      </c>
      <c r="K445" s="142">
        <v>33370</v>
      </c>
      <c r="L445" s="593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1048</v>
      </c>
      <c r="E446" s="135" t="s">
        <v>599</v>
      </c>
      <c r="F446" s="138" t="s">
        <v>1049</v>
      </c>
      <c r="G446" s="139" t="s">
        <v>400</v>
      </c>
      <c r="H446" s="140" t="s">
        <v>583</v>
      </c>
      <c r="I446" s="141">
        <v>2</v>
      </c>
      <c r="J446" s="142">
        <v>69405</v>
      </c>
      <c r="K446" s="142">
        <v>138810</v>
      </c>
      <c r="L446" s="593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1050</v>
      </c>
      <c r="E447" s="135" t="s">
        <v>599</v>
      </c>
      <c r="F447" s="138" t="s">
        <v>537</v>
      </c>
      <c r="G447" s="139" t="s">
        <v>562</v>
      </c>
      <c r="H447" s="140" t="s">
        <v>1051</v>
      </c>
      <c r="I447" s="141">
        <v>1</v>
      </c>
      <c r="J447" s="142">
        <v>30429</v>
      </c>
      <c r="K447" s="142">
        <v>30429</v>
      </c>
      <c r="L447" s="593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1052</v>
      </c>
      <c r="E448" s="135" t="s">
        <v>599</v>
      </c>
      <c r="F448" s="138" t="s">
        <v>1053</v>
      </c>
      <c r="G448" s="139" t="s">
        <v>417</v>
      </c>
      <c r="H448" s="140" t="s">
        <v>1054</v>
      </c>
      <c r="I448" s="141">
        <v>1</v>
      </c>
      <c r="J448" s="142">
        <v>57960</v>
      </c>
      <c r="K448" s="142">
        <v>57960</v>
      </c>
      <c r="L448" s="593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1055</v>
      </c>
      <c r="E449" s="135" t="s">
        <v>1056</v>
      </c>
      <c r="F449" s="138" t="s">
        <v>235</v>
      </c>
      <c r="G449" s="139" t="s">
        <v>369</v>
      </c>
      <c r="H449" s="140"/>
      <c r="I449" s="141">
        <v>1</v>
      </c>
      <c r="J449" s="142">
        <v>12499</v>
      </c>
      <c r="K449" s="142">
        <v>12499</v>
      </c>
      <c r="L449" s="593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1057</v>
      </c>
      <c r="E450" s="135" t="s">
        <v>599</v>
      </c>
      <c r="F450" s="138" t="s">
        <v>537</v>
      </c>
      <c r="G450" s="139" t="s">
        <v>417</v>
      </c>
      <c r="H450" s="140" t="s">
        <v>569</v>
      </c>
      <c r="I450" s="141">
        <v>1</v>
      </c>
      <c r="J450" s="142">
        <v>30429</v>
      </c>
      <c r="K450" s="142">
        <v>30429</v>
      </c>
      <c r="L450" s="594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1058</v>
      </c>
      <c r="E451" s="135" t="s">
        <v>396</v>
      </c>
      <c r="F451" s="138" t="s">
        <v>116</v>
      </c>
      <c r="G451" s="139" t="s">
        <v>407</v>
      </c>
      <c r="H451" s="140" t="s">
        <v>1059</v>
      </c>
      <c r="I451" s="141">
        <v>1</v>
      </c>
      <c r="J451" s="142">
        <v>5274</v>
      </c>
      <c r="K451" s="142">
        <v>5274</v>
      </c>
      <c r="L451" s="182" t="s">
        <v>788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1058</v>
      </c>
      <c r="E452" s="135" t="s">
        <v>396</v>
      </c>
      <c r="F452" s="138" t="s">
        <v>192</v>
      </c>
      <c r="G452" s="139" t="s">
        <v>407</v>
      </c>
      <c r="H452" s="140"/>
      <c r="I452" s="141">
        <v>1</v>
      </c>
      <c r="J452" s="142">
        <v>57960</v>
      </c>
      <c r="K452" s="142">
        <v>57960</v>
      </c>
      <c r="L452" s="182" t="s">
        <v>788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1060</v>
      </c>
      <c r="E453" s="135" t="s">
        <v>396</v>
      </c>
      <c r="F453" s="138" t="s">
        <v>210</v>
      </c>
      <c r="G453" s="139" t="s">
        <v>442</v>
      </c>
      <c r="H453" s="140"/>
      <c r="I453" s="141">
        <v>1</v>
      </c>
      <c r="J453" s="142">
        <v>14099</v>
      </c>
      <c r="K453" s="142">
        <v>14099</v>
      </c>
      <c r="L453" s="182" t="s">
        <v>788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441</v>
      </c>
      <c r="E454" s="135" t="s">
        <v>396</v>
      </c>
      <c r="F454" s="138" t="s">
        <v>116</v>
      </c>
      <c r="G454" s="139" t="s">
        <v>442</v>
      </c>
      <c r="H454" s="140"/>
      <c r="I454" s="141">
        <v>1</v>
      </c>
      <c r="J454" s="142">
        <v>5274</v>
      </c>
      <c r="K454" s="142">
        <v>5274</v>
      </c>
      <c r="L454" s="182" t="s">
        <v>788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1061</v>
      </c>
      <c r="E455" s="135" t="s">
        <v>396</v>
      </c>
      <c r="F455" s="138" t="s">
        <v>217</v>
      </c>
      <c r="G455" s="139" t="s">
        <v>371</v>
      </c>
      <c r="H455" s="140"/>
      <c r="I455" s="141">
        <v>1</v>
      </c>
      <c r="J455" s="142">
        <v>44597</v>
      </c>
      <c r="K455" s="142">
        <v>44597</v>
      </c>
      <c r="L455" s="182" t="s">
        <v>788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1062</v>
      </c>
      <c r="E456" s="135" t="s">
        <v>396</v>
      </c>
      <c r="F456" s="138" t="s">
        <v>210</v>
      </c>
      <c r="G456" s="139" t="s">
        <v>419</v>
      </c>
      <c r="H456" s="140"/>
      <c r="I456" s="141">
        <v>1</v>
      </c>
      <c r="J456" s="142">
        <v>14099</v>
      </c>
      <c r="K456" s="142">
        <v>14099</v>
      </c>
      <c r="L456" s="182" t="s">
        <v>788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1062</v>
      </c>
      <c r="E457" s="135" t="s">
        <v>396</v>
      </c>
      <c r="F457" s="138" t="s">
        <v>116</v>
      </c>
      <c r="G457" s="139" t="s">
        <v>419</v>
      </c>
      <c r="H457" s="140"/>
      <c r="I457" s="141">
        <v>1</v>
      </c>
      <c r="J457" s="142">
        <v>5274</v>
      </c>
      <c r="K457" s="142">
        <v>5274</v>
      </c>
      <c r="L457" s="182" t="s">
        <v>788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1063</v>
      </c>
      <c r="E458" s="135" t="s">
        <v>396</v>
      </c>
      <c r="F458" s="138" t="s">
        <v>116</v>
      </c>
      <c r="G458" s="139" t="s">
        <v>445</v>
      </c>
      <c r="H458" s="140" t="s">
        <v>1064</v>
      </c>
      <c r="I458" s="141">
        <v>1</v>
      </c>
      <c r="J458" s="142">
        <v>5274</v>
      </c>
      <c r="K458" s="142">
        <v>5274</v>
      </c>
      <c r="L458" s="182" t="s">
        <v>788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1063</v>
      </c>
      <c r="E459" s="135" t="s">
        <v>396</v>
      </c>
      <c r="F459" s="138" t="s">
        <v>210</v>
      </c>
      <c r="G459" s="139" t="s">
        <v>445</v>
      </c>
      <c r="H459" s="140"/>
      <c r="I459" s="141">
        <v>1</v>
      </c>
      <c r="J459" s="142">
        <v>14099</v>
      </c>
      <c r="K459" s="142">
        <v>14099</v>
      </c>
      <c r="L459" s="182" t="s">
        <v>788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1065</v>
      </c>
      <c r="E460" s="135" t="s">
        <v>396</v>
      </c>
      <c r="F460" s="138" t="s">
        <v>116</v>
      </c>
      <c r="G460" s="139" t="s">
        <v>1066</v>
      </c>
      <c r="H460" s="140" t="s">
        <v>569</v>
      </c>
      <c r="I460" s="141">
        <v>3</v>
      </c>
      <c r="J460" s="142">
        <v>5274</v>
      </c>
      <c r="K460" s="142">
        <v>15822</v>
      </c>
      <c r="L460" s="182" t="s">
        <v>788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1067</v>
      </c>
      <c r="E461" s="135" t="s">
        <v>1068</v>
      </c>
      <c r="F461" s="138" t="s">
        <v>1069</v>
      </c>
      <c r="G461" s="139" t="s">
        <v>371</v>
      </c>
      <c r="H461" s="140"/>
      <c r="I461" s="141">
        <v>1</v>
      </c>
      <c r="J461" s="142">
        <v>18764</v>
      </c>
      <c r="K461" s="142">
        <v>18764</v>
      </c>
      <c r="L461" s="182" t="s">
        <v>788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1070</v>
      </c>
      <c r="E462" s="135" t="s">
        <v>396</v>
      </c>
      <c r="F462" s="138" t="s">
        <v>116</v>
      </c>
      <c r="G462" s="139" t="s">
        <v>410</v>
      </c>
      <c r="H462" s="140"/>
      <c r="I462" s="141">
        <v>1</v>
      </c>
      <c r="J462" s="142">
        <v>5274</v>
      </c>
      <c r="K462" s="142">
        <v>5274</v>
      </c>
      <c r="L462" s="182" t="s">
        <v>788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1070</v>
      </c>
      <c r="E463" s="135" t="s">
        <v>396</v>
      </c>
      <c r="F463" s="138" t="s">
        <v>210</v>
      </c>
      <c r="G463" s="139" t="s">
        <v>410</v>
      </c>
      <c r="H463" s="140"/>
      <c r="I463" s="141">
        <v>1</v>
      </c>
      <c r="J463" s="142">
        <v>14099</v>
      </c>
      <c r="K463" s="142">
        <v>14099</v>
      </c>
      <c r="L463" s="182" t="s">
        <v>788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1071</v>
      </c>
      <c r="E464" s="135" t="s">
        <v>396</v>
      </c>
      <c r="F464" s="138" t="s">
        <v>537</v>
      </c>
      <c r="G464" s="139" t="s">
        <v>511</v>
      </c>
      <c r="H464" s="140" t="s">
        <v>642</v>
      </c>
      <c r="I464" s="141">
        <v>1</v>
      </c>
      <c r="J464" s="142">
        <v>30429</v>
      </c>
      <c r="K464" s="142">
        <v>30429</v>
      </c>
      <c r="L464" s="182" t="s">
        <v>788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1072</v>
      </c>
      <c r="E465" s="135" t="s">
        <v>396</v>
      </c>
      <c r="F465" s="138" t="s">
        <v>537</v>
      </c>
      <c r="G465" s="139" t="s">
        <v>392</v>
      </c>
      <c r="H465" s="140" t="s">
        <v>554</v>
      </c>
      <c r="I465" s="141">
        <v>1</v>
      </c>
      <c r="J465" s="142">
        <v>30429</v>
      </c>
      <c r="K465" s="142">
        <v>30429</v>
      </c>
      <c r="L465" s="182" t="s">
        <v>788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439</v>
      </c>
      <c r="E466" s="135" t="s">
        <v>396</v>
      </c>
      <c r="F466" s="138" t="s">
        <v>580</v>
      </c>
      <c r="G466" s="139" t="s">
        <v>371</v>
      </c>
      <c r="H466" s="140"/>
      <c r="I466" s="141">
        <v>1</v>
      </c>
      <c r="J466" s="142">
        <v>25800</v>
      </c>
      <c r="K466" s="142">
        <v>25800</v>
      </c>
      <c r="L466" s="182" t="s">
        <v>788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1073</v>
      </c>
      <c r="E467" s="135" t="s">
        <v>396</v>
      </c>
      <c r="F467" s="138" t="s">
        <v>537</v>
      </c>
      <c r="G467" s="139" t="s">
        <v>431</v>
      </c>
      <c r="H467" s="140"/>
      <c r="I467" s="141">
        <v>1</v>
      </c>
      <c r="J467" s="142">
        <v>30429</v>
      </c>
      <c r="K467" s="142">
        <v>30429</v>
      </c>
      <c r="L467" s="182" t="s">
        <v>788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1074</v>
      </c>
      <c r="E468" s="135" t="s">
        <v>1075</v>
      </c>
      <c r="F468" s="138" t="s">
        <v>195</v>
      </c>
      <c r="G468" s="139" t="s">
        <v>371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617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1074</v>
      </c>
      <c r="E469" s="135" t="s">
        <v>1075</v>
      </c>
      <c r="F469" s="138" t="s">
        <v>195</v>
      </c>
      <c r="G469" s="139" t="s">
        <v>371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617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1076</v>
      </c>
      <c r="E470" s="135" t="s">
        <v>396</v>
      </c>
      <c r="F470" s="138" t="s">
        <v>217</v>
      </c>
      <c r="G470" s="139" t="s">
        <v>371</v>
      </c>
      <c r="H470" s="140"/>
      <c r="I470" s="141">
        <v>1</v>
      </c>
      <c r="J470" s="142">
        <v>44597</v>
      </c>
      <c r="K470" s="142">
        <v>44597</v>
      </c>
      <c r="L470" s="182" t="s">
        <v>617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1077</v>
      </c>
      <c r="E471" s="135" t="s">
        <v>396</v>
      </c>
      <c r="F471" s="138" t="s">
        <v>210</v>
      </c>
      <c r="G471" s="139" t="s">
        <v>442</v>
      </c>
      <c r="H471" s="140"/>
      <c r="I471" s="141">
        <v>1</v>
      </c>
      <c r="J471" s="142">
        <v>14099</v>
      </c>
      <c r="K471" s="142">
        <v>14099</v>
      </c>
      <c r="L471" s="182" t="s">
        <v>617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441</v>
      </c>
      <c r="E472" s="135" t="s">
        <v>396</v>
      </c>
      <c r="F472" s="138" t="s">
        <v>537</v>
      </c>
      <c r="G472" s="139" t="s">
        <v>431</v>
      </c>
      <c r="H472" s="140"/>
      <c r="I472" s="141">
        <v>1</v>
      </c>
      <c r="J472" s="142">
        <v>30429</v>
      </c>
      <c r="K472" s="142">
        <v>30429</v>
      </c>
      <c r="L472" s="182" t="s">
        <v>617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1078</v>
      </c>
      <c r="E473" s="135" t="s">
        <v>396</v>
      </c>
      <c r="F473" s="138" t="s">
        <v>116</v>
      </c>
      <c r="G473" s="139" t="s">
        <v>442</v>
      </c>
      <c r="H473" s="140"/>
      <c r="I473" s="141">
        <v>1</v>
      </c>
      <c r="J473" s="142">
        <v>5274</v>
      </c>
      <c r="K473" s="142">
        <v>5274</v>
      </c>
      <c r="L473" s="182" t="s">
        <v>617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1079</v>
      </c>
      <c r="E474" s="135" t="s">
        <v>396</v>
      </c>
      <c r="F474" s="138" t="s">
        <v>210</v>
      </c>
      <c r="G474" s="139" t="s">
        <v>592</v>
      </c>
      <c r="H474" s="140"/>
      <c r="I474" s="141">
        <v>2</v>
      </c>
      <c r="J474" s="142">
        <v>14099</v>
      </c>
      <c r="K474" s="142">
        <v>28198</v>
      </c>
      <c r="L474" s="182" t="s">
        <v>617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1079</v>
      </c>
      <c r="E475" s="135" t="s">
        <v>396</v>
      </c>
      <c r="F475" s="138" t="s">
        <v>116</v>
      </c>
      <c r="G475" s="139" t="s">
        <v>592</v>
      </c>
      <c r="H475" s="140"/>
      <c r="I475" s="141">
        <v>2</v>
      </c>
      <c r="J475" s="142">
        <v>5274</v>
      </c>
      <c r="K475" s="142">
        <v>10548</v>
      </c>
      <c r="L475" s="182" t="s">
        <v>617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1080</v>
      </c>
      <c r="E476" s="135" t="s">
        <v>456</v>
      </c>
      <c r="F476" s="138" t="s">
        <v>217</v>
      </c>
      <c r="G476" s="139" t="s">
        <v>369</v>
      </c>
      <c r="H476" s="140"/>
      <c r="I476" s="141">
        <v>1</v>
      </c>
      <c r="J476" s="142">
        <v>44597</v>
      </c>
      <c r="K476" s="142">
        <v>44597</v>
      </c>
      <c r="L476" s="182" t="s">
        <v>617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1081</v>
      </c>
      <c r="E477" s="135" t="s">
        <v>396</v>
      </c>
      <c r="F477" s="138" t="s">
        <v>116</v>
      </c>
      <c r="G477" s="139" t="s">
        <v>431</v>
      </c>
      <c r="H477" s="140"/>
      <c r="I477" s="141">
        <v>1</v>
      </c>
      <c r="J477" s="142">
        <v>5274</v>
      </c>
      <c r="K477" s="142">
        <v>5274</v>
      </c>
      <c r="L477" s="182" t="s">
        <v>617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1081</v>
      </c>
      <c r="E478" s="135" t="s">
        <v>396</v>
      </c>
      <c r="F478" s="138" t="s">
        <v>210</v>
      </c>
      <c r="G478" s="139" t="s">
        <v>431</v>
      </c>
      <c r="H478" s="140"/>
      <c r="I478" s="141">
        <v>1</v>
      </c>
      <c r="J478" s="142">
        <v>14099</v>
      </c>
      <c r="K478" s="142">
        <v>14099</v>
      </c>
      <c r="L478" s="182" t="s">
        <v>617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446</v>
      </c>
      <c r="E479" s="135" t="s">
        <v>396</v>
      </c>
      <c r="F479" s="138" t="s">
        <v>116</v>
      </c>
      <c r="G479" s="139" t="s">
        <v>417</v>
      </c>
      <c r="H479" s="140"/>
      <c r="I479" s="141">
        <v>1</v>
      </c>
      <c r="J479" s="142">
        <v>5274</v>
      </c>
      <c r="K479" s="142">
        <v>5274</v>
      </c>
      <c r="L479" s="182" t="s">
        <v>617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446</v>
      </c>
      <c r="E480" s="135" t="s">
        <v>396</v>
      </c>
      <c r="F480" s="138" t="s">
        <v>210</v>
      </c>
      <c r="G480" s="139" t="s">
        <v>417</v>
      </c>
      <c r="H480" s="140"/>
      <c r="I480" s="141">
        <v>1</v>
      </c>
      <c r="J480" s="142">
        <v>14099</v>
      </c>
      <c r="K480" s="142">
        <v>14099</v>
      </c>
      <c r="L480" s="182" t="s">
        <v>617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1082</v>
      </c>
      <c r="E481" s="135" t="s">
        <v>396</v>
      </c>
      <c r="F481" s="138" t="s">
        <v>116</v>
      </c>
      <c r="G481" s="139" t="s">
        <v>419</v>
      </c>
      <c r="H481" s="140"/>
      <c r="I481" s="141">
        <v>1</v>
      </c>
      <c r="J481" s="142">
        <v>5274</v>
      </c>
      <c r="K481" s="142">
        <v>5274</v>
      </c>
      <c r="L481" s="182" t="s">
        <v>617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1082</v>
      </c>
      <c r="E482" s="135" t="s">
        <v>396</v>
      </c>
      <c r="F482" s="138" t="s">
        <v>210</v>
      </c>
      <c r="G482" s="139" t="s">
        <v>419</v>
      </c>
      <c r="H482" s="140"/>
      <c r="I482" s="141">
        <v>1</v>
      </c>
      <c r="J482" s="142">
        <v>14099</v>
      </c>
      <c r="K482" s="142">
        <v>14099</v>
      </c>
      <c r="L482" s="182" t="s">
        <v>617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1062</v>
      </c>
      <c r="E483" s="135" t="s">
        <v>396</v>
      </c>
      <c r="F483" s="138" t="s">
        <v>115</v>
      </c>
      <c r="G483" s="139" t="s">
        <v>419</v>
      </c>
      <c r="H483" s="140"/>
      <c r="I483" s="141">
        <v>1</v>
      </c>
      <c r="J483" s="142">
        <v>33370</v>
      </c>
      <c r="K483" s="142">
        <v>33370</v>
      </c>
      <c r="L483" s="182" t="s">
        <v>617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1083</v>
      </c>
      <c r="E484" s="135" t="s">
        <v>396</v>
      </c>
      <c r="F484" s="138" t="s">
        <v>580</v>
      </c>
      <c r="G484" s="139" t="s">
        <v>371</v>
      </c>
      <c r="H484" s="140"/>
      <c r="I484" s="141">
        <v>1</v>
      </c>
      <c r="J484" s="142">
        <v>25800</v>
      </c>
      <c r="K484" s="142">
        <v>25800</v>
      </c>
      <c r="L484" s="182" t="s">
        <v>617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1084</v>
      </c>
      <c r="E485" s="135" t="s">
        <v>396</v>
      </c>
      <c r="F485" s="138" t="s">
        <v>537</v>
      </c>
      <c r="G485" s="139" t="s">
        <v>562</v>
      </c>
      <c r="H485" s="140"/>
      <c r="I485" s="141">
        <v>1</v>
      </c>
      <c r="J485" s="142">
        <v>30429</v>
      </c>
      <c r="K485" s="142">
        <v>30429</v>
      </c>
      <c r="L485" s="182" t="s">
        <v>617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1085</v>
      </c>
      <c r="E486" s="135" t="s">
        <v>1068</v>
      </c>
      <c r="F486" s="138" t="s">
        <v>179</v>
      </c>
      <c r="G486" s="139" t="s">
        <v>371</v>
      </c>
      <c r="H486" s="140"/>
      <c r="I486" s="141">
        <v>1</v>
      </c>
      <c r="J486" s="142">
        <v>18764</v>
      </c>
      <c r="K486" s="142">
        <v>18764</v>
      </c>
      <c r="L486" s="182" t="s">
        <v>617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1086</v>
      </c>
      <c r="E487" s="135" t="s">
        <v>1068</v>
      </c>
      <c r="F487" s="138" t="s">
        <v>173</v>
      </c>
      <c r="G487" s="139" t="s">
        <v>371</v>
      </c>
      <c r="H487" s="140"/>
      <c r="I487" s="141">
        <v>1</v>
      </c>
      <c r="J487" s="142">
        <v>18764</v>
      </c>
      <c r="K487" s="142">
        <v>18764</v>
      </c>
      <c r="L487" s="182" t="s">
        <v>617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1087</v>
      </c>
      <c r="E488" s="135" t="s">
        <v>396</v>
      </c>
      <c r="F488" s="138" t="s">
        <v>116</v>
      </c>
      <c r="G488" s="139" t="s">
        <v>562</v>
      </c>
      <c r="H488" s="140"/>
      <c r="I488" s="141">
        <v>1</v>
      </c>
      <c r="J488" s="142">
        <v>5274</v>
      </c>
      <c r="K488" s="142">
        <v>5274</v>
      </c>
      <c r="L488" s="182" t="s">
        <v>617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1088</v>
      </c>
      <c r="E489" s="135" t="s">
        <v>396</v>
      </c>
      <c r="F489" s="138" t="s">
        <v>217</v>
      </c>
      <c r="G489" s="139" t="s">
        <v>369</v>
      </c>
      <c r="H489" s="140"/>
      <c r="I489" s="141">
        <v>1</v>
      </c>
      <c r="J489" s="142">
        <v>44597</v>
      </c>
      <c r="K489" s="142">
        <v>44597</v>
      </c>
      <c r="L489" s="182" t="s">
        <v>617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1089</v>
      </c>
      <c r="E490" s="135" t="s">
        <v>396</v>
      </c>
      <c r="F490" s="138" t="s">
        <v>682</v>
      </c>
      <c r="G490" s="139" t="s">
        <v>369</v>
      </c>
      <c r="H490" s="140"/>
      <c r="I490" s="141">
        <v>1</v>
      </c>
      <c r="J490" s="142">
        <v>55058</v>
      </c>
      <c r="K490" s="142">
        <v>55058</v>
      </c>
      <c r="L490" s="182" t="s">
        <v>617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1090</v>
      </c>
      <c r="E491" s="135" t="s">
        <v>1075</v>
      </c>
      <c r="F491" s="138" t="s">
        <v>173</v>
      </c>
      <c r="G491" s="139" t="s">
        <v>387</v>
      </c>
      <c r="H491" s="140"/>
      <c r="I491" s="141">
        <v>2</v>
      </c>
      <c r="J491" s="142">
        <v>18764</v>
      </c>
      <c r="K491" s="142">
        <v>37528</v>
      </c>
      <c r="L491" s="182" t="s">
        <v>617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1091</v>
      </c>
      <c r="E492" s="135" t="s">
        <v>1068</v>
      </c>
      <c r="F492" s="138" t="s">
        <v>179</v>
      </c>
      <c r="G492" s="139" t="s">
        <v>371</v>
      </c>
      <c r="H492" s="140"/>
      <c r="I492" s="141">
        <v>1</v>
      </c>
      <c r="J492" s="142">
        <v>18764</v>
      </c>
      <c r="K492" s="142">
        <v>18764</v>
      </c>
      <c r="L492" s="182" t="s">
        <v>617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1092</v>
      </c>
      <c r="E493" s="135" t="s">
        <v>396</v>
      </c>
      <c r="F493" s="138" t="s">
        <v>537</v>
      </c>
      <c r="G493" s="139" t="s">
        <v>404</v>
      </c>
      <c r="H493" s="140"/>
      <c r="I493" s="141">
        <v>1</v>
      </c>
      <c r="J493" s="142">
        <v>30429</v>
      </c>
      <c r="K493" s="142">
        <v>30429</v>
      </c>
      <c r="L493" s="182" t="s">
        <v>617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1093</v>
      </c>
      <c r="E494" s="135" t="s">
        <v>1068</v>
      </c>
      <c r="F494" s="138" t="s">
        <v>195</v>
      </c>
      <c r="G494" s="139" t="s">
        <v>371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617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1094</v>
      </c>
      <c r="E495" s="135" t="s">
        <v>396</v>
      </c>
      <c r="F495" s="138" t="s">
        <v>682</v>
      </c>
      <c r="G495" s="139" t="s">
        <v>371</v>
      </c>
      <c r="H495" s="140"/>
      <c r="I495" s="141">
        <v>1</v>
      </c>
      <c r="J495" s="142">
        <v>55058</v>
      </c>
      <c r="K495" s="142">
        <v>55058</v>
      </c>
      <c r="L495" s="182" t="s">
        <v>617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1095</v>
      </c>
      <c r="E496" s="135" t="s">
        <v>396</v>
      </c>
      <c r="F496" s="138" t="s">
        <v>116</v>
      </c>
      <c r="G496" s="139" t="s">
        <v>1096</v>
      </c>
      <c r="H496" s="140"/>
      <c r="I496" s="141">
        <v>2</v>
      </c>
      <c r="J496" s="142">
        <v>5274</v>
      </c>
      <c r="K496" s="142">
        <v>10548</v>
      </c>
      <c r="L496" s="182" t="s">
        <v>617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1097</v>
      </c>
      <c r="E497" s="135" t="s">
        <v>456</v>
      </c>
      <c r="F497" s="138" t="s">
        <v>116</v>
      </c>
      <c r="G497" s="139" t="s">
        <v>1098</v>
      </c>
      <c r="H497" s="140"/>
      <c r="I497" s="141">
        <v>2</v>
      </c>
      <c r="J497" s="142">
        <v>5274</v>
      </c>
      <c r="K497" s="142">
        <v>10548</v>
      </c>
      <c r="L497" s="182" t="s">
        <v>617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1099</v>
      </c>
      <c r="E498" s="135" t="s">
        <v>396</v>
      </c>
      <c r="F498" s="138" t="s">
        <v>116</v>
      </c>
      <c r="G498" s="139" t="s">
        <v>445</v>
      </c>
      <c r="H498" s="140"/>
      <c r="I498" s="141">
        <v>1</v>
      </c>
      <c r="J498" s="142">
        <v>5274</v>
      </c>
      <c r="K498" s="142">
        <v>5274</v>
      </c>
      <c r="L498" s="182" t="s">
        <v>617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1100</v>
      </c>
      <c r="E499" s="135" t="s">
        <v>396</v>
      </c>
      <c r="F499" s="138" t="s">
        <v>682</v>
      </c>
      <c r="G499" s="139" t="s">
        <v>371</v>
      </c>
      <c r="H499" s="140"/>
      <c r="I499" s="141">
        <v>1</v>
      </c>
      <c r="J499" s="142">
        <v>55058</v>
      </c>
      <c r="K499" s="142">
        <v>55058</v>
      </c>
      <c r="L499" s="182" t="s">
        <v>617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1101</v>
      </c>
      <c r="E500" s="135" t="s">
        <v>396</v>
      </c>
      <c r="F500" s="138" t="s">
        <v>537</v>
      </c>
      <c r="G500" s="139" t="s">
        <v>419</v>
      </c>
      <c r="H500" s="140"/>
      <c r="I500" s="141">
        <v>1</v>
      </c>
      <c r="J500" s="142">
        <v>30429</v>
      </c>
      <c r="K500" s="142">
        <v>30429</v>
      </c>
      <c r="L500" s="182" t="s">
        <v>617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1102</v>
      </c>
      <c r="E501" s="135" t="s">
        <v>396</v>
      </c>
      <c r="F501" s="138" t="s">
        <v>217</v>
      </c>
      <c r="G501" s="139" t="s">
        <v>371</v>
      </c>
      <c r="H501" s="140"/>
      <c r="I501" s="141">
        <v>1</v>
      </c>
      <c r="J501" s="142">
        <v>44597</v>
      </c>
      <c r="K501" s="142">
        <v>44597</v>
      </c>
      <c r="L501" s="182" t="s">
        <v>617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1103</v>
      </c>
      <c r="E502" s="135" t="s">
        <v>396</v>
      </c>
      <c r="F502" s="138" t="s">
        <v>217</v>
      </c>
      <c r="G502" s="139" t="s">
        <v>522</v>
      </c>
      <c r="H502" s="140"/>
      <c r="I502" s="141">
        <v>1</v>
      </c>
      <c r="J502" s="142">
        <v>44597</v>
      </c>
      <c r="K502" s="142">
        <v>44597</v>
      </c>
      <c r="L502" s="595" t="s">
        <v>620</v>
      </c>
      <c r="M502" s="616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1058</v>
      </c>
      <c r="E503" s="135" t="s">
        <v>396</v>
      </c>
      <c r="F503" s="138" t="s">
        <v>682</v>
      </c>
      <c r="G503" s="139" t="s">
        <v>387</v>
      </c>
      <c r="H503" s="140"/>
      <c r="I503" s="141">
        <v>2</v>
      </c>
      <c r="J503" s="142">
        <v>55058</v>
      </c>
      <c r="K503" s="142">
        <v>110116</v>
      </c>
      <c r="L503" s="596"/>
      <c r="M503" s="617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1104</v>
      </c>
      <c r="E504" s="135" t="s">
        <v>396</v>
      </c>
      <c r="F504" s="138" t="s">
        <v>217</v>
      </c>
      <c r="G504" s="139" t="s">
        <v>371</v>
      </c>
      <c r="H504" s="140"/>
      <c r="I504" s="141">
        <v>1</v>
      </c>
      <c r="J504" s="142">
        <v>44597</v>
      </c>
      <c r="K504" s="142">
        <v>44597</v>
      </c>
      <c r="L504" s="596"/>
      <c r="M504" s="617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1105</v>
      </c>
      <c r="E505" s="135" t="s">
        <v>396</v>
      </c>
      <c r="F505" s="138" t="s">
        <v>217</v>
      </c>
      <c r="G505" s="139" t="s">
        <v>369</v>
      </c>
      <c r="H505" s="140"/>
      <c r="I505" s="141">
        <v>1</v>
      </c>
      <c r="J505" s="142">
        <v>44597</v>
      </c>
      <c r="K505" s="142">
        <v>44597</v>
      </c>
      <c r="L505" s="596"/>
      <c r="M505" s="617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1081</v>
      </c>
      <c r="E506" s="135" t="s">
        <v>396</v>
      </c>
      <c r="F506" s="138" t="s">
        <v>210</v>
      </c>
      <c r="G506" s="139" t="s">
        <v>417</v>
      </c>
      <c r="H506" s="140"/>
      <c r="I506" s="141">
        <v>1</v>
      </c>
      <c r="J506" s="142">
        <v>14099</v>
      </c>
      <c r="K506" s="142">
        <v>14099</v>
      </c>
      <c r="L506" s="596"/>
      <c r="M506" s="617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446</v>
      </c>
      <c r="E507" s="135" t="s">
        <v>396</v>
      </c>
      <c r="F507" s="138" t="s">
        <v>115</v>
      </c>
      <c r="G507" s="139" t="s">
        <v>417</v>
      </c>
      <c r="H507" s="140"/>
      <c r="I507" s="141">
        <v>1</v>
      </c>
      <c r="J507" s="142">
        <v>33370</v>
      </c>
      <c r="K507" s="142">
        <v>33370</v>
      </c>
      <c r="L507" s="596"/>
      <c r="M507" s="617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1106</v>
      </c>
      <c r="E508" s="135" t="s">
        <v>396</v>
      </c>
      <c r="F508" s="138" t="s">
        <v>537</v>
      </c>
      <c r="G508" s="139" t="s">
        <v>527</v>
      </c>
      <c r="H508" s="140"/>
      <c r="I508" s="141">
        <v>1</v>
      </c>
      <c r="J508" s="142">
        <v>30429</v>
      </c>
      <c r="K508" s="142">
        <v>30429</v>
      </c>
      <c r="L508" s="596"/>
      <c r="M508" s="617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1061</v>
      </c>
      <c r="E509" s="135" t="s">
        <v>396</v>
      </c>
      <c r="F509" s="138" t="s">
        <v>232</v>
      </c>
      <c r="G509" s="139" t="s">
        <v>371</v>
      </c>
      <c r="H509" s="140"/>
      <c r="I509" s="141">
        <v>1</v>
      </c>
      <c r="J509" s="142">
        <v>17244</v>
      </c>
      <c r="K509" s="142">
        <v>17244</v>
      </c>
      <c r="L509" s="596"/>
      <c r="M509" s="617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1082</v>
      </c>
      <c r="E510" s="135" t="s">
        <v>396</v>
      </c>
      <c r="F510" s="138" t="s">
        <v>115</v>
      </c>
      <c r="G510" s="139" t="s">
        <v>419</v>
      </c>
      <c r="H510" s="140"/>
      <c r="I510" s="141">
        <v>1</v>
      </c>
      <c r="J510" s="142">
        <v>33370</v>
      </c>
      <c r="K510" s="142">
        <v>33370</v>
      </c>
      <c r="L510" s="596"/>
      <c r="M510" s="617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1107</v>
      </c>
      <c r="E511" s="135" t="s">
        <v>396</v>
      </c>
      <c r="F511" s="138" t="s">
        <v>217</v>
      </c>
      <c r="G511" s="139" t="s">
        <v>387</v>
      </c>
      <c r="H511" s="140"/>
      <c r="I511" s="141">
        <v>2</v>
      </c>
      <c r="J511" s="142">
        <v>44597</v>
      </c>
      <c r="K511" s="142">
        <v>89194</v>
      </c>
      <c r="L511" s="596"/>
      <c r="M511" s="617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1108</v>
      </c>
      <c r="E512" s="135" t="s">
        <v>396</v>
      </c>
      <c r="F512" s="138" t="s">
        <v>116</v>
      </c>
      <c r="G512" s="139" t="s">
        <v>1109</v>
      </c>
      <c r="H512" s="140"/>
      <c r="I512" s="141">
        <v>4</v>
      </c>
      <c r="J512" s="142">
        <v>5274</v>
      </c>
      <c r="K512" s="142">
        <v>21096</v>
      </c>
      <c r="L512" s="596"/>
      <c r="M512" s="617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1110</v>
      </c>
      <c r="E513" s="135" t="s">
        <v>396</v>
      </c>
      <c r="F513" s="138" t="s">
        <v>116</v>
      </c>
      <c r="G513" s="139" t="s">
        <v>1111</v>
      </c>
      <c r="H513" s="140"/>
      <c r="I513" s="141">
        <v>1</v>
      </c>
      <c r="J513" s="142">
        <v>5274</v>
      </c>
      <c r="K513" s="142">
        <v>5274</v>
      </c>
      <c r="L513" s="596"/>
      <c r="M513" s="617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443</v>
      </c>
      <c r="E514" s="135" t="s">
        <v>396</v>
      </c>
      <c r="F514" s="138" t="s">
        <v>217</v>
      </c>
      <c r="G514" s="139" t="s">
        <v>371</v>
      </c>
      <c r="H514" s="140"/>
      <c r="I514" s="141">
        <v>1</v>
      </c>
      <c r="J514" s="142">
        <v>44597</v>
      </c>
      <c r="K514" s="142">
        <v>44597</v>
      </c>
      <c r="L514" s="596"/>
      <c r="M514" s="617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452</v>
      </c>
      <c r="E515" s="135" t="s">
        <v>396</v>
      </c>
      <c r="F515" s="138" t="s">
        <v>115</v>
      </c>
      <c r="G515" s="139" t="s">
        <v>445</v>
      </c>
      <c r="H515" s="140"/>
      <c r="I515" s="141">
        <v>1</v>
      </c>
      <c r="J515" s="142">
        <v>33370</v>
      </c>
      <c r="K515" s="142">
        <v>33370</v>
      </c>
      <c r="L515" s="596"/>
      <c r="M515" s="617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1112</v>
      </c>
      <c r="E516" s="135" t="s">
        <v>396</v>
      </c>
      <c r="F516" s="138" t="s">
        <v>577</v>
      </c>
      <c r="G516" s="139" t="s">
        <v>562</v>
      </c>
      <c r="H516" s="140"/>
      <c r="I516" s="141">
        <v>1</v>
      </c>
      <c r="J516" s="142">
        <v>49701</v>
      </c>
      <c r="K516" s="142">
        <v>49701</v>
      </c>
      <c r="L516" s="596"/>
      <c r="M516" s="617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1113</v>
      </c>
      <c r="E517" s="135" t="s">
        <v>396</v>
      </c>
      <c r="F517" s="138" t="s">
        <v>537</v>
      </c>
      <c r="G517" s="139" t="s">
        <v>472</v>
      </c>
      <c r="H517" s="140"/>
      <c r="I517" s="141">
        <v>1</v>
      </c>
      <c r="J517" s="142">
        <v>30429</v>
      </c>
      <c r="K517" s="142">
        <v>30429</v>
      </c>
      <c r="L517" s="596"/>
      <c r="M517" s="617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1114</v>
      </c>
      <c r="E518" s="135" t="s">
        <v>396</v>
      </c>
      <c r="F518" s="138" t="s">
        <v>682</v>
      </c>
      <c r="G518" s="139" t="s">
        <v>369</v>
      </c>
      <c r="H518" s="140"/>
      <c r="I518" s="141">
        <v>1</v>
      </c>
      <c r="J518" s="142">
        <v>55058</v>
      </c>
      <c r="K518" s="142">
        <v>55058</v>
      </c>
      <c r="L518" s="596"/>
      <c r="M518" s="617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1114</v>
      </c>
      <c r="E519" s="135" t="s">
        <v>396</v>
      </c>
      <c r="F519" s="138" t="s">
        <v>217</v>
      </c>
      <c r="G519" s="139" t="s">
        <v>371</v>
      </c>
      <c r="H519" s="140"/>
      <c r="I519" s="141">
        <v>1</v>
      </c>
      <c r="J519" s="142">
        <v>44597</v>
      </c>
      <c r="K519" s="142">
        <v>44597</v>
      </c>
      <c r="L519" s="596"/>
      <c r="M519" s="617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1065</v>
      </c>
      <c r="E520" s="135" t="s">
        <v>396</v>
      </c>
      <c r="F520" s="138" t="s">
        <v>192</v>
      </c>
      <c r="G520" s="139" t="s">
        <v>1066</v>
      </c>
      <c r="H520" s="140"/>
      <c r="I520" s="141">
        <v>3</v>
      </c>
      <c r="J520" s="142">
        <v>57960</v>
      </c>
      <c r="K520" s="142">
        <v>173880</v>
      </c>
      <c r="L520" s="596"/>
      <c r="M520" s="617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1115</v>
      </c>
      <c r="E521" s="135" t="s">
        <v>396</v>
      </c>
      <c r="F521" s="138" t="s">
        <v>537</v>
      </c>
      <c r="G521" s="139" t="s">
        <v>1098</v>
      </c>
      <c r="H521" s="140"/>
      <c r="I521" s="141">
        <v>2</v>
      </c>
      <c r="J521" s="142">
        <v>30429</v>
      </c>
      <c r="K521" s="142">
        <v>60858</v>
      </c>
      <c r="L521" s="596"/>
      <c r="M521" s="617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1116</v>
      </c>
      <c r="E522" s="135" t="s">
        <v>396</v>
      </c>
      <c r="F522" s="138" t="s">
        <v>210</v>
      </c>
      <c r="G522" s="139" t="s">
        <v>392</v>
      </c>
      <c r="H522" s="140"/>
      <c r="I522" s="141">
        <v>1</v>
      </c>
      <c r="J522" s="142">
        <v>14099</v>
      </c>
      <c r="K522" s="142">
        <v>14099</v>
      </c>
      <c r="L522" s="596"/>
      <c r="M522" s="617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453</v>
      </c>
      <c r="E523" s="135" t="s">
        <v>396</v>
      </c>
      <c r="F523" s="138" t="s">
        <v>116</v>
      </c>
      <c r="G523" s="139" t="s">
        <v>417</v>
      </c>
      <c r="H523" s="140"/>
      <c r="I523" s="141">
        <v>1</v>
      </c>
      <c r="J523" s="142">
        <v>5274</v>
      </c>
      <c r="K523" s="142">
        <v>5274</v>
      </c>
      <c r="L523" s="596"/>
      <c r="M523" s="617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1117</v>
      </c>
      <c r="E524" s="135" t="s">
        <v>396</v>
      </c>
      <c r="F524" s="138" t="s">
        <v>116</v>
      </c>
      <c r="G524" s="139" t="s">
        <v>445</v>
      </c>
      <c r="H524" s="140"/>
      <c r="I524" s="141">
        <v>1</v>
      </c>
      <c r="J524" s="142">
        <v>5274</v>
      </c>
      <c r="K524" s="142">
        <v>5274</v>
      </c>
      <c r="L524" s="596"/>
      <c r="M524" s="617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1118</v>
      </c>
      <c r="E525" s="135" t="s">
        <v>396</v>
      </c>
      <c r="F525" s="138" t="s">
        <v>537</v>
      </c>
      <c r="G525" s="139" t="s">
        <v>562</v>
      </c>
      <c r="H525" s="140"/>
      <c r="I525" s="141">
        <v>1</v>
      </c>
      <c r="J525" s="142">
        <v>30429</v>
      </c>
      <c r="K525" s="142">
        <v>30429</v>
      </c>
      <c r="L525" s="596"/>
      <c r="M525" s="617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1119</v>
      </c>
      <c r="E526" s="135" t="s">
        <v>396</v>
      </c>
      <c r="F526" s="138" t="s">
        <v>217</v>
      </c>
      <c r="G526" s="139" t="s">
        <v>371</v>
      </c>
      <c r="H526" s="140"/>
      <c r="I526" s="141">
        <v>1</v>
      </c>
      <c r="J526" s="142">
        <v>44597</v>
      </c>
      <c r="K526" s="142">
        <v>44597</v>
      </c>
      <c r="L526" s="596"/>
      <c r="M526" s="617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1120</v>
      </c>
      <c r="E527" s="135" t="s">
        <v>396</v>
      </c>
      <c r="F527" s="138" t="s">
        <v>537</v>
      </c>
      <c r="G527" s="139" t="s">
        <v>472</v>
      </c>
      <c r="H527" s="140"/>
      <c r="I527" s="141">
        <v>1</v>
      </c>
      <c r="J527" s="142">
        <v>30429</v>
      </c>
      <c r="K527" s="142">
        <v>30429</v>
      </c>
      <c r="L527" s="596"/>
      <c r="M527" s="617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1121</v>
      </c>
      <c r="E528" s="135" t="s">
        <v>456</v>
      </c>
      <c r="F528" s="138" t="s">
        <v>537</v>
      </c>
      <c r="G528" s="139" t="s">
        <v>417</v>
      </c>
      <c r="H528" s="140"/>
      <c r="I528" s="141">
        <v>1</v>
      </c>
      <c r="J528" s="142">
        <v>30429</v>
      </c>
      <c r="K528" s="142">
        <v>30429</v>
      </c>
      <c r="L528" s="596"/>
      <c r="M528" s="617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1122</v>
      </c>
      <c r="E529" s="135" t="s">
        <v>1068</v>
      </c>
      <c r="F529" s="138" t="s">
        <v>195</v>
      </c>
      <c r="G529" s="139" t="s">
        <v>371</v>
      </c>
      <c r="H529" s="140"/>
      <c r="I529" s="141">
        <v>1</v>
      </c>
      <c r="J529" s="142">
        <v>36514.799999999996</v>
      </c>
      <c r="K529" s="142">
        <v>36514.799999999996</v>
      </c>
      <c r="L529" s="596"/>
      <c r="M529" s="617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1123</v>
      </c>
      <c r="E530" s="135" t="s">
        <v>396</v>
      </c>
      <c r="F530" s="138" t="s">
        <v>210</v>
      </c>
      <c r="G530" s="139" t="s">
        <v>472</v>
      </c>
      <c r="H530" s="140"/>
      <c r="I530" s="141">
        <v>1</v>
      </c>
      <c r="J530" s="142">
        <v>14099</v>
      </c>
      <c r="K530" s="142">
        <v>14099</v>
      </c>
      <c r="L530" s="596"/>
      <c r="M530" s="617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1123</v>
      </c>
      <c r="E531" s="135" t="s">
        <v>396</v>
      </c>
      <c r="F531" s="138" t="s">
        <v>116</v>
      </c>
      <c r="G531" s="139" t="s">
        <v>472</v>
      </c>
      <c r="H531" s="140"/>
      <c r="I531" s="141">
        <v>1</v>
      </c>
      <c r="J531" s="142">
        <v>5274</v>
      </c>
      <c r="K531" s="142">
        <v>5274</v>
      </c>
      <c r="L531" s="596"/>
      <c r="M531" s="617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1124</v>
      </c>
      <c r="E532" s="135" t="s">
        <v>396</v>
      </c>
      <c r="F532" s="138" t="s">
        <v>116</v>
      </c>
      <c r="G532" s="139" t="s">
        <v>562</v>
      </c>
      <c r="H532" s="140"/>
      <c r="I532" s="141">
        <v>1</v>
      </c>
      <c r="J532" s="142">
        <v>5274</v>
      </c>
      <c r="K532" s="142">
        <v>5274</v>
      </c>
      <c r="L532" s="596"/>
      <c r="M532" s="617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1125</v>
      </c>
      <c r="E533" s="135" t="s">
        <v>1068</v>
      </c>
      <c r="F533" s="138" t="s">
        <v>173</v>
      </c>
      <c r="G533" s="139" t="s">
        <v>371</v>
      </c>
      <c r="H533" s="140"/>
      <c r="I533" s="141">
        <v>1</v>
      </c>
      <c r="J533" s="142">
        <v>18764</v>
      </c>
      <c r="K533" s="142">
        <v>18764</v>
      </c>
      <c r="L533" s="596"/>
      <c r="M533" s="617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1126</v>
      </c>
      <c r="E534" s="135" t="s">
        <v>396</v>
      </c>
      <c r="F534" s="138" t="s">
        <v>237</v>
      </c>
      <c r="G534" s="139"/>
      <c r="H534" s="140"/>
      <c r="I534" s="141">
        <v>1</v>
      </c>
      <c r="J534" s="142">
        <v>10401</v>
      </c>
      <c r="K534" s="142">
        <v>10401</v>
      </c>
      <c r="L534" s="596"/>
      <c r="M534" s="617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1127</v>
      </c>
      <c r="E535" s="135" t="s">
        <v>396</v>
      </c>
      <c r="F535" s="138" t="s">
        <v>210</v>
      </c>
      <c r="G535" s="139" t="s">
        <v>472</v>
      </c>
      <c r="H535" s="140"/>
      <c r="I535" s="141">
        <v>1</v>
      </c>
      <c r="J535" s="142">
        <v>14099</v>
      </c>
      <c r="K535" s="142">
        <v>14099</v>
      </c>
      <c r="L535" s="596"/>
      <c r="M535" s="617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1127</v>
      </c>
      <c r="E536" s="135" t="s">
        <v>396</v>
      </c>
      <c r="F536" s="138" t="s">
        <v>116</v>
      </c>
      <c r="G536" s="139" t="s">
        <v>472</v>
      </c>
      <c r="H536" s="140"/>
      <c r="I536" s="141">
        <v>1</v>
      </c>
      <c r="J536" s="142">
        <v>5274</v>
      </c>
      <c r="K536" s="142">
        <v>5274</v>
      </c>
      <c r="L536" s="596"/>
      <c r="M536" s="617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1128</v>
      </c>
      <c r="E537" s="135" t="s">
        <v>396</v>
      </c>
      <c r="F537" s="138" t="s">
        <v>682</v>
      </c>
      <c r="G537" s="139" t="s">
        <v>387</v>
      </c>
      <c r="H537" s="140"/>
      <c r="I537" s="141">
        <v>2</v>
      </c>
      <c r="J537" s="142">
        <v>55058</v>
      </c>
      <c r="K537" s="142">
        <v>110116</v>
      </c>
      <c r="L537" s="596"/>
      <c r="M537" s="617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1129</v>
      </c>
      <c r="E538" s="135" t="s">
        <v>396</v>
      </c>
      <c r="F538" s="138" t="s">
        <v>210</v>
      </c>
      <c r="G538" s="139" t="s">
        <v>562</v>
      </c>
      <c r="H538" s="140"/>
      <c r="I538" s="141">
        <v>1</v>
      </c>
      <c r="J538" s="142">
        <v>14099</v>
      </c>
      <c r="K538" s="142">
        <v>14099</v>
      </c>
      <c r="L538" s="596"/>
      <c r="M538" s="617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1130</v>
      </c>
      <c r="E539" s="135" t="s">
        <v>456</v>
      </c>
      <c r="F539" s="138" t="s">
        <v>537</v>
      </c>
      <c r="G539" s="139" t="s">
        <v>511</v>
      </c>
      <c r="H539" s="140"/>
      <c r="I539" s="141">
        <v>1</v>
      </c>
      <c r="J539" s="142">
        <v>30429</v>
      </c>
      <c r="K539" s="142">
        <v>30429</v>
      </c>
      <c r="L539" s="596"/>
      <c r="M539" s="617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1131</v>
      </c>
      <c r="E540" s="135" t="s">
        <v>396</v>
      </c>
      <c r="F540" s="138" t="s">
        <v>116</v>
      </c>
      <c r="G540" s="139" t="s">
        <v>527</v>
      </c>
      <c r="H540" s="140"/>
      <c r="I540" s="141">
        <v>1</v>
      </c>
      <c r="J540" s="142">
        <v>5274</v>
      </c>
      <c r="K540" s="142">
        <v>5274</v>
      </c>
      <c r="L540" s="596"/>
      <c r="M540" s="617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1131</v>
      </c>
      <c r="E541" s="135" t="s">
        <v>396</v>
      </c>
      <c r="F541" s="138" t="s">
        <v>1132</v>
      </c>
      <c r="G541" s="139" t="s">
        <v>400</v>
      </c>
      <c r="H541" s="140"/>
      <c r="I541" s="141">
        <v>2</v>
      </c>
      <c r="J541" s="142">
        <v>49701</v>
      </c>
      <c r="K541" s="142">
        <v>99402</v>
      </c>
      <c r="L541" s="596"/>
      <c r="M541" s="617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1133</v>
      </c>
      <c r="E542" s="135" t="s">
        <v>456</v>
      </c>
      <c r="F542" s="138" t="s">
        <v>116</v>
      </c>
      <c r="G542" s="139" t="s">
        <v>417</v>
      </c>
      <c r="H542" s="140"/>
      <c r="I542" s="141">
        <v>1</v>
      </c>
      <c r="J542" s="142">
        <v>5274</v>
      </c>
      <c r="K542" s="142">
        <v>5274</v>
      </c>
      <c r="L542" s="597"/>
      <c r="M542" s="618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1124</v>
      </c>
      <c r="E543" s="135" t="s">
        <v>396</v>
      </c>
      <c r="F543" s="138" t="s">
        <v>210</v>
      </c>
      <c r="G543" s="139" t="s">
        <v>562</v>
      </c>
      <c r="H543" s="140"/>
      <c r="I543" s="141">
        <v>1</v>
      </c>
      <c r="J543" s="142">
        <v>14099</v>
      </c>
      <c r="K543" s="142">
        <v>14099</v>
      </c>
      <c r="L543" s="182" t="s">
        <v>960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1134</v>
      </c>
      <c r="E544" s="135" t="s">
        <v>456</v>
      </c>
      <c r="F544" s="138" t="s">
        <v>210</v>
      </c>
      <c r="G544" s="139" t="s">
        <v>417</v>
      </c>
      <c r="H544" s="140"/>
      <c r="I544" s="141">
        <v>1</v>
      </c>
      <c r="J544" s="142">
        <v>14099</v>
      </c>
      <c r="K544" s="142">
        <v>14099</v>
      </c>
      <c r="L544" s="182" t="s">
        <v>960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1135</v>
      </c>
      <c r="E545" s="135" t="s">
        <v>456</v>
      </c>
      <c r="F545" s="138" t="s">
        <v>580</v>
      </c>
      <c r="G545" s="139" t="s">
        <v>371</v>
      </c>
      <c r="H545" s="140"/>
      <c r="I545" s="141">
        <v>1</v>
      </c>
      <c r="J545" s="142">
        <v>25800</v>
      </c>
      <c r="K545" s="142">
        <v>25800</v>
      </c>
      <c r="L545" s="182" t="s">
        <v>960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1136</v>
      </c>
      <c r="E546" s="135" t="s">
        <v>456</v>
      </c>
      <c r="F546" s="138" t="s">
        <v>537</v>
      </c>
      <c r="G546" s="139" t="s">
        <v>417</v>
      </c>
      <c r="H546" s="140"/>
      <c r="I546" s="141">
        <v>1</v>
      </c>
      <c r="J546" s="142">
        <v>30429</v>
      </c>
      <c r="K546" s="142">
        <v>30429</v>
      </c>
      <c r="L546" s="182" t="s">
        <v>960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450</v>
      </c>
      <c r="E547" s="135" t="s">
        <v>396</v>
      </c>
      <c r="F547" s="138" t="s">
        <v>217</v>
      </c>
      <c r="G547" s="139" t="s">
        <v>371</v>
      </c>
      <c r="H547" s="140"/>
      <c r="I547" s="141">
        <v>1</v>
      </c>
      <c r="J547" s="142">
        <v>44597</v>
      </c>
      <c r="K547" s="142">
        <v>44597</v>
      </c>
      <c r="L547" s="182" t="s">
        <v>960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450</v>
      </c>
      <c r="E548" s="135" t="s">
        <v>396</v>
      </c>
      <c r="F548" s="138" t="s">
        <v>682</v>
      </c>
      <c r="G548" s="139" t="s">
        <v>369</v>
      </c>
      <c r="H548" s="140"/>
      <c r="I548" s="141">
        <v>1</v>
      </c>
      <c r="J548" s="142">
        <v>55058</v>
      </c>
      <c r="K548" s="142">
        <v>55058</v>
      </c>
      <c r="L548" s="182" t="s">
        <v>960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1137</v>
      </c>
      <c r="E549" s="135" t="s">
        <v>396</v>
      </c>
      <c r="F549" s="138" t="s">
        <v>537</v>
      </c>
      <c r="G549" s="139" t="s">
        <v>562</v>
      </c>
      <c r="H549" s="140"/>
      <c r="I549" s="141">
        <v>1</v>
      </c>
      <c r="J549" s="142">
        <v>30429</v>
      </c>
      <c r="K549" s="142">
        <v>30429</v>
      </c>
      <c r="L549" s="182" t="s">
        <v>960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1138</v>
      </c>
      <c r="E550" s="135" t="s">
        <v>396</v>
      </c>
      <c r="F550" s="138" t="s">
        <v>217</v>
      </c>
      <c r="G550" s="139" t="s">
        <v>371</v>
      </c>
      <c r="H550" s="140"/>
      <c r="I550" s="141">
        <v>1</v>
      </c>
      <c r="J550" s="142">
        <v>44597</v>
      </c>
      <c r="K550" s="142">
        <v>44597</v>
      </c>
      <c r="L550" s="182" t="s">
        <v>960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1139</v>
      </c>
      <c r="E551" s="135" t="s">
        <v>456</v>
      </c>
      <c r="F551" s="138" t="s">
        <v>217</v>
      </c>
      <c r="G551" s="139" t="s">
        <v>371</v>
      </c>
      <c r="H551" s="140"/>
      <c r="I551" s="141">
        <v>1</v>
      </c>
      <c r="J551" s="142">
        <v>44597</v>
      </c>
      <c r="K551" s="142">
        <v>44597</v>
      </c>
      <c r="L551" s="182" t="s">
        <v>960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1140</v>
      </c>
      <c r="E552" s="135" t="s">
        <v>456</v>
      </c>
      <c r="F552" s="138" t="s">
        <v>537</v>
      </c>
      <c r="G552" s="139" t="s">
        <v>472</v>
      </c>
      <c r="H552" s="140"/>
      <c r="I552" s="141">
        <v>1</v>
      </c>
      <c r="J552" s="142">
        <v>30429</v>
      </c>
      <c r="K552" s="142">
        <v>30429</v>
      </c>
      <c r="L552" s="182" t="s">
        <v>960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1140</v>
      </c>
      <c r="E553" s="135" t="s">
        <v>456</v>
      </c>
      <c r="F553" s="138" t="s">
        <v>116</v>
      </c>
      <c r="G553" s="139" t="s">
        <v>400</v>
      </c>
      <c r="H553" s="140"/>
      <c r="I553" s="141">
        <v>2</v>
      </c>
      <c r="J553" s="142">
        <v>5274</v>
      </c>
      <c r="K553" s="142">
        <v>10548</v>
      </c>
      <c r="L553" s="182" t="s">
        <v>960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1141</v>
      </c>
      <c r="E554" s="135" t="s">
        <v>456</v>
      </c>
      <c r="F554" s="138" t="s">
        <v>217</v>
      </c>
      <c r="G554" s="139" t="s">
        <v>371</v>
      </c>
      <c r="H554" s="140"/>
      <c r="I554" s="141">
        <v>1</v>
      </c>
      <c r="J554" s="142">
        <v>44597</v>
      </c>
      <c r="K554" s="142">
        <v>44597</v>
      </c>
      <c r="L554" s="182" t="s">
        <v>960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1142</v>
      </c>
      <c r="E555" s="135" t="s">
        <v>456</v>
      </c>
      <c r="F555" s="138" t="s">
        <v>580</v>
      </c>
      <c r="G555" s="139" t="s">
        <v>371</v>
      </c>
      <c r="H555" s="140"/>
      <c r="I555" s="141">
        <v>1</v>
      </c>
      <c r="J555" s="142">
        <v>25800</v>
      </c>
      <c r="K555" s="142">
        <v>25800</v>
      </c>
      <c r="L555" s="182" t="s">
        <v>960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1143</v>
      </c>
      <c r="E556" s="135" t="s">
        <v>396</v>
      </c>
      <c r="F556" s="138" t="s">
        <v>682</v>
      </c>
      <c r="G556" s="139" t="s">
        <v>371</v>
      </c>
      <c r="H556" s="140"/>
      <c r="I556" s="141">
        <v>1</v>
      </c>
      <c r="J556" s="142">
        <v>55058</v>
      </c>
      <c r="K556" s="142">
        <v>55058</v>
      </c>
      <c r="L556" s="182" t="s">
        <v>960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1144</v>
      </c>
      <c r="E557" s="135" t="s">
        <v>456</v>
      </c>
      <c r="F557" s="138" t="s">
        <v>537</v>
      </c>
      <c r="G557" s="139" t="s">
        <v>527</v>
      </c>
      <c r="H557" s="140"/>
      <c r="I557" s="141">
        <v>1</v>
      </c>
      <c r="J557" s="142">
        <v>30429</v>
      </c>
      <c r="K557" s="142">
        <v>30429</v>
      </c>
      <c r="L557" s="182" t="s">
        <v>960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1145</v>
      </c>
      <c r="E558" s="135" t="s">
        <v>456</v>
      </c>
      <c r="F558" s="138" t="s">
        <v>116</v>
      </c>
      <c r="G558" s="139" t="s">
        <v>1146</v>
      </c>
      <c r="H558" s="140"/>
      <c r="I558" s="141">
        <v>5</v>
      </c>
      <c r="J558" s="142">
        <v>5274</v>
      </c>
      <c r="K558" s="142">
        <v>26370</v>
      </c>
      <c r="L558" s="182" t="s">
        <v>960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1147</v>
      </c>
      <c r="E559" s="135" t="s">
        <v>396</v>
      </c>
      <c r="F559" s="138" t="s">
        <v>210</v>
      </c>
      <c r="G559" s="139" t="s">
        <v>527</v>
      </c>
      <c r="H559" s="140"/>
      <c r="I559" s="141">
        <v>1</v>
      </c>
      <c r="J559" s="142">
        <v>14099</v>
      </c>
      <c r="K559" s="142">
        <v>14099</v>
      </c>
      <c r="L559" s="182" t="s">
        <v>960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1148</v>
      </c>
      <c r="E560" s="135" t="s">
        <v>396</v>
      </c>
      <c r="F560" s="138" t="s">
        <v>116</v>
      </c>
      <c r="G560" s="139" t="s">
        <v>392</v>
      </c>
      <c r="H560" s="140"/>
      <c r="I560" s="141">
        <v>1</v>
      </c>
      <c r="J560" s="142">
        <v>5274</v>
      </c>
      <c r="K560" s="142">
        <v>5274</v>
      </c>
      <c r="L560" s="182" t="s">
        <v>960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1148</v>
      </c>
      <c r="E561" s="135" t="s">
        <v>396</v>
      </c>
      <c r="F561" s="138" t="s">
        <v>210</v>
      </c>
      <c r="G561" s="139" t="s">
        <v>392</v>
      </c>
      <c r="H561" s="140"/>
      <c r="I561" s="141">
        <v>1</v>
      </c>
      <c r="J561" s="142">
        <v>14099</v>
      </c>
      <c r="K561" s="142">
        <v>14099</v>
      </c>
      <c r="L561" s="182" t="s">
        <v>960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1149</v>
      </c>
      <c r="E562" s="135" t="s">
        <v>396</v>
      </c>
      <c r="F562" s="138" t="s">
        <v>577</v>
      </c>
      <c r="G562" s="139" t="s">
        <v>415</v>
      </c>
      <c r="H562" s="140"/>
      <c r="I562" s="141">
        <v>1</v>
      </c>
      <c r="J562" s="142">
        <v>49701</v>
      </c>
      <c r="K562" s="142">
        <v>49701</v>
      </c>
      <c r="L562" s="182" t="s">
        <v>960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1150</v>
      </c>
      <c r="E563" s="135" t="s">
        <v>456</v>
      </c>
      <c r="F563" s="138" t="s">
        <v>537</v>
      </c>
      <c r="G563" s="139" t="s">
        <v>527</v>
      </c>
      <c r="H563" s="140"/>
      <c r="I563" s="141">
        <v>1</v>
      </c>
      <c r="J563" s="142">
        <v>30429</v>
      </c>
      <c r="K563" s="142">
        <v>30429</v>
      </c>
      <c r="L563" s="182" t="s">
        <v>960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1151</v>
      </c>
      <c r="E564" s="135" t="s">
        <v>456</v>
      </c>
      <c r="F564" s="138" t="s">
        <v>217</v>
      </c>
      <c r="G564" s="139" t="s">
        <v>371</v>
      </c>
      <c r="H564" s="140"/>
      <c r="I564" s="141">
        <v>1</v>
      </c>
      <c r="J564" s="142">
        <v>44597</v>
      </c>
      <c r="K564" s="142">
        <v>44597</v>
      </c>
      <c r="L564" s="182" t="s">
        <v>960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1072</v>
      </c>
      <c r="E565" s="135" t="s">
        <v>396</v>
      </c>
      <c r="F565" s="138" t="s">
        <v>537</v>
      </c>
      <c r="G565" s="139" t="s">
        <v>392</v>
      </c>
      <c r="H565" s="140"/>
      <c r="I565" s="141">
        <v>1</v>
      </c>
      <c r="J565" s="142">
        <v>30429</v>
      </c>
      <c r="K565" s="142">
        <v>30429</v>
      </c>
      <c r="L565" s="182" t="s">
        <v>960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1152</v>
      </c>
      <c r="E566" s="135" t="s">
        <v>456</v>
      </c>
      <c r="F566" s="138" t="s">
        <v>217</v>
      </c>
      <c r="G566" s="139" t="s">
        <v>371</v>
      </c>
      <c r="H566" s="140"/>
      <c r="I566" s="141">
        <v>1</v>
      </c>
      <c r="J566" s="142">
        <v>44597</v>
      </c>
      <c r="K566" s="142">
        <v>44597</v>
      </c>
      <c r="L566" s="182" t="s">
        <v>960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1153</v>
      </c>
      <c r="E567" s="135" t="s">
        <v>396</v>
      </c>
      <c r="F567" s="138" t="s">
        <v>217</v>
      </c>
      <c r="G567" s="139" t="s">
        <v>387</v>
      </c>
      <c r="H567" s="140"/>
      <c r="I567" s="141">
        <v>2</v>
      </c>
      <c r="J567" s="142">
        <v>44597</v>
      </c>
      <c r="K567" s="142">
        <v>89194</v>
      </c>
      <c r="L567" s="182" t="s">
        <v>960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1154</v>
      </c>
      <c r="E568" s="135" t="s">
        <v>396</v>
      </c>
      <c r="F568" s="138" t="s">
        <v>217</v>
      </c>
      <c r="G568" s="139" t="s">
        <v>387</v>
      </c>
      <c r="H568" s="140"/>
      <c r="I568" s="141">
        <v>2</v>
      </c>
      <c r="J568" s="142">
        <v>44597</v>
      </c>
      <c r="K568" s="142">
        <v>89194</v>
      </c>
      <c r="L568" s="182" t="s">
        <v>960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1155</v>
      </c>
      <c r="E569" s="135" t="s">
        <v>396</v>
      </c>
      <c r="F569" s="138" t="s">
        <v>116</v>
      </c>
      <c r="G569" s="139" t="s">
        <v>410</v>
      </c>
      <c r="H569" s="140"/>
      <c r="I569" s="141">
        <v>1</v>
      </c>
      <c r="J569" s="142">
        <v>5274</v>
      </c>
      <c r="K569" s="142">
        <v>5274</v>
      </c>
      <c r="L569" s="182" t="s">
        <v>960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1156</v>
      </c>
      <c r="E570" s="135" t="s">
        <v>396</v>
      </c>
      <c r="F570" s="138" t="s">
        <v>115</v>
      </c>
      <c r="G570" s="139" t="s">
        <v>472</v>
      </c>
      <c r="H570" s="140"/>
      <c r="I570" s="141">
        <v>1</v>
      </c>
      <c r="J570" s="142">
        <v>33370</v>
      </c>
      <c r="K570" s="142">
        <v>33370</v>
      </c>
      <c r="L570" s="182" t="s">
        <v>960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395</v>
      </c>
      <c r="E571" s="135" t="s">
        <v>396</v>
      </c>
      <c r="F571" s="138" t="s">
        <v>217</v>
      </c>
      <c r="G571" s="139" t="s">
        <v>387</v>
      </c>
      <c r="H571" s="140"/>
      <c r="I571" s="141">
        <v>2</v>
      </c>
      <c r="J571" s="142">
        <v>44597</v>
      </c>
      <c r="K571" s="142">
        <v>89194</v>
      </c>
      <c r="L571" s="182" t="s">
        <v>960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1124</v>
      </c>
      <c r="E572" s="135" t="s">
        <v>396</v>
      </c>
      <c r="F572" s="138" t="s">
        <v>115</v>
      </c>
      <c r="G572" s="139" t="s">
        <v>562</v>
      </c>
      <c r="H572" s="140"/>
      <c r="I572" s="141">
        <v>1</v>
      </c>
      <c r="J572" s="142">
        <v>33370</v>
      </c>
      <c r="K572" s="142">
        <v>33370</v>
      </c>
      <c r="L572" s="182" t="s">
        <v>960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1081</v>
      </c>
      <c r="E573" s="135" t="s">
        <v>396</v>
      </c>
      <c r="F573" s="138" t="s">
        <v>115</v>
      </c>
      <c r="G573" s="139" t="s">
        <v>1157</v>
      </c>
      <c r="H573" s="140"/>
      <c r="I573" s="141">
        <v>2</v>
      </c>
      <c r="J573" s="142">
        <v>33370</v>
      </c>
      <c r="K573" s="142">
        <v>66740</v>
      </c>
      <c r="L573" s="182" t="s">
        <v>960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1081</v>
      </c>
      <c r="E574" s="135" t="s">
        <v>396</v>
      </c>
      <c r="F574" s="138" t="s">
        <v>537</v>
      </c>
      <c r="G574" s="139" t="s">
        <v>538</v>
      </c>
      <c r="H574" s="140"/>
      <c r="I574" s="141">
        <v>1</v>
      </c>
      <c r="J574" s="142">
        <v>30429</v>
      </c>
      <c r="K574" s="142">
        <v>30429</v>
      </c>
      <c r="L574" s="182" t="s">
        <v>960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1158</v>
      </c>
      <c r="E575" s="135" t="s">
        <v>456</v>
      </c>
      <c r="F575" s="138" t="s">
        <v>537</v>
      </c>
      <c r="G575" s="139" t="s">
        <v>645</v>
      </c>
      <c r="H575" s="140"/>
      <c r="I575" s="141">
        <v>1</v>
      </c>
      <c r="J575" s="142">
        <v>30429</v>
      </c>
      <c r="K575" s="142">
        <v>30429</v>
      </c>
      <c r="L575" s="182" t="s">
        <v>960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1159</v>
      </c>
      <c r="E576" s="135" t="s">
        <v>1068</v>
      </c>
      <c r="F576" s="138" t="s">
        <v>195</v>
      </c>
      <c r="G576" s="139" t="s">
        <v>371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960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454</v>
      </c>
      <c r="E577" s="135" t="s">
        <v>396</v>
      </c>
      <c r="F577" s="138" t="s">
        <v>682</v>
      </c>
      <c r="G577" s="139" t="s">
        <v>369</v>
      </c>
      <c r="H577" s="140"/>
      <c r="I577" s="141">
        <v>1</v>
      </c>
      <c r="J577" s="142">
        <v>55058</v>
      </c>
      <c r="K577" s="142">
        <v>55058</v>
      </c>
      <c r="L577" s="182" t="s">
        <v>960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1160</v>
      </c>
      <c r="E578" s="135" t="s">
        <v>456</v>
      </c>
      <c r="F578" s="138" t="s">
        <v>682</v>
      </c>
      <c r="G578" s="139" t="s">
        <v>371</v>
      </c>
      <c r="H578" s="140"/>
      <c r="I578" s="141">
        <v>1</v>
      </c>
      <c r="J578" s="142">
        <v>55058</v>
      </c>
      <c r="K578" s="142">
        <v>55058</v>
      </c>
      <c r="L578" s="182" t="s">
        <v>960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1161</v>
      </c>
      <c r="E579" s="135" t="s">
        <v>396</v>
      </c>
      <c r="F579" s="138" t="s">
        <v>537</v>
      </c>
      <c r="G579" s="139" t="s">
        <v>419</v>
      </c>
      <c r="H579" s="140"/>
      <c r="I579" s="141">
        <v>1</v>
      </c>
      <c r="J579" s="142">
        <v>30429</v>
      </c>
      <c r="K579" s="142">
        <v>30429</v>
      </c>
      <c r="L579" s="182" t="s">
        <v>960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1162</v>
      </c>
      <c r="E580" s="135" t="s">
        <v>396</v>
      </c>
      <c r="F580" s="138" t="s">
        <v>217</v>
      </c>
      <c r="G580" s="139" t="s">
        <v>371</v>
      </c>
      <c r="H580" s="140"/>
      <c r="I580" s="141">
        <v>1</v>
      </c>
      <c r="J580" s="142">
        <v>44597</v>
      </c>
      <c r="K580" s="142">
        <v>44597</v>
      </c>
      <c r="L580" s="182" t="s">
        <v>960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1163</v>
      </c>
      <c r="E581" s="135" t="s">
        <v>456</v>
      </c>
      <c r="F581" s="138" t="s">
        <v>116</v>
      </c>
      <c r="G581" s="139" t="s">
        <v>1164</v>
      </c>
      <c r="H581" s="140"/>
      <c r="I581" s="141">
        <v>4</v>
      </c>
      <c r="J581" s="142">
        <v>5274</v>
      </c>
      <c r="K581" s="142">
        <v>21096</v>
      </c>
      <c r="L581" s="182" t="s">
        <v>960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1165</v>
      </c>
      <c r="E582" s="135" t="s">
        <v>1166</v>
      </c>
      <c r="F582" s="138" t="s">
        <v>173</v>
      </c>
      <c r="G582" s="139" t="s">
        <v>371</v>
      </c>
      <c r="H582" s="140"/>
      <c r="I582" s="141">
        <v>1</v>
      </c>
      <c r="J582" s="142">
        <v>18764</v>
      </c>
      <c r="K582" s="142">
        <v>18764</v>
      </c>
      <c r="L582" s="182" t="s">
        <v>960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1167</v>
      </c>
      <c r="E583" s="135" t="s">
        <v>456</v>
      </c>
      <c r="F583" s="138" t="s">
        <v>217</v>
      </c>
      <c r="G583" s="139" t="s">
        <v>369</v>
      </c>
      <c r="H583" s="140"/>
      <c r="I583" s="141">
        <v>1</v>
      </c>
      <c r="J583" s="142">
        <v>44597</v>
      </c>
      <c r="K583" s="142">
        <v>44597</v>
      </c>
      <c r="L583" s="182" t="s">
        <v>960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1168</v>
      </c>
      <c r="E584" s="135" t="s">
        <v>396</v>
      </c>
      <c r="F584" s="138" t="s">
        <v>537</v>
      </c>
      <c r="G584" s="139" t="s">
        <v>404</v>
      </c>
      <c r="H584" s="140"/>
      <c r="I584" s="141">
        <v>1</v>
      </c>
      <c r="J584" s="142">
        <v>30429</v>
      </c>
      <c r="K584" s="142">
        <v>30429</v>
      </c>
      <c r="L584" s="182" t="s">
        <v>960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1119</v>
      </c>
      <c r="E585" s="135" t="s">
        <v>396</v>
      </c>
      <c r="F585" s="138" t="s">
        <v>537</v>
      </c>
      <c r="G585" s="139" t="s">
        <v>1098</v>
      </c>
      <c r="H585" s="140"/>
      <c r="I585" s="141">
        <v>2</v>
      </c>
      <c r="J585" s="142">
        <v>30429</v>
      </c>
      <c r="K585" s="142">
        <v>60858</v>
      </c>
      <c r="L585" s="182" t="s">
        <v>960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1169</v>
      </c>
      <c r="E586" s="135" t="s">
        <v>396</v>
      </c>
      <c r="F586" s="138" t="s">
        <v>217</v>
      </c>
      <c r="G586" s="139" t="s">
        <v>371</v>
      </c>
      <c r="H586" s="140"/>
      <c r="I586" s="141">
        <v>1</v>
      </c>
      <c r="J586" s="142">
        <v>44597</v>
      </c>
      <c r="K586" s="142">
        <v>44597</v>
      </c>
      <c r="L586" s="182" t="s">
        <v>960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1170</v>
      </c>
      <c r="E587" s="135" t="s">
        <v>456</v>
      </c>
      <c r="F587" s="138" t="s">
        <v>217</v>
      </c>
      <c r="G587" s="139" t="s">
        <v>387</v>
      </c>
      <c r="H587" s="140"/>
      <c r="I587" s="141">
        <v>2</v>
      </c>
      <c r="J587" s="142">
        <v>44597</v>
      </c>
      <c r="K587" s="142">
        <v>89194</v>
      </c>
      <c r="L587" s="182" t="s">
        <v>960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1171</v>
      </c>
      <c r="E588" s="135" t="s">
        <v>456</v>
      </c>
      <c r="F588" s="138" t="s">
        <v>210</v>
      </c>
      <c r="G588" s="139" t="s">
        <v>407</v>
      </c>
      <c r="H588" s="140"/>
      <c r="I588" s="141">
        <v>1</v>
      </c>
      <c r="J588" s="142">
        <v>14099</v>
      </c>
      <c r="K588" s="142">
        <v>14099</v>
      </c>
      <c r="L588" s="182" t="s">
        <v>960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1172</v>
      </c>
      <c r="E589" s="135" t="s">
        <v>456</v>
      </c>
      <c r="F589" s="138" t="s">
        <v>116</v>
      </c>
      <c r="G589" s="139" t="s">
        <v>392</v>
      </c>
      <c r="H589" s="140"/>
      <c r="I589" s="141">
        <v>1</v>
      </c>
      <c r="J589" s="142">
        <v>5274</v>
      </c>
      <c r="K589" s="142">
        <v>5274</v>
      </c>
      <c r="L589" s="182" t="s">
        <v>960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1173</v>
      </c>
      <c r="E590" s="135" t="s">
        <v>396</v>
      </c>
      <c r="F590" s="138" t="s">
        <v>116</v>
      </c>
      <c r="G590" s="139" t="s">
        <v>400</v>
      </c>
      <c r="H590" s="140"/>
      <c r="I590" s="141">
        <v>2</v>
      </c>
      <c r="J590" s="142">
        <v>5274</v>
      </c>
      <c r="K590" s="142">
        <v>10548</v>
      </c>
      <c r="L590" s="182" t="s">
        <v>960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1174</v>
      </c>
      <c r="E591" s="135" t="s">
        <v>396</v>
      </c>
      <c r="F591" s="138" t="s">
        <v>217</v>
      </c>
      <c r="G591" s="139" t="s">
        <v>371</v>
      </c>
      <c r="H591" s="140"/>
      <c r="I591" s="141">
        <v>1</v>
      </c>
      <c r="J591" s="142">
        <v>44597</v>
      </c>
      <c r="K591" s="142">
        <v>44597</v>
      </c>
      <c r="L591" s="182" t="s">
        <v>960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1175</v>
      </c>
      <c r="E592" s="135" t="s">
        <v>1176</v>
      </c>
      <c r="F592" s="138" t="s">
        <v>173</v>
      </c>
      <c r="G592" s="139" t="s">
        <v>371</v>
      </c>
      <c r="H592" s="140"/>
      <c r="I592" s="141">
        <v>1</v>
      </c>
      <c r="J592" s="142">
        <v>18764</v>
      </c>
      <c r="K592" s="142">
        <v>18764</v>
      </c>
      <c r="L592" s="599" t="s">
        <v>623</v>
      </c>
      <c r="M592" s="619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367</v>
      </c>
      <c r="E593" s="135" t="s">
        <v>1176</v>
      </c>
      <c r="F593" s="138" t="s">
        <v>173</v>
      </c>
      <c r="G593" s="139" t="s">
        <v>369</v>
      </c>
      <c r="H593" s="140"/>
      <c r="I593" s="141">
        <v>1</v>
      </c>
      <c r="J593" s="142">
        <v>18764</v>
      </c>
      <c r="K593" s="142">
        <v>18764</v>
      </c>
      <c r="L593" s="600"/>
      <c r="M593" s="620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455</v>
      </c>
      <c r="E594" s="135" t="s">
        <v>456</v>
      </c>
      <c r="F594" s="138" t="s">
        <v>580</v>
      </c>
      <c r="G594" s="139" t="s">
        <v>371</v>
      </c>
      <c r="H594" s="140"/>
      <c r="I594" s="141">
        <v>1</v>
      </c>
      <c r="J594" s="142">
        <v>25800</v>
      </c>
      <c r="K594" s="142">
        <v>25800</v>
      </c>
      <c r="L594" s="600"/>
      <c r="M594" s="620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1177</v>
      </c>
      <c r="E595" s="135" t="s">
        <v>456</v>
      </c>
      <c r="F595" s="138" t="s">
        <v>537</v>
      </c>
      <c r="G595" s="139" t="s">
        <v>472</v>
      </c>
      <c r="H595" s="140"/>
      <c r="I595" s="141">
        <v>1</v>
      </c>
      <c r="J595" s="142">
        <v>30429</v>
      </c>
      <c r="K595" s="142">
        <v>30429</v>
      </c>
      <c r="L595" s="600"/>
      <c r="M595" s="620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459</v>
      </c>
      <c r="E596" s="135" t="s">
        <v>456</v>
      </c>
      <c r="F596" s="138" t="s">
        <v>217</v>
      </c>
      <c r="G596" s="139" t="s">
        <v>371</v>
      </c>
      <c r="H596" s="140"/>
      <c r="I596" s="141">
        <v>1</v>
      </c>
      <c r="J596" s="142">
        <v>44597</v>
      </c>
      <c r="K596" s="142">
        <v>44597</v>
      </c>
      <c r="L596" s="600"/>
      <c r="M596" s="620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1137</v>
      </c>
      <c r="E597" s="135" t="s">
        <v>456</v>
      </c>
      <c r="F597" s="138" t="s">
        <v>197</v>
      </c>
      <c r="G597" s="139" t="s">
        <v>1098</v>
      </c>
      <c r="H597" s="140"/>
      <c r="I597" s="141">
        <v>2</v>
      </c>
      <c r="J597" s="142">
        <v>2739</v>
      </c>
      <c r="K597" s="142">
        <v>5478</v>
      </c>
      <c r="L597" s="600"/>
      <c r="M597" s="620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1178</v>
      </c>
      <c r="E598" s="135" t="s">
        <v>456</v>
      </c>
      <c r="F598" s="138" t="s">
        <v>217</v>
      </c>
      <c r="G598" s="139" t="s">
        <v>371</v>
      </c>
      <c r="H598" s="140"/>
      <c r="I598" s="141">
        <v>1</v>
      </c>
      <c r="J598" s="142">
        <v>44597</v>
      </c>
      <c r="K598" s="142">
        <v>44597</v>
      </c>
      <c r="L598" s="600"/>
      <c r="M598" s="620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1179</v>
      </c>
      <c r="E599" s="135" t="s">
        <v>456</v>
      </c>
      <c r="F599" s="138" t="s">
        <v>210</v>
      </c>
      <c r="G599" s="139" t="s">
        <v>445</v>
      </c>
      <c r="H599" s="140"/>
      <c r="I599" s="141">
        <v>1</v>
      </c>
      <c r="J599" s="142">
        <v>14099</v>
      </c>
      <c r="K599" s="142">
        <v>14099</v>
      </c>
      <c r="L599" s="600"/>
      <c r="M599" s="620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1180</v>
      </c>
      <c r="E600" s="135" t="s">
        <v>456</v>
      </c>
      <c r="F600" s="138" t="s">
        <v>537</v>
      </c>
      <c r="G600" s="139" t="s">
        <v>431</v>
      </c>
      <c r="H600" s="140"/>
      <c r="I600" s="141">
        <v>1</v>
      </c>
      <c r="J600" s="142">
        <v>30429</v>
      </c>
      <c r="K600" s="142">
        <v>30429</v>
      </c>
      <c r="L600" s="600"/>
      <c r="M600" s="620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1181</v>
      </c>
      <c r="E601" s="135" t="s">
        <v>456</v>
      </c>
      <c r="F601" s="138" t="s">
        <v>115</v>
      </c>
      <c r="G601" s="139" t="s">
        <v>407</v>
      </c>
      <c r="H601" s="140"/>
      <c r="I601" s="141">
        <v>1</v>
      </c>
      <c r="J601" s="142">
        <v>33370</v>
      </c>
      <c r="K601" s="142">
        <v>33370</v>
      </c>
      <c r="L601" s="600"/>
      <c r="M601" s="620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1182</v>
      </c>
      <c r="E602" s="135" t="s">
        <v>456</v>
      </c>
      <c r="F602" s="138" t="s">
        <v>537</v>
      </c>
      <c r="G602" s="139" t="s">
        <v>645</v>
      </c>
      <c r="H602" s="140"/>
      <c r="I602" s="141">
        <v>1</v>
      </c>
      <c r="J602" s="142">
        <v>30429</v>
      </c>
      <c r="K602" s="142">
        <v>30429</v>
      </c>
      <c r="L602" s="600"/>
      <c r="M602" s="620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1183</v>
      </c>
      <c r="E603" s="135" t="s">
        <v>456</v>
      </c>
      <c r="F603" s="138" t="s">
        <v>217</v>
      </c>
      <c r="G603" s="139" t="s">
        <v>371</v>
      </c>
      <c r="H603" s="140"/>
      <c r="I603" s="141">
        <v>1</v>
      </c>
      <c r="J603" s="142">
        <v>44597</v>
      </c>
      <c r="K603" s="142">
        <v>44597</v>
      </c>
      <c r="L603" s="600"/>
      <c r="M603" s="620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1184</v>
      </c>
      <c r="E604" s="135" t="s">
        <v>456</v>
      </c>
      <c r="F604" s="138" t="s">
        <v>116</v>
      </c>
      <c r="G604" s="139" t="s">
        <v>419</v>
      </c>
      <c r="H604" s="140"/>
      <c r="I604" s="141">
        <v>1</v>
      </c>
      <c r="J604" s="142">
        <v>5274</v>
      </c>
      <c r="K604" s="142">
        <v>5274</v>
      </c>
      <c r="L604" s="600"/>
      <c r="M604" s="620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1185</v>
      </c>
      <c r="E605" s="135" t="s">
        <v>456</v>
      </c>
      <c r="F605" s="138" t="s">
        <v>115</v>
      </c>
      <c r="G605" s="139" t="s">
        <v>442</v>
      </c>
      <c r="H605" s="140"/>
      <c r="I605" s="141">
        <v>1</v>
      </c>
      <c r="J605" s="142">
        <v>33370</v>
      </c>
      <c r="K605" s="142">
        <v>33370</v>
      </c>
      <c r="L605" s="600"/>
      <c r="M605" s="620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1186</v>
      </c>
      <c r="E606" s="135" t="s">
        <v>456</v>
      </c>
      <c r="F606" s="138" t="s">
        <v>116</v>
      </c>
      <c r="G606" s="139" t="s">
        <v>434</v>
      </c>
      <c r="H606" s="140"/>
      <c r="I606" s="141">
        <v>1</v>
      </c>
      <c r="J606" s="142">
        <v>5274</v>
      </c>
      <c r="K606" s="142">
        <v>5274</v>
      </c>
      <c r="L606" s="600"/>
      <c r="M606" s="620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463</v>
      </c>
      <c r="E607" s="135" t="s">
        <v>456</v>
      </c>
      <c r="F607" s="138" t="s">
        <v>204</v>
      </c>
      <c r="G607" s="139" t="s">
        <v>1187</v>
      </c>
      <c r="H607" s="140"/>
      <c r="I607" s="141">
        <v>2</v>
      </c>
      <c r="J607" s="142">
        <v>17244</v>
      </c>
      <c r="K607" s="142">
        <v>34488</v>
      </c>
      <c r="L607" s="600"/>
      <c r="M607" s="620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463</v>
      </c>
      <c r="E608" s="135" t="s">
        <v>456</v>
      </c>
      <c r="F608" s="138" t="s">
        <v>115</v>
      </c>
      <c r="G608" s="139" t="s">
        <v>419</v>
      </c>
      <c r="H608" s="140"/>
      <c r="I608" s="141">
        <v>1</v>
      </c>
      <c r="J608" s="142">
        <v>33370</v>
      </c>
      <c r="K608" s="142">
        <v>33370</v>
      </c>
      <c r="L608" s="600"/>
      <c r="M608" s="620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1188</v>
      </c>
      <c r="E609" s="135" t="s">
        <v>456</v>
      </c>
      <c r="F609" s="138" t="s">
        <v>537</v>
      </c>
      <c r="G609" s="139" t="s">
        <v>404</v>
      </c>
      <c r="H609" s="140"/>
      <c r="I609" s="141">
        <v>1</v>
      </c>
      <c r="J609" s="142">
        <v>30429</v>
      </c>
      <c r="K609" s="142">
        <v>30429</v>
      </c>
      <c r="L609" s="600"/>
      <c r="M609" s="620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1189</v>
      </c>
      <c r="E610" s="135" t="s">
        <v>456</v>
      </c>
      <c r="F610" s="138" t="s">
        <v>210</v>
      </c>
      <c r="G610" s="139" t="s">
        <v>417</v>
      </c>
      <c r="H610" s="140"/>
      <c r="I610" s="141">
        <v>1</v>
      </c>
      <c r="J610" s="142">
        <v>14099</v>
      </c>
      <c r="K610" s="142">
        <v>14099</v>
      </c>
      <c r="L610" s="600"/>
      <c r="M610" s="620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1189</v>
      </c>
      <c r="E611" s="135" t="s">
        <v>456</v>
      </c>
      <c r="F611" s="138" t="s">
        <v>115</v>
      </c>
      <c r="G611" s="139" t="s">
        <v>417</v>
      </c>
      <c r="H611" s="140"/>
      <c r="I611" s="141">
        <v>1</v>
      </c>
      <c r="J611" s="142">
        <v>33370</v>
      </c>
      <c r="K611" s="142">
        <v>33370</v>
      </c>
      <c r="L611" s="600"/>
      <c r="M611" s="620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1190</v>
      </c>
      <c r="E612" s="135" t="s">
        <v>456</v>
      </c>
      <c r="F612" s="138" t="s">
        <v>116</v>
      </c>
      <c r="G612" s="139" t="s">
        <v>1004</v>
      </c>
      <c r="H612" s="140"/>
      <c r="I612" s="141">
        <v>4</v>
      </c>
      <c r="J612" s="142">
        <v>5274</v>
      </c>
      <c r="K612" s="142">
        <v>21096</v>
      </c>
      <c r="L612" s="600"/>
      <c r="M612" s="620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1191</v>
      </c>
      <c r="E613" s="135" t="s">
        <v>456</v>
      </c>
      <c r="F613" s="138" t="s">
        <v>682</v>
      </c>
      <c r="G613" s="139" t="s">
        <v>371</v>
      </c>
      <c r="H613" s="140"/>
      <c r="I613" s="141">
        <v>1</v>
      </c>
      <c r="J613" s="142">
        <v>55058</v>
      </c>
      <c r="K613" s="142">
        <v>55058</v>
      </c>
      <c r="L613" s="600"/>
      <c r="M613" s="620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1192</v>
      </c>
      <c r="E614" s="135" t="s">
        <v>456</v>
      </c>
      <c r="F614" s="138" t="s">
        <v>115</v>
      </c>
      <c r="G614" s="139" t="s">
        <v>417</v>
      </c>
      <c r="H614" s="140"/>
      <c r="I614" s="141">
        <v>1</v>
      </c>
      <c r="J614" s="142">
        <v>33370</v>
      </c>
      <c r="K614" s="142">
        <v>33370</v>
      </c>
      <c r="L614" s="600"/>
      <c r="M614" s="620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1134</v>
      </c>
      <c r="E615" s="135" t="s">
        <v>456</v>
      </c>
      <c r="F615" s="138" t="s">
        <v>115</v>
      </c>
      <c r="G615" s="139" t="s">
        <v>1193</v>
      </c>
      <c r="H615" s="140"/>
      <c r="I615" s="141">
        <v>2</v>
      </c>
      <c r="J615" s="142">
        <v>33370</v>
      </c>
      <c r="K615" s="142">
        <v>66740</v>
      </c>
      <c r="L615" s="600"/>
      <c r="M615" s="620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1194</v>
      </c>
      <c r="E616" s="135" t="s">
        <v>1195</v>
      </c>
      <c r="F616" s="138" t="s">
        <v>197</v>
      </c>
      <c r="G616" s="139" t="s">
        <v>1196</v>
      </c>
      <c r="H616" s="140"/>
      <c r="I616" s="141">
        <v>3</v>
      </c>
      <c r="J616" s="142">
        <v>2739</v>
      </c>
      <c r="K616" s="142">
        <v>8217</v>
      </c>
      <c r="L616" s="600"/>
      <c r="M616" s="620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1076</v>
      </c>
      <c r="E617" s="135" t="s">
        <v>396</v>
      </c>
      <c r="F617" s="138" t="s">
        <v>115</v>
      </c>
      <c r="G617" s="139" t="s">
        <v>1197</v>
      </c>
      <c r="H617" s="140"/>
      <c r="I617" s="141">
        <v>3</v>
      </c>
      <c r="J617" s="142">
        <v>33370</v>
      </c>
      <c r="K617" s="142">
        <v>100110</v>
      </c>
      <c r="L617" s="600"/>
      <c r="M617" s="620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1076</v>
      </c>
      <c r="E618" s="135" t="s">
        <v>396</v>
      </c>
      <c r="F618" s="138" t="s">
        <v>537</v>
      </c>
      <c r="G618" s="139" t="s">
        <v>1198</v>
      </c>
      <c r="H618" s="140"/>
      <c r="I618" s="141">
        <v>3</v>
      </c>
      <c r="J618" s="142">
        <v>30429</v>
      </c>
      <c r="K618" s="142">
        <v>91287</v>
      </c>
      <c r="L618" s="600"/>
      <c r="M618" s="620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1199</v>
      </c>
      <c r="E619" s="135" t="s">
        <v>396</v>
      </c>
      <c r="F619" s="138" t="s">
        <v>622</v>
      </c>
      <c r="G619" s="139" t="s">
        <v>387</v>
      </c>
      <c r="H619" s="140"/>
      <c r="I619" s="141">
        <v>2</v>
      </c>
      <c r="J619" s="142">
        <v>15722</v>
      </c>
      <c r="K619" s="142">
        <v>31444</v>
      </c>
      <c r="L619" s="600"/>
      <c r="M619" s="620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1199</v>
      </c>
      <c r="E620" s="135" t="s">
        <v>396</v>
      </c>
      <c r="F620" s="138" t="s">
        <v>217</v>
      </c>
      <c r="G620" s="139" t="s">
        <v>387</v>
      </c>
      <c r="H620" s="140"/>
      <c r="I620" s="141">
        <v>2</v>
      </c>
      <c r="J620" s="142">
        <v>44597</v>
      </c>
      <c r="K620" s="142">
        <v>89194</v>
      </c>
      <c r="L620" s="600"/>
      <c r="M620" s="620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1200</v>
      </c>
      <c r="E621" s="135" t="s">
        <v>396</v>
      </c>
      <c r="F621" s="138" t="s">
        <v>115</v>
      </c>
      <c r="G621" s="139" t="s">
        <v>1201</v>
      </c>
      <c r="H621" s="140"/>
      <c r="I621" s="141">
        <v>2</v>
      </c>
      <c r="J621" s="142">
        <v>33370</v>
      </c>
      <c r="K621" s="142">
        <v>66740</v>
      </c>
      <c r="L621" s="600"/>
      <c r="M621" s="620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1107</v>
      </c>
      <c r="E622" s="135" t="s">
        <v>396</v>
      </c>
      <c r="F622" s="138" t="s">
        <v>232</v>
      </c>
      <c r="G622" s="139" t="s">
        <v>371</v>
      </c>
      <c r="H622" s="140"/>
      <c r="I622" s="141">
        <v>1</v>
      </c>
      <c r="J622" s="142">
        <v>17244</v>
      </c>
      <c r="K622" s="142">
        <v>17244</v>
      </c>
      <c r="L622" s="600"/>
      <c r="M622" s="620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1202</v>
      </c>
      <c r="E623" s="135" t="s">
        <v>396</v>
      </c>
      <c r="F623" s="138" t="s">
        <v>192</v>
      </c>
      <c r="G623" s="139" t="s">
        <v>400</v>
      </c>
      <c r="H623" s="140"/>
      <c r="I623" s="141">
        <v>2</v>
      </c>
      <c r="J623" s="142">
        <v>57960</v>
      </c>
      <c r="K623" s="142">
        <v>115920</v>
      </c>
      <c r="L623" s="600"/>
      <c r="M623" s="620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1203</v>
      </c>
      <c r="E624" s="135" t="s">
        <v>396</v>
      </c>
      <c r="F624" s="138" t="s">
        <v>217</v>
      </c>
      <c r="G624" s="139" t="s">
        <v>371</v>
      </c>
      <c r="H624" s="140"/>
      <c r="I624" s="141">
        <v>1</v>
      </c>
      <c r="J624" s="142">
        <v>44597</v>
      </c>
      <c r="K624" s="142">
        <v>44597</v>
      </c>
      <c r="L624" s="600"/>
      <c r="M624" s="620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1204</v>
      </c>
      <c r="E625" s="135" t="s">
        <v>396</v>
      </c>
      <c r="F625" s="138" t="s">
        <v>682</v>
      </c>
      <c r="G625" s="139" t="s">
        <v>387</v>
      </c>
      <c r="H625" s="140"/>
      <c r="I625" s="141">
        <v>2</v>
      </c>
      <c r="J625" s="142">
        <v>55058</v>
      </c>
      <c r="K625" s="142">
        <v>110116</v>
      </c>
      <c r="L625" s="600"/>
      <c r="M625" s="620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1205</v>
      </c>
      <c r="E626" s="135" t="s">
        <v>396</v>
      </c>
      <c r="F626" s="138" t="s">
        <v>537</v>
      </c>
      <c r="G626" s="139" t="s">
        <v>392</v>
      </c>
      <c r="H626" s="140"/>
      <c r="I626" s="141">
        <v>1</v>
      </c>
      <c r="J626" s="142">
        <v>30429</v>
      </c>
      <c r="K626" s="142">
        <v>30429</v>
      </c>
      <c r="L626" s="600"/>
      <c r="M626" s="620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1206</v>
      </c>
      <c r="E627" s="135" t="s">
        <v>396</v>
      </c>
      <c r="F627" s="138" t="s">
        <v>537</v>
      </c>
      <c r="G627" s="139" t="s">
        <v>568</v>
      </c>
      <c r="H627" s="140"/>
      <c r="I627" s="141">
        <v>1</v>
      </c>
      <c r="J627" s="142">
        <v>30429</v>
      </c>
      <c r="K627" s="142">
        <v>30429</v>
      </c>
      <c r="L627" s="600"/>
      <c r="M627" s="620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1207</v>
      </c>
      <c r="E628" s="135" t="s">
        <v>396</v>
      </c>
      <c r="F628" s="138" t="s">
        <v>115</v>
      </c>
      <c r="G628" s="139" t="s">
        <v>392</v>
      </c>
      <c r="H628" s="140"/>
      <c r="I628" s="141">
        <v>1</v>
      </c>
      <c r="J628" s="142">
        <v>33370</v>
      </c>
      <c r="K628" s="142">
        <v>33370</v>
      </c>
      <c r="L628" s="600"/>
      <c r="M628" s="620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1208</v>
      </c>
      <c r="E629" s="135" t="s">
        <v>396</v>
      </c>
      <c r="F629" s="138" t="s">
        <v>192</v>
      </c>
      <c r="G629" s="139" t="s">
        <v>445</v>
      </c>
      <c r="H629" s="140"/>
      <c r="I629" s="141">
        <v>1</v>
      </c>
      <c r="J629" s="142">
        <v>57960</v>
      </c>
      <c r="K629" s="142">
        <v>57960</v>
      </c>
      <c r="L629" s="600"/>
      <c r="M629" s="620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1209</v>
      </c>
      <c r="E630" s="135" t="s">
        <v>396</v>
      </c>
      <c r="F630" s="138" t="s">
        <v>217</v>
      </c>
      <c r="G630" s="139" t="s">
        <v>387</v>
      </c>
      <c r="H630" s="140"/>
      <c r="I630" s="141">
        <v>2</v>
      </c>
      <c r="J630" s="142">
        <v>44597</v>
      </c>
      <c r="K630" s="142">
        <v>89194</v>
      </c>
      <c r="L630" s="600"/>
      <c r="M630" s="620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1210</v>
      </c>
      <c r="E631" s="135" t="s">
        <v>396</v>
      </c>
      <c r="F631" s="138" t="s">
        <v>217</v>
      </c>
      <c r="G631" s="139" t="s">
        <v>387</v>
      </c>
      <c r="H631" s="140"/>
      <c r="I631" s="141">
        <v>2</v>
      </c>
      <c r="J631" s="142">
        <v>44597</v>
      </c>
      <c r="K631" s="142">
        <v>89194</v>
      </c>
      <c r="L631" s="600"/>
      <c r="M631" s="620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1211</v>
      </c>
      <c r="E632" s="135" t="s">
        <v>396</v>
      </c>
      <c r="F632" s="138" t="s">
        <v>116</v>
      </c>
      <c r="G632" s="139" t="s">
        <v>400</v>
      </c>
      <c r="H632" s="140"/>
      <c r="I632" s="141">
        <v>2</v>
      </c>
      <c r="J632" s="142">
        <v>5274</v>
      </c>
      <c r="K632" s="142">
        <v>10548</v>
      </c>
      <c r="L632" s="600"/>
      <c r="M632" s="620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457</v>
      </c>
      <c r="E633" s="135" t="s">
        <v>396</v>
      </c>
      <c r="F633" s="138" t="s">
        <v>682</v>
      </c>
      <c r="G633" s="139" t="s">
        <v>387</v>
      </c>
      <c r="H633" s="140"/>
      <c r="I633" s="141">
        <v>2</v>
      </c>
      <c r="J633" s="142">
        <v>55058</v>
      </c>
      <c r="K633" s="142">
        <v>110116</v>
      </c>
      <c r="L633" s="600"/>
      <c r="M633" s="620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470</v>
      </c>
      <c r="E634" s="135" t="s">
        <v>396</v>
      </c>
      <c r="F634" s="138" t="s">
        <v>116</v>
      </c>
      <c r="G634" s="139" t="s">
        <v>417</v>
      </c>
      <c r="H634" s="140"/>
      <c r="I634" s="141">
        <v>1</v>
      </c>
      <c r="J634" s="142">
        <v>5274</v>
      </c>
      <c r="K634" s="142">
        <v>5274</v>
      </c>
      <c r="L634" s="600"/>
      <c r="M634" s="620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470</v>
      </c>
      <c r="E635" s="135" t="s">
        <v>396</v>
      </c>
      <c r="F635" s="138" t="s">
        <v>210</v>
      </c>
      <c r="G635" s="139" t="s">
        <v>419</v>
      </c>
      <c r="H635" s="140"/>
      <c r="I635" s="141">
        <v>1</v>
      </c>
      <c r="J635" s="142">
        <v>14099</v>
      </c>
      <c r="K635" s="142">
        <v>14099</v>
      </c>
      <c r="L635" s="600"/>
      <c r="M635" s="620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1212</v>
      </c>
      <c r="E636" s="135" t="s">
        <v>396</v>
      </c>
      <c r="F636" s="138" t="s">
        <v>116</v>
      </c>
      <c r="G636" s="139" t="s">
        <v>1213</v>
      </c>
      <c r="H636" s="140"/>
      <c r="I636" s="141">
        <v>2</v>
      </c>
      <c r="J636" s="142">
        <v>5274</v>
      </c>
      <c r="K636" s="142">
        <v>10548</v>
      </c>
      <c r="L636" s="600"/>
      <c r="M636" s="620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1212</v>
      </c>
      <c r="E637" s="135" t="s">
        <v>396</v>
      </c>
      <c r="F637" s="138" t="s">
        <v>210</v>
      </c>
      <c r="G637" s="139" t="s">
        <v>1213</v>
      </c>
      <c r="H637" s="140"/>
      <c r="I637" s="141">
        <v>2</v>
      </c>
      <c r="J637" s="142">
        <v>14099</v>
      </c>
      <c r="K637" s="142">
        <v>28198</v>
      </c>
      <c r="L637" s="600"/>
      <c r="M637" s="620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1212</v>
      </c>
      <c r="E638" s="135" t="s">
        <v>396</v>
      </c>
      <c r="F638" s="138" t="s">
        <v>537</v>
      </c>
      <c r="G638" s="139" t="s">
        <v>415</v>
      </c>
      <c r="H638" s="140"/>
      <c r="I638" s="141">
        <v>1</v>
      </c>
      <c r="J638" s="142">
        <v>30429</v>
      </c>
      <c r="K638" s="142">
        <v>30429</v>
      </c>
      <c r="L638" s="600"/>
      <c r="M638" s="620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1214</v>
      </c>
      <c r="E639" s="135" t="s">
        <v>396</v>
      </c>
      <c r="F639" s="138" t="s">
        <v>580</v>
      </c>
      <c r="G639" s="139" t="s">
        <v>371</v>
      </c>
      <c r="H639" s="140"/>
      <c r="I639" s="141">
        <v>1</v>
      </c>
      <c r="J639" s="142">
        <v>25800</v>
      </c>
      <c r="K639" s="142">
        <v>25800</v>
      </c>
      <c r="L639" s="600"/>
      <c r="M639" s="620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1215</v>
      </c>
      <c r="E640" s="135" t="s">
        <v>396</v>
      </c>
      <c r="F640" s="138" t="s">
        <v>116</v>
      </c>
      <c r="G640" s="139" t="s">
        <v>431</v>
      </c>
      <c r="H640" s="140"/>
      <c r="I640" s="141">
        <v>1</v>
      </c>
      <c r="J640" s="142">
        <v>5274</v>
      </c>
      <c r="K640" s="142">
        <v>5274</v>
      </c>
      <c r="L640" s="600"/>
      <c r="M640" s="620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1216</v>
      </c>
      <c r="E641" s="135" t="s">
        <v>396</v>
      </c>
      <c r="F641" s="138" t="s">
        <v>577</v>
      </c>
      <c r="G641" s="139" t="s">
        <v>431</v>
      </c>
      <c r="H641" s="140"/>
      <c r="I641" s="141">
        <v>1</v>
      </c>
      <c r="J641" s="142">
        <v>49701</v>
      </c>
      <c r="K641" s="142">
        <v>49701</v>
      </c>
      <c r="L641" s="600"/>
      <c r="M641" s="620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1192</v>
      </c>
      <c r="E642" s="135" t="s">
        <v>396</v>
      </c>
      <c r="F642" s="138" t="s">
        <v>115</v>
      </c>
      <c r="G642" s="139" t="s">
        <v>404</v>
      </c>
      <c r="H642" s="140"/>
      <c r="I642" s="141">
        <v>1</v>
      </c>
      <c r="J642" s="142">
        <v>33370</v>
      </c>
      <c r="K642" s="142">
        <v>33370</v>
      </c>
      <c r="L642" s="600"/>
      <c r="M642" s="620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1217</v>
      </c>
      <c r="E643" s="135" t="s">
        <v>396</v>
      </c>
      <c r="F643" s="138" t="s">
        <v>537</v>
      </c>
      <c r="G643" s="139" t="s">
        <v>645</v>
      </c>
      <c r="H643" s="140"/>
      <c r="I643" s="141">
        <v>1</v>
      </c>
      <c r="J643" s="142">
        <v>30429</v>
      </c>
      <c r="K643" s="142">
        <v>30429</v>
      </c>
      <c r="L643" s="600"/>
      <c r="M643" s="620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1131</v>
      </c>
      <c r="E644" s="135" t="s">
        <v>396</v>
      </c>
      <c r="F644" s="138" t="s">
        <v>115</v>
      </c>
      <c r="G644" s="139" t="s">
        <v>527</v>
      </c>
      <c r="H644" s="140"/>
      <c r="I644" s="141">
        <v>1</v>
      </c>
      <c r="J644" s="142">
        <v>33370</v>
      </c>
      <c r="K644" s="142">
        <v>33370</v>
      </c>
      <c r="L644" s="600"/>
      <c r="M644" s="620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1218</v>
      </c>
      <c r="E645" s="135" t="s">
        <v>1219</v>
      </c>
      <c r="F645" s="138" t="s">
        <v>173</v>
      </c>
      <c r="G645" s="139" t="s">
        <v>371</v>
      </c>
      <c r="H645" s="140"/>
      <c r="I645" s="141">
        <v>1</v>
      </c>
      <c r="J645" s="142">
        <v>18764</v>
      </c>
      <c r="K645" s="142">
        <v>18764</v>
      </c>
      <c r="L645" s="600"/>
      <c r="M645" s="620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1220</v>
      </c>
      <c r="E646" s="135" t="s">
        <v>1219</v>
      </c>
      <c r="F646" s="138" t="s">
        <v>1221</v>
      </c>
      <c r="G646" s="139" t="s">
        <v>371</v>
      </c>
      <c r="H646" s="140"/>
      <c r="I646" s="141">
        <v>1</v>
      </c>
      <c r="J646" s="142">
        <v>30429</v>
      </c>
      <c r="K646" s="142">
        <v>30429</v>
      </c>
      <c r="L646" s="600"/>
      <c r="M646" s="620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1222</v>
      </c>
      <c r="E647" s="135" t="s">
        <v>1068</v>
      </c>
      <c r="F647" s="138" t="s">
        <v>173</v>
      </c>
      <c r="G647" s="139" t="s">
        <v>371</v>
      </c>
      <c r="H647" s="140"/>
      <c r="I647" s="141">
        <v>1</v>
      </c>
      <c r="J647" s="142">
        <v>18764</v>
      </c>
      <c r="K647" s="142">
        <v>18764</v>
      </c>
      <c r="L647" s="600"/>
      <c r="M647" s="620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1223</v>
      </c>
      <c r="E648" s="135" t="s">
        <v>1068</v>
      </c>
      <c r="F648" s="138" t="s">
        <v>1224</v>
      </c>
      <c r="G648" s="139" t="s">
        <v>371</v>
      </c>
      <c r="H648" s="140"/>
      <c r="I648" s="141">
        <v>1</v>
      </c>
      <c r="J648" s="142">
        <v>14200</v>
      </c>
      <c r="K648" s="142">
        <v>14200</v>
      </c>
      <c r="L648" s="601"/>
      <c r="M648" s="620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1225</v>
      </c>
      <c r="E649" s="122" t="s">
        <v>476</v>
      </c>
      <c r="F649" s="125" t="s">
        <v>217</v>
      </c>
      <c r="G649" s="126" t="s">
        <v>369</v>
      </c>
      <c r="H649" s="127" t="s">
        <v>489</v>
      </c>
      <c r="I649" s="128">
        <v>1</v>
      </c>
      <c r="J649" s="129">
        <v>44597</v>
      </c>
      <c r="K649" s="129">
        <v>44597</v>
      </c>
      <c r="L649" s="595" t="s">
        <v>555</v>
      </c>
      <c r="M649" s="610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1226</v>
      </c>
      <c r="E650" s="122" t="s">
        <v>476</v>
      </c>
      <c r="F650" s="125" t="s">
        <v>537</v>
      </c>
      <c r="G650" s="126" t="s">
        <v>472</v>
      </c>
      <c r="H650" s="127" t="s">
        <v>1227</v>
      </c>
      <c r="I650" s="128">
        <v>1</v>
      </c>
      <c r="J650" s="129">
        <v>30429</v>
      </c>
      <c r="K650" s="129">
        <v>30429</v>
      </c>
      <c r="L650" s="596"/>
      <c r="M650" s="611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1228</v>
      </c>
      <c r="E651" s="122" t="s">
        <v>505</v>
      </c>
      <c r="F651" s="125" t="s">
        <v>580</v>
      </c>
      <c r="G651" s="126" t="s">
        <v>371</v>
      </c>
      <c r="H651" s="127"/>
      <c r="I651" s="128">
        <v>1</v>
      </c>
      <c r="J651" s="129">
        <v>25800</v>
      </c>
      <c r="K651" s="129">
        <v>25800</v>
      </c>
      <c r="L651" s="596"/>
      <c r="M651" s="611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1229</v>
      </c>
      <c r="E652" s="122" t="s">
        <v>545</v>
      </c>
      <c r="F652" s="125" t="s">
        <v>537</v>
      </c>
      <c r="G652" s="126" t="s">
        <v>431</v>
      </c>
      <c r="H652" s="127" t="s">
        <v>629</v>
      </c>
      <c r="I652" s="128">
        <v>1</v>
      </c>
      <c r="J652" s="129">
        <v>30429</v>
      </c>
      <c r="K652" s="129">
        <v>30429</v>
      </c>
      <c r="L652" s="596"/>
      <c r="M652" s="611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981</v>
      </c>
      <c r="E653" s="122" t="s">
        <v>474</v>
      </c>
      <c r="F653" s="125" t="s">
        <v>580</v>
      </c>
      <c r="G653" s="126" t="s">
        <v>371</v>
      </c>
      <c r="H653" s="127"/>
      <c r="I653" s="128">
        <v>1</v>
      </c>
      <c r="J653" s="129">
        <v>25800</v>
      </c>
      <c r="K653" s="129">
        <v>25800</v>
      </c>
      <c r="L653" s="596"/>
      <c r="M653" s="611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1230</v>
      </c>
      <c r="E654" s="122" t="s">
        <v>474</v>
      </c>
      <c r="F654" s="125" t="s">
        <v>580</v>
      </c>
      <c r="G654" s="126" t="s">
        <v>371</v>
      </c>
      <c r="H654" s="127"/>
      <c r="I654" s="128">
        <v>1</v>
      </c>
      <c r="J654" s="129">
        <v>25800</v>
      </c>
      <c r="K654" s="129">
        <v>25800</v>
      </c>
      <c r="L654" s="596"/>
      <c r="M654" s="611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1231</v>
      </c>
      <c r="E655" s="122" t="s">
        <v>476</v>
      </c>
      <c r="F655" s="125" t="s">
        <v>188</v>
      </c>
      <c r="G655" s="126" t="s">
        <v>534</v>
      </c>
      <c r="H655" s="127" t="s">
        <v>735</v>
      </c>
      <c r="I655" s="128">
        <v>1</v>
      </c>
      <c r="J655" s="129">
        <v>42601</v>
      </c>
      <c r="K655" s="129">
        <v>42601</v>
      </c>
      <c r="L655" s="596"/>
      <c r="M655" s="611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1232</v>
      </c>
      <c r="E656" s="122" t="s">
        <v>476</v>
      </c>
      <c r="F656" s="125" t="s">
        <v>580</v>
      </c>
      <c r="G656" s="126" t="s">
        <v>371</v>
      </c>
      <c r="H656" s="127"/>
      <c r="I656" s="128">
        <v>1</v>
      </c>
      <c r="J656" s="129">
        <v>25800</v>
      </c>
      <c r="K656" s="129">
        <v>25800</v>
      </c>
      <c r="L656" s="596"/>
      <c r="M656" s="611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1233</v>
      </c>
      <c r="E657" s="122" t="s">
        <v>1234</v>
      </c>
      <c r="F657" s="125" t="s">
        <v>577</v>
      </c>
      <c r="G657" s="126" t="s">
        <v>472</v>
      </c>
      <c r="H657" s="127" t="s">
        <v>569</v>
      </c>
      <c r="I657" s="128">
        <v>1</v>
      </c>
      <c r="J657" s="129">
        <v>49701</v>
      </c>
      <c r="K657" s="129">
        <v>49701</v>
      </c>
      <c r="L657" s="596"/>
      <c r="M657" s="611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1235</v>
      </c>
      <c r="E658" s="122" t="s">
        <v>481</v>
      </c>
      <c r="F658" s="125" t="s">
        <v>217</v>
      </c>
      <c r="G658" s="126" t="s">
        <v>369</v>
      </c>
      <c r="H658" s="127" t="s">
        <v>1236</v>
      </c>
      <c r="I658" s="128">
        <v>1</v>
      </c>
      <c r="J658" s="129">
        <v>44597</v>
      </c>
      <c r="K658" s="129">
        <v>44597</v>
      </c>
      <c r="L658" s="596"/>
      <c r="M658" s="611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1237</v>
      </c>
      <c r="E659" s="122" t="s">
        <v>476</v>
      </c>
      <c r="F659" s="125" t="s">
        <v>217</v>
      </c>
      <c r="G659" s="126" t="s">
        <v>371</v>
      </c>
      <c r="H659" s="127" t="s">
        <v>489</v>
      </c>
      <c r="I659" s="128">
        <v>1</v>
      </c>
      <c r="J659" s="129">
        <v>44597</v>
      </c>
      <c r="K659" s="129">
        <v>44597</v>
      </c>
      <c r="L659" s="596"/>
      <c r="M659" s="611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1238</v>
      </c>
      <c r="E660" s="122" t="s">
        <v>484</v>
      </c>
      <c r="F660" s="125" t="s">
        <v>577</v>
      </c>
      <c r="G660" s="126" t="s">
        <v>415</v>
      </c>
      <c r="H660" s="127" t="s">
        <v>583</v>
      </c>
      <c r="I660" s="128">
        <v>1</v>
      </c>
      <c r="J660" s="129">
        <v>49701</v>
      </c>
      <c r="K660" s="129">
        <v>49701</v>
      </c>
      <c r="L660" s="596"/>
      <c r="M660" s="611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1239</v>
      </c>
      <c r="E661" s="122" t="s">
        <v>481</v>
      </c>
      <c r="F661" s="125" t="s">
        <v>116</v>
      </c>
      <c r="G661" s="126" t="s">
        <v>407</v>
      </c>
      <c r="H661" s="127" t="s">
        <v>489</v>
      </c>
      <c r="I661" s="128">
        <v>1</v>
      </c>
      <c r="J661" s="129">
        <v>5274</v>
      </c>
      <c r="K661" s="129">
        <v>5274</v>
      </c>
      <c r="L661" s="596"/>
      <c r="M661" s="611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1240</v>
      </c>
      <c r="E662" s="122" t="s">
        <v>476</v>
      </c>
      <c r="F662" s="125" t="s">
        <v>217</v>
      </c>
      <c r="G662" s="126" t="s">
        <v>371</v>
      </c>
      <c r="H662" s="127" t="s">
        <v>489</v>
      </c>
      <c r="I662" s="128">
        <v>1</v>
      </c>
      <c r="J662" s="129">
        <v>44597</v>
      </c>
      <c r="K662" s="129">
        <v>44597</v>
      </c>
      <c r="L662" s="596"/>
      <c r="M662" s="611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1240</v>
      </c>
      <c r="E663" s="122" t="s">
        <v>476</v>
      </c>
      <c r="F663" s="125" t="s">
        <v>217</v>
      </c>
      <c r="G663" s="126" t="s">
        <v>369</v>
      </c>
      <c r="H663" s="127" t="s">
        <v>489</v>
      </c>
      <c r="I663" s="128">
        <v>1</v>
      </c>
      <c r="J663" s="129">
        <v>44597</v>
      </c>
      <c r="K663" s="129">
        <v>44597</v>
      </c>
      <c r="L663" s="596"/>
      <c r="M663" s="611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1241</v>
      </c>
      <c r="E664" s="122" t="s">
        <v>476</v>
      </c>
      <c r="F664" s="125" t="s">
        <v>217</v>
      </c>
      <c r="G664" s="126" t="s">
        <v>371</v>
      </c>
      <c r="H664" s="127" t="s">
        <v>573</v>
      </c>
      <c r="I664" s="128">
        <v>1</v>
      </c>
      <c r="J664" s="129">
        <v>44597</v>
      </c>
      <c r="K664" s="129">
        <v>44597</v>
      </c>
      <c r="L664" s="596"/>
      <c r="M664" s="611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1242</v>
      </c>
      <c r="E665" s="122" t="s">
        <v>476</v>
      </c>
      <c r="F665" s="125" t="s">
        <v>217</v>
      </c>
      <c r="G665" s="126" t="s">
        <v>485</v>
      </c>
      <c r="H665" s="127" t="s">
        <v>489</v>
      </c>
      <c r="I665" s="128">
        <v>2</v>
      </c>
      <c r="J665" s="129">
        <v>44597</v>
      </c>
      <c r="K665" s="129">
        <v>89194</v>
      </c>
      <c r="L665" s="596"/>
      <c r="M665" s="611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1243</v>
      </c>
      <c r="E666" s="122" t="s">
        <v>474</v>
      </c>
      <c r="F666" s="125" t="s">
        <v>580</v>
      </c>
      <c r="G666" s="126" t="s">
        <v>371</v>
      </c>
      <c r="H666" s="127"/>
      <c r="I666" s="128">
        <v>1</v>
      </c>
      <c r="J666" s="129">
        <v>25800</v>
      </c>
      <c r="K666" s="129">
        <v>25800</v>
      </c>
      <c r="L666" s="596"/>
      <c r="M666" s="611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1244</v>
      </c>
      <c r="E667" s="122" t="s">
        <v>476</v>
      </c>
      <c r="F667" s="125" t="s">
        <v>217</v>
      </c>
      <c r="G667" s="126" t="s">
        <v>369</v>
      </c>
      <c r="H667" s="127" t="s">
        <v>489</v>
      </c>
      <c r="I667" s="128">
        <v>1</v>
      </c>
      <c r="J667" s="129">
        <v>44597</v>
      </c>
      <c r="K667" s="129">
        <v>44597</v>
      </c>
      <c r="L667" s="596"/>
      <c r="M667" s="611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1245</v>
      </c>
      <c r="E668" s="122" t="s">
        <v>476</v>
      </c>
      <c r="F668" s="125" t="s">
        <v>116</v>
      </c>
      <c r="G668" s="126" t="s">
        <v>527</v>
      </c>
      <c r="H668" s="127" t="s">
        <v>489</v>
      </c>
      <c r="I668" s="128">
        <v>1</v>
      </c>
      <c r="J668" s="129">
        <v>5274</v>
      </c>
      <c r="K668" s="129">
        <v>5274</v>
      </c>
      <c r="L668" s="596"/>
      <c r="M668" s="611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1246</v>
      </c>
      <c r="E669" s="122" t="s">
        <v>476</v>
      </c>
      <c r="F669" s="125" t="s">
        <v>115</v>
      </c>
      <c r="G669" s="126" t="s">
        <v>392</v>
      </c>
      <c r="H669" s="127" t="s">
        <v>735</v>
      </c>
      <c r="I669" s="128">
        <v>1</v>
      </c>
      <c r="J669" s="129">
        <v>33370</v>
      </c>
      <c r="K669" s="129">
        <v>33370</v>
      </c>
      <c r="L669" s="596"/>
      <c r="M669" s="611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1247</v>
      </c>
      <c r="E670" s="122" t="s">
        <v>476</v>
      </c>
      <c r="F670" s="125" t="s">
        <v>116</v>
      </c>
      <c r="G670" s="126" t="s">
        <v>645</v>
      </c>
      <c r="H670" s="127" t="s">
        <v>486</v>
      </c>
      <c r="I670" s="128">
        <v>1</v>
      </c>
      <c r="J670" s="129">
        <v>5274</v>
      </c>
      <c r="K670" s="129">
        <v>5274</v>
      </c>
      <c r="L670" s="596"/>
      <c r="M670" s="611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1248</v>
      </c>
      <c r="E671" s="122" t="s">
        <v>476</v>
      </c>
      <c r="F671" s="125" t="s">
        <v>204</v>
      </c>
      <c r="G671" s="126" t="s">
        <v>527</v>
      </c>
      <c r="H671" s="127"/>
      <c r="I671" s="128">
        <v>12</v>
      </c>
      <c r="J671" s="129">
        <v>17244</v>
      </c>
      <c r="K671" s="129">
        <v>206928</v>
      </c>
      <c r="L671" s="596"/>
      <c r="M671" s="611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1249</v>
      </c>
      <c r="E672" s="122" t="s">
        <v>545</v>
      </c>
      <c r="F672" s="125" t="s">
        <v>217</v>
      </c>
      <c r="G672" s="126" t="s">
        <v>371</v>
      </c>
      <c r="H672" s="127" t="s">
        <v>1250</v>
      </c>
      <c r="I672" s="128">
        <v>1</v>
      </c>
      <c r="J672" s="129">
        <v>44597</v>
      </c>
      <c r="K672" s="129">
        <v>44597</v>
      </c>
      <c r="L672" s="596"/>
      <c r="M672" s="611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1251</v>
      </c>
      <c r="E673" s="122" t="s">
        <v>476</v>
      </c>
      <c r="F673" s="125" t="s">
        <v>204</v>
      </c>
      <c r="G673" s="126" t="s">
        <v>562</v>
      </c>
      <c r="H673" s="127"/>
      <c r="I673" s="128">
        <v>1</v>
      </c>
      <c r="J673" s="129">
        <v>17244</v>
      </c>
      <c r="K673" s="129">
        <v>17244</v>
      </c>
      <c r="L673" s="596"/>
      <c r="M673" s="611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1252</v>
      </c>
      <c r="E674" s="122" t="s">
        <v>476</v>
      </c>
      <c r="F674" s="125" t="s">
        <v>537</v>
      </c>
      <c r="G674" s="126" t="s">
        <v>472</v>
      </c>
      <c r="H674" s="127" t="s">
        <v>1253</v>
      </c>
      <c r="I674" s="128">
        <v>1</v>
      </c>
      <c r="J674" s="129">
        <v>30429</v>
      </c>
      <c r="K674" s="129">
        <v>30429</v>
      </c>
      <c r="L674" s="596"/>
      <c r="M674" s="611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1254</v>
      </c>
      <c r="E675" s="122" t="s">
        <v>476</v>
      </c>
      <c r="F675" s="125" t="s">
        <v>116</v>
      </c>
      <c r="G675" s="126" t="s">
        <v>1255</v>
      </c>
      <c r="H675" s="127" t="s">
        <v>489</v>
      </c>
      <c r="I675" s="128">
        <v>5</v>
      </c>
      <c r="J675" s="129">
        <v>5274</v>
      </c>
      <c r="K675" s="129">
        <v>26370</v>
      </c>
      <c r="L675" s="596"/>
      <c r="M675" s="611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1256</v>
      </c>
      <c r="E676" s="122" t="s">
        <v>476</v>
      </c>
      <c r="F676" s="125" t="s">
        <v>580</v>
      </c>
      <c r="G676" s="126" t="s">
        <v>371</v>
      </c>
      <c r="H676" s="127"/>
      <c r="I676" s="128">
        <v>1</v>
      </c>
      <c r="J676" s="129">
        <v>25800</v>
      </c>
      <c r="K676" s="129">
        <v>25800</v>
      </c>
      <c r="L676" s="597"/>
      <c r="M676" s="612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1257</v>
      </c>
      <c r="E677" s="135" t="s">
        <v>478</v>
      </c>
      <c r="F677" s="138" t="s">
        <v>217</v>
      </c>
      <c r="G677" s="139" t="s">
        <v>371</v>
      </c>
      <c r="H677" s="140" t="s">
        <v>489</v>
      </c>
      <c r="I677" s="141">
        <v>1</v>
      </c>
      <c r="J677" s="142">
        <v>44597</v>
      </c>
      <c r="K677" s="142">
        <v>44597</v>
      </c>
      <c r="L677" s="592" t="s">
        <v>558</v>
      </c>
      <c r="M677" s="605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1257</v>
      </c>
      <c r="E678" s="135" t="s">
        <v>478</v>
      </c>
      <c r="F678" s="138" t="s">
        <v>622</v>
      </c>
      <c r="G678" s="139" t="s">
        <v>371</v>
      </c>
      <c r="H678" s="140"/>
      <c r="I678" s="141">
        <v>1</v>
      </c>
      <c r="J678" s="142">
        <v>15722</v>
      </c>
      <c r="K678" s="142">
        <v>15722</v>
      </c>
      <c r="L678" s="593"/>
      <c r="M678" s="606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1258</v>
      </c>
      <c r="E679" s="135" t="s">
        <v>476</v>
      </c>
      <c r="F679" s="138" t="s">
        <v>217</v>
      </c>
      <c r="G679" s="139" t="s">
        <v>485</v>
      </c>
      <c r="H679" s="140" t="s">
        <v>489</v>
      </c>
      <c r="I679" s="141">
        <v>2</v>
      </c>
      <c r="J679" s="142">
        <v>44597</v>
      </c>
      <c r="K679" s="142">
        <v>89194</v>
      </c>
      <c r="L679" s="593"/>
      <c r="M679" s="606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1259</v>
      </c>
      <c r="E680" s="135" t="s">
        <v>474</v>
      </c>
      <c r="F680" s="138" t="s">
        <v>580</v>
      </c>
      <c r="G680" s="139" t="s">
        <v>371</v>
      </c>
      <c r="H680" s="140"/>
      <c r="I680" s="141">
        <v>1</v>
      </c>
      <c r="J680" s="142">
        <v>25800</v>
      </c>
      <c r="K680" s="142">
        <v>25800</v>
      </c>
      <c r="L680" s="593"/>
      <c r="M680" s="606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1260</v>
      </c>
      <c r="E681" s="135" t="s">
        <v>1234</v>
      </c>
      <c r="F681" s="138" t="s">
        <v>1132</v>
      </c>
      <c r="G681" s="139" t="s">
        <v>407</v>
      </c>
      <c r="H681" s="140" t="s">
        <v>566</v>
      </c>
      <c r="I681" s="141">
        <v>1</v>
      </c>
      <c r="J681" s="142">
        <v>49701</v>
      </c>
      <c r="K681" s="142">
        <v>49701</v>
      </c>
      <c r="L681" s="593"/>
      <c r="M681" s="606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1261</v>
      </c>
      <c r="E682" s="135" t="s">
        <v>476</v>
      </c>
      <c r="F682" s="138" t="s">
        <v>116</v>
      </c>
      <c r="G682" s="139" t="s">
        <v>410</v>
      </c>
      <c r="H682" s="140" t="s">
        <v>489</v>
      </c>
      <c r="I682" s="141">
        <v>1</v>
      </c>
      <c r="J682" s="142">
        <v>5274</v>
      </c>
      <c r="K682" s="142">
        <v>5274</v>
      </c>
      <c r="L682" s="593"/>
      <c r="M682" s="606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1262</v>
      </c>
      <c r="E683" s="135" t="s">
        <v>476</v>
      </c>
      <c r="F683" s="138" t="s">
        <v>188</v>
      </c>
      <c r="G683" s="139" t="s">
        <v>1263</v>
      </c>
      <c r="H683" s="140"/>
      <c r="I683" s="141">
        <v>4</v>
      </c>
      <c r="J683" s="142">
        <v>42601</v>
      </c>
      <c r="K683" s="142">
        <v>170404</v>
      </c>
      <c r="L683" s="593"/>
      <c r="M683" s="606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1264</v>
      </c>
      <c r="E684" s="135" t="s">
        <v>476</v>
      </c>
      <c r="F684" s="138" t="s">
        <v>188</v>
      </c>
      <c r="G684" s="139" t="s">
        <v>594</v>
      </c>
      <c r="H684" s="140" t="s">
        <v>642</v>
      </c>
      <c r="I684" s="141">
        <v>1</v>
      </c>
      <c r="J684" s="142">
        <v>42601</v>
      </c>
      <c r="K684" s="142">
        <v>42601</v>
      </c>
      <c r="L684" s="593"/>
      <c r="M684" s="606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1265</v>
      </c>
      <c r="E685" s="135" t="s">
        <v>481</v>
      </c>
      <c r="F685" s="138" t="s">
        <v>116</v>
      </c>
      <c r="G685" s="139" t="s">
        <v>538</v>
      </c>
      <c r="H685" s="140"/>
      <c r="I685" s="141">
        <v>1</v>
      </c>
      <c r="J685" s="142">
        <v>5274</v>
      </c>
      <c r="K685" s="142">
        <v>5274</v>
      </c>
      <c r="L685" s="593"/>
      <c r="M685" s="606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1266</v>
      </c>
      <c r="E686" s="135" t="s">
        <v>481</v>
      </c>
      <c r="F686" s="138" t="s">
        <v>622</v>
      </c>
      <c r="G686" s="139" t="s">
        <v>369</v>
      </c>
      <c r="H686" s="140"/>
      <c r="I686" s="141">
        <v>1</v>
      </c>
      <c r="J686" s="142">
        <v>15722</v>
      </c>
      <c r="K686" s="169">
        <v>15722</v>
      </c>
      <c r="L686" s="593"/>
      <c r="M686" s="606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1267</v>
      </c>
      <c r="E687" s="135" t="s">
        <v>476</v>
      </c>
      <c r="F687" s="138" t="s">
        <v>537</v>
      </c>
      <c r="G687" s="139" t="s">
        <v>431</v>
      </c>
      <c r="H687" s="140" t="s">
        <v>735</v>
      </c>
      <c r="I687" s="141">
        <v>1</v>
      </c>
      <c r="J687" s="142">
        <v>30429</v>
      </c>
      <c r="K687" s="142">
        <v>30429</v>
      </c>
      <c r="L687" s="593"/>
      <c r="M687" s="606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1268</v>
      </c>
      <c r="E688" s="135" t="s">
        <v>476</v>
      </c>
      <c r="F688" s="138" t="s">
        <v>115</v>
      </c>
      <c r="G688" s="139" t="s">
        <v>417</v>
      </c>
      <c r="H688" s="140" t="s">
        <v>1269</v>
      </c>
      <c r="I688" s="141">
        <v>1</v>
      </c>
      <c r="J688" s="142">
        <v>33370</v>
      </c>
      <c r="K688" s="142">
        <v>33370</v>
      </c>
      <c r="L688" s="593"/>
      <c r="M688" s="606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1270</v>
      </c>
      <c r="E689" s="135" t="s">
        <v>476</v>
      </c>
      <c r="F689" s="199" t="s">
        <v>682</v>
      </c>
      <c r="G689" s="139" t="s">
        <v>369</v>
      </c>
      <c r="H689" s="140" t="s">
        <v>489</v>
      </c>
      <c r="I689" s="141">
        <v>1</v>
      </c>
      <c r="J689" s="142">
        <v>55058</v>
      </c>
      <c r="K689" s="142">
        <v>55058</v>
      </c>
      <c r="L689" s="593"/>
      <c r="M689" s="606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1271</v>
      </c>
      <c r="E690" s="135" t="s">
        <v>476</v>
      </c>
      <c r="F690" s="138" t="s">
        <v>115</v>
      </c>
      <c r="G690" s="139" t="s">
        <v>1272</v>
      </c>
      <c r="H690" s="140" t="s">
        <v>563</v>
      </c>
      <c r="I690" s="141">
        <v>2</v>
      </c>
      <c r="J690" s="142">
        <v>33370</v>
      </c>
      <c r="K690" s="142">
        <v>66740</v>
      </c>
      <c r="L690" s="593"/>
      <c r="M690" s="606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1273</v>
      </c>
      <c r="E691" s="135" t="s">
        <v>484</v>
      </c>
      <c r="F691" s="138" t="s">
        <v>116</v>
      </c>
      <c r="G691" s="139" t="s">
        <v>1274</v>
      </c>
      <c r="H691" s="140" t="s">
        <v>718</v>
      </c>
      <c r="I691" s="141">
        <v>2</v>
      </c>
      <c r="J691" s="142">
        <v>5274</v>
      </c>
      <c r="K691" s="142">
        <v>10548</v>
      </c>
      <c r="L691" s="593"/>
      <c r="M691" s="606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1275</v>
      </c>
      <c r="E692" s="135" t="s">
        <v>912</v>
      </c>
      <c r="F692" s="138" t="s">
        <v>177</v>
      </c>
      <c r="G692" s="139" t="s">
        <v>371</v>
      </c>
      <c r="H692" s="140"/>
      <c r="I692" s="141">
        <v>2</v>
      </c>
      <c r="J692" s="142">
        <v>4521</v>
      </c>
      <c r="K692" s="142">
        <v>9042</v>
      </c>
      <c r="L692" s="593"/>
      <c r="M692" s="606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1275</v>
      </c>
      <c r="E693" s="135" t="s">
        <v>912</v>
      </c>
      <c r="F693" s="138" t="s">
        <v>178</v>
      </c>
      <c r="G693" s="139" t="s">
        <v>371</v>
      </c>
      <c r="H693" s="140"/>
      <c r="I693" s="141">
        <v>1</v>
      </c>
      <c r="J693" s="142">
        <v>12374</v>
      </c>
      <c r="K693" s="142">
        <v>12374</v>
      </c>
      <c r="L693" s="593"/>
      <c r="M693" s="606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1276</v>
      </c>
      <c r="E694" s="135" t="s">
        <v>476</v>
      </c>
      <c r="F694" s="138" t="s">
        <v>580</v>
      </c>
      <c r="G694" s="139" t="s">
        <v>371</v>
      </c>
      <c r="H694" s="140"/>
      <c r="I694" s="141">
        <v>1</v>
      </c>
      <c r="J694" s="142">
        <v>25800</v>
      </c>
      <c r="K694" s="142">
        <v>25800</v>
      </c>
      <c r="L694" s="593"/>
      <c r="M694" s="606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1277</v>
      </c>
      <c r="E695" s="135" t="s">
        <v>476</v>
      </c>
      <c r="F695" s="138" t="s">
        <v>217</v>
      </c>
      <c r="G695" s="139" t="s">
        <v>371</v>
      </c>
      <c r="H695" s="140" t="s">
        <v>489</v>
      </c>
      <c r="I695" s="141">
        <v>1</v>
      </c>
      <c r="J695" s="142">
        <v>44597</v>
      </c>
      <c r="K695" s="142">
        <v>44597</v>
      </c>
      <c r="L695" s="593"/>
      <c r="M695" s="606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1278</v>
      </c>
      <c r="E696" s="135" t="s">
        <v>476</v>
      </c>
      <c r="F696" s="138" t="s">
        <v>682</v>
      </c>
      <c r="G696" s="139" t="s">
        <v>371</v>
      </c>
      <c r="H696" s="140" t="s">
        <v>489</v>
      </c>
      <c r="I696" s="141">
        <v>1</v>
      </c>
      <c r="J696" s="142">
        <v>55058</v>
      </c>
      <c r="K696" s="142">
        <v>55058</v>
      </c>
      <c r="L696" s="593"/>
      <c r="M696" s="606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1279</v>
      </c>
      <c r="E697" s="135" t="s">
        <v>476</v>
      </c>
      <c r="F697" s="138" t="s">
        <v>537</v>
      </c>
      <c r="G697" s="139" t="s">
        <v>562</v>
      </c>
      <c r="H697" s="140" t="s">
        <v>560</v>
      </c>
      <c r="I697" s="141">
        <v>1</v>
      </c>
      <c r="J697" s="142">
        <v>30429</v>
      </c>
      <c r="K697" s="142">
        <v>30429</v>
      </c>
      <c r="L697" s="593"/>
      <c r="M697" s="606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1280</v>
      </c>
      <c r="E698" s="135" t="s">
        <v>476</v>
      </c>
      <c r="F698" s="138" t="s">
        <v>116</v>
      </c>
      <c r="G698" s="139" t="s">
        <v>472</v>
      </c>
      <c r="H698" s="140" t="s">
        <v>573</v>
      </c>
      <c r="I698" s="141">
        <v>1</v>
      </c>
      <c r="J698" s="142">
        <v>5274</v>
      </c>
      <c r="K698" s="142">
        <v>5274</v>
      </c>
      <c r="L698" s="593"/>
      <c r="M698" s="606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1281</v>
      </c>
      <c r="E699" s="135" t="s">
        <v>478</v>
      </c>
      <c r="F699" s="138" t="s">
        <v>217</v>
      </c>
      <c r="G699" s="139" t="s">
        <v>371</v>
      </c>
      <c r="H699" s="140" t="s">
        <v>718</v>
      </c>
      <c r="I699" s="141">
        <v>1</v>
      </c>
      <c r="J699" s="142">
        <v>44597</v>
      </c>
      <c r="K699" s="142">
        <v>44597</v>
      </c>
      <c r="L699" s="593"/>
      <c r="M699" s="606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1282</v>
      </c>
      <c r="E700" s="135" t="s">
        <v>697</v>
      </c>
      <c r="F700" s="138" t="s">
        <v>219</v>
      </c>
      <c r="G700" s="139" t="s">
        <v>400</v>
      </c>
      <c r="H700" s="140" t="s">
        <v>489</v>
      </c>
      <c r="I700" s="141">
        <v>1</v>
      </c>
      <c r="J700" s="142">
        <v>22299</v>
      </c>
      <c r="K700" s="142">
        <v>22299</v>
      </c>
      <c r="L700" s="593"/>
      <c r="M700" s="606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1283</v>
      </c>
      <c r="E701" s="135" t="s">
        <v>476</v>
      </c>
      <c r="F701" s="138" t="s">
        <v>537</v>
      </c>
      <c r="G701" s="139" t="s">
        <v>431</v>
      </c>
      <c r="H701" s="140" t="s">
        <v>597</v>
      </c>
      <c r="I701" s="141">
        <v>1</v>
      </c>
      <c r="J701" s="142">
        <v>30429</v>
      </c>
      <c r="K701" s="142">
        <v>30429</v>
      </c>
      <c r="L701" s="593"/>
      <c r="M701" s="606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1254</v>
      </c>
      <c r="E702" s="135" t="s">
        <v>476</v>
      </c>
      <c r="F702" s="138" t="s">
        <v>622</v>
      </c>
      <c r="G702" s="139" t="s">
        <v>387</v>
      </c>
      <c r="H702" s="140"/>
      <c r="I702" s="141">
        <v>2</v>
      </c>
      <c r="J702" s="142">
        <v>15722</v>
      </c>
      <c r="K702" s="142">
        <v>31444</v>
      </c>
      <c r="L702" s="593"/>
      <c r="M702" s="606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1284</v>
      </c>
      <c r="E703" s="135" t="s">
        <v>476</v>
      </c>
      <c r="F703" s="138" t="s">
        <v>537</v>
      </c>
      <c r="G703" s="139" t="s">
        <v>527</v>
      </c>
      <c r="H703" s="140" t="s">
        <v>1285</v>
      </c>
      <c r="I703" s="141">
        <v>1</v>
      </c>
      <c r="J703" s="142">
        <v>30429</v>
      </c>
      <c r="K703" s="169">
        <v>30429</v>
      </c>
      <c r="L703" s="593"/>
      <c r="M703" s="606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1286</v>
      </c>
      <c r="E704" s="135" t="s">
        <v>476</v>
      </c>
      <c r="F704" s="138" t="s">
        <v>537</v>
      </c>
      <c r="G704" s="139" t="s">
        <v>538</v>
      </c>
      <c r="H704" s="140" t="s">
        <v>1269</v>
      </c>
      <c r="I704" s="141">
        <v>1</v>
      </c>
      <c r="J704" s="142">
        <v>30429</v>
      </c>
      <c r="K704" s="142">
        <v>30429</v>
      </c>
      <c r="L704" s="594"/>
      <c r="M704" s="607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1287</v>
      </c>
      <c r="E705" s="122" t="s">
        <v>476</v>
      </c>
      <c r="F705" s="125" t="s">
        <v>580</v>
      </c>
      <c r="G705" s="126" t="s">
        <v>371</v>
      </c>
      <c r="H705" s="127"/>
      <c r="I705" s="128">
        <v>1</v>
      </c>
      <c r="J705" s="129">
        <v>25800</v>
      </c>
      <c r="K705" s="129">
        <v>25800</v>
      </c>
      <c r="L705" s="613" t="s">
        <v>581</v>
      </c>
      <c r="M705" s="602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1288</v>
      </c>
      <c r="E706" s="122" t="s">
        <v>484</v>
      </c>
      <c r="F706" s="125" t="s">
        <v>217</v>
      </c>
      <c r="G706" s="126" t="s">
        <v>387</v>
      </c>
      <c r="H706" s="127" t="s">
        <v>489</v>
      </c>
      <c r="I706" s="128">
        <v>2</v>
      </c>
      <c r="J706" s="129">
        <v>44597</v>
      </c>
      <c r="K706" s="129">
        <v>89194</v>
      </c>
      <c r="L706" s="614"/>
      <c r="M706" s="603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1289</v>
      </c>
      <c r="E707" s="122" t="s">
        <v>484</v>
      </c>
      <c r="F707" s="125" t="s">
        <v>116</v>
      </c>
      <c r="G707" s="126" t="s">
        <v>419</v>
      </c>
      <c r="H707" s="127" t="s">
        <v>489</v>
      </c>
      <c r="I707" s="128">
        <v>1</v>
      </c>
      <c r="J707" s="129">
        <v>5274</v>
      </c>
      <c r="K707" s="129">
        <v>5274</v>
      </c>
      <c r="L707" s="614"/>
      <c r="M707" s="603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1290</v>
      </c>
      <c r="E708" s="122" t="s">
        <v>481</v>
      </c>
      <c r="F708" s="125" t="s">
        <v>116</v>
      </c>
      <c r="G708" s="126" t="s">
        <v>407</v>
      </c>
      <c r="H708" s="127" t="s">
        <v>573</v>
      </c>
      <c r="I708" s="128">
        <v>1</v>
      </c>
      <c r="J708" s="129">
        <v>5274</v>
      </c>
      <c r="K708" s="129">
        <v>5274</v>
      </c>
      <c r="L708" s="614"/>
      <c r="M708" s="603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1291</v>
      </c>
      <c r="E709" s="122" t="s">
        <v>476</v>
      </c>
      <c r="F709" s="125" t="s">
        <v>217</v>
      </c>
      <c r="G709" s="126" t="s">
        <v>387</v>
      </c>
      <c r="H709" s="127" t="s">
        <v>489</v>
      </c>
      <c r="I709" s="128">
        <v>2</v>
      </c>
      <c r="J709" s="129">
        <v>44597</v>
      </c>
      <c r="K709" s="129">
        <v>89194</v>
      </c>
      <c r="L709" s="614"/>
      <c r="M709" s="603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1292</v>
      </c>
      <c r="E710" s="122" t="s">
        <v>484</v>
      </c>
      <c r="F710" s="125" t="s">
        <v>217</v>
      </c>
      <c r="G710" s="126" t="s">
        <v>371</v>
      </c>
      <c r="H710" s="127" t="s">
        <v>489</v>
      </c>
      <c r="I710" s="128">
        <v>1</v>
      </c>
      <c r="J710" s="129">
        <v>44597</v>
      </c>
      <c r="K710" s="207">
        <v>44597</v>
      </c>
      <c r="L710" s="614"/>
      <c r="M710" s="603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1293</v>
      </c>
      <c r="E711" s="122" t="s">
        <v>476</v>
      </c>
      <c r="F711" s="125" t="s">
        <v>537</v>
      </c>
      <c r="G711" s="126" t="s">
        <v>442</v>
      </c>
      <c r="H711" s="127"/>
      <c r="I711" s="128">
        <v>1</v>
      </c>
      <c r="J711" s="129">
        <v>30429</v>
      </c>
      <c r="K711" s="129">
        <v>30429</v>
      </c>
      <c r="L711" s="614"/>
      <c r="M711" s="603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1294</v>
      </c>
      <c r="E712" s="122" t="s">
        <v>474</v>
      </c>
      <c r="F712" s="125" t="s">
        <v>116</v>
      </c>
      <c r="G712" s="126" t="s">
        <v>431</v>
      </c>
      <c r="H712" s="127" t="s">
        <v>489</v>
      </c>
      <c r="I712" s="128">
        <v>1</v>
      </c>
      <c r="J712" s="129">
        <v>5274</v>
      </c>
      <c r="K712" s="129">
        <v>5274</v>
      </c>
      <c r="L712" s="614"/>
      <c r="M712" s="603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1295</v>
      </c>
      <c r="E713" s="122" t="s">
        <v>1296</v>
      </c>
      <c r="F713" s="125" t="s">
        <v>217</v>
      </c>
      <c r="G713" s="126" t="s">
        <v>485</v>
      </c>
      <c r="H713" s="127" t="s">
        <v>489</v>
      </c>
      <c r="I713" s="128">
        <v>2</v>
      </c>
      <c r="J713" s="129">
        <v>44597</v>
      </c>
      <c r="K713" s="129">
        <v>89194</v>
      </c>
      <c r="L713" s="614"/>
      <c r="M713" s="603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1297</v>
      </c>
      <c r="E714" s="122" t="s">
        <v>484</v>
      </c>
      <c r="F714" s="125" t="s">
        <v>116</v>
      </c>
      <c r="G714" s="126" t="s">
        <v>434</v>
      </c>
      <c r="H714" s="127" t="s">
        <v>703</v>
      </c>
      <c r="I714" s="128">
        <v>1</v>
      </c>
      <c r="J714" s="129">
        <v>5274</v>
      </c>
      <c r="K714" s="129">
        <v>5274</v>
      </c>
      <c r="L714" s="614"/>
      <c r="M714" s="603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1298</v>
      </c>
      <c r="E715" s="122" t="s">
        <v>484</v>
      </c>
      <c r="F715" s="125" t="s">
        <v>116</v>
      </c>
      <c r="G715" s="126" t="s">
        <v>527</v>
      </c>
      <c r="H715" s="127" t="s">
        <v>489</v>
      </c>
      <c r="I715" s="128">
        <v>1</v>
      </c>
      <c r="J715" s="129">
        <v>5274</v>
      </c>
      <c r="K715" s="129">
        <v>5274</v>
      </c>
      <c r="L715" s="614"/>
      <c r="M715" s="603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1299</v>
      </c>
      <c r="E716" s="122" t="s">
        <v>476</v>
      </c>
      <c r="F716" s="125" t="s">
        <v>204</v>
      </c>
      <c r="G716" s="126" t="s">
        <v>415</v>
      </c>
      <c r="H716" s="127"/>
      <c r="I716" s="128">
        <v>1</v>
      </c>
      <c r="J716" s="129">
        <v>17244</v>
      </c>
      <c r="K716" s="129">
        <v>17244</v>
      </c>
      <c r="L716" s="614"/>
      <c r="M716" s="603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1300</v>
      </c>
      <c r="E717" s="135" t="s">
        <v>484</v>
      </c>
      <c r="F717" s="138" t="s">
        <v>1301</v>
      </c>
      <c r="G717" s="139" t="s">
        <v>371</v>
      </c>
      <c r="H717" s="140"/>
      <c r="I717" s="141">
        <v>1</v>
      </c>
      <c r="J717" s="142">
        <v>35501</v>
      </c>
      <c r="K717" s="142">
        <v>35501</v>
      </c>
      <c r="L717" s="614"/>
      <c r="M717" s="603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1231</v>
      </c>
      <c r="E718" s="135" t="s">
        <v>476</v>
      </c>
      <c r="F718" s="138" t="s">
        <v>116</v>
      </c>
      <c r="G718" s="139" t="s">
        <v>1302</v>
      </c>
      <c r="H718" s="140"/>
      <c r="I718" s="141">
        <v>3</v>
      </c>
      <c r="J718" s="142">
        <v>5274</v>
      </c>
      <c r="K718" s="142">
        <v>15822</v>
      </c>
      <c r="L718" s="614"/>
      <c r="M718" s="603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1303</v>
      </c>
      <c r="E719" s="135" t="s">
        <v>484</v>
      </c>
      <c r="F719" s="138" t="s">
        <v>116</v>
      </c>
      <c r="G719" s="139" t="s">
        <v>410</v>
      </c>
      <c r="H719" s="140" t="s">
        <v>486</v>
      </c>
      <c r="I719" s="141">
        <v>1</v>
      </c>
      <c r="J719" s="142">
        <v>5274</v>
      </c>
      <c r="K719" s="142">
        <v>5274</v>
      </c>
      <c r="L719" s="614"/>
      <c r="M719" s="603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1304</v>
      </c>
      <c r="E720" s="135" t="s">
        <v>484</v>
      </c>
      <c r="F720" s="138" t="s">
        <v>116</v>
      </c>
      <c r="G720" s="139" t="s">
        <v>472</v>
      </c>
      <c r="H720" s="140" t="s">
        <v>489</v>
      </c>
      <c r="I720" s="141">
        <v>1</v>
      </c>
      <c r="J720" s="142">
        <v>5274</v>
      </c>
      <c r="K720" s="142">
        <v>5274</v>
      </c>
      <c r="L720" s="614"/>
      <c r="M720" s="603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1305</v>
      </c>
      <c r="E721" s="135" t="s">
        <v>484</v>
      </c>
      <c r="F721" s="138" t="s">
        <v>217</v>
      </c>
      <c r="G721" s="139" t="s">
        <v>485</v>
      </c>
      <c r="H721" s="140" t="s">
        <v>1236</v>
      </c>
      <c r="I721" s="141">
        <v>2</v>
      </c>
      <c r="J721" s="142">
        <v>44597</v>
      </c>
      <c r="K721" s="142">
        <v>89194</v>
      </c>
      <c r="L721" s="614"/>
      <c r="M721" s="603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1267</v>
      </c>
      <c r="E722" s="135" t="s">
        <v>476</v>
      </c>
      <c r="F722" s="138" t="s">
        <v>115</v>
      </c>
      <c r="G722" s="139" t="s">
        <v>472</v>
      </c>
      <c r="H722" s="140" t="s">
        <v>678</v>
      </c>
      <c r="I722" s="141">
        <v>1</v>
      </c>
      <c r="J722" s="142">
        <v>33370</v>
      </c>
      <c r="K722" s="142">
        <v>33370</v>
      </c>
      <c r="L722" s="614"/>
      <c r="M722" s="603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1306</v>
      </c>
      <c r="E723" s="135" t="s">
        <v>484</v>
      </c>
      <c r="F723" s="138" t="s">
        <v>116</v>
      </c>
      <c r="G723" s="139" t="s">
        <v>511</v>
      </c>
      <c r="H723" s="140" t="s">
        <v>489</v>
      </c>
      <c r="I723" s="141">
        <v>1</v>
      </c>
      <c r="J723" s="142">
        <v>5274</v>
      </c>
      <c r="K723" s="142">
        <v>5274</v>
      </c>
      <c r="L723" s="614"/>
      <c r="M723" s="603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1307</v>
      </c>
      <c r="E724" s="135" t="s">
        <v>476</v>
      </c>
      <c r="F724" s="138" t="s">
        <v>580</v>
      </c>
      <c r="G724" s="139" t="s">
        <v>371</v>
      </c>
      <c r="H724" s="140"/>
      <c r="I724" s="141">
        <v>1</v>
      </c>
      <c r="J724" s="142">
        <v>25800</v>
      </c>
      <c r="K724" s="142">
        <v>25800</v>
      </c>
      <c r="L724" s="614"/>
      <c r="M724" s="603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1308</v>
      </c>
      <c r="E725" s="135" t="s">
        <v>476</v>
      </c>
      <c r="F725" s="138" t="s">
        <v>116</v>
      </c>
      <c r="G725" s="139" t="s">
        <v>442</v>
      </c>
      <c r="H725" s="140" t="s">
        <v>486</v>
      </c>
      <c r="I725" s="141">
        <v>1</v>
      </c>
      <c r="J725" s="142">
        <v>5274</v>
      </c>
      <c r="K725" s="142">
        <v>5274</v>
      </c>
      <c r="L725" s="614"/>
      <c r="M725" s="603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1309</v>
      </c>
      <c r="E726" s="135" t="s">
        <v>484</v>
      </c>
      <c r="F726" s="138" t="s">
        <v>116</v>
      </c>
      <c r="G726" s="139" t="s">
        <v>442</v>
      </c>
      <c r="H726" s="140" t="s">
        <v>718</v>
      </c>
      <c r="I726" s="141">
        <v>1</v>
      </c>
      <c r="J726" s="142">
        <v>5274</v>
      </c>
      <c r="K726" s="142">
        <v>5274</v>
      </c>
      <c r="L726" s="614"/>
      <c r="M726" s="603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1273</v>
      </c>
      <c r="E727" s="135" t="s">
        <v>484</v>
      </c>
      <c r="F727" s="138" t="s">
        <v>115</v>
      </c>
      <c r="G727" s="139" t="s">
        <v>511</v>
      </c>
      <c r="H727" s="140" t="s">
        <v>489</v>
      </c>
      <c r="I727" s="141">
        <v>1</v>
      </c>
      <c r="J727" s="142">
        <v>33370</v>
      </c>
      <c r="K727" s="142">
        <v>33370</v>
      </c>
      <c r="L727" s="614"/>
      <c r="M727" s="603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1310</v>
      </c>
      <c r="E728" s="135" t="s">
        <v>484</v>
      </c>
      <c r="F728" s="138" t="s">
        <v>116</v>
      </c>
      <c r="G728" s="139" t="s">
        <v>410</v>
      </c>
      <c r="H728" s="140" t="s">
        <v>489</v>
      </c>
      <c r="I728" s="141">
        <v>1</v>
      </c>
      <c r="J728" s="142">
        <v>5274</v>
      </c>
      <c r="K728" s="142">
        <v>5274</v>
      </c>
      <c r="L728" s="614"/>
      <c r="M728" s="603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1311</v>
      </c>
      <c r="E729" s="135" t="s">
        <v>484</v>
      </c>
      <c r="F729" s="138" t="s">
        <v>116</v>
      </c>
      <c r="G729" s="139" t="s">
        <v>383</v>
      </c>
      <c r="H729" s="140" t="s">
        <v>718</v>
      </c>
      <c r="I729" s="141">
        <v>1</v>
      </c>
      <c r="J729" s="142">
        <v>5274</v>
      </c>
      <c r="K729" s="142">
        <v>5274</v>
      </c>
      <c r="L729" s="614"/>
      <c r="M729" s="603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1312</v>
      </c>
      <c r="E730" s="135" t="s">
        <v>484</v>
      </c>
      <c r="F730" s="138" t="s">
        <v>116</v>
      </c>
      <c r="G730" s="139" t="s">
        <v>527</v>
      </c>
      <c r="H730" s="140" t="s">
        <v>489</v>
      </c>
      <c r="I730" s="141">
        <v>1</v>
      </c>
      <c r="J730" s="142">
        <v>5274</v>
      </c>
      <c r="K730" s="142">
        <v>5274</v>
      </c>
      <c r="L730" s="614"/>
      <c r="M730" s="603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1313</v>
      </c>
      <c r="E731" s="135" t="s">
        <v>476</v>
      </c>
      <c r="F731" s="138" t="s">
        <v>682</v>
      </c>
      <c r="G731" s="139" t="s">
        <v>369</v>
      </c>
      <c r="H731" s="140" t="s">
        <v>489</v>
      </c>
      <c r="I731" s="141">
        <v>1</v>
      </c>
      <c r="J731" s="142">
        <v>55058</v>
      </c>
      <c r="K731" s="142">
        <v>55058</v>
      </c>
      <c r="L731" s="614"/>
      <c r="M731" s="603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1313</v>
      </c>
      <c r="E732" s="135" t="s">
        <v>476</v>
      </c>
      <c r="F732" s="138" t="s">
        <v>217</v>
      </c>
      <c r="G732" s="139" t="s">
        <v>371</v>
      </c>
      <c r="H732" s="140" t="s">
        <v>489</v>
      </c>
      <c r="I732" s="141">
        <v>1</v>
      </c>
      <c r="J732" s="142">
        <v>44597</v>
      </c>
      <c r="K732" s="142">
        <v>44597</v>
      </c>
      <c r="L732" s="614"/>
      <c r="M732" s="603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1237</v>
      </c>
      <c r="E733" s="135" t="s">
        <v>476</v>
      </c>
      <c r="F733" s="138" t="s">
        <v>682</v>
      </c>
      <c r="G733" s="139" t="s">
        <v>369</v>
      </c>
      <c r="H733" s="140" t="s">
        <v>489</v>
      </c>
      <c r="I733" s="141">
        <v>1</v>
      </c>
      <c r="J733" s="142">
        <v>55058</v>
      </c>
      <c r="K733" s="142">
        <v>55058</v>
      </c>
      <c r="L733" s="614"/>
      <c r="M733" s="603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1314</v>
      </c>
      <c r="E734" s="135" t="s">
        <v>476</v>
      </c>
      <c r="F734" s="138" t="s">
        <v>116</v>
      </c>
      <c r="G734" s="139" t="s">
        <v>407</v>
      </c>
      <c r="H734" s="140" t="s">
        <v>486</v>
      </c>
      <c r="I734" s="141">
        <v>1</v>
      </c>
      <c r="J734" s="142">
        <v>5274</v>
      </c>
      <c r="K734" s="142">
        <v>5274</v>
      </c>
      <c r="L734" s="614"/>
      <c r="M734" s="603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1315</v>
      </c>
      <c r="E735" s="135" t="s">
        <v>1316</v>
      </c>
      <c r="F735" s="138" t="s">
        <v>1069</v>
      </c>
      <c r="G735" s="139" t="s">
        <v>371</v>
      </c>
      <c r="H735" s="140"/>
      <c r="I735" s="141">
        <v>1</v>
      </c>
      <c r="J735" s="142">
        <v>18764</v>
      </c>
      <c r="K735" s="142">
        <v>18764</v>
      </c>
      <c r="L735" s="614"/>
      <c r="M735" s="603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1317</v>
      </c>
      <c r="E736" s="135" t="s">
        <v>505</v>
      </c>
      <c r="F736" s="138" t="s">
        <v>580</v>
      </c>
      <c r="G736" s="139" t="s">
        <v>371</v>
      </c>
      <c r="H736" s="140"/>
      <c r="I736" s="141">
        <v>1</v>
      </c>
      <c r="J736" s="142">
        <v>25800</v>
      </c>
      <c r="K736" s="142">
        <v>25800</v>
      </c>
      <c r="L736" s="614"/>
      <c r="M736" s="603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1318</v>
      </c>
      <c r="E737" s="135" t="s">
        <v>474</v>
      </c>
      <c r="F737" s="138" t="s">
        <v>580</v>
      </c>
      <c r="G737" s="139" t="s">
        <v>371</v>
      </c>
      <c r="H737" s="140"/>
      <c r="I737" s="141">
        <v>1</v>
      </c>
      <c r="J737" s="142">
        <v>25800</v>
      </c>
      <c r="K737" s="142">
        <v>25800</v>
      </c>
      <c r="L737" s="614"/>
      <c r="M737" s="603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1319</v>
      </c>
      <c r="E738" s="135" t="s">
        <v>476</v>
      </c>
      <c r="F738" s="138" t="s">
        <v>580</v>
      </c>
      <c r="G738" s="139" t="s">
        <v>371</v>
      </c>
      <c r="H738" s="140"/>
      <c r="I738" s="141">
        <v>1</v>
      </c>
      <c r="J738" s="142">
        <v>25800</v>
      </c>
      <c r="K738" s="142">
        <v>25800</v>
      </c>
      <c r="L738" s="614"/>
      <c r="M738" s="603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1320</v>
      </c>
      <c r="E739" s="135" t="s">
        <v>474</v>
      </c>
      <c r="F739" s="138" t="s">
        <v>580</v>
      </c>
      <c r="G739" s="139" t="s">
        <v>371</v>
      </c>
      <c r="H739" s="140"/>
      <c r="I739" s="141">
        <v>1</v>
      </c>
      <c r="J739" s="142">
        <v>25800</v>
      </c>
      <c r="K739" s="142">
        <v>25800</v>
      </c>
      <c r="L739" s="614"/>
      <c r="M739" s="603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1321</v>
      </c>
      <c r="E740" s="135" t="s">
        <v>481</v>
      </c>
      <c r="F740" s="138" t="s">
        <v>116</v>
      </c>
      <c r="G740" s="139" t="s">
        <v>442</v>
      </c>
      <c r="H740" s="140"/>
      <c r="I740" s="141">
        <v>1</v>
      </c>
      <c r="J740" s="142">
        <v>5274</v>
      </c>
      <c r="K740" s="142">
        <v>5274</v>
      </c>
      <c r="L740" s="614"/>
      <c r="M740" s="603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1322</v>
      </c>
      <c r="E741" s="135" t="s">
        <v>476</v>
      </c>
      <c r="F741" s="138" t="s">
        <v>682</v>
      </c>
      <c r="G741" s="139" t="s">
        <v>371</v>
      </c>
      <c r="H741" s="140" t="s">
        <v>721</v>
      </c>
      <c r="I741" s="141">
        <v>1</v>
      </c>
      <c r="J741" s="142">
        <v>55058</v>
      </c>
      <c r="K741" s="142">
        <v>55058</v>
      </c>
      <c r="L741" s="614"/>
      <c r="M741" s="603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1323</v>
      </c>
      <c r="E742" s="135" t="s">
        <v>484</v>
      </c>
      <c r="F742" s="138" t="s">
        <v>116</v>
      </c>
      <c r="G742" s="139" t="s">
        <v>431</v>
      </c>
      <c r="H742" s="140" t="s">
        <v>489</v>
      </c>
      <c r="I742" s="141">
        <v>1</v>
      </c>
      <c r="J742" s="142">
        <v>5274</v>
      </c>
      <c r="K742" s="142">
        <v>5274</v>
      </c>
      <c r="L742" s="614"/>
      <c r="M742" s="603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1324</v>
      </c>
      <c r="E743" s="135" t="s">
        <v>484</v>
      </c>
      <c r="F743" s="138" t="s">
        <v>682</v>
      </c>
      <c r="G743" s="139" t="s">
        <v>369</v>
      </c>
      <c r="H743" s="140"/>
      <c r="I743" s="141">
        <v>1</v>
      </c>
      <c r="J743" s="142">
        <v>55058</v>
      </c>
      <c r="K743" s="142">
        <v>55058</v>
      </c>
      <c r="L743" s="614"/>
      <c r="M743" s="603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1325</v>
      </c>
      <c r="E744" s="135" t="s">
        <v>481</v>
      </c>
      <c r="F744" s="138" t="s">
        <v>116</v>
      </c>
      <c r="G744" s="139" t="s">
        <v>417</v>
      </c>
      <c r="H744" s="140" t="s">
        <v>489</v>
      </c>
      <c r="I744" s="141">
        <v>4</v>
      </c>
      <c r="J744" s="142">
        <v>5274</v>
      </c>
      <c r="K744" s="142">
        <v>21096</v>
      </c>
      <c r="L744" s="614"/>
      <c r="M744" s="603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1326</v>
      </c>
      <c r="E745" s="135" t="s">
        <v>484</v>
      </c>
      <c r="F745" s="138" t="s">
        <v>116</v>
      </c>
      <c r="G745" s="139" t="s">
        <v>431</v>
      </c>
      <c r="H745" s="140" t="s">
        <v>573</v>
      </c>
      <c r="I745" s="141">
        <v>1</v>
      </c>
      <c r="J745" s="142">
        <v>5274</v>
      </c>
      <c r="K745" s="142">
        <v>5274</v>
      </c>
      <c r="L745" s="614"/>
      <c r="M745" s="603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1327</v>
      </c>
      <c r="E746" s="135" t="s">
        <v>476</v>
      </c>
      <c r="F746" s="138" t="s">
        <v>115</v>
      </c>
      <c r="G746" s="139" t="s">
        <v>419</v>
      </c>
      <c r="H746" s="140" t="s">
        <v>560</v>
      </c>
      <c r="I746" s="141">
        <v>1</v>
      </c>
      <c r="J746" s="142">
        <v>33370</v>
      </c>
      <c r="K746" s="142">
        <v>33370</v>
      </c>
      <c r="L746" s="614"/>
      <c r="M746" s="603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1328</v>
      </c>
      <c r="E747" s="135" t="s">
        <v>476</v>
      </c>
      <c r="F747" s="138" t="s">
        <v>537</v>
      </c>
      <c r="G747" s="139" t="s">
        <v>527</v>
      </c>
      <c r="H747" s="140" t="s">
        <v>560</v>
      </c>
      <c r="I747" s="141">
        <v>1</v>
      </c>
      <c r="J747" s="142">
        <v>30429</v>
      </c>
      <c r="K747" s="142">
        <v>30429</v>
      </c>
      <c r="L747" s="614"/>
      <c r="M747" s="603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1329</v>
      </c>
      <c r="E748" s="135" t="s">
        <v>476</v>
      </c>
      <c r="F748" s="138" t="s">
        <v>682</v>
      </c>
      <c r="G748" s="139" t="s">
        <v>371</v>
      </c>
      <c r="H748" s="140" t="s">
        <v>489</v>
      </c>
      <c r="I748" s="141">
        <v>1</v>
      </c>
      <c r="J748" s="142">
        <v>55058</v>
      </c>
      <c r="K748" s="142">
        <v>55058</v>
      </c>
      <c r="L748" s="614"/>
      <c r="M748" s="603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1330</v>
      </c>
      <c r="E749" s="135" t="s">
        <v>476</v>
      </c>
      <c r="F749" s="138" t="s">
        <v>235</v>
      </c>
      <c r="G749" s="139" t="s">
        <v>369</v>
      </c>
      <c r="H749" s="140"/>
      <c r="I749" s="141">
        <v>1</v>
      </c>
      <c r="J749" s="142">
        <v>12499</v>
      </c>
      <c r="K749" s="142">
        <v>12499</v>
      </c>
      <c r="L749" s="615"/>
      <c r="M749" s="604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1331</v>
      </c>
      <c r="E750" s="135" t="s">
        <v>697</v>
      </c>
      <c r="F750" s="138" t="s">
        <v>580</v>
      </c>
      <c r="G750" s="139" t="s">
        <v>371</v>
      </c>
      <c r="H750" s="140"/>
      <c r="I750" s="141">
        <v>1</v>
      </c>
      <c r="J750" s="142">
        <v>25800</v>
      </c>
      <c r="K750" s="142">
        <v>25800</v>
      </c>
      <c r="L750" s="592" t="s">
        <v>600</v>
      </c>
      <c r="M750" s="605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1332</v>
      </c>
      <c r="E751" s="174" t="s">
        <v>484</v>
      </c>
      <c r="F751" s="176" t="s">
        <v>116</v>
      </c>
      <c r="G751" s="177" t="s">
        <v>410</v>
      </c>
      <c r="H751" s="178" t="s">
        <v>1250</v>
      </c>
      <c r="I751" s="179">
        <v>1</v>
      </c>
      <c r="J751" s="142">
        <v>5274</v>
      </c>
      <c r="K751" s="142">
        <v>5274</v>
      </c>
      <c r="L751" s="593"/>
      <c r="M751" s="606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1333</v>
      </c>
      <c r="E752" s="135" t="s">
        <v>476</v>
      </c>
      <c r="F752" s="138" t="s">
        <v>537</v>
      </c>
      <c r="G752" s="139" t="s">
        <v>472</v>
      </c>
      <c r="H752" s="140" t="s">
        <v>1269</v>
      </c>
      <c r="I752" s="141">
        <v>1</v>
      </c>
      <c r="J752" s="142">
        <v>30429</v>
      </c>
      <c r="K752" s="142">
        <v>30429</v>
      </c>
      <c r="L752" s="593"/>
      <c r="M752" s="606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1333</v>
      </c>
      <c r="E753" s="135" t="s">
        <v>476</v>
      </c>
      <c r="F753" s="138" t="s">
        <v>115</v>
      </c>
      <c r="G753" s="139" t="s">
        <v>442</v>
      </c>
      <c r="H753" s="140" t="s">
        <v>1269</v>
      </c>
      <c r="I753" s="141">
        <v>1</v>
      </c>
      <c r="J753" s="142">
        <v>33370</v>
      </c>
      <c r="K753" s="142">
        <v>33370</v>
      </c>
      <c r="L753" s="593"/>
      <c r="M753" s="606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1334</v>
      </c>
      <c r="E754" s="135" t="s">
        <v>484</v>
      </c>
      <c r="F754" s="138" t="s">
        <v>580</v>
      </c>
      <c r="G754" s="139" t="s">
        <v>371</v>
      </c>
      <c r="H754" s="140"/>
      <c r="I754" s="141">
        <v>1</v>
      </c>
      <c r="J754" s="142">
        <v>25800</v>
      </c>
      <c r="K754" s="142">
        <v>25800</v>
      </c>
      <c r="L754" s="593"/>
      <c r="M754" s="606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1335</v>
      </c>
      <c r="E755" s="135" t="s">
        <v>474</v>
      </c>
      <c r="F755" s="138" t="s">
        <v>217</v>
      </c>
      <c r="G755" s="139" t="s">
        <v>371</v>
      </c>
      <c r="H755" s="140" t="s">
        <v>489</v>
      </c>
      <c r="I755" s="141">
        <v>1</v>
      </c>
      <c r="J755" s="142">
        <v>44597</v>
      </c>
      <c r="K755" s="142">
        <v>44597</v>
      </c>
      <c r="L755" s="593"/>
      <c r="M755" s="606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1336</v>
      </c>
      <c r="E756" s="135" t="s">
        <v>484</v>
      </c>
      <c r="F756" s="138" t="s">
        <v>116</v>
      </c>
      <c r="G756" s="139" t="s">
        <v>417</v>
      </c>
      <c r="H756" s="140" t="s">
        <v>573</v>
      </c>
      <c r="I756" s="141">
        <v>1</v>
      </c>
      <c r="J756" s="142">
        <v>5274</v>
      </c>
      <c r="K756" s="142">
        <v>5274</v>
      </c>
      <c r="L756" s="593"/>
      <c r="M756" s="606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1337</v>
      </c>
      <c r="E757" s="135" t="s">
        <v>476</v>
      </c>
      <c r="F757" s="138" t="s">
        <v>537</v>
      </c>
      <c r="G757" s="139" t="s">
        <v>472</v>
      </c>
      <c r="H757" s="140" t="s">
        <v>1269</v>
      </c>
      <c r="I757" s="141">
        <v>1</v>
      </c>
      <c r="J757" s="142">
        <v>30429</v>
      </c>
      <c r="K757" s="142">
        <v>30429</v>
      </c>
      <c r="L757" s="593"/>
      <c r="M757" s="606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1338</v>
      </c>
      <c r="E758" s="135" t="s">
        <v>484</v>
      </c>
      <c r="F758" s="138" t="s">
        <v>217</v>
      </c>
      <c r="G758" s="139" t="s">
        <v>371</v>
      </c>
      <c r="H758" s="140" t="s">
        <v>489</v>
      </c>
      <c r="I758" s="141">
        <v>1</v>
      </c>
      <c r="J758" s="142">
        <v>44597</v>
      </c>
      <c r="K758" s="142">
        <v>44597</v>
      </c>
      <c r="L758" s="593"/>
      <c r="M758" s="606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1339</v>
      </c>
      <c r="E759" s="135" t="s">
        <v>484</v>
      </c>
      <c r="F759" s="138" t="s">
        <v>682</v>
      </c>
      <c r="G759" s="139" t="s">
        <v>371</v>
      </c>
      <c r="H759" s="140" t="s">
        <v>1340</v>
      </c>
      <c r="I759" s="141">
        <v>1</v>
      </c>
      <c r="J759" s="142">
        <v>55058</v>
      </c>
      <c r="K759" s="142">
        <v>55058</v>
      </c>
      <c r="L759" s="593"/>
      <c r="M759" s="606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1231</v>
      </c>
      <c r="E760" s="135" t="s">
        <v>476</v>
      </c>
      <c r="F760" s="138" t="s">
        <v>115</v>
      </c>
      <c r="G760" s="139" t="s">
        <v>1302</v>
      </c>
      <c r="H760" s="140" t="s">
        <v>1285</v>
      </c>
      <c r="I760" s="141">
        <v>3</v>
      </c>
      <c r="J760" s="142">
        <v>33370</v>
      </c>
      <c r="K760" s="142">
        <v>100110</v>
      </c>
      <c r="L760" s="593"/>
      <c r="M760" s="606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1341</v>
      </c>
      <c r="E761" s="135" t="s">
        <v>484</v>
      </c>
      <c r="F761" s="138" t="s">
        <v>217</v>
      </c>
      <c r="G761" s="139" t="s">
        <v>485</v>
      </c>
      <c r="H761" s="140"/>
      <c r="I761" s="141">
        <v>2</v>
      </c>
      <c r="J761" s="142">
        <v>44597</v>
      </c>
      <c r="K761" s="142">
        <v>89194</v>
      </c>
      <c r="L761" s="593"/>
      <c r="M761" s="606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1342</v>
      </c>
      <c r="E762" s="135" t="s">
        <v>481</v>
      </c>
      <c r="F762" s="138" t="s">
        <v>219</v>
      </c>
      <c r="G762" s="139" t="s">
        <v>371</v>
      </c>
      <c r="H762" s="140" t="s">
        <v>489</v>
      </c>
      <c r="I762" s="141">
        <v>1</v>
      </c>
      <c r="J762" s="142">
        <v>22299</v>
      </c>
      <c r="K762" s="142">
        <v>22299</v>
      </c>
      <c r="L762" s="593"/>
      <c r="M762" s="606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488</v>
      </c>
      <c r="E763" s="135" t="s">
        <v>476</v>
      </c>
      <c r="F763" s="138" t="s">
        <v>217</v>
      </c>
      <c r="G763" s="139" t="s">
        <v>371</v>
      </c>
      <c r="H763" s="140" t="s">
        <v>489</v>
      </c>
      <c r="I763" s="141">
        <v>1</v>
      </c>
      <c r="J763" s="142">
        <v>44597</v>
      </c>
      <c r="K763" s="142">
        <v>44597</v>
      </c>
      <c r="L763" s="593"/>
      <c r="M763" s="606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1343</v>
      </c>
      <c r="E764" s="135" t="s">
        <v>476</v>
      </c>
      <c r="F764" s="138" t="s">
        <v>217</v>
      </c>
      <c r="G764" s="139" t="s">
        <v>371</v>
      </c>
      <c r="H764" s="140"/>
      <c r="I764" s="141">
        <v>1</v>
      </c>
      <c r="J764" s="142">
        <v>44597</v>
      </c>
      <c r="K764" s="142">
        <v>44597</v>
      </c>
      <c r="L764" s="593"/>
      <c r="M764" s="606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1344</v>
      </c>
      <c r="E765" s="135" t="s">
        <v>476</v>
      </c>
      <c r="F765" s="138" t="s">
        <v>217</v>
      </c>
      <c r="G765" s="139" t="s">
        <v>485</v>
      </c>
      <c r="H765" s="140" t="s">
        <v>489</v>
      </c>
      <c r="I765" s="141">
        <v>2</v>
      </c>
      <c r="J765" s="142">
        <v>44597</v>
      </c>
      <c r="K765" s="142">
        <v>89194</v>
      </c>
      <c r="L765" s="593"/>
      <c r="M765" s="606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1277</v>
      </c>
      <c r="E766" s="135" t="s">
        <v>478</v>
      </c>
      <c r="F766" s="138" t="s">
        <v>217</v>
      </c>
      <c r="G766" s="139" t="s">
        <v>369</v>
      </c>
      <c r="H766" s="140" t="s">
        <v>489</v>
      </c>
      <c r="I766" s="141">
        <v>1</v>
      </c>
      <c r="J766" s="142">
        <v>44597</v>
      </c>
      <c r="K766" s="142">
        <v>44597</v>
      </c>
      <c r="L766" s="593"/>
      <c r="M766" s="606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1277</v>
      </c>
      <c r="E767" s="135" t="s">
        <v>478</v>
      </c>
      <c r="F767" s="138" t="s">
        <v>622</v>
      </c>
      <c r="G767" s="139" t="s">
        <v>371</v>
      </c>
      <c r="H767" s="140" t="s">
        <v>489</v>
      </c>
      <c r="I767" s="141">
        <v>1</v>
      </c>
      <c r="J767" s="142">
        <v>15722</v>
      </c>
      <c r="K767" s="142">
        <v>15722</v>
      </c>
      <c r="L767" s="593"/>
      <c r="M767" s="606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1345</v>
      </c>
      <c r="E768" s="135" t="s">
        <v>484</v>
      </c>
      <c r="F768" s="138" t="s">
        <v>116</v>
      </c>
      <c r="G768" s="139" t="s">
        <v>417</v>
      </c>
      <c r="H768" s="140" t="s">
        <v>486</v>
      </c>
      <c r="I768" s="141">
        <v>1</v>
      </c>
      <c r="J768" s="142">
        <v>5274</v>
      </c>
      <c r="K768" s="142">
        <v>5274</v>
      </c>
      <c r="L768" s="593"/>
      <c r="M768" s="606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1346</v>
      </c>
      <c r="E769" s="135" t="s">
        <v>481</v>
      </c>
      <c r="F769" s="138" t="s">
        <v>622</v>
      </c>
      <c r="G769" s="139" t="s">
        <v>371</v>
      </c>
      <c r="H769" s="140"/>
      <c r="I769" s="141">
        <v>1</v>
      </c>
      <c r="J769" s="142">
        <v>15722</v>
      </c>
      <c r="K769" s="142">
        <v>15722</v>
      </c>
      <c r="L769" s="593"/>
      <c r="M769" s="606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1347</v>
      </c>
      <c r="E770" s="135" t="s">
        <v>481</v>
      </c>
      <c r="F770" s="138" t="s">
        <v>219</v>
      </c>
      <c r="G770" s="139" t="s">
        <v>371</v>
      </c>
      <c r="H770" s="140"/>
      <c r="I770" s="141">
        <v>1</v>
      </c>
      <c r="J770" s="142">
        <v>22299</v>
      </c>
      <c r="K770" s="142">
        <v>22299</v>
      </c>
      <c r="L770" s="593"/>
      <c r="M770" s="606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1348</v>
      </c>
      <c r="E771" s="135" t="s">
        <v>476</v>
      </c>
      <c r="F771" s="138" t="s">
        <v>115</v>
      </c>
      <c r="G771" s="139" t="s">
        <v>1066</v>
      </c>
      <c r="H771" s="140"/>
      <c r="I771" s="141">
        <v>3</v>
      </c>
      <c r="J771" s="142">
        <v>33370</v>
      </c>
      <c r="K771" s="142">
        <v>100110</v>
      </c>
      <c r="L771" s="593"/>
      <c r="M771" s="606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1349</v>
      </c>
      <c r="E772" s="135" t="s">
        <v>481</v>
      </c>
      <c r="F772" s="138" t="s">
        <v>217</v>
      </c>
      <c r="G772" s="139" t="s">
        <v>371</v>
      </c>
      <c r="H772" s="140" t="s">
        <v>489</v>
      </c>
      <c r="I772" s="141">
        <v>1</v>
      </c>
      <c r="J772" s="142">
        <v>44597</v>
      </c>
      <c r="K772" s="142">
        <v>44597</v>
      </c>
      <c r="L772" s="593"/>
      <c r="M772" s="606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1350</v>
      </c>
      <c r="E773" s="135" t="s">
        <v>484</v>
      </c>
      <c r="F773" s="138" t="s">
        <v>116</v>
      </c>
      <c r="G773" s="139" t="s">
        <v>431</v>
      </c>
      <c r="H773" s="140" t="s">
        <v>573</v>
      </c>
      <c r="I773" s="141">
        <v>1</v>
      </c>
      <c r="J773" s="142">
        <v>5274</v>
      </c>
      <c r="K773" s="142">
        <v>5274</v>
      </c>
      <c r="L773" s="593"/>
      <c r="M773" s="606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1351</v>
      </c>
      <c r="E774" s="135" t="s">
        <v>476</v>
      </c>
      <c r="F774" s="138" t="s">
        <v>192</v>
      </c>
      <c r="G774" s="139" t="s">
        <v>383</v>
      </c>
      <c r="H774" s="140" t="s">
        <v>583</v>
      </c>
      <c r="I774" s="141">
        <v>1</v>
      </c>
      <c r="J774" s="142">
        <v>57960</v>
      </c>
      <c r="K774" s="142">
        <v>57960</v>
      </c>
      <c r="L774" s="593"/>
      <c r="M774" s="606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1352</v>
      </c>
      <c r="E775" s="135" t="s">
        <v>484</v>
      </c>
      <c r="F775" s="138" t="s">
        <v>217</v>
      </c>
      <c r="G775" s="139" t="s">
        <v>371</v>
      </c>
      <c r="H775" s="140" t="s">
        <v>1340</v>
      </c>
      <c r="I775" s="141">
        <v>1</v>
      </c>
      <c r="J775" s="142">
        <v>44597</v>
      </c>
      <c r="K775" s="142">
        <v>44597</v>
      </c>
      <c r="L775" s="593"/>
      <c r="M775" s="606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1353</v>
      </c>
      <c r="E776" s="135" t="s">
        <v>476</v>
      </c>
      <c r="F776" s="138" t="s">
        <v>217</v>
      </c>
      <c r="G776" s="139" t="s">
        <v>371</v>
      </c>
      <c r="H776" s="140" t="s">
        <v>489</v>
      </c>
      <c r="I776" s="141">
        <v>1</v>
      </c>
      <c r="J776" s="142">
        <v>44597</v>
      </c>
      <c r="K776" s="142">
        <v>44597</v>
      </c>
      <c r="L776" s="593"/>
      <c r="M776" s="606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1354</v>
      </c>
      <c r="E777" s="135" t="s">
        <v>476</v>
      </c>
      <c r="F777" s="138" t="s">
        <v>115</v>
      </c>
      <c r="G777" s="139" t="s">
        <v>472</v>
      </c>
      <c r="H777" s="140"/>
      <c r="I777" s="141">
        <v>1</v>
      </c>
      <c r="J777" s="142">
        <v>33370</v>
      </c>
      <c r="K777" s="142">
        <v>33370</v>
      </c>
      <c r="L777" s="593"/>
      <c r="M777" s="606"/>
      <c r="N777" s="208" t="s">
        <v>1355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1354</v>
      </c>
      <c r="E778" s="135" t="s">
        <v>476</v>
      </c>
      <c r="F778" s="138" t="s">
        <v>188</v>
      </c>
      <c r="G778" s="139" t="s">
        <v>1356</v>
      </c>
      <c r="H778" s="140"/>
      <c r="I778" s="141">
        <v>2</v>
      </c>
      <c r="J778" s="142">
        <v>42601</v>
      </c>
      <c r="K778" s="142">
        <v>85202</v>
      </c>
      <c r="L778" s="593"/>
      <c r="M778" s="606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1357</v>
      </c>
      <c r="E779" s="135" t="s">
        <v>481</v>
      </c>
      <c r="F779" s="138" t="s">
        <v>217</v>
      </c>
      <c r="G779" s="139" t="s">
        <v>485</v>
      </c>
      <c r="H779" s="140" t="s">
        <v>489</v>
      </c>
      <c r="I779" s="141">
        <v>2</v>
      </c>
      <c r="J779" s="142">
        <v>44597</v>
      </c>
      <c r="K779" s="142">
        <v>89194</v>
      </c>
      <c r="L779" s="593"/>
      <c r="M779" s="606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1358</v>
      </c>
      <c r="E780" s="135" t="s">
        <v>484</v>
      </c>
      <c r="F780" s="138" t="s">
        <v>116</v>
      </c>
      <c r="G780" s="139" t="s">
        <v>511</v>
      </c>
      <c r="H780" s="140" t="s">
        <v>489</v>
      </c>
      <c r="I780" s="141">
        <v>1</v>
      </c>
      <c r="J780" s="142">
        <v>5274</v>
      </c>
      <c r="K780" s="142">
        <v>5274</v>
      </c>
      <c r="L780" s="593"/>
      <c r="M780" s="606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1359</v>
      </c>
      <c r="E781" s="135" t="s">
        <v>505</v>
      </c>
      <c r="F781" s="138" t="s">
        <v>580</v>
      </c>
      <c r="G781" s="139" t="s">
        <v>371</v>
      </c>
      <c r="H781" s="140"/>
      <c r="I781" s="141">
        <v>1</v>
      </c>
      <c r="J781" s="142">
        <v>25800</v>
      </c>
      <c r="K781" s="142">
        <v>25800</v>
      </c>
      <c r="L781" s="593"/>
      <c r="M781" s="606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1254</v>
      </c>
      <c r="E782" s="135" t="s">
        <v>476</v>
      </c>
      <c r="F782" s="138" t="s">
        <v>116</v>
      </c>
      <c r="G782" s="139" t="s">
        <v>407</v>
      </c>
      <c r="H782" s="140"/>
      <c r="I782" s="141">
        <v>1</v>
      </c>
      <c r="J782" s="142">
        <v>5274</v>
      </c>
      <c r="K782" s="142">
        <v>5274</v>
      </c>
      <c r="L782" s="593"/>
      <c r="M782" s="606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1254</v>
      </c>
      <c r="E783" s="135" t="s">
        <v>476</v>
      </c>
      <c r="F783" s="138" t="s">
        <v>210</v>
      </c>
      <c r="G783" s="139" t="s">
        <v>407</v>
      </c>
      <c r="H783" s="140"/>
      <c r="I783" s="141">
        <v>1</v>
      </c>
      <c r="J783" s="142">
        <v>14099</v>
      </c>
      <c r="K783" s="142">
        <v>14099</v>
      </c>
      <c r="L783" s="594"/>
      <c r="M783" s="607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1360</v>
      </c>
      <c r="E784" s="122" t="s">
        <v>484</v>
      </c>
      <c r="F784" s="125" t="s">
        <v>116</v>
      </c>
      <c r="G784" s="126" t="s">
        <v>1361</v>
      </c>
      <c r="H784" s="127" t="s">
        <v>489</v>
      </c>
      <c r="I784" s="128">
        <v>1</v>
      </c>
      <c r="J784" s="129">
        <v>5274</v>
      </c>
      <c r="K784" s="129">
        <v>5274</v>
      </c>
      <c r="L784" s="598" t="s">
        <v>606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1362</v>
      </c>
      <c r="E785" s="122" t="s">
        <v>484</v>
      </c>
      <c r="F785" s="125" t="s">
        <v>580</v>
      </c>
      <c r="G785" s="126" t="s">
        <v>371</v>
      </c>
      <c r="H785" s="127"/>
      <c r="I785" s="128">
        <v>1</v>
      </c>
      <c r="J785" s="129">
        <v>25800</v>
      </c>
      <c r="K785" s="129">
        <v>25800</v>
      </c>
      <c r="L785" s="593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1363</v>
      </c>
      <c r="E786" s="122" t="s">
        <v>474</v>
      </c>
      <c r="F786" s="125" t="s">
        <v>580</v>
      </c>
      <c r="G786" s="126" t="s">
        <v>371</v>
      </c>
      <c r="H786" s="127"/>
      <c r="I786" s="128">
        <v>1</v>
      </c>
      <c r="J786" s="129">
        <v>25800</v>
      </c>
      <c r="K786" s="129">
        <v>25800</v>
      </c>
      <c r="L786" s="593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1364</v>
      </c>
      <c r="E787" s="122" t="s">
        <v>474</v>
      </c>
      <c r="F787" s="125" t="s">
        <v>682</v>
      </c>
      <c r="G787" s="126" t="s">
        <v>369</v>
      </c>
      <c r="H787" s="127" t="s">
        <v>703</v>
      </c>
      <c r="I787" s="128">
        <v>1</v>
      </c>
      <c r="J787" s="129">
        <v>55058</v>
      </c>
      <c r="K787" s="129">
        <v>55058</v>
      </c>
      <c r="L787" s="593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1365</v>
      </c>
      <c r="E788" s="148" t="s">
        <v>474</v>
      </c>
      <c r="F788" s="151" t="s">
        <v>580</v>
      </c>
      <c r="G788" s="152" t="s">
        <v>371</v>
      </c>
      <c r="H788" s="153"/>
      <c r="I788" s="154">
        <v>1</v>
      </c>
      <c r="J788" s="129">
        <v>25800</v>
      </c>
      <c r="K788" s="129">
        <v>25800</v>
      </c>
      <c r="L788" s="593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1366</v>
      </c>
      <c r="E789" s="122" t="s">
        <v>484</v>
      </c>
      <c r="F789" s="125" t="s">
        <v>116</v>
      </c>
      <c r="G789" s="126" t="s">
        <v>511</v>
      </c>
      <c r="H789" s="127" t="s">
        <v>573</v>
      </c>
      <c r="I789" s="128">
        <v>1</v>
      </c>
      <c r="J789" s="129">
        <v>5274</v>
      </c>
      <c r="K789" s="129">
        <v>5274</v>
      </c>
      <c r="L789" s="593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1233</v>
      </c>
      <c r="E790" s="148" t="s">
        <v>481</v>
      </c>
      <c r="F790" s="151" t="s">
        <v>846</v>
      </c>
      <c r="G790" s="152" t="s">
        <v>371</v>
      </c>
      <c r="H790" s="153"/>
      <c r="I790" s="154">
        <v>1</v>
      </c>
      <c r="J790" s="129">
        <v>334719</v>
      </c>
      <c r="K790" s="129">
        <v>334719</v>
      </c>
      <c r="L790" s="593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1367</v>
      </c>
      <c r="E791" s="122" t="s">
        <v>484</v>
      </c>
      <c r="F791" s="125" t="s">
        <v>116</v>
      </c>
      <c r="G791" s="126" t="s">
        <v>392</v>
      </c>
      <c r="H791" s="127" t="s">
        <v>1236</v>
      </c>
      <c r="I791" s="128">
        <v>1</v>
      </c>
      <c r="J791" s="129">
        <v>5274</v>
      </c>
      <c r="K791" s="129">
        <v>5274</v>
      </c>
      <c r="L791" s="593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1368</v>
      </c>
      <c r="E792" s="122" t="s">
        <v>476</v>
      </c>
      <c r="F792" s="125" t="s">
        <v>537</v>
      </c>
      <c r="G792" s="126" t="s">
        <v>511</v>
      </c>
      <c r="H792" s="127" t="s">
        <v>583</v>
      </c>
      <c r="I792" s="128">
        <v>1</v>
      </c>
      <c r="J792" s="129">
        <v>30429</v>
      </c>
      <c r="K792" s="129">
        <v>30429</v>
      </c>
      <c r="L792" s="593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1369</v>
      </c>
      <c r="E793" s="122" t="s">
        <v>476</v>
      </c>
      <c r="F793" s="125" t="s">
        <v>217</v>
      </c>
      <c r="G793" s="126" t="s">
        <v>369</v>
      </c>
      <c r="H793" s="127" t="s">
        <v>486</v>
      </c>
      <c r="I793" s="128">
        <v>1</v>
      </c>
      <c r="J793" s="129">
        <v>44597</v>
      </c>
      <c r="K793" s="129">
        <v>44597</v>
      </c>
      <c r="L793" s="593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1370</v>
      </c>
      <c r="E794" s="122" t="s">
        <v>474</v>
      </c>
      <c r="F794" s="125" t="s">
        <v>235</v>
      </c>
      <c r="G794" s="126" t="s">
        <v>369</v>
      </c>
      <c r="H794" s="127"/>
      <c r="I794" s="128">
        <v>1</v>
      </c>
      <c r="J794" s="129">
        <v>12499</v>
      </c>
      <c r="K794" s="129">
        <v>12499</v>
      </c>
      <c r="L794" s="593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1371</v>
      </c>
      <c r="E795" s="122" t="s">
        <v>474</v>
      </c>
      <c r="F795" s="125" t="s">
        <v>580</v>
      </c>
      <c r="G795" s="126" t="s">
        <v>371</v>
      </c>
      <c r="H795" s="127"/>
      <c r="I795" s="128">
        <v>1</v>
      </c>
      <c r="J795" s="129">
        <v>25800</v>
      </c>
      <c r="K795" s="129">
        <v>25800</v>
      </c>
      <c r="L795" s="593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1372</v>
      </c>
      <c r="E796" s="122" t="s">
        <v>476</v>
      </c>
      <c r="F796" s="125" t="s">
        <v>580</v>
      </c>
      <c r="G796" s="126" t="s">
        <v>371</v>
      </c>
      <c r="H796" s="127"/>
      <c r="I796" s="128">
        <v>1</v>
      </c>
      <c r="J796" s="129">
        <v>25800</v>
      </c>
      <c r="K796" s="129">
        <v>25800</v>
      </c>
      <c r="L796" s="593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1373</v>
      </c>
      <c r="E797" s="122" t="s">
        <v>697</v>
      </c>
      <c r="F797" s="125" t="s">
        <v>197</v>
      </c>
      <c r="G797" s="126" t="s">
        <v>400</v>
      </c>
      <c r="H797" s="127"/>
      <c r="I797" s="128">
        <v>2</v>
      </c>
      <c r="J797" s="129">
        <v>2739</v>
      </c>
      <c r="K797" s="129">
        <v>5478</v>
      </c>
      <c r="L797" s="593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1374</v>
      </c>
      <c r="E798" s="122" t="s">
        <v>505</v>
      </c>
      <c r="F798" s="125" t="s">
        <v>580</v>
      </c>
      <c r="G798" s="126" t="s">
        <v>371</v>
      </c>
      <c r="H798" s="127"/>
      <c r="I798" s="128">
        <v>1</v>
      </c>
      <c r="J798" s="129">
        <v>25800</v>
      </c>
      <c r="K798" s="129">
        <v>25800</v>
      </c>
      <c r="L798" s="593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1375</v>
      </c>
      <c r="E799" s="122" t="s">
        <v>474</v>
      </c>
      <c r="F799" s="125" t="s">
        <v>580</v>
      </c>
      <c r="G799" s="126" t="s">
        <v>371</v>
      </c>
      <c r="H799" s="127"/>
      <c r="I799" s="128">
        <v>1</v>
      </c>
      <c r="J799" s="129">
        <v>25800</v>
      </c>
      <c r="K799" s="129">
        <v>25800</v>
      </c>
      <c r="L799" s="593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1376</v>
      </c>
      <c r="E800" s="122" t="s">
        <v>484</v>
      </c>
      <c r="F800" s="125" t="s">
        <v>116</v>
      </c>
      <c r="G800" s="126" t="s">
        <v>417</v>
      </c>
      <c r="H800" s="127" t="s">
        <v>486</v>
      </c>
      <c r="I800" s="128">
        <v>1</v>
      </c>
      <c r="J800" s="129">
        <v>5274</v>
      </c>
      <c r="K800" s="129">
        <v>5274</v>
      </c>
      <c r="L800" s="593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1377</v>
      </c>
      <c r="E801" s="148" t="s">
        <v>476</v>
      </c>
      <c r="F801" s="151" t="s">
        <v>115</v>
      </c>
      <c r="G801" s="152" t="s">
        <v>1378</v>
      </c>
      <c r="H801" s="153" t="s">
        <v>563</v>
      </c>
      <c r="I801" s="154">
        <v>2</v>
      </c>
      <c r="J801" s="129">
        <v>33370</v>
      </c>
      <c r="K801" s="129">
        <v>66740</v>
      </c>
      <c r="L801" s="593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1379</v>
      </c>
      <c r="E802" s="122" t="s">
        <v>484</v>
      </c>
      <c r="F802" s="125" t="s">
        <v>116</v>
      </c>
      <c r="G802" s="126" t="s">
        <v>1380</v>
      </c>
      <c r="H802" s="127" t="s">
        <v>489</v>
      </c>
      <c r="I802" s="128">
        <v>2</v>
      </c>
      <c r="J802" s="129">
        <v>5274</v>
      </c>
      <c r="K802" s="129">
        <v>10548</v>
      </c>
      <c r="L802" s="593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1381</v>
      </c>
      <c r="E803" s="122" t="s">
        <v>474</v>
      </c>
      <c r="F803" s="125" t="s">
        <v>580</v>
      </c>
      <c r="G803" s="126" t="s">
        <v>371</v>
      </c>
      <c r="H803" s="127"/>
      <c r="I803" s="128">
        <v>1</v>
      </c>
      <c r="J803" s="129">
        <v>25800</v>
      </c>
      <c r="K803" s="129">
        <v>25800</v>
      </c>
      <c r="L803" s="593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1382</v>
      </c>
      <c r="E804" s="122" t="s">
        <v>481</v>
      </c>
      <c r="F804" s="125" t="s">
        <v>219</v>
      </c>
      <c r="G804" s="126" t="s">
        <v>371</v>
      </c>
      <c r="H804" s="127"/>
      <c r="I804" s="128">
        <v>1</v>
      </c>
      <c r="J804" s="129">
        <v>22299</v>
      </c>
      <c r="K804" s="129">
        <v>22299</v>
      </c>
      <c r="L804" s="593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1383</v>
      </c>
      <c r="E805" s="122" t="s">
        <v>481</v>
      </c>
      <c r="F805" s="125" t="s">
        <v>219</v>
      </c>
      <c r="G805" s="126" t="s">
        <v>371</v>
      </c>
      <c r="H805" s="127"/>
      <c r="I805" s="128">
        <v>1</v>
      </c>
      <c r="J805" s="129">
        <v>22299</v>
      </c>
      <c r="K805" s="129">
        <v>22299</v>
      </c>
      <c r="L805" s="593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1384</v>
      </c>
      <c r="E806" s="122" t="s">
        <v>481</v>
      </c>
      <c r="F806" s="125" t="s">
        <v>237</v>
      </c>
      <c r="G806" s="126" t="s">
        <v>369</v>
      </c>
      <c r="H806" s="127"/>
      <c r="I806" s="128">
        <v>1</v>
      </c>
      <c r="J806" s="129">
        <v>10401</v>
      </c>
      <c r="K806" s="129">
        <v>10401</v>
      </c>
      <c r="L806" s="593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1385</v>
      </c>
      <c r="E807" s="122" t="s">
        <v>476</v>
      </c>
      <c r="F807" s="125" t="s">
        <v>116</v>
      </c>
      <c r="G807" s="126" t="s">
        <v>442</v>
      </c>
      <c r="H807" s="127" t="s">
        <v>573</v>
      </c>
      <c r="I807" s="128">
        <v>1</v>
      </c>
      <c r="J807" s="129">
        <v>5274</v>
      </c>
      <c r="K807" s="129">
        <v>5274</v>
      </c>
      <c r="L807" s="593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1385</v>
      </c>
      <c r="E808" s="122" t="s">
        <v>476</v>
      </c>
      <c r="F808" s="125" t="s">
        <v>210</v>
      </c>
      <c r="G808" s="126" t="s">
        <v>442</v>
      </c>
      <c r="H808" s="127"/>
      <c r="I808" s="128">
        <v>1</v>
      </c>
      <c r="J808" s="129">
        <v>14099</v>
      </c>
      <c r="K808" s="129">
        <v>14099</v>
      </c>
      <c r="L808" s="593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1386</v>
      </c>
      <c r="E809" s="122" t="s">
        <v>484</v>
      </c>
      <c r="F809" s="125" t="s">
        <v>1301</v>
      </c>
      <c r="G809" s="126" t="s">
        <v>371</v>
      </c>
      <c r="H809" s="127"/>
      <c r="I809" s="128">
        <v>1</v>
      </c>
      <c r="J809" s="129">
        <v>35501</v>
      </c>
      <c r="K809" s="129">
        <v>35501</v>
      </c>
      <c r="L809" s="593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1387</v>
      </c>
      <c r="E810" s="122" t="s">
        <v>484</v>
      </c>
      <c r="F810" s="125" t="s">
        <v>235</v>
      </c>
      <c r="G810" s="126" t="s">
        <v>371</v>
      </c>
      <c r="H810" s="127"/>
      <c r="I810" s="128">
        <v>1</v>
      </c>
      <c r="J810" s="129">
        <v>12499</v>
      </c>
      <c r="K810" s="129">
        <v>12499</v>
      </c>
      <c r="L810" s="594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1388</v>
      </c>
      <c r="E811" s="148" t="s">
        <v>474</v>
      </c>
      <c r="F811" s="151" t="s">
        <v>580</v>
      </c>
      <c r="G811" s="152" t="s">
        <v>371</v>
      </c>
      <c r="H811" s="153"/>
      <c r="I811" s="154">
        <v>1</v>
      </c>
      <c r="J811" s="129">
        <v>25800</v>
      </c>
      <c r="K811" s="129">
        <v>25800</v>
      </c>
      <c r="L811" s="599" t="s">
        <v>608</v>
      </c>
      <c r="M811" s="602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1389</v>
      </c>
      <c r="E812" s="148" t="s">
        <v>484</v>
      </c>
      <c r="F812" s="151" t="s">
        <v>580</v>
      </c>
      <c r="G812" s="152" t="s">
        <v>371</v>
      </c>
      <c r="H812" s="153"/>
      <c r="I812" s="154">
        <v>1</v>
      </c>
      <c r="J812" s="129">
        <v>25800</v>
      </c>
      <c r="K812" s="129">
        <v>25800</v>
      </c>
      <c r="L812" s="600"/>
      <c r="M812" s="603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1390</v>
      </c>
      <c r="E813" s="148" t="s">
        <v>476</v>
      </c>
      <c r="F813" s="151" t="s">
        <v>580</v>
      </c>
      <c r="G813" s="152" t="s">
        <v>371</v>
      </c>
      <c r="H813" s="153"/>
      <c r="I813" s="154">
        <v>1</v>
      </c>
      <c r="J813" s="129">
        <v>25800</v>
      </c>
      <c r="K813" s="129">
        <v>25800</v>
      </c>
      <c r="L813" s="600"/>
      <c r="M813" s="603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1391</v>
      </c>
      <c r="E814" s="148" t="s">
        <v>476</v>
      </c>
      <c r="F814" s="151" t="s">
        <v>580</v>
      </c>
      <c r="G814" s="152" t="s">
        <v>371</v>
      </c>
      <c r="H814" s="153"/>
      <c r="I814" s="154">
        <v>1</v>
      </c>
      <c r="J814" s="129">
        <v>25800</v>
      </c>
      <c r="K814" s="129">
        <v>25800</v>
      </c>
      <c r="L814" s="600"/>
      <c r="M814" s="603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1392</v>
      </c>
      <c r="E815" s="122" t="s">
        <v>474</v>
      </c>
      <c r="F815" s="125" t="s">
        <v>237</v>
      </c>
      <c r="G815" s="126" t="s">
        <v>371</v>
      </c>
      <c r="H815" s="127"/>
      <c r="I815" s="128">
        <v>1</v>
      </c>
      <c r="J815" s="129">
        <v>10401</v>
      </c>
      <c r="K815" s="129">
        <v>10401</v>
      </c>
      <c r="L815" s="600"/>
      <c r="M815" s="603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1393</v>
      </c>
      <c r="E816" s="122" t="s">
        <v>476</v>
      </c>
      <c r="F816" s="125" t="s">
        <v>115</v>
      </c>
      <c r="G816" s="126" t="s">
        <v>1394</v>
      </c>
      <c r="H816" s="127"/>
      <c r="I816" s="128">
        <v>2</v>
      </c>
      <c r="J816" s="129">
        <v>33370</v>
      </c>
      <c r="K816" s="129">
        <v>66740</v>
      </c>
      <c r="L816" s="600"/>
      <c r="M816" s="603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1395</v>
      </c>
      <c r="E817" s="122" t="s">
        <v>476</v>
      </c>
      <c r="F817" s="125" t="s">
        <v>682</v>
      </c>
      <c r="G817" s="126" t="s">
        <v>371</v>
      </c>
      <c r="H817" s="127"/>
      <c r="I817" s="128">
        <v>1</v>
      </c>
      <c r="J817" s="129">
        <v>55058</v>
      </c>
      <c r="K817" s="129">
        <v>55058</v>
      </c>
      <c r="L817" s="600"/>
      <c r="M817" s="603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1396</v>
      </c>
      <c r="E818" s="122" t="s">
        <v>484</v>
      </c>
      <c r="F818" s="125" t="s">
        <v>188</v>
      </c>
      <c r="G818" s="126" t="s">
        <v>442</v>
      </c>
      <c r="H818" s="127"/>
      <c r="I818" s="128">
        <v>1</v>
      </c>
      <c r="J818" s="129">
        <v>42601</v>
      </c>
      <c r="K818" s="129">
        <v>42601</v>
      </c>
      <c r="L818" s="600"/>
      <c r="M818" s="603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1396</v>
      </c>
      <c r="E819" s="122" t="s">
        <v>484</v>
      </c>
      <c r="F819" s="125" t="s">
        <v>184</v>
      </c>
      <c r="G819" s="126" t="s">
        <v>392</v>
      </c>
      <c r="H819" s="127"/>
      <c r="I819" s="128">
        <v>1</v>
      </c>
      <c r="J819" s="129">
        <v>45644</v>
      </c>
      <c r="K819" s="129">
        <v>45644</v>
      </c>
      <c r="L819" s="600"/>
      <c r="M819" s="603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1379</v>
      </c>
      <c r="E820" s="122" t="s">
        <v>484</v>
      </c>
      <c r="F820" s="125" t="s">
        <v>115</v>
      </c>
      <c r="G820" s="126" t="s">
        <v>1397</v>
      </c>
      <c r="H820" s="127"/>
      <c r="I820" s="128">
        <v>2</v>
      </c>
      <c r="J820" s="129">
        <v>33370</v>
      </c>
      <c r="K820" s="129">
        <v>66740</v>
      </c>
      <c r="L820" s="600"/>
      <c r="M820" s="603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1398</v>
      </c>
      <c r="E821" s="122" t="s">
        <v>484</v>
      </c>
      <c r="F821" s="125" t="s">
        <v>217</v>
      </c>
      <c r="G821" s="126" t="s">
        <v>371</v>
      </c>
      <c r="H821" s="127"/>
      <c r="I821" s="128">
        <v>1</v>
      </c>
      <c r="J821" s="129">
        <v>44597</v>
      </c>
      <c r="K821" s="129">
        <v>44597</v>
      </c>
      <c r="L821" s="600"/>
      <c r="M821" s="603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1399</v>
      </c>
      <c r="E822" s="122" t="s">
        <v>484</v>
      </c>
      <c r="F822" s="125" t="s">
        <v>217</v>
      </c>
      <c r="G822" s="126" t="s">
        <v>369</v>
      </c>
      <c r="H822" s="127"/>
      <c r="I822" s="128">
        <v>1</v>
      </c>
      <c r="J822" s="129">
        <v>44597</v>
      </c>
      <c r="K822" s="129">
        <v>44597</v>
      </c>
      <c r="L822" s="600"/>
      <c r="M822" s="603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1400</v>
      </c>
      <c r="E823" s="122" t="s">
        <v>484</v>
      </c>
      <c r="F823" s="125" t="s">
        <v>116</v>
      </c>
      <c r="G823" s="126" t="s">
        <v>431</v>
      </c>
      <c r="H823" s="127"/>
      <c r="I823" s="128">
        <v>1</v>
      </c>
      <c r="J823" s="129">
        <v>5274</v>
      </c>
      <c r="K823" s="129">
        <v>5274</v>
      </c>
      <c r="L823" s="600"/>
      <c r="M823" s="603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1401</v>
      </c>
      <c r="E824" s="122" t="s">
        <v>476</v>
      </c>
      <c r="F824" s="125" t="s">
        <v>204</v>
      </c>
      <c r="G824" s="126" t="s">
        <v>415</v>
      </c>
      <c r="H824" s="127"/>
      <c r="I824" s="128">
        <v>1</v>
      </c>
      <c r="J824" s="129">
        <v>17244</v>
      </c>
      <c r="K824" s="129">
        <v>17244</v>
      </c>
      <c r="L824" s="600"/>
      <c r="M824" s="603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1402</v>
      </c>
      <c r="E825" s="122" t="s">
        <v>484</v>
      </c>
      <c r="F825" s="125" t="s">
        <v>682</v>
      </c>
      <c r="G825" s="126" t="s">
        <v>369</v>
      </c>
      <c r="H825" s="127"/>
      <c r="I825" s="128">
        <v>1</v>
      </c>
      <c r="J825" s="129">
        <v>55058</v>
      </c>
      <c r="K825" s="129">
        <v>55058</v>
      </c>
      <c r="L825" s="600"/>
      <c r="M825" s="603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1403</v>
      </c>
      <c r="E826" s="122" t="s">
        <v>484</v>
      </c>
      <c r="F826" s="125" t="s">
        <v>682</v>
      </c>
      <c r="G826" s="126" t="s">
        <v>369</v>
      </c>
      <c r="H826" s="127"/>
      <c r="I826" s="128">
        <v>1</v>
      </c>
      <c r="J826" s="129">
        <v>55058</v>
      </c>
      <c r="K826" s="129">
        <v>55058</v>
      </c>
      <c r="L826" s="600"/>
      <c r="M826" s="603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1404</v>
      </c>
      <c r="E827" s="122" t="s">
        <v>505</v>
      </c>
      <c r="F827" s="125" t="s">
        <v>580</v>
      </c>
      <c r="G827" s="126" t="s">
        <v>371</v>
      </c>
      <c r="H827" s="127"/>
      <c r="I827" s="128">
        <v>1</v>
      </c>
      <c r="J827" s="129">
        <v>25800</v>
      </c>
      <c r="K827" s="129">
        <v>25800</v>
      </c>
      <c r="L827" s="600"/>
      <c r="M827" s="603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1405</v>
      </c>
      <c r="E828" s="122" t="s">
        <v>474</v>
      </c>
      <c r="F828" s="125" t="s">
        <v>682</v>
      </c>
      <c r="G828" s="126" t="s">
        <v>371</v>
      </c>
      <c r="H828" s="127"/>
      <c r="I828" s="128">
        <v>1</v>
      </c>
      <c r="J828" s="129">
        <v>55058</v>
      </c>
      <c r="K828" s="129">
        <v>55058</v>
      </c>
      <c r="L828" s="600"/>
      <c r="M828" s="603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1406</v>
      </c>
      <c r="E829" s="122" t="s">
        <v>476</v>
      </c>
      <c r="F829" s="125" t="s">
        <v>217</v>
      </c>
      <c r="G829" s="126" t="s">
        <v>387</v>
      </c>
      <c r="H829" s="127"/>
      <c r="I829" s="128">
        <v>2</v>
      </c>
      <c r="J829" s="129">
        <v>44597</v>
      </c>
      <c r="K829" s="129">
        <v>89194</v>
      </c>
      <c r="L829" s="600"/>
      <c r="M829" s="603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1407</v>
      </c>
      <c r="E830" s="122" t="s">
        <v>476</v>
      </c>
      <c r="F830" s="125" t="s">
        <v>537</v>
      </c>
      <c r="G830" s="126" t="s">
        <v>527</v>
      </c>
      <c r="H830" s="127"/>
      <c r="I830" s="128">
        <v>1</v>
      </c>
      <c r="J830" s="129">
        <v>30429</v>
      </c>
      <c r="K830" s="129">
        <v>30429</v>
      </c>
      <c r="L830" s="600"/>
      <c r="M830" s="603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1379</v>
      </c>
      <c r="E831" s="122" t="s">
        <v>484</v>
      </c>
      <c r="F831" s="125" t="s">
        <v>1408</v>
      </c>
      <c r="G831" s="126" t="s">
        <v>369</v>
      </c>
      <c r="H831" s="127"/>
      <c r="I831" s="128">
        <v>1</v>
      </c>
      <c r="J831" s="129">
        <v>83071</v>
      </c>
      <c r="K831" s="129">
        <v>83071</v>
      </c>
      <c r="L831" s="600"/>
      <c r="M831" s="603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1409</v>
      </c>
      <c r="E832" s="122" t="s">
        <v>484</v>
      </c>
      <c r="F832" s="125" t="s">
        <v>237</v>
      </c>
      <c r="G832" s="126" t="s">
        <v>371</v>
      </c>
      <c r="H832" s="127"/>
      <c r="I832" s="128">
        <v>1</v>
      </c>
      <c r="J832" s="129">
        <v>10401</v>
      </c>
      <c r="K832" s="129">
        <v>10401</v>
      </c>
      <c r="L832" s="600"/>
      <c r="M832" s="603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1360</v>
      </c>
      <c r="E833" s="122" t="s">
        <v>481</v>
      </c>
      <c r="F833" s="125" t="s">
        <v>217</v>
      </c>
      <c r="G833" s="126" t="s">
        <v>371</v>
      </c>
      <c r="H833" s="127"/>
      <c r="I833" s="128">
        <v>1</v>
      </c>
      <c r="J833" s="129">
        <v>44597</v>
      </c>
      <c r="K833" s="129">
        <v>44597</v>
      </c>
      <c r="L833" s="600"/>
      <c r="M833" s="603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1410</v>
      </c>
      <c r="E834" s="122" t="s">
        <v>484</v>
      </c>
      <c r="F834" s="125" t="s">
        <v>580</v>
      </c>
      <c r="G834" s="126" t="s">
        <v>369</v>
      </c>
      <c r="H834" s="127"/>
      <c r="I834" s="128">
        <v>1</v>
      </c>
      <c r="J834" s="129">
        <v>25800</v>
      </c>
      <c r="K834" s="129">
        <v>25800</v>
      </c>
      <c r="L834" s="600"/>
      <c r="M834" s="603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1411</v>
      </c>
      <c r="E835" s="122" t="s">
        <v>484</v>
      </c>
      <c r="F835" s="125" t="s">
        <v>217</v>
      </c>
      <c r="G835" s="126" t="s">
        <v>369</v>
      </c>
      <c r="H835" s="127"/>
      <c r="I835" s="128">
        <v>1</v>
      </c>
      <c r="J835" s="129">
        <v>44597</v>
      </c>
      <c r="K835" s="129">
        <v>44597</v>
      </c>
      <c r="L835" s="600"/>
      <c r="M835" s="603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1412</v>
      </c>
      <c r="E836" s="122" t="s">
        <v>476</v>
      </c>
      <c r="F836" s="125" t="s">
        <v>115</v>
      </c>
      <c r="G836" s="126" t="s">
        <v>392</v>
      </c>
      <c r="H836" s="127"/>
      <c r="I836" s="128">
        <v>1</v>
      </c>
      <c r="J836" s="129">
        <v>33370</v>
      </c>
      <c r="K836" s="129">
        <v>33370</v>
      </c>
      <c r="L836" s="600"/>
      <c r="M836" s="603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1413</v>
      </c>
      <c r="E837" s="122" t="s">
        <v>476</v>
      </c>
      <c r="F837" s="125" t="s">
        <v>204</v>
      </c>
      <c r="G837" s="126" t="s">
        <v>568</v>
      </c>
      <c r="H837" s="127"/>
      <c r="I837" s="128">
        <v>1</v>
      </c>
      <c r="J837" s="129">
        <v>17244</v>
      </c>
      <c r="K837" s="129">
        <v>17244</v>
      </c>
      <c r="L837" s="600"/>
      <c r="M837" s="603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1414</v>
      </c>
      <c r="E838" s="122" t="s">
        <v>484</v>
      </c>
      <c r="F838" s="125" t="s">
        <v>217</v>
      </c>
      <c r="G838" s="126" t="s">
        <v>371</v>
      </c>
      <c r="H838" s="127"/>
      <c r="I838" s="128">
        <v>1</v>
      </c>
      <c r="J838" s="129">
        <v>44597</v>
      </c>
      <c r="K838" s="129">
        <v>44597</v>
      </c>
      <c r="L838" s="600"/>
      <c r="M838" s="603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1415</v>
      </c>
      <c r="E839" s="122" t="s">
        <v>476</v>
      </c>
      <c r="F839" s="125" t="s">
        <v>188</v>
      </c>
      <c r="G839" s="126" t="s">
        <v>419</v>
      </c>
      <c r="H839" s="127"/>
      <c r="I839" s="128">
        <v>1</v>
      </c>
      <c r="J839" s="129">
        <v>42601</v>
      </c>
      <c r="K839" s="129" t="s">
        <v>1018</v>
      </c>
      <c r="L839" s="600"/>
      <c r="M839" s="603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1416</v>
      </c>
      <c r="E840" s="122" t="s">
        <v>484</v>
      </c>
      <c r="F840" s="125" t="s">
        <v>682</v>
      </c>
      <c r="G840" s="126" t="s">
        <v>369</v>
      </c>
      <c r="H840" s="127"/>
      <c r="I840" s="128">
        <v>1</v>
      </c>
      <c r="J840" s="129">
        <v>55058</v>
      </c>
      <c r="K840" s="129">
        <v>55058</v>
      </c>
      <c r="L840" s="600"/>
      <c r="M840" s="603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1417</v>
      </c>
      <c r="E841" s="122" t="s">
        <v>476</v>
      </c>
      <c r="F841" s="125" t="s">
        <v>115</v>
      </c>
      <c r="G841" s="126" t="s">
        <v>898</v>
      </c>
      <c r="H841" s="127"/>
      <c r="I841" s="128">
        <v>3</v>
      </c>
      <c r="J841" s="129">
        <v>33370</v>
      </c>
      <c r="K841" s="129">
        <v>100110</v>
      </c>
      <c r="L841" s="600"/>
      <c r="M841" s="603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1418</v>
      </c>
      <c r="E842" s="122" t="s">
        <v>476</v>
      </c>
      <c r="F842" s="125" t="s">
        <v>115</v>
      </c>
      <c r="G842" s="126" t="s">
        <v>1419</v>
      </c>
      <c r="H842" s="127"/>
      <c r="I842" s="128">
        <v>2</v>
      </c>
      <c r="J842" s="129">
        <v>33370</v>
      </c>
      <c r="K842" s="129">
        <v>66740</v>
      </c>
      <c r="L842" s="600"/>
      <c r="M842" s="603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1420</v>
      </c>
      <c r="E843" s="122" t="s">
        <v>476</v>
      </c>
      <c r="F843" s="125" t="s">
        <v>217</v>
      </c>
      <c r="G843" s="126" t="s">
        <v>371</v>
      </c>
      <c r="H843" s="127"/>
      <c r="I843" s="128">
        <v>1</v>
      </c>
      <c r="J843" s="129">
        <v>44597</v>
      </c>
      <c r="K843" s="129">
        <v>44597</v>
      </c>
      <c r="L843" s="600"/>
      <c r="M843" s="603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1241</v>
      </c>
      <c r="E844" s="122" t="s">
        <v>476</v>
      </c>
      <c r="F844" s="125" t="s">
        <v>682</v>
      </c>
      <c r="G844" s="126" t="s">
        <v>371</v>
      </c>
      <c r="H844" s="127"/>
      <c r="I844" s="128">
        <v>1</v>
      </c>
      <c r="J844" s="129">
        <v>55058</v>
      </c>
      <c r="K844" s="129">
        <v>55058</v>
      </c>
      <c r="L844" s="600"/>
      <c r="M844" s="603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1421</v>
      </c>
      <c r="E845" s="122" t="s">
        <v>476</v>
      </c>
      <c r="F845" s="125" t="s">
        <v>580</v>
      </c>
      <c r="G845" s="126" t="s">
        <v>371</v>
      </c>
      <c r="H845" s="127"/>
      <c r="I845" s="128">
        <v>1</v>
      </c>
      <c r="J845" s="129">
        <v>25800</v>
      </c>
      <c r="K845" s="129">
        <v>25800</v>
      </c>
      <c r="L845" s="600"/>
      <c r="M845" s="603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493</v>
      </c>
      <c r="E846" s="122" t="s">
        <v>484</v>
      </c>
      <c r="F846" s="125" t="s">
        <v>682</v>
      </c>
      <c r="G846" s="126" t="s">
        <v>369</v>
      </c>
      <c r="H846" s="127"/>
      <c r="I846" s="128">
        <v>1</v>
      </c>
      <c r="J846" s="129">
        <v>55058</v>
      </c>
      <c r="K846" s="129">
        <v>55058</v>
      </c>
      <c r="L846" s="600"/>
      <c r="M846" s="603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1422</v>
      </c>
      <c r="E847" s="122" t="s">
        <v>484</v>
      </c>
      <c r="F847" s="125" t="s">
        <v>116</v>
      </c>
      <c r="G847" s="126" t="s">
        <v>445</v>
      </c>
      <c r="H847" s="127"/>
      <c r="I847" s="128">
        <v>1</v>
      </c>
      <c r="J847" s="129">
        <v>5274</v>
      </c>
      <c r="K847" s="129">
        <v>5274</v>
      </c>
      <c r="L847" s="600"/>
      <c r="M847" s="603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1423</v>
      </c>
      <c r="E848" s="122" t="s">
        <v>476</v>
      </c>
      <c r="F848" s="125" t="s">
        <v>580</v>
      </c>
      <c r="G848" s="126" t="s">
        <v>371</v>
      </c>
      <c r="H848" s="127"/>
      <c r="I848" s="128">
        <v>1</v>
      </c>
      <c r="J848" s="129">
        <v>25800</v>
      </c>
      <c r="K848" s="129">
        <v>25800</v>
      </c>
      <c r="L848" s="600"/>
      <c r="M848" s="603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1424</v>
      </c>
      <c r="E849" s="122" t="s">
        <v>478</v>
      </c>
      <c r="F849" s="125" t="s">
        <v>217</v>
      </c>
      <c r="G849" s="126" t="s">
        <v>371</v>
      </c>
      <c r="H849" s="127"/>
      <c r="I849" s="128">
        <v>1</v>
      </c>
      <c r="J849" s="129">
        <v>44597</v>
      </c>
      <c r="K849" s="129">
        <v>44597</v>
      </c>
      <c r="L849" s="600"/>
      <c r="M849" s="603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1425</v>
      </c>
      <c r="E850" s="122" t="s">
        <v>474</v>
      </c>
      <c r="F850" s="125" t="s">
        <v>580</v>
      </c>
      <c r="G850" s="126" t="s">
        <v>371</v>
      </c>
      <c r="H850" s="127"/>
      <c r="I850" s="128">
        <v>1</v>
      </c>
      <c r="J850" s="129">
        <v>25800</v>
      </c>
      <c r="K850" s="129">
        <v>25800</v>
      </c>
      <c r="L850" s="600"/>
      <c r="M850" s="603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1426</v>
      </c>
      <c r="E851" s="122" t="s">
        <v>484</v>
      </c>
      <c r="F851" s="125" t="s">
        <v>682</v>
      </c>
      <c r="G851" s="126" t="s">
        <v>387</v>
      </c>
      <c r="H851" s="127"/>
      <c r="I851" s="128">
        <v>2</v>
      </c>
      <c r="J851" s="129">
        <v>55058</v>
      </c>
      <c r="K851" s="129">
        <v>110116</v>
      </c>
      <c r="L851" s="600"/>
      <c r="M851" s="603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1427</v>
      </c>
      <c r="E852" s="122" t="s">
        <v>1428</v>
      </c>
      <c r="F852" s="125" t="s">
        <v>580</v>
      </c>
      <c r="G852" s="126" t="s">
        <v>371</v>
      </c>
      <c r="H852" s="127"/>
      <c r="I852" s="128">
        <v>1</v>
      </c>
      <c r="J852" s="129">
        <v>25800</v>
      </c>
      <c r="K852" s="129">
        <v>25800</v>
      </c>
      <c r="L852" s="601"/>
      <c r="M852" s="604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1429</v>
      </c>
      <c r="E853" s="148" t="s">
        <v>474</v>
      </c>
      <c r="F853" s="151" t="s">
        <v>217</v>
      </c>
      <c r="G853" s="152" t="s">
        <v>371</v>
      </c>
      <c r="H853" s="153"/>
      <c r="I853" s="154">
        <v>1</v>
      </c>
      <c r="J853" s="129">
        <v>44597</v>
      </c>
      <c r="K853" s="209">
        <v>44597</v>
      </c>
      <c r="L853" s="592" t="s">
        <v>760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1430</v>
      </c>
      <c r="E854" s="122" t="s">
        <v>474</v>
      </c>
      <c r="F854" s="125" t="s">
        <v>682</v>
      </c>
      <c r="G854" s="126" t="s">
        <v>387</v>
      </c>
      <c r="H854" s="127"/>
      <c r="I854" s="128">
        <v>2</v>
      </c>
      <c r="J854" s="129">
        <v>55058</v>
      </c>
      <c r="K854" s="209">
        <v>110116</v>
      </c>
      <c r="L854" s="593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1417</v>
      </c>
      <c r="E855" s="122" t="s">
        <v>476</v>
      </c>
      <c r="F855" s="125" t="s">
        <v>188</v>
      </c>
      <c r="G855" s="126" t="s">
        <v>1431</v>
      </c>
      <c r="H855" s="127"/>
      <c r="I855" s="128">
        <v>7</v>
      </c>
      <c r="J855" s="129">
        <v>42601</v>
      </c>
      <c r="K855" s="209">
        <v>298207</v>
      </c>
      <c r="L855" s="593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1432</v>
      </c>
      <c r="E856" s="122" t="s">
        <v>474</v>
      </c>
      <c r="F856" s="125" t="s">
        <v>682</v>
      </c>
      <c r="G856" s="126" t="s">
        <v>371</v>
      </c>
      <c r="H856" s="127"/>
      <c r="I856" s="128">
        <v>1</v>
      </c>
      <c r="J856" s="129">
        <v>55058</v>
      </c>
      <c r="K856" s="209">
        <v>55058</v>
      </c>
      <c r="L856" s="593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1433</v>
      </c>
      <c r="E857" s="122" t="s">
        <v>484</v>
      </c>
      <c r="F857" s="125" t="s">
        <v>217</v>
      </c>
      <c r="G857" s="126" t="s">
        <v>371</v>
      </c>
      <c r="H857" s="127"/>
      <c r="I857" s="128">
        <v>1</v>
      </c>
      <c r="J857" s="129">
        <v>44597</v>
      </c>
      <c r="K857" s="129">
        <v>44597</v>
      </c>
      <c r="L857" s="593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1367</v>
      </c>
      <c r="E858" s="122" t="s">
        <v>484</v>
      </c>
      <c r="F858" s="125" t="s">
        <v>115</v>
      </c>
      <c r="G858" s="126" t="s">
        <v>392</v>
      </c>
      <c r="H858" s="127"/>
      <c r="I858" s="128">
        <v>1</v>
      </c>
      <c r="J858" s="129">
        <v>33370</v>
      </c>
      <c r="K858" s="129">
        <v>33370</v>
      </c>
      <c r="L858" s="593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1434</v>
      </c>
      <c r="E859" s="122" t="s">
        <v>476</v>
      </c>
      <c r="F859" s="125" t="s">
        <v>682</v>
      </c>
      <c r="G859" s="126" t="s">
        <v>387</v>
      </c>
      <c r="H859" s="127"/>
      <c r="I859" s="128">
        <v>2</v>
      </c>
      <c r="J859" s="129">
        <v>55058</v>
      </c>
      <c r="K859" s="129">
        <v>110116</v>
      </c>
      <c r="L859" s="593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952</v>
      </c>
      <c r="E860" s="122" t="s">
        <v>476</v>
      </c>
      <c r="F860" s="125" t="s">
        <v>682</v>
      </c>
      <c r="G860" s="126" t="s">
        <v>387</v>
      </c>
      <c r="H860" s="127"/>
      <c r="I860" s="128">
        <v>2</v>
      </c>
      <c r="J860" s="129">
        <v>55058</v>
      </c>
      <c r="K860" s="129">
        <v>110116</v>
      </c>
      <c r="L860" s="593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1435</v>
      </c>
      <c r="E861" s="122" t="s">
        <v>697</v>
      </c>
      <c r="F861" s="125" t="s">
        <v>682</v>
      </c>
      <c r="G861" s="126" t="s">
        <v>387</v>
      </c>
      <c r="H861" s="127"/>
      <c r="I861" s="128">
        <v>2</v>
      </c>
      <c r="J861" s="129">
        <v>55058</v>
      </c>
      <c r="K861" s="129">
        <v>110116</v>
      </c>
      <c r="L861" s="593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1338</v>
      </c>
      <c r="E862" s="122" t="s">
        <v>484</v>
      </c>
      <c r="F862" s="125" t="s">
        <v>682</v>
      </c>
      <c r="G862" s="126" t="s">
        <v>369</v>
      </c>
      <c r="H862" s="127"/>
      <c r="I862" s="128">
        <v>1</v>
      </c>
      <c r="J862" s="129">
        <v>55058</v>
      </c>
      <c r="K862" s="129">
        <v>55058</v>
      </c>
      <c r="L862" s="593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1436</v>
      </c>
      <c r="E863" s="122" t="s">
        <v>484</v>
      </c>
      <c r="F863" s="125" t="s">
        <v>217</v>
      </c>
      <c r="G863" s="126" t="s">
        <v>387</v>
      </c>
      <c r="H863" s="127"/>
      <c r="I863" s="128">
        <v>2</v>
      </c>
      <c r="J863" s="129">
        <v>44597</v>
      </c>
      <c r="K863" s="129">
        <v>89194</v>
      </c>
      <c r="L863" s="593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1437</v>
      </c>
      <c r="E864" s="122" t="s">
        <v>481</v>
      </c>
      <c r="F864" s="125" t="s">
        <v>622</v>
      </c>
      <c r="G864" s="126" t="s">
        <v>369</v>
      </c>
      <c r="H864" s="127"/>
      <c r="I864" s="128">
        <v>1</v>
      </c>
      <c r="J864" s="129">
        <v>15722</v>
      </c>
      <c r="K864" s="129">
        <v>15722</v>
      </c>
      <c r="L864" s="593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1438</v>
      </c>
      <c r="E865" s="122" t="s">
        <v>474</v>
      </c>
      <c r="F865" s="125" t="s">
        <v>580</v>
      </c>
      <c r="G865" s="126" t="s">
        <v>371</v>
      </c>
      <c r="H865" s="127"/>
      <c r="I865" s="128">
        <v>1</v>
      </c>
      <c r="J865" s="129">
        <v>25800</v>
      </c>
      <c r="K865" s="129">
        <v>25800</v>
      </c>
      <c r="L865" s="593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1439</v>
      </c>
      <c r="E866" s="122" t="s">
        <v>476</v>
      </c>
      <c r="F866" s="125" t="s">
        <v>217</v>
      </c>
      <c r="G866" s="126" t="s">
        <v>371</v>
      </c>
      <c r="H866" s="127"/>
      <c r="I866" s="128">
        <v>1</v>
      </c>
      <c r="J866" s="129">
        <v>44597</v>
      </c>
      <c r="K866" s="129">
        <v>44597</v>
      </c>
      <c r="L866" s="593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1440</v>
      </c>
      <c r="E867" s="122" t="s">
        <v>484</v>
      </c>
      <c r="F867" s="125" t="s">
        <v>235</v>
      </c>
      <c r="G867" s="126" t="s">
        <v>371</v>
      </c>
      <c r="H867" s="127"/>
      <c r="I867" s="128">
        <v>1</v>
      </c>
      <c r="J867" s="129">
        <v>12499</v>
      </c>
      <c r="K867" s="129">
        <v>12499</v>
      </c>
      <c r="L867" s="593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1441</v>
      </c>
      <c r="E868" s="122" t="s">
        <v>484</v>
      </c>
      <c r="F868" s="125" t="s">
        <v>580</v>
      </c>
      <c r="G868" s="126" t="s">
        <v>371</v>
      </c>
      <c r="H868" s="127"/>
      <c r="I868" s="128">
        <v>1</v>
      </c>
      <c r="J868" s="129">
        <v>25800</v>
      </c>
      <c r="K868" s="129">
        <v>25800</v>
      </c>
      <c r="L868" s="593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1442</v>
      </c>
      <c r="E869" s="122" t="s">
        <v>484</v>
      </c>
      <c r="F869" s="125" t="s">
        <v>580</v>
      </c>
      <c r="G869" s="126" t="s">
        <v>371</v>
      </c>
      <c r="H869" s="127"/>
      <c r="I869" s="128">
        <v>1</v>
      </c>
      <c r="J869" s="129">
        <v>25800</v>
      </c>
      <c r="K869" s="129">
        <v>25800</v>
      </c>
      <c r="L869" s="593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1443</v>
      </c>
      <c r="E870" s="122" t="s">
        <v>474</v>
      </c>
      <c r="F870" s="125" t="s">
        <v>580</v>
      </c>
      <c r="G870" s="126" t="s">
        <v>371</v>
      </c>
      <c r="H870" s="127"/>
      <c r="I870" s="128">
        <v>1</v>
      </c>
      <c r="J870" s="129">
        <v>25800</v>
      </c>
      <c r="K870" s="129">
        <v>25800</v>
      </c>
      <c r="L870" s="593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1444</v>
      </c>
      <c r="E871" s="122" t="s">
        <v>505</v>
      </c>
      <c r="F871" s="125" t="s">
        <v>580</v>
      </c>
      <c r="G871" s="126" t="s">
        <v>371</v>
      </c>
      <c r="H871" s="127"/>
      <c r="I871" s="128">
        <v>1</v>
      </c>
      <c r="J871" s="129">
        <v>25800</v>
      </c>
      <c r="K871" s="129">
        <v>25800</v>
      </c>
      <c r="L871" s="593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1445</v>
      </c>
      <c r="E872" s="122" t="s">
        <v>505</v>
      </c>
      <c r="F872" s="125" t="s">
        <v>580</v>
      </c>
      <c r="G872" s="126" t="s">
        <v>522</v>
      </c>
      <c r="H872" s="127"/>
      <c r="I872" s="128">
        <v>1</v>
      </c>
      <c r="J872" s="129">
        <v>25800</v>
      </c>
      <c r="K872" s="129">
        <v>25800</v>
      </c>
      <c r="L872" s="593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1446</v>
      </c>
      <c r="E873" s="122" t="s">
        <v>481</v>
      </c>
      <c r="F873" s="125" t="s">
        <v>217</v>
      </c>
      <c r="G873" s="126" t="s">
        <v>371</v>
      </c>
      <c r="H873" s="127"/>
      <c r="I873" s="128">
        <v>1</v>
      </c>
      <c r="J873" s="129">
        <v>22299</v>
      </c>
      <c r="K873" s="129">
        <v>22299</v>
      </c>
      <c r="L873" s="593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1447</v>
      </c>
      <c r="E874" s="122" t="s">
        <v>481</v>
      </c>
      <c r="F874" s="125" t="s">
        <v>217</v>
      </c>
      <c r="G874" s="126" t="s">
        <v>371</v>
      </c>
      <c r="H874" s="127"/>
      <c r="I874" s="128">
        <v>1</v>
      </c>
      <c r="J874" s="129">
        <v>44597</v>
      </c>
      <c r="K874" s="129">
        <v>44597</v>
      </c>
      <c r="L874" s="593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1448</v>
      </c>
      <c r="E875" s="122" t="s">
        <v>474</v>
      </c>
      <c r="F875" s="125" t="s">
        <v>580</v>
      </c>
      <c r="G875" s="126" t="s">
        <v>371</v>
      </c>
      <c r="H875" s="127"/>
      <c r="I875" s="128">
        <v>1</v>
      </c>
      <c r="J875" s="129">
        <v>25800</v>
      </c>
      <c r="K875" s="129">
        <v>25800</v>
      </c>
      <c r="L875" s="593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1449</v>
      </c>
      <c r="E876" s="122" t="s">
        <v>697</v>
      </c>
      <c r="F876" s="125" t="s">
        <v>580</v>
      </c>
      <c r="G876" s="126" t="s">
        <v>371</v>
      </c>
      <c r="H876" s="127"/>
      <c r="I876" s="128">
        <v>1</v>
      </c>
      <c r="J876" s="129">
        <v>25800</v>
      </c>
      <c r="K876" s="129">
        <v>25800</v>
      </c>
      <c r="L876" s="593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1450</v>
      </c>
      <c r="E877" s="122" t="s">
        <v>484</v>
      </c>
      <c r="F877" s="125" t="s">
        <v>116</v>
      </c>
      <c r="G877" s="126" t="s">
        <v>417</v>
      </c>
      <c r="H877" s="127"/>
      <c r="I877" s="128">
        <v>1</v>
      </c>
      <c r="J877" s="129">
        <v>5274</v>
      </c>
      <c r="K877" s="129">
        <v>5274</v>
      </c>
      <c r="L877" s="593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1451</v>
      </c>
      <c r="E878" s="122" t="s">
        <v>474</v>
      </c>
      <c r="F878" s="125" t="s">
        <v>217</v>
      </c>
      <c r="G878" s="126" t="s">
        <v>371</v>
      </c>
      <c r="H878" s="127"/>
      <c r="I878" s="128">
        <v>1</v>
      </c>
      <c r="J878" s="129">
        <v>44597</v>
      </c>
      <c r="K878" s="129">
        <v>44597</v>
      </c>
      <c r="L878" s="594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1452</v>
      </c>
      <c r="E879" s="122" t="s">
        <v>697</v>
      </c>
      <c r="F879" s="125" t="s">
        <v>235</v>
      </c>
      <c r="G879" s="126" t="s">
        <v>371</v>
      </c>
      <c r="H879" s="127"/>
      <c r="I879" s="128">
        <v>1</v>
      </c>
      <c r="J879" s="129">
        <v>12499</v>
      </c>
      <c r="K879" s="129">
        <v>12499</v>
      </c>
      <c r="L879" s="167" t="s">
        <v>788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1453</v>
      </c>
      <c r="E880" s="122" t="s">
        <v>697</v>
      </c>
      <c r="F880" s="125" t="s">
        <v>580</v>
      </c>
      <c r="G880" s="126" t="s">
        <v>371</v>
      </c>
      <c r="H880" s="127"/>
      <c r="I880" s="128">
        <v>1</v>
      </c>
      <c r="J880" s="129">
        <v>25800</v>
      </c>
      <c r="K880" s="129">
        <v>25800</v>
      </c>
      <c r="L880" s="167" t="s">
        <v>788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1454</v>
      </c>
      <c r="E881" s="122" t="s">
        <v>474</v>
      </c>
      <c r="F881" s="125" t="s">
        <v>580</v>
      </c>
      <c r="G881" s="126" t="s">
        <v>371</v>
      </c>
      <c r="H881" s="127"/>
      <c r="I881" s="128">
        <v>1</v>
      </c>
      <c r="J881" s="129">
        <v>25800</v>
      </c>
      <c r="K881" s="129">
        <v>25800</v>
      </c>
      <c r="L881" s="167" t="s">
        <v>788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1455</v>
      </c>
      <c r="E882" s="122" t="s">
        <v>484</v>
      </c>
      <c r="F882" s="125" t="s">
        <v>217</v>
      </c>
      <c r="G882" s="126" t="s">
        <v>371</v>
      </c>
      <c r="H882" s="127"/>
      <c r="I882" s="128">
        <v>1</v>
      </c>
      <c r="J882" s="129">
        <v>44597</v>
      </c>
      <c r="K882" s="129">
        <v>44597</v>
      </c>
      <c r="L882" s="167" t="s">
        <v>788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1456</v>
      </c>
      <c r="E883" s="122" t="s">
        <v>484</v>
      </c>
      <c r="F883" s="125" t="s">
        <v>217</v>
      </c>
      <c r="G883" s="126" t="s">
        <v>387</v>
      </c>
      <c r="H883" s="127"/>
      <c r="I883" s="128">
        <v>2</v>
      </c>
      <c r="J883" s="129">
        <v>44597</v>
      </c>
      <c r="K883" s="129">
        <v>89194</v>
      </c>
      <c r="L883" s="167" t="s">
        <v>788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1457</v>
      </c>
      <c r="E884" s="122" t="s">
        <v>505</v>
      </c>
      <c r="F884" s="125" t="s">
        <v>580</v>
      </c>
      <c r="G884" s="126" t="s">
        <v>371</v>
      </c>
      <c r="H884" s="127"/>
      <c r="I884" s="128">
        <v>1</v>
      </c>
      <c r="J884" s="129">
        <v>25800</v>
      </c>
      <c r="K884" s="129">
        <v>25800</v>
      </c>
      <c r="L884" s="167" t="s">
        <v>788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1458</v>
      </c>
      <c r="E885" s="122" t="s">
        <v>1316</v>
      </c>
      <c r="F885" s="125" t="s">
        <v>237</v>
      </c>
      <c r="G885" s="126" t="s">
        <v>371</v>
      </c>
      <c r="H885" s="127"/>
      <c r="I885" s="128">
        <v>1</v>
      </c>
      <c r="J885" s="129">
        <v>10401</v>
      </c>
      <c r="K885" s="129">
        <v>10401</v>
      </c>
      <c r="L885" s="167" t="s">
        <v>788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1459</v>
      </c>
      <c r="E886" s="122" t="s">
        <v>484</v>
      </c>
      <c r="F886" s="125" t="s">
        <v>580</v>
      </c>
      <c r="G886" s="126" t="s">
        <v>371</v>
      </c>
      <c r="H886" s="127"/>
      <c r="I886" s="128">
        <v>1</v>
      </c>
      <c r="J886" s="129">
        <v>25800</v>
      </c>
      <c r="K886" s="129">
        <v>25800</v>
      </c>
      <c r="L886" s="167" t="s">
        <v>788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1460</v>
      </c>
      <c r="E887" s="122" t="s">
        <v>697</v>
      </c>
      <c r="F887" s="125" t="s">
        <v>580</v>
      </c>
      <c r="G887" s="126" t="s">
        <v>371</v>
      </c>
      <c r="H887" s="127"/>
      <c r="I887" s="128">
        <v>1</v>
      </c>
      <c r="J887" s="129">
        <v>25800</v>
      </c>
      <c r="K887" s="129">
        <v>25800</v>
      </c>
      <c r="L887" s="167" t="s">
        <v>788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1461</v>
      </c>
      <c r="E888" s="122" t="s">
        <v>484</v>
      </c>
      <c r="F888" s="125" t="s">
        <v>580</v>
      </c>
      <c r="G888" s="126" t="s">
        <v>371</v>
      </c>
      <c r="H888" s="127"/>
      <c r="I888" s="128">
        <v>1</v>
      </c>
      <c r="J888" s="129">
        <v>25800</v>
      </c>
      <c r="K888" s="129">
        <v>25800</v>
      </c>
      <c r="L888" s="167" t="s">
        <v>788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1462</v>
      </c>
      <c r="E889" s="122" t="s">
        <v>484</v>
      </c>
      <c r="F889" s="125" t="s">
        <v>217</v>
      </c>
      <c r="G889" s="126" t="s">
        <v>387</v>
      </c>
      <c r="H889" s="127"/>
      <c r="I889" s="128">
        <v>2</v>
      </c>
      <c r="J889" s="129">
        <v>44597</v>
      </c>
      <c r="K889" s="129">
        <v>89194</v>
      </c>
      <c r="L889" s="595" t="s">
        <v>617</v>
      </c>
      <c r="M889" s="605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1463</v>
      </c>
      <c r="E890" s="122" t="s">
        <v>484</v>
      </c>
      <c r="F890" s="125" t="s">
        <v>682</v>
      </c>
      <c r="G890" s="126" t="s">
        <v>369</v>
      </c>
      <c r="H890" s="127"/>
      <c r="I890" s="128">
        <v>1</v>
      </c>
      <c r="J890" s="129">
        <v>55058</v>
      </c>
      <c r="K890" s="129">
        <v>55058</v>
      </c>
      <c r="L890" s="596"/>
      <c r="M890" s="606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1464</v>
      </c>
      <c r="E891" s="122" t="s">
        <v>484</v>
      </c>
      <c r="F891" s="125" t="s">
        <v>235</v>
      </c>
      <c r="G891" s="126" t="s">
        <v>371</v>
      </c>
      <c r="H891" s="127"/>
      <c r="I891" s="128">
        <v>1</v>
      </c>
      <c r="J891" s="129">
        <v>12499</v>
      </c>
      <c r="K891" s="129">
        <v>12499</v>
      </c>
      <c r="L891" s="596"/>
      <c r="M891" s="606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1465</v>
      </c>
      <c r="E892" s="122" t="s">
        <v>484</v>
      </c>
      <c r="F892" s="125" t="s">
        <v>217</v>
      </c>
      <c r="G892" s="126" t="s">
        <v>387</v>
      </c>
      <c r="H892" s="127"/>
      <c r="I892" s="128">
        <v>2</v>
      </c>
      <c r="J892" s="129">
        <v>44597</v>
      </c>
      <c r="K892" s="129">
        <v>89194</v>
      </c>
      <c r="L892" s="596"/>
      <c r="M892" s="606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1466</v>
      </c>
      <c r="E893" s="122" t="s">
        <v>484</v>
      </c>
      <c r="F893" s="125" t="s">
        <v>116</v>
      </c>
      <c r="G893" s="126" t="s">
        <v>400</v>
      </c>
      <c r="H893" s="127"/>
      <c r="I893" s="128">
        <v>2</v>
      </c>
      <c r="J893" s="129">
        <v>5274</v>
      </c>
      <c r="K893" s="129">
        <v>10548</v>
      </c>
      <c r="L893" s="596"/>
      <c r="M893" s="606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1467</v>
      </c>
      <c r="E894" s="122" t="s">
        <v>484</v>
      </c>
      <c r="F894" s="125" t="s">
        <v>580</v>
      </c>
      <c r="G894" s="126" t="s">
        <v>371</v>
      </c>
      <c r="H894" s="127"/>
      <c r="I894" s="128">
        <v>1</v>
      </c>
      <c r="J894" s="129">
        <v>25800</v>
      </c>
      <c r="K894" s="129">
        <v>25800</v>
      </c>
      <c r="L894" s="596"/>
      <c r="M894" s="606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1468</v>
      </c>
      <c r="E895" s="122" t="s">
        <v>474</v>
      </c>
      <c r="F895" s="125" t="s">
        <v>682</v>
      </c>
      <c r="G895" s="126" t="s">
        <v>371</v>
      </c>
      <c r="H895" s="127"/>
      <c r="I895" s="128">
        <v>1</v>
      </c>
      <c r="J895" s="129">
        <v>55058</v>
      </c>
      <c r="K895" s="210">
        <v>55058</v>
      </c>
      <c r="L895" s="596"/>
      <c r="M895" s="606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1469</v>
      </c>
      <c r="E896" s="122" t="s">
        <v>481</v>
      </c>
      <c r="F896" s="125" t="s">
        <v>217</v>
      </c>
      <c r="G896" s="126" t="s">
        <v>371</v>
      </c>
      <c r="H896" s="127"/>
      <c r="I896" s="128">
        <v>1</v>
      </c>
      <c r="J896" s="129">
        <v>44597</v>
      </c>
      <c r="K896" s="129">
        <v>44597</v>
      </c>
      <c r="L896" s="596"/>
      <c r="M896" s="606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1470</v>
      </c>
      <c r="E897" s="122" t="s">
        <v>484</v>
      </c>
      <c r="F897" s="125" t="s">
        <v>217</v>
      </c>
      <c r="G897" s="126" t="s">
        <v>371</v>
      </c>
      <c r="H897" s="127"/>
      <c r="I897" s="128">
        <v>1</v>
      </c>
      <c r="J897" s="129">
        <v>44597</v>
      </c>
      <c r="K897" s="129">
        <v>44597</v>
      </c>
      <c r="L897" s="596"/>
      <c r="M897" s="606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1471</v>
      </c>
      <c r="E898" s="122" t="s">
        <v>1472</v>
      </c>
      <c r="F898" s="125" t="s">
        <v>116</v>
      </c>
      <c r="G898" s="126" t="s">
        <v>1473</v>
      </c>
      <c r="H898" s="127"/>
      <c r="I898" s="128">
        <v>2</v>
      </c>
      <c r="J898" s="129">
        <v>5274</v>
      </c>
      <c r="K898" s="129">
        <v>10548</v>
      </c>
      <c r="L898" s="596"/>
      <c r="M898" s="606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1474</v>
      </c>
      <c r="E899" s="122" t="s">
        <v>484</v>
      </c>
      <c r="F899" s="125" t="s">
        <v>217</v>
      </c>
      <c r="G899" s="126" t="s">
        <v>369</v>
      </c>
      <c r="H899" s="127"/>
      <c r="I899" s="128">
        <v>1</v>
      </c>
      <c r="J899" s="129">
        <v>44597</v>
      </c>
      <c r="K899" s="129">
        <v>44597</v>
      </c>
      <c r="L899" s="596"/>
      <c r="M899" s="606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1475</v>
      </c>
      <c r="E900" s="122" t="s">
        <v>484</v>
      </c>
      <c r="F900" s="125" t="s">
        <v>682</v>
      </c>
      <c r="G900" s="126" t="s">
        <v>369</v>
      </c>
      <c r="H900" s="127"/>
      <c r="I900" s="128">
        <v>1</v>
      </c>
      <c r="J900" s="129">
        <v>55058</v>
      </c>
      <c r="K900" s="129">
        <v>55058</v>
      </c>
      <c r="L900" s="596"/>
      <c r="M900" s="606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1476</v>
      </c>
      <c r="E901" s="122" t="s">
        <v>505</v>
      </c>
      <c r="F901" s="125" t="s">
        <v>580</v>
      </c>
      <c r="G901" s="126" t="s">
        <v>371</v>
      </c>
      <c r="H901" s="127"/>
      <c r="I901" s="128">
        <v>1</v>
      </c>
      <c r="J901" s="129">
        <v>25800</v>
      </c>
      <c r="K901" s="129">
        <v>25800</v>
      </c>
      <c r="L901" s="596"/>
      <c r="M901" s="606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1477</v>
      </c>
      <c r="E902" s="122" t="s">
        <v>484</v>
      </c>
      <c r="F902" s="125" t="s">
        <v>580</v>
      </c>
      <c r="G902" s="126" t="s">
        <v>371</v>
      </c>
      <c r="H902" s="127"/>
      <c r="I902" s="128">
        <v>1</v>
      </c>
      <c r="J902" s="129">
        <v>25800</v>
      </c>
      <c r="K902" s="129">
        <v>25800</v>
      </c>
      <c r="L902" s="596"/>
      <c r="M902" s="606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1478</v>
      </c>
      <c r="E903" s="122" t="s">
        <v>484</v>
      </c>
      <c r="F903" s="125" t="s">
        <v>217</v>
      </c>
      <c r="G903" s="126" t="s">
        <v>369</v>
      </c>
      <c r="H903" s="127"/>
      <c r="I903" s="128">
        <v>1</v>
      </c>
      <c r="J903" s="129">
        <v>44597</v>
      </c>
      <c r="K903" s="210">
        <v>44597</v>
      </c>
      <c r="L903" s="596"/>
      <c r="M903" s="606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1479</v>
      </c>
      <c r="E904" s="122" t="s">
        <v>474</v>
      </c>
      <c r="F904" s="125" t="s">
        <v>682</v>
      </c>
      <c r="G904" s="126" t="s">
        <v>387</v>
      </c>
      <c r="H904" s="127"/>
      <c r="I904" s="128">
        <v>2</v>
      </c>
      <c r="J904" s="129">
        <v>55058</v>
      </c>
      <c r="K904" s="129">
        <v>110116</v>
      </c>
      <c r="L904" s="596"/>
      <c r="M904" s="606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1480</v>
      </c>
      <c r="E905" s="122" t="s">
        <v>1428</v>
      </c>
      <c r="F905" s="125" t="s">
        <v>580</v>
      </c>
      <c r="G905" s="126" t="s">
        <v>371</v>
      </c>
      <c r="H905" s="127"/>
      <c r="I905" s="128">
        <v>1</v>
      </c>
      <c r="J905" s="129">
        <v>25800</v>
      </c>
      <c r="K905" s="129">
        <v>25800</v>
      </c>
      <c r="L905" s="596"/>
      <c r="M905" s="606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1458</v>
      </c>
      <c r="E906" s="122" t="s">
        <v>484</v>
      </c>
      <c r="F906" s="125" t="s">
        <v>217</v>
      </c>
      <c r="G906" s="126" t="s">
        <v>371</v>
      </c>
      <c r="H906" s="127"/>
      <c r="I906" s="128">
        <v>1</v>
      </c>
      <c r="J906" s="129">
        <v>44597</v>
      </c>
      <c r="K906" s="129">
        <v>44597</v>
      </c>
      <c r="L906" s="596"/>
      <c r="M906" s="606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1481</v>
      </c>
      <c r="E907" s="122" t="s">
        <v>484</v>
      </c>
      <c r="F907" s="125" t="s">
        <v>580</v>
      </c>
      <c r="G907" s="126" t="s">
        <v>371</v>
      </c>
      <c r="H907" s="127"/>
      <c r="I907" s="128">
        <v>1</v>
      </c>
      <c r="J907" s="129">
        <v>25800</v>
      </c>
      <c r="K907" s="129">
        <v>25800</v>
      </c>
      <c r="L907" s="596"/>
      <c r="M907" s="606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1324</v>
      </c>
      <c r="E908" s="122" t="s">
        <v>484</v>
      </c>
      <c r="F908" s="125" t="s">
        <v>682</v>
      </c>
      <c r="G908" s="126" t="s">
        <v>371</v>
      </c>
      <c r="H908" s="127"/>
      <c r="I908" s="128">
        <v>1</v>
      </c>
      <c r="J908" s="129">
        <v>55058</v>
      </c>
      <c r="K908" s="129">
        <v>55058</v>
      </c>
      <c r="L908" s="596"/>
      <c r="M908" s="606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1482</v>
      </c>
      <c r="E909" s="122" t="s">
        <v>505</v>
      </c>
      <c r="F909" s="125" t="s">
        <v>580</v>
      </c>
      <c r="G909" s="126" t="s">
        <v>371</v>
      </c>
      <c r="H909" s="127"/>
      <c r="I909" s="128">
        <v>1</v>
      </c>
      <c r="J909" s="129">
        <v>25800</v>
      </c>
      <c r="K909" s="210">
        <v>25800</v>
      </c>
      <c r="L909" s="596"/>
      <c r="M909" s="606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1483</v>
      </c>
      <c r="E910" s="122" t="s">
        <v>484</v>
      </c>
      <c r="F910" s="125" t="s">
        <v>217</v>
      </c>
      <c r="G910" s="126" t="s">
        <v>369</v>
      </c>
      <c r="H910" s="127"/>
      <c r="I910" s="128">
        <v>1</v>
      </c>
      <c r="J910" s="129">
        <v>44597</v>
      </c>
      <c r="K910" s="129">
        <v>44597</v>
      </c>
      <c r="L910" s="596"/>
      <c r="M910" s="606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495</v>
      </c>
      <c r="E911" s="122" t="s">
        <v>478</v>
      </c>
      <c r="F911" s="125" t="s">
        <v>188</v>
      </c>
      <c r="G911" s="126" t="s">
        <v>725</v>
      </c>
      <c r="H911" s="127"/>
      <c r="I911" s="128">
        <v>3</v>
      </c>
      <c r="J911" s="129">
        <v>42601</v>
      </c>
      <c r="K911" s="129">
        <v>127803</v>
      </c>
      <c r="L911" s="597"/>
      <c r="M911" s="607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501</v>
      </c>
      <c r="E912" s="122" t="s">
        <v>500</v>
      </c>
      <c r="F912" s="125" t="s">
        <v>580</v>
      </c>
      <c r="G912" s="126" t="s">
        <v>371</v>
      </c>
      <c r="H912" s="127"/>
      <c r="I912" s="128">
        <v>1</v>
      </c>
      <c r="J912" s="129">
        <v>25800</v>
      </c>
      <c r="K912" s="129">
        <v>25800</v>
      </c>
      <c r="L912" s="211" t="s">
        <v>620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1484</v>
      </c>
      <c r="E913" s="122" t="s">
        <v>1234</v>
      </c>
      <c r="F913" s="125" t="s">
        <v>1485</v>
      </c>
      <c r="G913" s="126" t="s">
        <v>431</v>
      </c>
      <c r="H913" s="127"/>
      <c r="I913" s="128">
        <v>1</v>
      </c>
      <c r="J913" s="129">
        <v>48203</v>
      </c>
      <c r="K913" s="129">
        <v>48203</v>
      </c>
      <c r="L913" s="211" t="s">
        <v>620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1486</v>
      </c>
      <c r="E914" s="122" t="s">
        <v>500</v>
      </c>
      <c r="F914" s="125" t="s">
        <v>116</v>
      </c>
      <c r="G914" s="126" t="s">
        <v>1361</v>
      </c>
      <c r="H914" s="127"/>
      <c r="I914" s="128">
        <v>1</v>
      </c>
      <c r="J914" s="129">
        <v>5274</v>
      </c>
      <c r="K914" s="129">
        <v>5274</v>
      </c>
      <c r="L914" s="211" t="s">
        <v>620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1487</v>
      </c>
      <c r="E915" s="122" t="s">
        <v>474</v>
      </c>
      <c r="F915" s="125" t="s">
        <v>580</v>
      </c>
      <c r="G915" s="126" t="s">
        <v>371</v>
      </c>
      <c r="H915" s="127"/>
      <c r="I915" s="128">
        <v>1</v>
      </c>
      <c r="J915" s="129">
        <v>25800</v>
      </c>
      <c r="K915" s="129">
        <v>25800</v>
      </c>
      <c r="L915" s="211" t="s">
        <v>620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1488</v>
      </c>
      <c r="E916" s="122" t="s">
        <v>697</v>
      </c>
      <c r="F916" s="125" t="s">
        <v>235</v>
      </c>
      <c r="G916" s="126" t="s">
        <v>369</v>
      </c>
      <c r="H916" s="127"/>
      <c r="I916" s="128">
        <v>1</v>
      </c>
      <c r="J916" s="129">
        <v>12499</v>
      </c>
      <c r="K916" s="142">
        <v>12499</v>
      </c>
      <c r="L916" s="211" t="s">
        <v>620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1489</v>
      </c>
      <c r="E917" s="122" t="s">
        <v>474</v>
      </c>
      <c r="F917" s="125" t="s">
        <v>217</v>
      </c>
      <c r="G917" s="126" t="s">
        <v>371</v>
      </c>
      <c r="H917" s="127"/>
      <c r="I917" s="128">
        <v>1</v>
      </c>
      <c r="J917" s="129">
        <v>44597</v>
      </c>
      <c r="K917" s="129">
        <v>44597</v>
      </c>
      <c r="L917" s="211" t="s">
        <v>620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1452</v>
      </c>
      <c r="E918" s="122" t="s">
        <v>1234</v>
      </c>
      <c r="F918" s="125" t="s">
        <v>235</v>
      </c>
      <c r="G918" s="126" t="s">
        <v>371</v>
      </c>
      <c r="H918" s="127"/>
      <c r="I918" s="128">
        <v>1</v>
      </c>
      <c r="J918" s="129">
        <v>12499</v>
      </c>
      <c r="K918" s="129">
        <v>12499</v>
      </c>
      <c r="L918" s="211" t="s">
        <v>620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1490</v>
      </c>
      <c r="E919" s="122" t="s">
        <v>484</v>
      </c>
      <c r="F919" s="125" t="s">
        <v>235</v>
      </c>
      <c r="G919" s="126" t="s">
        <v>369</v>
      </c>
      <c r="H919" s="127"/>
      <c r="I919" s="128">
        <v>1</v>
      </c>
      <c r="J919" s="129">
        <v>12499</v>
      </c>
      <c r="K919" s="129">
        <v>12499</v>
      </c>
      <c r="L919" s="211" t="s">
        <v>620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1490</v>
      </c>
      <c r="E920" s="122" t="s">
        <v>484</v>
      </c>
      <c r="F920" s="125" t="s">
        <v>1035</v>
      </c>
      <c r="G920" s="126" t="s">
        <v>369</v>
      </c>
      <c r="H920" s="127"/>
      <c r="I920" s="128">
        <v>1</v>
      </c>
      <c r="J920" s="129">
        <v>10143</v>
      </c>
      <c r="K920" s="129">
        <v>10143</v>
      </c>
      <c r="L920" s="211" t="s">
        <v>620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1491</v>
      </c>
      <c r="E921" s="122" t="s">
        <v>484</v>
      </c>
      <c r="F921" s="125" t="s">
        <v>682</v>
      </c>
      <c r="G921" s="126" t="s">
        <v>371</v>
      </c>
      <c r="H921" s="127"/>
      <c r="I921" s="128">
        <v>1</v>
      </c>
      <c r="J921" s="129">
        <v>55058</v>
      </c>
      <c r="K921" s="129">
        <v>55058</v>
      </c>
      <c r="L921" s="211" t="s">
        <v>620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1492</v>
      </c>
      <c r="E922" s="122" t="s">
        <v>500</v>
      </c>
      <c r="F922" s="125" t="s">
        <v>537</v>
      </c>
      <c r="G922" s="126" t="s">
        <v>431</v>
      </c>
      <c r="H922" s="127"/>
      <c r="I922" s="128">
        <v>1</v>
      </c>
      <c r="J922" s="129">
        <v>30429</v>
      </c>
      <c r="K922" s="129">
        <v>30429</v>
      </c>
      <c r="L922" s="211" t="s">
        <v>620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1493</v>
      </c>
      <c r="E923" s="122" t="s">
        <v>500</v>
      </c>
      <c r="F923" s="125" t="s">
        <v>537</v>
      </c>
      <c r="G923" s="126" t="s">
        <v>527</v>
      </c>
      <c r="H923" s="127"/>
      <c r="I923" s="128">
        <v>1</v>
      </c>
      <c r="J923" s="129">
        <v>30429</v>
      </c>
      <c r="K923" s="129">
        <v>30429</v>
      </c>
      <c r="L923" s="211" t="s">
        <v>620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1494</v>
      </c>
      <c r="E924" s="122" t="s">
        <v>500</v>
      </c>
      <c r="F924" s="125" t="s">
        <v>115</v>
      </c>
      <c r="G924" s="126" t="s">
        <v>417</v>
      </c>
      <c r="H924" s="127"/>
      <c r="I924" s="128">
        <v>1</v>
      </c>
      <c r="J924" s="129">
        <v>33370</v>
      </c>
      <c r="K924" s="129">
        <v>33370</v>
      </c>
      <c r="L924" s="211" t="s">
        <v>620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1495</v>
      </c>
      <c r="E925" s="122" t="s">
        <v>481</v>
      </c>
      <c r="F925" s="125" t="s">
        <v>237</v>
      </c>
      <c r="G925" s="126" t="s">
        <v>369</v>
      </c>
      <c r="H925" s="127"/>
      <c r="I925" s="128">
        <v>1</v>
      </c>
      <c r="J925" s="129">
        <v>10401</v>
      </c>
      <c r="K925" s="129">
        <v>10401</v>
      </c>
      <c r="L925" s="211" t="s">
        <v>620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1496</v>
      </c>
      <c r="E926" s="122" t="s">
        <v>500</v>
      </c>
      <c r="F926" s="125" t="s">
        <v>537</v>
      </c>
      <c r="G926" s="126" t="s">
        <v>562</v>
      </c>
      <c r="H926" s="127"/>
      <c r="I926" s="128">
        <v>1</v>
      </c>
      <c r="J926" s="129">
        <v>30429</v>
      </c>
      <c r="K926" s="129">
        <v>30429</v>
      </c>
      <c r="L926" s="211" t="s">
        <v>620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1497</v>
      </c>
      <c r="E927" s="122" t="s">
        <v>500</v>
      </c>
      <c r="F927" s="125" t="s">
        <v>537</v>
      </c>
      <c r="G927" s="126" t="s">
        <v>562</v>
      </c>
      <c r="H927" s="127"/>
      <c r="I927" s="128">
        <v>1</v>
      </c>
      <c r="J927" s="129">
        <v>30429</v>
      </c>
      <c r="K927" s="129">
        <v>30429</v>
      </c>
      <c r="L927" s="211" t="s">
        <v>620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1498</v>
      </c>
      <c r="E928" s="122" t="s">
        <v>1428</v>
      </c>
      <c r="F928" s="125" t="s">
        <v>580</v>
      </c>
      <c r="G928" s="126" t="s">
        <v>371</v>
      </c>
      <c r="H928" s="127"/>
      <c r="I928" s="128">
        <v>1</v>
      </c>
      <c r="J928" s="129">
        <v>25800</v>
      </c>
      <c r="K928" s="129">
        <v>25800</v>
      </c>
      <c r="L928" s="211" t="s">
        <v>620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1499</v>
      </c>
      <c r="E929" s="122" t="s">
        <v>484</v>
      </c>
      <c r="F929" s="125" t="s">
        <v>1035</v>
      </c>
      <c r="G929" s="126" t="s">
        <v>371</v>
      </c>
      <c r="H929" s="127"/>
      <c r="I929" s="128">
        <v>1</v>
      </c>
      <c r="J929" s="129">
        <v>10143</v>
      </c>
      <c r="K929" s="129">
        <v>10143</v>
      </c>
      <c r="L929" s="211" t="s">
        <v>620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1499</v>
      </c>
      <c r="E930" s="122" t="s">
        <v>484</v>
      </c>
      <c r="F930" s="125" t="s">
        <v>237</v>
      </c>
      <c r="G930" s="126" t="s">
        <v>371</v>
      </c>
      <c r="H930" s="127"/>
      <c r="I930" s="128">
        <v>1</v>
      </c>
      <c r="J930" s="129">
        <v>10401</v>
      </c>
      <c r="K930" s="129">
        <v>10401</v>
      </c>
      <c r="L930" s="211" t="s">
        <v>620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1500</v>
      </c>
      <c r="E931" s="122" t="s">
        <v>500</v>
      </c>
      <c r="F931" s="125" t="s">
        <v>537</v>
      </c>
      <c r="G931" s="126" t="s">
        <v>415</v>
      </c>
      <c r="H931" s="127"/>
      <c r="I931" s="128">
        <v>1</v>
      </c>
      <c r="J931" s="129">
        <v>30429</v>
      </c>
      <c r="K931" s="129">
        <v>30429</v>
      </c>
      <c r="L931" s="211" t="s">
        <v>620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1501</v>
      </c>
      <c r="E932" s="122" t="s">
        <v>474</v>
      </c>
      <c r="F932" s="125" t="s">
        <v>217</v>
      </c>
      <c r="G932" s="126" t="s">
        <v>371</v>
      </c>
      <c r="H932" s="127"/>
      <c r="I932" s="128">
        <v>1</v>
      </c>
      <c r="J932" s="129">
        <v>44597</v>
      </c>
      <c r="K932" s="142">
        <v>44597</v>
      </c>
      <c r="L932" s="211" t="s">
        <v>620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1502</v>
      </c>
      <c r="E933" s="122" t="s">
        <v>1296</v>
      </c>
      <c r="F933" s="125" t="s">
        <v>580</v>
      </c>
      <c r="G933" s="126" t="s">
        <v>371</v>
      </c>
      <c r="H933" s="127"/>
      <c r="I933" s="128">
        <v>1</v>
      </c>
      <c r="J933" s="129">
        <v>25800</v>
      </c>
      <c r="K933" s="129">
        <v>25800</v>
      </c>
      <c r="L933" s="211" t="s">
        <v>620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1503</v>
      </c>
      <c r="E934" s="122" t="s">
        <v>478</v>
      </c>
      <c r="F934" s="125" t="s">
        <v>217</v>
      </c>
      <c r="G934" s="126" t="s">
        <v>371</v>
      </c>
      <c r="H934" s="127"/>
      <c r="I934" s="128">
        <v>1</v>
      </c>
      <c r="J934" s="129">
        <v>44597</v>
      </c>
      <c r="K934" s="142">
        <v>44597</v>
      </c>
      <c r="L934" s="211" t="s">
        <v>620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1504</v>
      </c>
      <c r="E935" s="122" t="s">
        <v>500</v>
      </c>
      <c r="F935" s="125" t="s">
        <v>580</v>
      </c>
      <c r="G935" s="126" t="s">
        <v>371</v>
      </c>
      <c r="H935" s="127"/>
      <c r="I935" s="128">
        <v>1</v>
      </c>
      <c r="J935" s="129">
        <v>25800</v>
      </c>
      <c r="K935" s="129">
        <v>25800</v>
      </c>
      <c r="L935" s="211" t="s">
        <v>620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1505</v>
      </c>
      <c r="E936" s="122" t="s">
        <v>500</v>
      </c>
      <c r="F936" s="125" t="s">
        <v>116</v>
      </c>
      <c r="G936" s="126" t="s">
        <v>400</v>
      </c>
      <c r="H936" s="127"/>
      <c r="I936" s="128">
        <v>2</v>
      </c>
      <c r="J936" s="129">
        <v>5274</v>
      </c>
      <c r="K936" s="129">
        <v>10548</v>
      </c>
      <c r="L936" s="211" t="s">
        <v>620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1460</v>
      </c>
      <c r="E937" s="122" t="s">
        <v>697</v>
      </c>
      <c r="F937" s="125" t="s">
        <v>580</v>
      </c>
      <c r="G937" s="126" t="s">
        <v>371</v>
      </c>
      <c r="H937" s="127"/>
      <c r="I937" s="128">
        <v>1</v>
      </c>
      <c r="J937" s="129">
        <v>25800</v>
      </c>
      <c r="K937" s="129">
        <v>25800</v>
      </c>
      <c r="L937" s="211" t="s">
        <v>620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1506</v>
      </c>
      <c r="E938" s="122" t="s">
        <v>500</v>
      </c>
      <c r="F938" s="125" t="s">
        <v>537</v>
      </c>
      <c r="G938" s="126" t="s">
        <v>527</v>
      </c>
      <c r="H938" s="127"/>
      <c r="I938" s="128">
        <v>1</v>
      </c>
      <c r="J938" s="129">
        <v>30429</v>
      </c>
      <c r="K938" s="129">
        <v>30429</v>
      </c>
      <c r="L938" s="211" t="s">
        <v>620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1507</v>
      </c>
      <c r="E939" s="122"/>
      <c r="F939" s="125" t="s">
        <v>217</v>
      </c>
      <c r="G939" s="126" t="s">
        <v>371</v>
      </c>
      <c r="H939" s="127"/>
      <c r="I939" s="128">
        <v>1</v>
      </c>
      <c r="J939" s="129">
        <v>44597</v>
      </c>
      <c r="K939" s="129">
        <v>44597</v>
      </c>
      <c r="L939" s="211" t="s">
        <v>620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1507</v>
      </c>
      <c r="E940" s="122"/>
      <c r="F940" s="125" t="s">
        <v>682</v>
      </c>
      <c r="G940" s="126" t="s">
        <v>371</v>
      </c>
      <c r="H940" s="127"/>
      <c r="I940" s="128">
        <v>1</v>
      </c>
      <c r="J940" s="129">
        <v>55058</v>
      </c>
      <c r="K940" s="129">
        <v>55058</v>
      </c>
      <c r="L940" s="211" t="s">
        <v>620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1508</v>
      </c>
      <c r="E941" s="122" t="s">
        <v>500</v>
      </c>
      <c r="F941" s="125" t="s">
        <v>537</v>
      </c>
      <c r="G941" s="126" t="s">
        <v>562</v>
      </c>
      <c r="H941" s="127"/>
      <c r="I941" s="128">
        <v>1</v>
      </c>
      <c r="J941" s="129">
        <v>30429</v>
      </c>
      <c r="K941" s="129">
        <v>30429</v>
      </c>
      <c r="L941" s="211" t="s">
        <v>620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1509</v>
      </c>
      <c r="E942" s="122" t="s">
        <v>484</v>
      </c>
      <c r="F942" s="125" t="s">
        <v>217</v>
      </c>
      <c r="G942" s="126" t="s">
        <v>371</v>
      </c>
      <c r="H942" s="127"/>
      <c r="I942" s="128">
        <v>1</v>
      </c>
      <c r="J942" s="129">
        <v>44597</v>
      </c>
      <c r="K942" s="129">
        <v>44597</v>
      </c>
      <c r="L942" s="211" t="s">
        <v>620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1510</v>
      </c>
      <c r="E943" s="122" t="s">
        <v>484</v>
      </c>
      <c r="F943" s="125" t="s">
        <v>1301</v>
      </c>
      <c r="G943" s="126" t="s">
        <v>371</v>
      </c>
      <c r="H943" s="127"/>
      <c r="I943" s="128">
        <v>1</v>
      </c>
      <c r="J943" s="129">
        <v>35501</v>
      </c>
      <c r="K943" s="142">
        <v>35501</v>
      </c>
      <c r="L943" s="211" t="s">
        <v>620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1511</v>
      </c>
      <c r="E944" s="122" t="s">
        <v>1428</v>
      </c>
      <c r="F944" s="125" t="s">
        <v>580</v>
      </c>
      <c r="G944" s="126" t="s">
        <v>371</v>
      </c>
      <c r="H944" s="127"/>
      <c r="I944" s="128">
        <v>1</v>
      </c>
      <c r="J944" s="129">
        <v>25800</v>
      </c>
      <c r="K944" s="129">
        <v>25800</v>
      </c>
      <c r="L944" s="211" t="s">
        <v>620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1384</v>
      </c>
      <c r="E945" s="122" t="s">
        <v>474</v>
      </c>
      <c r="F945" s="125" t="s">
        <v>217</v>
      </c>
      <c r="G945" s="126" t="s">
        <v>369</v>
      </c>
      <c r="H945" s="127"/>
      <c r="I945" s="128">
        <v>1</v>
      </c>
      <c r="J945" s="129">
        <v>44597</v>
      </c>
      <c r="K945" s="129">
        <v>44597</v>
      </c>
      <c r="L945" s="211" t="s">
        <v>620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504</v>
      </c>
      <c r="E946" s="122" t="s">
        <v>505</v>
      </c>
      <c r="F946" s="125" t="s">
        <v>580</v>
      </c>
      <c r="G946" s="126" t="s">
        <v>371</v>
      </c>
      <c r="H946" s="127"/>
      <c r="I946" s="128">
        <v>1</v>
      </c>
      <c r="J946" s="129">
        <v>25800</v>
      </c>
      <c r="K946" s="142">
        <v>25800</v>
      </c>
      <c r="L946" s="613" t="s">
        <v>960</v>
      </c>
      <c r="M946" s="605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1512</v>
      </c>
      <c r="E947" s="122" t="s">
        <v>505</v>
      </c>
      <c r="F947" s="125" t="s">
        <v>580</v>
      </c>
      <c r="G947" s="126" t="s">
        <v>371</v>
      </c>
      <c r="H947" s="127"/>
      <c r="I947" s="128">
        <v>1</v>
      </c>
      <c r="J947" s="129">
        <v>25800</v>
      </c>
      <c r="K947" s="142">
        <v>25800</v>
      </c>
      <c r="L947" s="614"/>
      <c r="M947" s="606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1513</v>
      </c>
      <c r="E948" s="122" t="s">
        <v>697</v>
      </c>
      <c r="F948" s="125" t="s">
        <v>580</v>
      </c>
      <c r="G948" s="126" t="s">
        <v>371</v>
      </c>
      <c r="H948" s="127"/>
      <c r="I948" s="128">
        <v>1</v>
      </c>
      <c r="J948" s="129">
        <v>25800</v>
      </c>
      <c r="K948" s="142">
        <v>25800</v>
      </c>
      <c r="L948" s="614"/>
      <c r="M948" s="606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1489</v>
      </c>
      <c r="E949" s="122" t="s">
        <v>474</v>
      </c>
      <c r="F949" s="125" t="s">
        <v>217</v>
      </c>
      <c r="G949" s="126" t="s">
        <v>371</v>
      </c>
      <c r="H949" s="127"/>
      <c r="I949" s="128">
        <v>1</v>
      </c>
      <c r="J949" s="129">
        <v>44597</v>
      </c>
      <c r="K949" s="142">
        <v>44597</v>
      </c>
      <c r="L949" s="614"/>
      <c r="M949" s="606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1514</v>
      </c>
      <c r="E950" s="122" t="s">
        <v>500</v>
      </c>
      <c r="F950" s="125" t="s">
        <v>115</v>
      </c>
      <c r="G950" s="126" t="s">
        <v>594</v>
      </c>
      <c r="H950" s="127"/>
      <c r="I950" s="128">
        <v>1</v>
      </c>
      <c r="J950" s="129">
        <v>33370</v>
      </c>
      <c r="K950" s="142">
        <v>33370</v>
      </c>
      <c r="L950" s="614"/>
      <c r="M950" s="606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1515</v>
      </c>
      <c r="E951" s="122" t="s">
        <v>474</v>
      </c>
      <c r="F951" s="125" t="s">
        <v>1011</v>
      </c>
      <c r="G951" s="126" t="s">
        <v>387</v>
      </c>
      <c r="H951" s="127"/>
      <c r="I951" s="128">
        <v>2</v>
      </c>
      <c r="J951" s="129">
        <v>9129</v>
      </c>
      <c r="K951" s="142">
        <v>18258</v>
      </c>
      <c r="L951" s="614"/>
      <c r="M951" s="606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1516</v>
      </c>
      <c r="E952" s="122" t="s">
        <v>1428</v>
      </c>
      <c r="F952" s="125" t="s">
        <v>217</v>
      </c>
      <c r="G952" s="126" t="s">
        <v>371</v>
      </c>
      <c r="H952" s="127"/>
      <c r="I952" s="128">
        <v>1</v>
      </c>
      <c r="J952" s="129">
        <v>44597</v>
      </c>
      <c r="K952" s="142">
        <v>44597</v>
      </c>
      <c r="L952" s="614"/>
      <c r="M952" s="606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1517</v>
      </c>
      <c r="E953" s="122" t="s">
        <v>484</v>
      </c>
      <c r="F953" s="125" t="s">
        <v>1301</v>
      </c>
      <c r="G953" s="126" t="s">
        <v>371</v>
      </c>
      <c r="H953" s="127"/>
      <c r="I953" s="128">
        <v>1</v>
      </c>
      <c r="J953" s="129">
        <v>35501</v>
      </c>
      <c r="K953" s="142">
        <v>35501</v>
      </c>
      <c r="L953" s="614"/>
      <c r="M953" s="606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502</v>
      </c>
      <c r="E954" s="122" t="s">
        <v>484</v>
      </c>
      <c r="F954" s="125" t="s">
        <v>682</v>
      </c>
      <c r="G954" s="126" t="s">
        <v>369</v>
      </c>
      <c r="H954" s="127"/>
      <c r="I954" s="128">
        <v>1</v>
      </c>
      <c r="J954" s="129">
        <v>55058</v>
      </c>
      <c r="K954" s="142">
        <v>55058</v>
      </c>
      <c r="L954" s="614"/>
      <c r="M954" s="606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1436</v>
      </c>
      <c r="E955" s="122" t="s">
        <v>484</v>
      </c>
      <c r="F955" s="125" t="s">
        <v>1035</v>
      </c>
      <c r="G955" s="126" t="s">
        <v>369</v>
      </c>
      <c r="H955" s="127"/>
      <c r="I955" s="128">
        <v>1</v>
      </c>
      <c r="J955" s="129">
        <v>10143</v>
      </c>
      <c r="K955" s="142">
        <v>10143</v>
      </c>
      <c r="L955" s="614"/>
      <c r="M955" s="606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1518</v>
      </c>
      <c r="E956" s="122" t="s">
        <v>484</v>
      </c>
      <c r="F956" s="125" t="s">
        <v>682</v>
      </c>
      <c r="G956" s="126" t="s">
        <v>369</v>
      </c>
      <c r="H956" s="127"/>
      <c r="I956" s="128">
        <v>1</v>
      </c>
      <c r="J956" s="129">
        <v>55058</v>
      </c>
      <c r="K956" s="142">
        <v>55058</v>
      </c>
      <c r="L956" s="614"/>
      <c r="M956" s="606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1519</v>
      </c>
      <c r="E957" s="122" t="s">
        <v>500</v>
      </c>
      <c r="F957" s="125" t="s">
        <v>192</v>
      </c>
      <c r="G957" s="126" t="s">
        <v>419</v>
      </c>
      <c r="H957" s="127"/>
      <c r="I957" s="128">
        <v>1</v>
      </c>
      <c r="J957" s="129">
        <v>57960</v>
      </c>
      <c r="K957" s="142">
        <v>57960</v>
      </c>
      <c r="L957" s="614"/>
      <c r="M957" s="606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499</v>
      </c>
      <c r="E958" s="122" t="s">
        <v>500</v>
      </c>
      <c r="F958" s="125" t="s">
        <v>192</v>
      </c>
      <c r="G958" s="126" t="s">
        <v>417</v>
      </c>
      <c r="H958" s="127"/>
      <c r="I958" s="128">
        <v>1</v>
      </c>
      <c r="J958" s="129">
        <v>57960</v>
      </c>
      <c r="K958" s="142">
        <v>57960</v>
      </c>
      <c r="L958" s="614"/>
      <c r="M958" s="606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1520</v>
      </c>
      <c r="E959" s="122" t="s">
        <v>697</v>
      </c>
      <c r="F959" s="125" t="s">
        <v>235</v>
      </c>
      <c r="G959" s="126" t="s">
        <v>371</v>
      </c>
      <c r="H959" s="127"/>
      <c r="I959" s="128">
        <v>1</v>
      </c>
      <c r="J959" s="129">
        <v>12499</v>
      </c>
      <c r="K959" s="142">
        <v>12499</v>
      </c>
      <c r="L959" s="614"/>
      <c r="M959" s="606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1521</v>
      </c>
      <c r="E960" s="122" t="s">
        <v>1428</v>
      </c>
      <c r="F960" s="125" t="s">
        <v>580</v>
      </c>
      <c r="G960" s="126" t="s">
        <v>371</v>
      </c>
      <c r="H960" s="127"/>
      <c r="I960" s="128">
        <v>1</v>
      </c>
      <c r="J960" s="129">
        <v>25800</v>
      </c>
      <c r="K960" s="142">
        <v>25800</v>
      </c>
      <c r="L960" s="614"/>
      <c r="M960" s="606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1522</v>
      </c>
      <c r="E961" s="122" t="s">
        <v>500</v>
      </c>
      <c r="F961" s="125" t="s">
        <v>537</v>
      </c>
      <c r="G961" s="126" t="s">
        <v>527</v>
      </c>
      <c r="H961" s="127"/>
      <c r="I961" s="128">
        <v>1</v>
      </c>
      <c r="J961" s="129">
        <v>30429</v>
      </c>
      <c r="K961" s="142">
        <v>30429</v>
      </c>
      <c r="L961" s="614"/>
      <c r="M961" s="606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1523</v>
      </c>
      <c r="E962" s="122" t="s">
        <v>1428</v>
      </c>
      <c r="F962" s="125" t="s">
        <v>580</v>
      </c>
      <c r="G962" s="126" t="s">
        <v>371</v>
      </c>
      <c r="H962" s="127"/>
      <c r="I962" s="128">
        <v>1</v>
      </c>
      <c r="J962" s="129">
        <v>25800</v>
      </c>
      <c r="K962" s="142">
        <v>25800</v>
      </c>
      <c r="L962" s="614"/>
      <c r="M962" s="606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1505</v>
      </c>
      <c r="E963" s="122" t="s">
        <v>500</v>
      </c>
      <c r="F963" s="125" t="s">
        <v>210</v>
      </c>
      <c r="G963" s="126" t="s">
        <v>400</v>
      </c>
      <c r="H963" s="127"/>
      <c r="I963" s="128">
        <v>2</v>
      </c>
      <c r="J963" s="129">
        <v>14099</v>
      </c>
      <c r="K963" s="142">
        <v>28198</v>
      </c>
      <c r="L963" s="614"/>
      <c r="M963" s="606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1505</v>
      </c>
      <c r="E964" s="122" t="s">
        <v>500</v>
      </c>
      <c r="F964" s="125" t="s">
        <v>192</v>
      </c>
      <c r="G964" s="126" t="s">
        <v>400</v>
      </c>
      <c r="H964" s="127"/>
      <c r="I964" s="128">
        <v>2</v>
      </c>
      <c r="J964" s="129">
        <v>57960</v>
      </c>
      <c r="K964" s="142">
        <v>115920</v>
      </c>
      <c r="L964" s="614"/>
      <c r="M964" s="606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1524</v>
      </c>
      <c r="E965" s="122" t="s">
        <v>484</v>
      </c>
      <c r="F965" s="125" t="s">
        <v>217</v>
      </c>
      <c r="G965" s="126" t="s">
        <v>371</v>
      </c>
      <c r="H965" s="127"/>
      <c r="I965" s="128">
        <v>1</v>
      </c>
      <c r="J965" s="129">
        <v>44597</v>
      </c>
      <c r="K965" s="142">
        <v>44597</v>
      </c>
      <c r="L965" s="614"/>
      <c r="M965" s="606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1508</v>
      </c>
      <c r="E966" s="122" t="s">
        <v>500</v>
      </c>
      <c r="F966" s="125" t="s">
        <v>580</v>
      </c>
      <c r="G966" s="126" t="s">
        <v>371</v>
      </c>
      <c r="H966" s="127"/>
      <c r="I966" s="128">
        <v>1</v>
      </c>
      <c r="J966" s="129">
        <v>25800</v>
      </c>
      <c r="K966" s="142">
        <v>25800</v>
      </c>
      <c r="L966" s="614"/>
      <c r="M966" s="606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1384</v>
      </c>
      <c r="E967" s="122" t="s">
        <v>474</v>
      </c>
      <c r="F967" s="125" t="s">
        <v>1525</v>
      </c>
      <c r="G967" s="126" t="s">
        <v>371</v>
      </c>
      <c r="H967" s="127"/>
      <c r="I967" s="128">
        <v>1</v>
      </c>
      <c r="J967" s="129">
        <v>8114.4</v>
      </c>
      <c r="K967" s="142">
        <v>8114.4</v>
      </c>
      <c r="L967" s="614"/>
      <c r="M967" s="606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1526</v>
      </c>
      <c r="E968" s="122" t="s">
        <v>500</v>
      </c>
      <c r="F968" s="125" t="s">
        <v>217</v>
      </c>
      <c r="G968" s="126" t="s">
        <v>371</v>
      </c>
      <c r="H968" s="127"/>
      <c r="I968" s="128">
        <v>1</v>
      </c>
      <c r="J968" s="129">
        <v>44597</v>
      </c>
      <c r="K968" s="142">
        <v>44597</v>
      </c>
      <c r="L968" s="614"/>
      <c r="M968" s="606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1527</v>
      </c>
      <c r="E969" s="122" t="s">
        <v>484</v>
      </c>
      <c r="F969" s="125" t="s">
        <v>217</v>
      </c>
      <c r="G969" s="126" t="s">
        <v>371</v>
      </c>
      <c r="H969" s="127"/>
      <c r="I969" s="128">
        <v>1</v>
      </c>
      <c r="J969" s="129">
        <v>44597</v>
      </c>
      <c r="K969" s="129">
        <v>44597</v>
      </c>
      <c r="L969" s="615"/>
      <c r="M969" s="607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1528</v>
      </c>
      <c r="E970" s="122" t="s">
        <v>478</v>
      </c>
      <c r="F970" s="125" t="s">
        <v>116</v>
      </c>
      <c r="G970" s="126" t="s">
        <v>534</v>
      </c>
      <c r="H970" s="127"/>
      <c r="I970" s="128">
        <v>1</v>
      </c>
      <c r="J970" s="129">
        <v>5274</v>
      </c>
      <c r="K970" s="129">
        <v>5274</v>
      </c>
      <c r="L970" s="212" t="s">
        <v>623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1529</v>
      </c>
      <c r="E971" s="122" t="s">
        <v>1234</v>
      </c>
      <c r="F971" s="125" t="s">
        <v>217</v>
      </c>
      <c r="G971" s="126" t="s">
        <v>371</v>
      </c>
      <c r="H971" s="127"/>
      <c r="I971" s="128">
        <v>1</v>
      </c>
      <c r="J971" s="129">
        <v>44597</v>
      </c>
      <c r="K971" s="129">
        <v>44597</v>
      </c>
      <c r="L971" s="212" t="s">
        <v>623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1403</v>
      </c>
      <c r="E972" s="122" t="s">
        <v>484</v>
      </c>
      <c r="F972" s="125" t="s">
        <v>1301</v>
      </c>
      <c r="G972" s="126" t="s">
        <v>371</v>
      </c>
      <c r="H972" s="127"/>
      <c r="I972" s="128">
        <v>1</v>
      </c>
      <c r="J972" s="129">
        <v>35501</v>
      </c>
      <c r="K972" s="129">
        <v>35501</v>
      </c>
      <c r="L972" s="212" t="s">
        <v>623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1530</v>
      </c>
      <c r="E973" s="122" t="s">
        <v>484</v>
      </c>
      <c r="F973" s="125" t="s">
        <v>580</v>
      </c>
      <c r="G973" s="126" t="s">
        <v>371</v>
      </c>
      <c r="H973" s="127"/>
      <c r="I973" s="128">
        <v>1</v>
      </c>
      <c r="J973" s="129">
        <v>25800</v>
      </c>
      <c r="K973" s="129">
        <v>25800</v>
      </c>
      <c r="L973" s="212" t="s">
        <v>623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1531</v>
      </c>
      <c r="E974" s="122" t="s">
        <v>500</v>
      </c>
      <c r="F974" s="125" t="s">
        <v>204</v>
      </c>
      <c r="G974" s="126" t="s">
        <v>568</v>
      </c>
      <c r="H974" s="127"/>
      <c r="I974" s="128">
        <v>1</v>
      </c>
      <c r="J974" s="129">
        <v>17244</v>
      </c>
      <c r="K974" s="129">
        <v>17244</v>
      </c>
      <c r="L974" s="212" t="s">
        <v>623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1532</v>
      </c>
      <c r="E975" s="122" t="s">
        <v>500</v>
      </c>
      <c r="F975" s="125" t="s">
        <v>580</v>
      </c>
      <c r="G975" s="126" t="s">
        <v>371</v>
      </c>
      <c r="H975" s="127"/>
      <c r="I975" s="128">
        <v>1</v>
      </c>
      <c r="J975" s="129">
        <v>25800</v>
      </c>
      <c r="K975" s="129">
        <v>25800</v>
      </c>
      <c r="L975" s="212" t="s">
        <v>623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1507</v>
      </c>
      <c r="E976" s="122" t="s">
        <v>474</v>
      </c>
      <c r="F976" s="125" t="s">
        <v>232</v>
      </c>
      <c r="G976" s="126" t="s">
        <v>371</v>
      </c>
      <c r="H976" s="127"/>
      <c r="I976" s="128">
        <v>1</v>
      </c>
      <c r="J976" s="129">
        <v>17244</v>
      </c>
      <c r="K976" s="129">
        <v>17244</v>
      </c>
      <c r="L976" s="212" t="s">
        <v>623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1533</v>
      </c>
      <c r="E977" s="122" t="s">
        <v>484</v>
      </c>
      <c r="F977" s="125" t="s">
        <v>217</v>
      </c>
      <c r="G977" s="126" t="s">
        <v>371</v>
      </c>
      <c r="H977" s="127"/>
      <c r="I977" s="128">
        <v>1</v>
      </c>
      <c r="J977" s="129">
        <v>44597</v>
      </c>
      <c r="K977" s="129">
        <v>44597</v>
      </c>
      <c r="L977" s="212" t="s">
        <v>623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1534</v>
      </c>
      <c r="E978" s="122" t="s">
        <v>484</v>
      </c>
      <c r="F978" s="125" t="s">
        <v>682</v>
      </c>
      <c r="G978" s="126" t="s">
        <v>371</v>
      </c>
      <c r="H978" s="127"/>
      <c r="I978" s="128">
        <v>1</v>
      </c>
      <c r="J978" s="129">
        <v>55058</v>
      </c>
      <c r="K978" s="129">
        <v>55058</v>
      </c>
      <c r="L978" s="212" t="s">
        <v>623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1531</v>
      </c>
      <c r="E979" s="122" t="s">
        <v>500</v>
      </c>
      <c r="F979" s="125" t="s">
        <v>204</v>
      </c>
      <c r="G979" s="126" t="s">
        <v>568</v>
      </c>
      <c r="H979" s="127"/>
      <c r="I979" s="128">
        <v>1</v>
      </c>
      <c r="J979" s="129">
        <v>17244</v>
      </c>
      <c r="K979" s="129">
        <v>17244</v>
      </c>
      <c r="L979" s="212" t="s">
        <v>623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1535</v>
      </c>
      <c r="E980" s="122" t="s">
        <v>500</v>
      </c>
      <c r="F980" s="125" t="s">
        <v>217</v>
      </c>
      <c r="G980" s="126" t="s">
        <v>387</v>
      </c>
      <c r="H980" s="127"/>
      <c r="I980" s="128">
        <v>2</v>
      </c>
      <c r="J980" s="129">
        <v>44597</v>
      </c>
      <c r="K980" s="129">
        <v>89194</v>
      </c>
      <c r="L980" s="212" t="s">
        <v>623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1536</v>
      </c>
      <c r="E981" s="122" t="s">
        <v>484</v>
      </c>
      <c r="F981" s="125" t="s">
        <v>217</v>
      </c>
      <c r="G981" s="126" t="s">
        <v>387</v>
      </c>
      <c r="H981" s="127"/>
      <c r="I981" s="128">
        <v>2</v>
      </c>
      <c r="J981" s="129">
        <v>44597</v>
      </c>
      <c r="K981" s="129">
        <v>89194</v>
      </c>
      <c r="L981" s="212" t="s">
        <v>623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1537</v>
      </c>
      <c r="E982" s="122" t="s">
        <v>500</v>
      </c>
      <c r="F982" s="125" t="s">
        <v>217</v>
      </c>
      <c r="G982" s="126" t="s">
        <v>371</v>
      </c>
      <c r="H982" s="127"/>
      <c r="I982" s="128">
        <v>1</v>
      </c>
      <c r="J982" s="129">
        <v>44597</v>
      </c>
      <c r="K982" s="129">
        <v>44597</v>
      </c>
      <c r="L982" s="212" t="s">
        <v>623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1538</v>
      </c>
      <c r="E983" s="122" t="s">
        <v>478</v>
      </c>
      <c r="F983" s="125" t="s">
        <v>217</v>
      </c>
      <c r="G983" s="126" t="s">
        <v>371</v>
      </c>
      <c r="H983" s="127"/>
      <c r="I983" s="128">
        <v>1</v>
      </c>
      <c r="J983" s="129">
        <v>44597</v>
      </c>
      <c r="K983" s="129">
        <v>44597</v>
      </c>
      <c r="L983" s="212" t="s">
        <v>623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1539</v>
      </c>
      <c r="E984" s="122" t="s">
        <v>478</v>
      </c>
      <c r="F984" s="125" t="s">
        <v>116</v>
      </c>
      <c r="G984" s="126" t="s">
        <v>472</v>
      </c>
      <c r="H984" s="127"/>
      <c r="I984" s="128">
        <v>1</v>
      </c>
      <c r="J984" s="129">
        <v>5274</v>
      </c>
      <c r="K984" s="129">
        <v>5274</v>
      </c>
      <c r="L984" s="212" t="s">
        <v>623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1539</v>
      </c>
      <c r="E985" s="122" t="s">
        <v>478</v>
      </c>
      <c r="F985" s="125" t="s">
        <v>175</v>
      </c>
      <c r="G985" s="126" t="s">
        <v>1540</v>
      </c>
      <c r="H985" s="127"/>
      <c r="I985" s="128">
        <v>2</v>
      </c>
      <c r="J985" s="129">
        <v>5274</v>
      </c>
      <c r="K985" s="129">
        <v>10548</v>
      </c>
      <c r="L985" s="212" t="s">
        <v>623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1541</v>
      </c>
      <c r="E986" s="122" t="s">
        <v>484</v>
      </c>
      <c r="F986" s="125" t="s">
        <v>217</v>
      </c>
      <c r="G986" s="126" t="s">
        <v>387</v>
      </c>
      <c r="H986" s="127"/>
      <c r="I986" s="128">
        <v>2</v>
      </c>
      <c r="J986" s="129">
        <v>44597</v>
      </c>
      <c r="K986" s="129">
        <v>89194</v>
      </c>
      <c r="L986" s="212" t="s">
        <v>623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506</v>
      </c>
      <c r="E987" s="122" t="s">
        <v>484</v>
      </c>
      <c r="F987" s="125" t="s">
        <v>580</v>
      </c>
      <c r="G987" s="126" t="s">
        <v>371</v>
      </c>
      <c r="H987" s="127"/>
      <c r="I987" s="128">
        <v>1</v>
      </c>
      <c r="J987" s="129">
        <v>25800</v>
      </c>
      <c r="K987" s="129">
        <v>25800</v>
      </c>
      <c r="L987" s="212" t="s">
        <v>623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510</v>
      </c>
      <c r="E988" s="122" t="s">
        <v>500</v>
      </c>
      <c r="F988" s="125" t="s">
        <v>1542</v>
      </c>
      <c r="G988" s="126" t="s">
        <v>511</v>
      </c>
      <c r="H988" s="127"/>
      <c r="I988" s="128">
        <v>1</v>
      </c>
      <c r="J988" s="129">
        <v>3651</v>
      </c>
      <c r="K988" s="129">
        <v>3651</v>
      </c>
      <c r="L988" s="212" t="s">
        <v>623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1543</v>
      </c>
      <c r="E989" s="122" t="s">
        <v>478</v>
      </c>
      <c r="F989" s="125" t="s">
        <v>116</v>
      </c>
      <c r="G989" s="126" t="s">
        <v>534</v>
      </c>
      <c r="H989" s="127"/>
      <c r="I989" s="128">
        <v>1</v>
      </c>
      <c r="J989" s="129">
        <v>5274</v>
      </c>
      <c r="K989" s="129">
        <v>5274</v>
      </c>
      <c r="L989" s="212" t="s">
        <v>623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1544</v>
      </c>
      <c r="E990" s="122" t="s">
        <v>697</v>
      </c>
      <c r="F990" s="125" t="s">
        <v>580</v>
      </c>
      <c r="G990" s="126" t="s">
        <v>371</v>
      </c>
      <c r="H990" s="127"/>
      <c r="I990" s="128">
        <v>1</v>
      </c>
      <c r="J990" s="129">
        <v>25800</v>
      </c>
      <c r="K990" s="129">
        <v>25800</v>
      </c>
      <c r="L990" s="212" t="s">
        <v>623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1505</v>
      </c>
      <c r="E991" s="122" t="s">
        <v>500</v>
      </c>
      <c r="F991" s="125" t="s">
        <v>682</v>
      </c>
      <c r="G991" s="126" t="s">
        <v>371</v>
      </c>
      <c r="H991" s="127"/>
      <c r="I991" s="128">
        <v>1</v>
      </c>
      <c r="J991" s="129">
        <v>55058</v>
      </c>
      <c r="K991" s="129">
        <v>55058</v>
      </c>
      <c r="L991" s="212" t="s">
        <v>623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507</v>
      </c>
      <c r="E992" s="122" t="s">
        <v>505</v>
      </c>
      <c r="F992" s="125" t="s">
        <v>580</v>
      </c>
      <c r="G992" s="126" t="s">
        <v>371</v>
      </c>
      <c r="H992" s="127"/>
      <c r="I992" s="128">
        <v>1</v>
      </c>
      <c r="J992" s="129">
        <v>25800</v>
      </c>
      <c r="K992" s="129">
        <v>25800</v>
      </c>
      <c r="L992" s="212" t="s">
        <v>623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1545</v>
      </c>
      <c r="E993" s="122" t="s">
        <v>500</v>
      </c>
      <c r="F993" s="125" t="s">
        <v>237</v>
      </c>
      <c r="G993" s="126" t="s">
        <v>371</v>
      </c>
      <c r="H993" s="127"/>
      <c r="I993" s="128">
        <v>1</v>
      </c>
      <c r="J993" s="129">
        <v>10401</v>
      </c>
      <c r="K993" s="129">
        <v>10401</v>
      </c>
      <c r="L993" s="212" t="s">
        <v>623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1546</v>
      </c>
      <c r="E994" s="122" t="s">
        <v>505</v>
      </c>
      <c r="F994" s="125" t="s">
        <v>580</v>
      </c>
      <c r="G994" s="126" t="s">
        <v>371</v>
      </c>
      <c r="H994" s="127"/>
      <c r="I994" s="128">
        <v>1</v>
      </c>
      <c r="J994" s="129">
        <v>25800</v>
      </c>
      <c r="K994" s="129">
        <v>25800</v>
      </c>
      <c r="L994" s="212" t="s">
        <v>623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1547</v>
      </c>
      <c r="E995" s="135" t="s">
        <v>456</v>
      </c>
      <c r="F995" s="138" t="s">
        <v>1224</v>
      </c>
      <c r="G995" s="139" t="s">
        <v>371</v>
      </c>
      <c r="H995" s="140"/>
      <c r="I995" s="141">
        <v>1</v>
      </c>
      <c r="J995" s="142">
        <v>14200</v>
      </c>
      <c r="K995" s="142">
        <v>14200</v>
      </c>
      <c r="L995" s="621" t="s">
        <v>608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1548</v>
      </c>
      <c r="E996" s="135" t="s">
        <v>545</v>
      </c>
      <c r="F996" s="138" t="s">
        <v>116</v>
      </c>
      <c r="G996" s="139" t="s">
        <v>419</v>
      </c>
      <c r="H996" s="140"/>
      <c r="I996" s="141">
        <v>1</v>
      </c>
      <c r="J996" s="142">
        <v>5274</v>
      </c>
      <c r="K996" s="142">
        <v>5274</v>
      </c>
      <c r="L996" s="622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1548</v>
      </c>
      <c r="E997" s="135" t="s">
        <v>545</v>
      </c>
      <c r="F997" s="138" t="s">
        <v>210</v>
      </c>
      <c r="G997" s="139" t="s">
        <v>419</v>
      </c>
      <c r="H997" s="140"/>
      <c r="I997" s="141">
        <v>1</v>
      </c>
      <c r="J997" s="142">
        <v>14099</v>
      </c>
      <c r="K997" s="142">
        <v>14099</v>
      </c>
      <c r="L997" s="622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1549</v>
      </c>
      <c r="E998" s="135" t="s">
        <v>456</v>
      </c>
      <c r="F998" s="138" t="s">
        <v>1224</v>
      </c>
      <c r="G998" s="139" t="s">
        <v>371</v>
      </c>
      <c r="H998" s="140"/>
      <c r="I998" s="141">
        <v>1</v>
      </c>
      <c r="J998" s="142">
        <v>14200</v>
      </c>
      <c r="K998" s="142">
        <v>14200</v>
      </c>
      <c r="L998" s="622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1550</v>
      </c>
      <c r="E999" s="135" t="s">
        <v>545</v>
      </c>
      <c r="F999" s="138" t="s">
        <v>197</v>
      </c>
      <c r="G999" s="139" t="s">
        <v>1551</v>
      </c>
      <c r="H999" s="140"/>
      <c r="I999" s="141">
        <v>7</v>
      </c>
      <c r="J999" s="142">
        <v>2739</v>
      </c>
      <c r="K999" s="142">
        <v>19173</v>
      </c>
      <c r="L999" s="622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1552</v>
      </c>
      <c r="E1000" s="135" t="s">
        <v>1553</v>
      </c>
      <c r="F1000" s="138" t="s">
        <v>217</v>
      </c>
      <c r="G1000" s="139" t="s">
        <v>387</v>
      </c>
      <c r="H1000" s="140"/>
      <c r="I1000" s="141">
        <v>2</v>
      </c>
      <c r="J1000" s="142">
        <v>44597</v>
      </c>
      <c r="K1000" s="142">
        <v>89194</v>
      </c>
      <c r="L1000" s="622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1554</v>
      </c>
      <c r="E1001" s="135" t="s">
        <v>545</v>
      </c>
      <c r="F1001" s="138" t="s">
        <v>537</v>
      </c>
      <c r="G1001" s="139" t="s">
        <v>417</v>
      </c>
      <c r="H1001" s="140"/>
      <c r="I1001" s="141">
        <v>1</v>
      </c>
      <c r="J1001" s="142">
        <v>30429</v>
      </c>
      <c r="K1001" s="142">
        <v>30429</v>
      </c>
      <c r="L1001" s="623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1555</v>
      </c>
      <c r="E1002" s="135" t="s">
        <v>545</v>
      </c>
      <c r="F1002" s="138" t="s">
        <v>217</v>
      </c>
      <c r="G1002" s="139" t="s">
        <v>371</v>
      </c>
      <c r="H1002" s="140"/>
      <c r="I1002" s="141">
        <v>1</v>
      </c>
      <c r="J1002" s="142">
        <v>44597</v>
      </c>
      <c r="K1002" s="142">
        <v>44597</v>
      </c>
      <c r="L1002" s="631" t="s">
        <v>760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1556</v>
      </c>
      <c r="E1003" s="135" t="s">
        <v>1553</v>
      </c>
      <c r="F1003" s="138" t="s">
        <v>217</v>
      </c>
      <c r="G1003" s="139" t="s">
        <v>371</v>
      </c>
      <c r="H1003" s="140"/>
      <c r="I1003" s="141">
        <v>1</v>
      </c>
      <c r="J1003" s="142">
        <v>44597</v>
      </c>
      <c r="K1003" s="142">
        <v>44597</v>
      </c>
      <c r="L1003" s="632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1548</v>
      </c>
      <c r="E1004" s="135" t="s">
        <v>545</v>
      </c>
      <c r="F1004" s="138" t="s">
        <v>115</v>
      </c>
      <c r="G1004" s="139" t="s">
        <v>419</v>
      </c>
      <c r="H1004" s="140"/>
      <c r="I1004" s="141">
        <v>1</v>
      </c>
      <c r="J1004" s="142">
        <v>33370</v>
      </c>
      <c r="K1004" s="142">
        <v>33370</v>
      </c>
      <c r="L1004" s="632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1550</v>
      </c>
      <c r="E1005" s="135" t="s">
        <v>545</v>
      </c>
      <c r="F1005" s="138" t="s">
        <v>622</v>
      </c>
      <c r="G1005" s="139" t="s">
        <v>371</v>
      </c>
      <c r="H1005" s="140"/>
      <c r="I1005" s="141">
        <v>1</v>
      </c>
      <c r="J1005" s="142">
        <v>15722</v>
      </c>
      <c r="K1005" s="142">
        <v>15722</v>
      </c>
      <c r="L1005" s="632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1550</v>
      </c>
      <c r="E1006" s="135" t="s">
        <v>545</v>
      </c>
      <c r="F1006" s="138" t="s">
        <v>204</v>
      </c>
      <c r="G1006" s="139" t="s">
        <v>511</v>
      </c>
      <c r="H1006" s="140"/>
      <c r="I1006" s="141">
        <v>1</v>
      </c>
      <c r="J1006" s="142">
        <v>17244</v>
      </c>
      <c r="K1006" s="142">
        <v>17244</v>
      </c>
      <c r="L1006" s="632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1550</v>
      </c>
      <c r="E1007" s="135" t="s">
        <v>545</v>
      </c>
      <c r="F1007" s="138" t="s">
        <v>116</v>
      </c>
      <c r="G1007" s="139" t="s">
        <v>404</v>
      </c>
      <c r="H1007" s="140"/>
      <c r="I1007" s="141">
        <v>1</v>
      </c>
      <c r="J1007" s="142">
        <v>5274</v>
      </c>
      <c r="K1007" s="142">
        <v>5274</v>
      </c>
      <c r="L1007" s="632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1550</v>
      </c>
      <c r="E1008" s="135" t="s">
        <v>545</v>
      </c>
      <c r="F1008" s="138" t="s">
        <v>115</v>
      </c>
      <c r="G1008" s="139" t="s">
        <v>404</v>
      </c>
      <c r="H1008" s="140"/>
      <c r="I1008" s="141">
        <v>1</v>
      </c>
      <c r="J1008" s="142">
        <v>33370</v>
      </c>
      <c r="K1008" s="142">
        <v>33370</v>
      </c>
      <c r="L1008" s="632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1557</v>
      </c>
      <c r="E1009" s="135" t="s">
        <v>1558</v>
      </c>
      <c r="F1009" s="138" t="s">
        <v>195</v>
      </c>
      <c r="G1009" s="139" t="s">
        <v>371</v>
      </c>
      <c r="H1009" s="140"/>
      <c r="I1009" s="141">
        <v>1</v>
      </c>
      <c r="J1009" s="142">
        <v>36514.799999999996</v>
      </c>
      <c r="K1009" s="142">
        <v>36514.799999999996</v>
      </c>
      <c r="L1009" s="632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1559</v>
      </c>
      <c r="E1010" s="135" t="s">
        <v>1553</v>
      </c>
      <c r="F1010" s="138" t="s">
        <v>537</v>
      </c>
      <c r="G1010" s="139" t="s">
        <v>472</v>
      </c>
      <c r="H1010" s="140"/>
      <c r="I1010" s="141">
        <v>1</v>
      </c>
      <c r="J1010" s="142">
        <v>30429</v>
      </c>
      <c r="K1010" s="142">
        <v>30429</v>
      </c>
      <c r="L1010" s="632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1560</v>
      </c>
      <c r="E1011" s="135" t="s">
        <v>545</v>
      </c>
      <c r="F1011" s="138" t="s">
        <v>115</v>
      </c>
      <c r="G1011" s="139" t="s">
        <v>442</v>
      </c>
      <c r="H1011" s="140"/>
      <c r="I1011" s="141">
        <v>1</v>
      </c>
      <c r="J1011" s="142">
        <v>33370</v>
      </c>
      <c r="K1011" s="142">
        <v>33370</v>
      </c>
      <c r="L1011" s="632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1561</v>
      </c>
      <c r="E1012" s="135" t="s">
        <v>545</v>
      </c>
      <c r="F1012" s="138" t="s">
        <v>682</v>
      </c>
      <c r="G1012" s="139" t="s">
        <v>369</v>
      </c>
      <c r="H1012" s="140"/>
      <c r="I1012" s="141">
        <v>1</v>
      </c>
      <c r="J1012" s="142">
        <v>55058</v>
      </c>
      <c r="K1012" s="142">
        <v>55058</v>
      </c>
      <c r="L1012" s="632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1562</v>
      </c>
      <c r="E1013" s="135" t="s">
        <v>545</v>
      </c>
      <c r="F1013" s="138" t="s">
        <v>197</v>
      </c>
      <c r="G1013" s="139" t="s">
        <v>1563</v>
      </c>
      <c r="H1013" s="140"/>
      <c r="I1013" s="141">
        <v>3</v>
      </c>
      <c r="J1013" s="142">
        <v>2739</v>
      </c>
      <c r="K1013" s="142">
        <v>8217</v>
      </c>
      <c r="L1013" s="632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1562</v>
      </c>
      <c r="E1014" s="135" t="s">
        <v>545</v>
      </c>
      <c r="F1014" s="138" t="s">
        <v>622</v>
      </c>
      <c r="G1014" s="139" t="s">
        <v>369</v>
      </c>
      <c r="H1014" s="140"/>
      <c r="I1014" s="141">
        <v>1</v>
      </c>
      <c r="J1014" s="142">
        <v>15722</v>
      </c>
      <c r="K1014" s="142">
        <v>15722</v>
      </c>
      <c r="L1014" s="632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1564</v>
      </c>
      <c r="E1015" s="135" t="s">
        <v>1553</v>
      </c>
      <c r="F1015" s="138" t="s">
        <v>622</v>
      </c>
      <c r="G1015" s="139" t="s">
        <v>369</v>
      </c>
      <c r="H1015" s="140"/>
      <c r="I1015" s="141">
        <v>1</v>
      </c>
      <c r="J1015" s="142">
        <v>15722</v>
      </c>
      <c r="K1015" s="142">
        <v>15722</v>
      </c>
      <c r="L1015" s="632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1564</v>
      </c>
      <c r="E1016" s="135" t="s">
        <v>1553</v>
      </c>
      <c r="F1016" s="138" t="s">
        <v>217</v>
      </c>
      <c r="G1016" s="139" t="s">
        <v>387</v>
      </c>
      <c r="H1016" s="140"/>
      <c r="I1016" s="141">
        <v>2</v>
      </c>
      <c r="J1016" s="142">
        <v>44597</v>
      </c>
      <c r="K1016" s="142">
        <v>89194</v>
      </c>
      <c r="L1016" s="633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1565</v>
      </c>
      <c r="E1017" s="135" t="s">
        <v>545</v>
      </c>
      <c r="F1017" s="138" t="s">
        <v>537</v>
      </c>
      <c r="G1017" s="139" t="s">
        <v>472</v>
      </c>
      <c r="H1017" s="140"/>
      <c r="I1017" s="141">
        <v>1</v>
      </c>
      <c r="J1017" s="142">
        <v>30429</v>
      </c>
      <c r="K1017" s="142">
        <v>30429</v>
      </c>
      <c r="L1017" s="624" t="s">
        <v>788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1566</v>
      </c>
      <c r="E1018" s="135" t="s">
        <v>521</v>
      </c>
      <c r="F1018" s="138" t="s">
        <v>197</v>
      </c>
      <c r="G1018" s="139" t="s">
        <v>1567</v>
      </c>
      <c r="H1018" s="140"/>
      <c r="I1018" s="141">
        <v>5</v>
      </c>
      <c r="J1018" s="142">
        <v>2739</v>
      </c>
      <c r="K1018" s="142">
        <v>13695</v>
      </c>
      <c r="L1018" s="625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1568</v>
      </c>
      <c r="E1019" s="135" t="s">
        <v>545</v>
      </c>
      <c r="F1019" s="138" t="s">
        <v>115</v>
      </c>
      <c r="G1019" s="139" t="s">
        <v>534</v>
      </c>
      <c r="H1019" s="140"/>
      <c r="I1019" s="141">
        <v>1</v>
      </c>
      <c r="J1019" s="142">
        <v>33370</v>
      </c>
      <c r="K1019" s="142">
        <v>33370</v>
      </c>
      <c r="L1019" s="625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1569</v>
      </c>
      <c r="E1020" s="135" t="s">
        <v>1553</v>
      </c>
      <c r="F1020" s="138" t="s">
        <v>682</v>
      </c>
      <c r="G1020" s="139" t="s">
        <v>387</v>
      </c>
      <c r="H1020" s="140"/>
      <c r="I1020" s="141">
        <v>2</v>
      </c>
      <c r="J1020" s="142">
        <v>55058</v>
      </c>
      <c r="K1020" s="142" t="s">
        <v>1570</v>
      </c>
      <c r="L1020" s="625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1571</v>
      </c>
      <c r="E1021" s="135" t="s">
        <v>1553</v>
      </c>
      <c r="F1021" s="138" t="s">
        <v>682</v>
      </c>
      <c r="G1021" s="139" t="s">
        <v>369</v>
      </c>
      <c r="H1021" s="140"/>
      <c r="I1021" s="141">
        <v>1</v>
      </c>
      <c r="J1021" s="142">
        <v>55058</v>
      </c>
      <c r="K1021" s="142">
        <v>55058</v>
      </c>
      <c r="L1021" s="625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1572</v>
      </c>
      <c r="E1022" s="135" t="s">
        <v>545</v>
      </c>
      <c r="F1022" s="138" t="s">
        <v>1301</v>
      </c>
      <c r="G1022" s="139" t="s">
        <v>371</v>
      </c>
      <c r="H1022" s="140"/>
      <c r="I1022" s="141">
        <v>1</v>
      </c>
      <c r="J1022" s="142">
        <v>35501</v>
      </c>
      <c r="K1022" s="142">
        <v>35501</v>
      </c>
      <c r="L1022" s="625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1573</v>
      </c>
      <c r="E1023" s="135" t="s">
        <v>521</v>
      </c>
      <c r="F1023" s="138" t="s">
        <v>210</v>
      </c>
      <c r="G1023" s="139" t="s">
        <v>527</v>
      </c>
      <c r="H1023" s="140"/>
      <c r="I1023" s="141">
        <v>1</v>
      </c>
      <c r="J1023" s="142">
        <v>14099</v>
      </c>
      <c r="K1023" s="142">
        <v>14099</v>
      </c>
      <c r="L1023" s="625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1573</v>
      </c>
      <c r="E1024" s="135" t="s">
        <v>521</v>
      </c>
      <c r="F1024" s="138" t="s">
        <v>192</v>
      </c>
      <c r="G1024" s="139" t="s">
        <v>527</v>
      </c>
      <c r="H1024" s="140"/>
      <c r="I1024" s="141">
        <v>1</v>
      </c>
      <c r="J1024" s="142">
        <v>57960</v>
      </c>
      <c r="K1024" s="142">
        <v>57960</v>
      </c>
      <c r="L1024" s="625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1574</v>
      </c>
      <c r="E1025" s="135" t="s">
        <v>1553</v>
      </c>
      <c r="F1025" s="138" t="s">
        <v>537</v>
      </c>
      <c r="G1025" s="139" t="s">
        <v>527</v>
      </c>
      <c r="H1025" s="140"/>
      <c r="I1025" s="141">
        <v>1</v>
      </c>
      <c r="J1025" s="142">
        <v>30429</v>
      </c>
      <c r="K1025" s="142">
        <v>30429</v>
      </c>
      <c r="L1025" s="625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1575</v>
      </c>
      <c r="E1026" s="135" t="s">
        <v>1553</v>
      </c>
      <c r="F1026" s="138" t="s">
        <v>115</v>
      </c>
      <c r="G1026" s="139" t="s">
        <v>442</v>
      </c>
      <c r="H1026" s="140"/>
      <c r="I1026" s="141">
        <v>1</v>
      </c>
      <c r="J1026" s="142">
        <v>33370</v>
      </c>
      <c r="K1026" s="142">
        <v>33370</v>
      </c>
      <c r="L1026" s="625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1576</v>
      </c>
      <c r="E1027" s="135" t="s">
        <v>545</v>
      </c>
      <c r="F1027" s="138" t="s">
        <v>537</v>
      </c>
      <c r="G1027" s="139" t="s">
        <v>527</v>
      </c>
      <c r="H1027" s="140"/>
      <c r="I1027" s="141">
        <v>1</v>
      </c>
      <c r="J1027" s="142">
        <v>30429</v>
      </c>
      <c r="K1027" s="142">
        <v>30429</v>
      </c>
      <c r="L1027" s="625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1577</v>
      </c>
      <c r="E1028" s="135" t="s">
        <v>521</v>
      </c>
      <c r="F1028" s="138" t="s">
        <v>115</v>
      </c>
      <c r="G1028" s="139" t="s">
        <v>431</v>
      </c>
      <c r="H1028" s="140"/>
      <c r="I1028" s="141">
        <v>1</v>
      </c>
      <c r="J1028" s="142">
        <v>33370</v>
      </c>
      <c r="K1028" s="142">
        <v>33370</v>
      </c>
      <c r="L1028" s="625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1578</v>
      </c>
      <c r="E1029" s="135" t="s">
        <v>521</v>
      </c>
      <c r="F1029" s="138" t="s">
        <v>1579</v>
      </c>
      <c r="G1029" s="139" t="s">
        <v>431</v>
      </c>
      <c r="H1029" s="140"/>
      <c r="I1029" s="141">
        <v>1</v>
      </c>
      <c r="J1029" s="142">
        <v>63583</v>
      </c>
      <c r="K1029" s="142">
        <v>63583</v>
      </c>
      <c r="L1029" s="625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1580</v>
      </c>
      <c r="E1030" s="135" t="s">
        <v>545</v>
      </c>
      <c r="F1030" s="138" t="s">
        <v>235</v>
      </c>
      <c r="G1030" s="139" t="s">
        <v>369</v>
      </c>
      <c r="H1030" s="140"/>
      <c r="I1030" s="141">
        <v>1</v>
      </c>
      <c r="J1030" s="142">
        <v>12499</v>
      </c>
      <c r="K1030" s="142">
        <v>12499</v>
      </c>
      <c r="L1030" s="625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1581</v>
      </c>
      <c r="E1031" s="135" t="s">
        <v>1553</v>
      </c>
      <c r="F1031" s="138" t="s">
        <v>192</v>
      </c>
      <c r="G1031" s="139" t="s">
        <v>530</v>
      </c>
      <c r="H1031" s="140"/>
      <c r="I1031" s="141">
        <v>1</v>
      </c>
      <c r="J1031" s="142">
        <v>57960</v>
      </c>
      <c r="K1031" s="142">
        <v>57960</v>
      </c>
      <c r="L1031" s="625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1582</v>
      </c>
      <c r="E1032" s="135" t="s">
        <v>1553</v>
      </c>
      <c r="F1032" s="138" t="s">
        <v>537</v>
      </c>
      <c r="G1032" s="139" t="s">
        <v>594</v>
      </c>
      <c r="H1032" s="140"/>
      <c r="I1032" s="141">
        <v>1</v>
      </c>
      <c r="J1032" s="142">
        <v>30429</v>
      </c>
      <c r="K1032" s="142">
        <v>30429</v>
      </c>
      <c r="L1032" s="625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1583</v>
      </c>
      <c r="E1033" s="135" t="s">
        <v>545</v>
      </c>
      <c r="F1033" s="138" t="s">
        <v>217</v>
      </c>
      <c r="G1033" s="139" t="s">
        <v>369</v>
      </c>
      <c r="H1033" s="140"/>
      <c r="I1033" s="141">
        <v>1</v>
      </c>
      <c r="J1033" s="142">
        <v>44597</v>
      </c>
      <c r="K1033" s="142">
        <v>44597</v>
      </c>
      <c r="L1033" s="626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1584</v>
      </c>
      <c r="E1034" s="135" t="s">
        <v>545</v>
      </c>
      <c r="F1034" s="138" t="s">
        <v>537</v>
      </c>
      <c r="G1034" s="139" t="s">
        <v>472</v>
      </c>
      <c r="H1034" s="140"/>
      <c r="I1034" s="141">
        <v>1</v>
      </c>
      <c r="J1034" s="142">
        <v>30429</v>
      </c>
      <c r="K1034" s="142">
        <v>30429</v>
      </c>
      <c r="L1034" s="182" t="s">
        <v>617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1585</v>
      </c>
      <c r="E1035" s="135" t="s">
        <v>545</v>
      </c>
      <c r="F1035" s="138" t="s">
        <v>217</v>
      </c>
      <c r="G1035" s="139" t="s">
        <v>371</v>
      </c>
      <c r="H1035" s="140"/>
      <c r="I1035" s="141">
        <v>1</v>
      </c>
      <c r="J1035" s="142">
        <v>44597</v>
      </c>
      <c r="K1035" s="142">
        <v>44597</v>
      </c>
      <c r="L1035" s="182" t="s">
        <v>617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1585</v>
      </c>
      <c r="E1036" s="135" t="s">
        <v>545</v>
      </c>
      <c r="F1036" s="138" t="s">
        <v>622</v>
      </c>
      <c r="G1036" s="139" t="s">
        <v>371</v>
      </c>
      <c r="H1036" s="140"/>
      <c r="I1036" s="141">
        <v>1</v>
      </c>
      <c r="J1036" s="142">
        <v>15722</v>
      </c>
      <c r="K1036" s="142">
        <v>15722</v>
      </c>
      <c r="L1036" s="182" t="s">
        <v>617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1586</v>
      </c>
      <c r="E1037" s="135" t="s">
        <v>521</v>
      </c>
      <c r="F1037" s="138" t="s">
        <v>1579</v>
      </c>
      <c r="G1037" s="139" t="s">
        <v>419</v>
      </c>
      <c r="H1037" s="140"/>
      <c r="I1037" s="141">
        <v>1</v>
      </c>
      <c r="J1037" s="142">
        <v>63583</v>
      </c>
      <c r="K1037" s="142">
        <v>63583</v>
      </c>
      <c r="L1037" s="182" t="s">
        <v>617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1587</v>
      </c>
      <c r="E1038" s="135" t="s">
        <v>1553</v>
      </c>
      <c r="F1038" s="138" t="s">
        <v>192</v>
      </c>
      <c r="G1038" s="139" t="s">
        <v>407</v>
      </c>
      <c r="H1038" s="140"/>
      <c r="I1038" s="141">
        <v>1</v>
      </c>
      <c r="J1038" s="142">
        <v>57960</v>
      </c>
      <c r="K1038" s="142">
        <v>57960</v>
      </c>
      <c r="L1038" s="182" t="s">
        <v>617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1588</v>
      </c>
      <c r="E1039" s="135" t="s">
        <v>545</v>
      </c>
      <c r="F1039" s="138" t="s">
        <v>217</v>
      </c>
      <c r="G1039" s="139" t="s">
        <v>371</v>
      </c>
      <c r="H1039" s="140"/>
      <c r="I1039" s="141">
        <v>1</v>
      </c>
      <c r="J1039" s="142">
        <v>44597</v>
      </c>
      <c r="K1039" s="142">
        <v>44597</v>
      </c>
      <c r="L1039" s="182" t="s">
        <v>617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1589</v>
      </c>
      <c r="E1040" s="135" t="s">
        <v>545</v>
      </c>
      <c r="F1040" s="138" t="s">
        <v>116</v>
      </c>
      <c r="G1040" s="139" t="s">
        <v>594</v>
      </c>
      <c r="H1040" s="140"/>
      <c r="I1040" s="141">
        <v>1</v>
      </c>
      <c r="J1040" s="142">
        <v>5274</v>
      </c>
      <c r="K1040" s="142">
        <v>5274</v>
      </c>
      <c r="L1040" s="182" t="s">
        <v>617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1589</v>
      </c>
      <c r="E1041" s="135" t="s">
        <v>545</v>
      </c>
      <c r="F1041" s="138" t="s">
        <v>210</v>
      </c>
      <c r="G1041" s="139" t="s">
        <v>594</v>
      </c>
      <c r="H1041" s="140"/>
      <c r="I1041" s="141">
        <v>1</v>
      </c>
      <c r="J1041" s="142">
        <v>14099</v>
      </c>
      <c r="K1041" s="142">
        <v>14099</v>
      </c>
      <c r="L1041" s="182" t="s">
        <v>617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1590</v>
      </c>
      <c r="E1042" s="135" t="s">
        <v>521</v>
      </c>
      <c r="F1042" s="138" t="s">
        <v>1579</v>
      </c>
      <c r="G1042" s="139" t="s">
        <v>431</v>
      </c>
      <c r="H1042" s="140"/>
      <c r="I1042" s="141">
        <v>1</v>
      </c>
      <c r="J1042" s="142">
        <v>63583</v>
      </c>
      <c r="K1042" s="142">
        <v>63583</v>
      </c>
      <c r="L1042" s="182" t="s">
        <v>617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1591</v>
      </c>
      <c r="E1043" s="135" t="s">
        <v>1558</v>
      </c>
      <c r="F1043" s="138" t="s">
        <v>179</v>
      </c>
      <c r="G1043" s="139" t="s">
        <v>371</v>
      </c>
      <c r="H1043" s="140"/>
      <c r="I1043" s="141">
        <v>1</v>
      </c>
      <c r="J1043" s="142">
        <v>18764</v>
      </c>
      <c r="K1043" s="142">
        <v>18764</v>
      </c>
      <c r="L1043" s="182" t="s">
        <v>617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1592</v>
      </c>
      <c r="E1044" s="135" t="s">
        <v>1553</v>
      </c>
      <c r="F1044" s="138" t="s">
        <v>537</v>
      </c>
      <c r="G1044" s="139" t="s">
        <v>1356</v>
      </c>
      <c r="H1044" s="140"/>
      <c r="I1044" s="141">
        <v>2</v>
      </c>
      <c r="J1044" s="142">
        <v>30429</v>
      </c>
      <c r="K1044" s="142">
        <v>60858</v>
      </c>
      <c r="L1044" s="182" t="s">
        <v>617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1593</v>
      </c>
      <c r="E1045" s="135" t="s">
        <v>545</v>
      </c>
      <c r="F1045" s="138" t="s">
        <v>682</v>
      </c>
      <c r="G1045" s="139" t="s">
        <v>371</v>
      </c>
      <c r="H1045" s="140"/>
      <c r="I1045" s="141">
        <v>1</v>
      </c>
      <c r="J1045" s="142">
        <v>55058</v>
      </c>
      <c r="K1045" s="142">
        <v>55058</v>
      </c>
      <c r="L1045" s="182" t="s">
        <v>617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1594</v>
      </c>
      <c r="E1046" s="135" t="s">
        <v>1595</v>
      </c>
      <c r="F1046" s="138" t="s">
        <v>537</v>
      </c>
      <c r="G1046" s="139" t="s">
        <v>527</v>
      </c>
      <c r="H1046" s="140"/>
      <c r="I1046" s="141">
        <v>1</v>
      </c>
      <c r="J1046" s="142">
        <v>30429</v>
      </c>
      <c r="K1046" s="142">
        <v>30429</v>
      </c>
      <c r="L1046" s="182" t="s">
        <v>617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1596</v>
      </c>
      <c r="E1047" s="135" t="s">
        <v>1558</v>
      </c>
      <c r="F1047" s="138" t="s">
        <v>173</v>
      </c>
      <c r="G1047" s="139" t="s">
        <v>369</v>
      </c>
      <c r="H1047" s="140"/>
      <c r="I1047" s="141">
        <v>1</v>
      </c>
      <c r="J1047" s="180">
        <v>21416</v>
      </c>
      <c r="K1047" s="142">
        <v>21416</v>
      </c>
      <c r="L1047" s="182" t="s">
        <v>617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1597</v>
      </c>
      <c r="E1048" s="135" t="s">
        <v>521</v>
      </c>
      <c r="F1048" s="138" t="s">
        <v>1579</v>
      </c>
      <c r="G1048" s="139" t="s">
        <v>1380</v>
      </c>
      <c r="H1048" s="140"/>
      <c r="I1048" s="141">
        <v>2</v>
      </c>
      <c r="J1048" s="142">
        <v>63583</v>
      </c>
      <c r="K1048" s="142">
        <v>127166</v>
      </c>
      <c r="L1048" s="182" t="s">
        <v>617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1598</v>
      </c>
      <c r="E1049" s="135" t="s">
        <v>521</v>
      </c>
      <c r="F1049" s="138" t="s">
        <v>1579</v>
      </c>
      <c r="G1049" s="139" t="s">
        <v>417</v>
      </c>
      <c r="H1049" s="140"/>
      <c r="I1049" s="141">
        <v>1</v>
      </c>
      <c r="J1049" s="142">
        <v>63583</v>
      </c>
      <c r="K1049" s="142">
        <v>63583</v>
      </c>
      <c r="L1049" s="182" t="s">
        <v>617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1599</v>
      </c>
      <c r="E1050" s="135" t="s">
        <v>521</v>
      </c>
      <c r="F1050" s="138" t="s">
        <v>115</v>
      </c>
      <c r="G1050" s="139" t="s">
        <v>407</v>
      </c>
      <c r="H1050" s="140"/>
      <c r="I1050" s="141">
        <v>1</v>
      </c>
      <c r="J1050" s="142">
        <v>33370</v>
      </c>
      <c r="K1050" s="142">
        <v>33370</v>
      </c>
      <c r="L1050" s="182" t="s">
        <v>617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1600</v>
      </c>
      <c r="E1051" s="135" t="s">
        <v>545</v>
      </c>
      <c r="F1051" s="138" t="s">
        <v>197</v>
      </c>
      <c r="G1051" s="139" t="s">
        <v>419</v>
      </c>
      <c r="H1051" s="140"/>
      <c r="I1051" s="141">
        <v>1</v>
      </c>
      <c r="J1051" s="142">
        <v>2739</v>
      </c>
      <c r="K1051" s="142">
        <v>2739</v>
      </c>
      <c r="L1051" s="182" t="s">
        <v>617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1601</v>
      </c>
      <c r="E1052" s="135" t="s">
        <v>1553</v>
      </c>
      <c r="F1052" s="138" t="s">
        <v>217</v>
      </c>
      <c r="G1052" s="139" t="s">
        <v>387</v>
      </c>
      <c r="H1052" s="140"/>
      <c r="I1052" s="141">
        <v>2</v>
      </c>
      <c r="J1052" s="142">
        <v>44597</v>
      </c>
      <c r="K1052" s="142">
        <v>89194</v>
      </c>
      <c r="L1052" s="182" t="s">
        <v>617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1582</v>
      </c>
      <c r="E1053" s="135" t="s">
        <v>545</v>
      </c>
      <c r="F1053" s="138" t="s">
        <v>116</v>
      </c>
      <c r="G1053" s="139" t="s">
        <v>594</v>
      </c>
      <c r="H1053" s="140"/>
      <c r="I1053" s="141">
        <v>1</v>
      </c>
      <c r="J1053" s="142">
        <v>5274</v>
      </c>
      <c r="K1053" s="142">
        <v>5274</v>
      </c>
      <c r="L1053" s="182" t="s">
        <v>617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1582</v>
      </c>
      <c r="E1054" s="135" t="s">
        <v>545</v>
      </c>
      <c r="F1054" s="138" t="s">
        <v>210</v>
      </c>
      <c r="G1054" s="139" t="s">
        <v>594</v>
      </c>
      <c r="H1054" s="140"/>
      <c r="I1054" s="141">
        <v>1</v>
      </c>
      <c r="J1054" s="142">
        <v>14099</v>
      </c>
      <c r="K1054" s="142">
        <v>14099</v>
      </c>
      <c r="L1054" s="182" t="s">
        <v>617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1602</v>
      </c>
      <c r="E1055" s="135" t="s">
        <v>1603</v>
      </c>
      <c r="F1055" s="138" t="s">
        <v>537</v>
      </c>
      <c r="G1055" s="139" t="s">
        <v>419</v>
      </c>
      <c r="H1055" s="140"/>
      <c r="I1055" s="141">
        <v>1</v>
      </c>
      <c r="J1055" s="142">
        <v>30429</v>
      </c>
      <c r="K1055" s="142">
        <v>30429</v>
      </c>
      <c r="L1055" s="627" t="s">
        <v>620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1604</v>
      </c>
      <c r="E1056" s="135" t="s">
        <v>1603</v>
      </c>
      <c r="F1056" s="138" t="s">
        <v>537</v>
      </c>
      <c r="G1056" s="139" t="s">
        <v>431</v>
      </c>
      <c r="H1056" s="140"/>
      <c r="I1056" s="141">
        <v>1</v>
      </c>
      <c r="J1056" s="142">
        <v>30429</v>
      </c>
      <c r="K1056" s="142">
        <v>30429</v>
      </c>
      <c r="L1056" s="628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1605</v>
      </c>
      <c r="E1057" s="135" t="s">
        <v>1558</v>
      </c>
      <c r="F1057" s="138" t="s">
        <v>173</v>
      </c>
      <c r="G1057" s="139" t="s">
        <v>371</v>
      </c>
      <c r="H1057" s="140"/>
      <c r="I1057" s="141">
        <v>1</v>
      </c>
      <c r="J1057" s="142">
        <v>18764</v>
      </c>
      <c r="K1057" s="142">
        <v>18764</v>
      </c>
      <c r="L1057" s="628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1606</v>
      </c>
      <c r="E1058" s="135" t="s">
        <v>545</v>
      </c>
      <c r="F1058" s="138" t="s">
        <v>116</v>
      </c>
      <c r="G1058" s="139" t="s">
        <v>445</v>
      </c>
      <c r="H1058" s="140"/>
      <c r="I1058" s="141">
        <v>1</v>
      </c>
      <c r="J1058" s="142">
        <v>5274</v>
      </c>
      <c r="K1058" s="142">
        <v>5274</v>
      </c>
      <c r="L1058" s="628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1606</v>
      </c>
      <c r="E1059" s="135" t="s">
        <v>545</v>
      </c>
      <c r="F1059" s="138" t="s">
        <v>210</v>
      </c>
      <c r="G1059" s="139" t="s">
        <v>445</v>
      </c>
      <c r="H1059" s="140"/>
      <c r="I1059" s="141">
        <v>1</v>
      </c>
      <c r="J1059" s="142">
        <v>14099</v>
      </c>
      <c r="K1059" s="142">
        <v>14099</v>
      </c>
      <c r="L1059" s="628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1565</v>
      </c>
      <c r="E1060" s="135" t="s">
        <v>545</v>
      </c>
      <c r="F1060" s="138" t="s">
        <v>537</v>
      </c>
      <c r="G1060" s="139" t="s">
        <v>562</v>
      </c>
      <c r="H1060" s="140"/>
      <c r="I1060" s="141">
        <v>1</v>
      </c>
      <c r="J1060" s="142">
        <v>30429</v>
      </c>
      <c r="K1060" s="142">
        <v>30429</v>
      </c>
      <c r="L1060" s="629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1565</v>
      </c>
      <c r="E1061" s="135" t="s">
        <v>545</v>
      </c>
      <c r="F1061" s="138" t="s">
        <v>537</v>
      </c>
      <c r="G1061" s="139" t="s">
        <v>392</v>
      </c>
      <c r="H1061" s="140"/>
      <c r="I1061" s="141">
        <v>1</v>
      </c>
      <c r="J1061" s="142">
        <v>30429</v>
      </c>
      <c r="K1061" s="142">
        <v>30429</v>
      </c>
      <c r="L1061" s="629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1607</v>
      </c>
      <c r="E1062" s="135" t="s">
        <v>545</v>
      </c>
      <c r="F1062" s="138" t="s">
        <v>115</v>
      </c>
      <c r="G1062" s="139" t="s">
        <v>1608</v>
      </c>
      <c r="H1062" s="140"/>
      <c r="I1062" s="141">
        <v>3</v>
      </c>
      <c r="J1062" s="142">
        <v>33370</v>
      </c>
      <c r="K1062" s="142">
        <v>100110</v>
      </c>
      <c r="L1062" s="629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1609</v>
      </c>
      <c r="E1063" s="135" t="s">
        <v>1558</v>
      </c>
      <c r="F1063" s="138" t="s">
        <v>173</v>
      </c>
      <c r="G1063" s="139" t="s">
        <v>371</v>
      </c>
      <c r="H1063" s="140"/>
      <c r="I1063" s="141">
        <v>1</v>
      </c>
      <c r="J1063" s="142">
        <v>18764</v>
      </c>
      <c r="K1063" s="142">
        <v>18764</v>
      </c>
      <c r="L1063" s="629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1610</v>
      </c>
      <c r="E1064" s="135" t="s">
        <v>521</v>
      </c>
      <c r="F1064" s="138" t="s">
        <v>115</v>
      </c>
      <c r="G1064" s="139" t="s">
        <v>527</v>
      </c>
      <c r="H1064" s="140"/>
      <c r="I1064" s="141">
        <v>1</v>
      </c>
      <c r="J1064" s="142">
        <v>33370</v>
      </c>
      <c r="K1064" s="142">
        <v>33370</v>
      </c>
      <c r="L1064" s="629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1611</v>
      </c>
      <c r="E1065" s="135" t="s">
        <v>1558</v>
      </c>
      <c r="F1065" s="138" t="s">
        <v>173</v>
      </c>
      <c r="G1065" s="139" t="s">
        <v>371</v>
      </c>
      <c r="H1065" s="140"/>
      <c r="I1065" s="141">
        <v>1</v>
      </c>
      <c r="J1065" s="142">
        <v>18764</v>
      </c>
      <c r="K1065" s="142">
        <v>18764</v>
      </c>
      <c r="L1065" s="629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1612</v>
      </c>
      <c r="E1066" s="135" t="s">
        <v>545</v>
      </c>
      <c r="F1066" s="138" t="s">
        <v>210</v>
      </c>
      <c r="G1066" s="139" t="s">
        <v>445</v>
      </c>
      <c r="H1066" s="140"/>
      <c r="I1066" s="141">
        <v>1</v>
      </c>
      <c r="J1066" s="142">
        <v>14099</v>
      </c>
      <c r="K1066" s="142">
        <v>14099</v>
      </c>
      <c r="L1066" s="629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1613</v>
      </c>
      <c r="E1067" s="135" t="s">
        <v>521</v>
      </c>
      <c r="F1067" s="138" t="s">
        <v>210</v>
      </c>
      <c r="G1067" s="139" t="s">
        <v>527</v>
      </c>
      <c r="H1067" s="140"/>
      <c r="I1067" s="141">
        <v>1</v>
      </c>
      <c r="J1067" s="142">
        <v>14099</v>
      </c>
      <c r="K1067" s="142">
        <v>14099</v>
      </c>
      <c r="L1067" s="629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1614</v>
      </c>
      <c r="E1068" s="135" t="s">
        <v>545</v>
      </c>
      <c r="F1068" s="138" t="s">
        <v>217</v>
      </c>
      <c r="G1068" s="139" t="s">
        <v>387</v>
      </c>
      <c r="H1068" s="140"/>
      <c r="I1068" s="141">
        <v>2</v>
      </c>
      <c r="J1068" s="142">
        <v>44597</v>
      </c>
      <c r="K1068" s="142">
        <v>89194</v>
      </c>
      <c r="L1068" s="629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1614</v>
      </c>
      <c r="E1069" s="135" t="s">
        <v>545</v>
      </c>
      <c r="F1069" s="138" t="s">
        <v>115</v>
      </c>
      <c r="G1069" s="139" t="s">
        <v>410</v>
      </c>
      <c r="H1069" s="140"/>
      <c r="I1069" s="141">
        <v>1</v>
      </c>
      <c r="J1069" s="142">
        <v>33370</v>
      </c>
      <c r="K1069" s="142">
        <v>33370</v>
      </c>
      <c r="L1069" s="629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1615</v>
      </c>
      <c r="E1070" s="135" t="s">
        <v>521</v>
      </c>
      <c r="F1070" s="138" t="s">
        <v>537</v>
      </c>
      <c r="G1070" s="139" t="s">
        <v>417</v>
      </c>
      <c r="H1070" s="140"/>
      <c r="I1070" s="141">
        <v>1</v>
      </c>
      <c r="J1070" s="142">
        <v>30429</v>
      </c>
      <c r="K1070" s="142">
        <v>30429</v>
      </c>
      <c r="L1070" s="629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1616</v>
      </c>
      <c r="E1071" s="135" t="s">
        <v>545</v>
      </c>
      <c r="F1071" s="138" t="s">
        <v>115</v>
      </c>
      <c r="G1071" s="139" t="s">
        <v>417</v>
      </c>
      <c r="H1071" s="140"/>
      <c r="I1071" s="141">
        <v>1</v>
      </c>
      <c r="J1071" s="142">
        <v>33370</v>
      </c>
      <c r="K1071" s="142">
        <v>33370</v>
      </c>
      <c r="L1071" s="629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1617</v>
      </c>
      <c r="E1072" s="135" t="s">
        <v>1603</v>
      </c>
      <c r="F1072" s="138" t="s">
        <v>537</v>
      </c>
      <c r="G1072" s="139" t="s">
        <v>419</v>
      </c>
      <c r="H1072" s="140"/>
      <c r="I1072" s="141">
        <v>1</v>
      </c>
      <c r="J1072" s="142">
        <v>30429</v>
      </c>
      <c r="K1072" s="142">
        <v>30429</v>
      </c>
      <c r="L1072" s="629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1618</v>
      </c>
      <c r="E1073" s="135" t="s">
        <v>545</v>
      </c>
      <c r="F1073" s="138" t="s">
        <v>580</v>
      </c>
      <c r="G1073" s="139" t="s">
        <v>371</v>
      </c>
      <c r="H1073" s="140"/>
      <c r="I1073" s="141">
        <v>1</v>
      </c>
      <c r="J1073" s="142">
        <v>25800</v>
      </c>
      <c r="K1073" s="142">
        <v>25800</v>
      </c>
      <c r="L1073" s="629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1619</v>
      </c>
      <c r="E1074" s="135" t="s">
        <v>545</v>
      </c>
      <c r="F1074" s="138" t="s">
        <v>116</v>
      </c>
      <c r="G1074" s="139" t="s">
        <v>442</v>
      </c>
      <c r="H1074" s="140"/>
      <c r="I1074" s="141">
        <v>1</v>
      </c>
      <c r="J1074" s="142">
        <v>5274</v>
      </c>
      <c r="K1074" s="142">
        <v>5274</v>
      </c>
      <c r="L1074" s="629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1619</v>
      </c>
      <c r="E1075" s="135" t="s">
        <v>545</v>
      </c>
      <c r="F1075" s="138" t="s">
        <v>210</v>
      </c>
      <c r="G1075" s="139" t="s">
        <v>442</v>
      </c>
      <c r="H1075" s="140"/>
      <c r="I1075" s="141">
        <v>1</v>
      </c>
      <c r="J1075" s="142">
        <v>14099</v>
      </c>
      <c r="K1075" s="142">
        <v>14099</v>
      </c>
      <c r="L1075" s="629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1620</v>
      </c>
      <c r="E1076" s="135" t="s">
        <v>1603</v>
      </c>
      <c r="F1076" s="138" t="s">
        <v>537</v>
      </c>
      <c r="G1076" s="139" t="s">
        <v>562</v>
      </c>
      <c r="H1076" s="140"/>
      <c r="I1076" s="141">
        <v>1</v>
      </c>
      <c r="J1076" s="142">
        <v>30429</v>
      </c>
      <c r="K1076" s="142">
        <v>30429</v>
      </c>
      <c r="L1076" s="629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1621</v>
      </c>
      <c r="E1077" s="135" t="s">
        <v>545</v>
      </c>
      <c r="F1077" s="138" t="s">
        <v>682</v>
      </c>
      <c r="G1077" s="139" t="s">
        <v>371</v>
      </c>
      <c r="H1077" s="140"/>
      <c r="I1077" s="141">
        <v>1</v>
      </c>
      <c r="J1077" s="142">
        <v>55058</v>
      </c>
      <c r="K1077" s="142">
        <v>55058</v>
      </c>
      <c r="L1077" s="629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1622</v>
      </c>
      <c r="E1078" s="135" t="s">
        <v>545</v>
      </c>
      <c r="F1078" s="138" t="s">
        <v>1301</v>
      </c>
      <c r="G1078" s="139" t="s">
        <v>371</v>
      </c>
      <c r="H1078" s="140"/>
      <c r="I1078" s="141">
        <v>1</v>
      </c>
      <c r="J1078" s="142">
        <v>35501</v>
      </c>
      <c r="K1078" s="142">
        <v>35501</v>
      </c>
      <c r="L1078" s="629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1623</v>
      </c>
      <c r="E1079" s="135" t="s">
        <v>545</v>
      </c>
      <c r="F1079" s="138" t="s">
        <v>116</v>
      </c>
      <c r="G1079" s="139" t="s">
        <v>1624</v>
      </c>
      <c r="H1079" s="140"/>
      <c r="I1079" s="141">
        <v>4</v>
      </c>
      <c r="J1079" s="142">
        <v>5274</v>
      </c>
      <c r="K1079" s="142">
        <v>21096</v>
      </c>
      <c r="L1079" s="629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1625</v>
      </c>
      <c r="E1080" s="135" t="s">
        <v>1603</v>
      </c>
      <c r="F1080" s="138" t="s">
        <v>210</v>
      </c>
      <c r="G1080" s="139" t="s">
        <v>392</v>
      </c>
      <c r="H1080" s="140"/>
      <c r="I1080" s="141">
        <v>1</v>
      </c>
      <c r="J1080" s="142">
        <v>14099</v>
      </c>
      <c r="K1080" s="142">
        <v>14099</v>
      </c>
      <c r="L1080" s="629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1626</v>
      </c>
      <c r="E1081" s="135" t="s">
        <v>1558</v>
      </c>
      <c r="F1081" s="138" t="s">
        <v>173</v>
      </c>
      <c r="G1081" s="139" t="s">
        <v>371</v>
      </c>
      <c r="H1081" s="140"/>
      <c r="I1081" s="141">
        <v>1</v>
      </c>
      <c r="J1081" s="142">
        <v>18764</v>
      </c>
      <c r="K1081" s="142">
        <v>18764</v>
      </c>
      <c r="L1081" s="629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1627</v>
      </c>
      <c r="E1082" s="135" t="s">
        <v>521</v>
      </c>
      <c r="F1082" s="138" t="s">
        <v>188</v>
      </c>
      <c r="G1082" s="139" t="s">
        <v>538</v>
      </c>
      <c r="H1082" s="140"/>
      <c r="I1082" s="141">
        <v>1</v>
      </c>
      <c r="J1082" s="142">
        <v>42601</v>
      </c>
      <c r="K1082" s="142">
        <v>42601</v>
      </c>
      <c r="L1082" s="629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1628</v>
      </c>
      <c r="E1083" s="135" t="s">
        <v>521</v>
      </c>
      <c r="F1083" s="138" t="s">
        <v>115</v>
      </c>
      <c r="G1083" s="139" t="s">
        <v>472</v>
      </c>
      <c r="H1083" s="140"/>
      <c r="I1083" s="141">
        <v>1</v>
      </c>
      <c r="J1083" s="142">
        <v>33370</v>
      </c>
      <c r="K1083" s="142">
        <v>33370</v>
      </c>
      <c r="L1083" s="629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1629</v>
      </c>
      <c r="E1084" s="135" t="s">
        <v>1595</v>
      </c>
      <c r="F1084" s="138" t="s">
        <v>116</v>
      </c>
      <c r="G1084" s="139" t="s">
        <v>407</v>
      </c>
      <c r="H1084" s="140"/>
      <c r="I1084" s="141">
        <v>1</v>
      </c>
      <c r="J1084" s="142">
        <v>5274</v>
      </c>
      <c r="K1084" s="142">
        <v>5274</v>
      </c>
      <c r="L1084" s="629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1630</v>
      </c>
      <c r="E1085" s="135" t="s">
        <v>545</v>
      </c>
      <c r="F1085" s="138" t="s">
        <v>217</v>
      </c>
      <c r="G1085" s="139" t="s">
        <v>371</v>
      </c>
      <c r="H1085" s="140"/>
      <c r="I1085" s="141">
        <v>1</v>
      </c>
      <c r="J1085" s="142">
        <v>44597</v>
      </c>
      <c r="K1085" s="142">
        <v>44597</v>
      </c>
      <c r="L1085" s="629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1631</v>
      </c>
      <c r="E1086" s="135" t="s">
        <v>1558</v>
      </c>
      <c r="F1086" s="138" t="s">
        <v>173</v>
      </c>
      <c r="G1086" s="139" t="s">
        <v>371</v>
      </c>
      <c r="H1086" s="140"/>
      <c r="I1086" s="141">
        <v>1</v>
      </c>
      <c r="J1086" s="142">
        <v>18764</v>
      </c>
      <c r="K1086" s="142">
        <v>18764</v>
      </c>
      <c r="L1086" s="629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1632</v>
      </c>
      <c r="E1087" s="135" t="s">
        <v>1558</v>
      </c>
      <c r="F1087" s="138" t="s">
        <v>173</v>
      </c>
      <c r="G1087" s="139" t="s">
        <v>371</v>
      </c>
      <c r="H1087" s="140"/>
      <c r="I1087" s="141">
        <v>1</v>
      </c>
      <c r="J1087" s="142">
        <v>18764</v>
      </c>
      <c r="K1087" s="142">
        <v>18764</v>
      </c>
      <c r="L1087" s="629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1633</v>
      </c>
      <c r="E1088" s="135" t="s">
        <v>1558</v>
      </c>
      <c r="F1088" s="138" t="s">
        <v>173</v>
      </c>
      <c r="G1088" s="139" t="s">
        <v>371</v>
      </c>
      <c r="H1088" s="140"/>
      <c r="I1088" s="141">
        <v>1</v>
      </c>
      <c r="J1088" s="142">
        <v>18764</v>
      </c>
      <c r="K1088" s="142">
        <v>18764</v>
      </c>
      <c r="L1088" s="629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1634</v>
      </c>
      <c r="E1089" s="135" t="s">
        <v>1603</v>
      </c>
      <c r="F1089" s="138" t="s">
        <v>577</v>
      </c>
      <c r="G1089" s="139" t="s">
        <v>527</v>
      </c>
      <c r="H1089" s="140"/>
      <c r="I1089" s="141">
        <v>1</v>
      </c>
      <c r="J1089" s="142">
        <v>49701</v>
      </c>
      <c r="K1089" s="142">
        <v>49701</v>
      </c>
      <c r="L1089" s="629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1635</v>
      </c>
      <c r="E1090" s="135" t="s">
        <v>545</v>
      </c>
      <c r="F1090" s="138" t="s">
        <v>580</v>
      </c>
      <c r="G1090" s="139" t="s">
        <v>371</v>
      </c>
      <c r="H1090" s="140"/>
      <c r="I1090" s="141">
        <v>1</v>
      </c>
      <c r="J1090" s="142">
        <v>25800</v>
      </c>
      <c r="K1090" s="142">
        <v>25800</v>
      </c>
      <c r="L1090" s="629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1636</v>
      </c>
      <c r="E1091" s="135" t="s">
        <v>545</v>
      </c>
      <c r="F1091" s="138" t="s">
        <v>1485</v>
      </c>
      <c r="G1091" s="139" t="s">
        <v>562</v>
      </c>
      <c r="H1091" s="140"/>
      <c r="I1091" s="141">
        <v>1</v>
      </c>
      <c r="J1091" s="142">
        <v>48203</v>
      </c>
      <c r="K1091" s="142">
        <v>48203</v>
      </c>
      <c r="L1091" s="629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1637</v>
      </c>
      <c r="E1092" s="135" t="s">
        <v>1603</v>
      </c>
      <c r="F1092" s="138" t="s">
        <v>116</v>
      </c>
      <c r="G1092" s="139" t="s">
        <v>538</v>
      </c>
      <c r="H1092" s="140"/>
      <c r="I1092" s="141">
        <v>1</v>
      </c>
      <c r="J1092" s="142">
        <v>5274</v>
      </c>
      <c r="K1092" s="142">
        <v>5274</v>
      </c>
      <c r="L1092" s="629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1638</v>
      </c>
      <c r="E1093" s="135" t="s">
        <v>545</v>
      </c>
      <c r="F1093" s="138" t="s">
        <v>217</v>
      </c>
      <c r="G1093" s="139" t="s">
        <v>371</v>
      </c>
      <c r="H1093" s="140"/>
      <c r="I1093" s="141">
        <v>1</v>
      </c>
      <c r="J1093" s="142">
        <v>44597</v>
      </c>
      <c r="K1093" s="142">
        <v>44597</v>
      </c>
      <c r="L1093" s="629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1639</v>
      </c>
      <c r="E1094" s="135" t="s">
        <v>521</v>
      </c>
      <c r="F1094" s="138" t="s">
        <v>115</v>
      </c>
      <c r="G1094" s="139" t="s">
        <v>562</v>
      </c>
      <c r="H1094" s="140"/>
      <c r="I1094" s="141">
        <v>1</v>
      </c>
      <c r="J1094" s="142">
        <v>33370</v>
      </c>
      <c r="K1094" s="142">
        <v>33370</v>
      </c>
      <c r="L1094" s="629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1640</v>
      </c>
      <c r="E1095" s="135" t="s">
        <v>1603</v>
      </c>
      <c r="F1095" s="138" t="s">
        <v>537</v>
      </c>
      <c r="G1095" s="139" t="s">
        <v>527</v>
      </c>
      <c r="H1095" s="140"/>
      <c r="I1095" s="141">
        <v>1</v>
      </c>
      <c r="J1095" s="142">
        <v>30429</v>
      </c>
      <c r="K1095" s="142">
        <v>30429</v>
      </c>
      <c r="L1095" s="629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1641</v>
      </c>
      <c r="E1096" s="135" t="s">
        <v>545</v>
      </c>
      <c r="F1096" s="138" t="s">
        <v>115</v>
      </c>
      <c r="G1096" s="204" t="s">
        <v>1642</v>
      </c>
      <c r="H1096" s="140"/>
      <c r="I1096" s="141">
        <v>4</v>
      </c>
      <c r="J1096" s="142">
        <v>33370</v>
      </c>
      <c r="K1096" s="142">
        <v>133480</v>
      </c>
      <c r="L1096" s="630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1602</v>
      </c>
      <c r="E1097" s="135" t="s">
        <v>1603</v>
      </c>
      <c r="F1097" s="138" t="s">
        <v>537</v>
      </c>
      <c r="G1097" s="139" t="s">
        <v>431</v>
      </c>
      <c r="H1097" s="140"/>
      <c r="I1097" s="141">
        <v>1</v>
      </c>
      <c r="J1097" s="142">
        <v>30429</v>
      </c>
      <c r="K1097" s="142">
        <v>30429</v>
      </c>
      <c r="L1097" s="182" t="s">
        <v>960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1643</v>
      </c>
      <c r="E1098" s="135" t="s">
        <v>1644</v>
      </c>
      <c r="F1098" s="138" t="s">
        <v>197</v>
      </c>
      <c r="G1098" s="139" t="s">
        <v>1645</v>
      </c>
      <c r="H1098" s="140"/>
      <c r="I1098" s="141">
        <v>2</v>
      </c>
      <c r="J1098" s="142">
        <v>2739</v>
      </c>
      <c r="K1098" s="142">
        <v>5478</v>
      </c>
      <c r="L1098" s="182" t="s">
        <v>960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1646</v>
      </c>
      <c r="E1099" s="135" t="s">
        <v>521</v>
      </c>
      <c r="F1099" s="138" t="s">
        <v>115</v>
      </c>
      <c r="G1099" s="139" t="s">
        <v>442</v>
      </c>
      <c r="H1099" s="140"/>
      <c r="I1099" s="141">
        <v>1</v>
      </c>
      <c r="J1099" s="142">
        <v>33370</v>
      </c>
      <c r="K1099" s="142">
        <v>33370</v>
      </c>
      <c r="L1099" s="182" t="s">
        <v>960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1647</v>
      </c>
      <c r="E1100" s="135" t="s">
        <v>545</v>
      </c>
      <c r="F1100" s="138" t="s">
        <v>580</v>
      </c>
      <c r="G1100" s="139" t="s">
        <v>371</v>
      </c>
      <c r="H1100" s="140"/>
      <c r="I1100" s="141">
        <v>1</v>
      </c>
      <c r="J1100" s="142">
        <v>25800</v>
      </c>
      <c r="K1100" s="142">
        <v>25800</v>
      </c>
      <c r="L1100" s="182" t="s">
        <v>960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1648</v>
      </c>
      <c r="E1101" s="135" t="s">
        <v>521</v>
      </c>
      <c r="F1101" s="138" t="s">
        <v>115</v>
      </c>
      <c r="G1101" s="139" t="s">
        <v>472</v>
      </c>
      <c r="H1101" s="140"/>
      <c r="I1101" s="141">
        <v>1</v>
      </c>
      <c r="J1101" s="142">
        <v>33370</v>
      </c>
      <c r="K1101" s="142">
        <v>33370</v>
      </c>
      <c r="L1101" s="182" t="s">
        <v>960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1606</v>
      </c>
      <c r="E1102" s="135" t="s">
        <v>545</v>
      </c>
      <c r="F1102" s="138" t="s">
        <v>115</v>
      </c>
      <c r="G1102" s="139" t="s">
        <v>445</v>
      </c>
      <c r="H1102" s="140"/>
      <c r="I1102" s="141">
        <v>1</v>
      </c>
      <c r="J1102" s="142">
        <v>33370</v>
      </c>
      <c r="K1102" s="142">
        <v>33370</v>
      </c>
      <c r="L1102" s="182" t="s">
        <v>960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1649</v>
      </c>
      <c r="E1103" s="135" t="s">
        <v>521</v>
      </c>
      <c r="F1103" s="138" t="s">
        <v>115</v>
      </c>
      <c r="G1103" s="139" t="s">
        <v>442</v>
      </c>
      <c r="H1103" s="140"/>
      <c r="I1103" s="141">
        <v>1</v>
      </c>
      <c r="J1103" s="142">
        <v>33370</v>
      </c>
      <c r="K1103" s="142">
        <v>33370</v>
      </c>
      <c r="L1103" s="182" t="s">
        <v>960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1650</v>
      </c>
      <c r="E1104" s="135" t="s">
        <v>545</v>
      </c>
      <c r="F1104" s="199" t="s">
        <v>219</v>
      </c>
      <c r="G1104" s="139" t="s">
        <v>371</v>
      </c>
      <c r="H1104" s="140"/>
      <c r="I1104" s="141">
        <v>1</v>
      </c>
      <c r="J1104" s="142">
        <v>22299</v>
      </c>
      <c r="K1104" s="142">
        <v>22299</v>
      </c>
      <c r="L1104" s="182" t="s">
        <v>960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1651</v>
      </c>
      <c r="E1105" s="135" t="s">
        <v>521</v>
      </c>
      <c r="F1105" s="138" t="s">
        <v>192</v>
      </c>
      <c r="G1105" s="139" t="s">
        <v>410</v>
      </c>
      <c r="H1105" s="140"/>
      <c r="I1105" s="141">
        <v>1</v>
      </c>
      <c r="J1105" s="142">
        <v>57960</v>
      </c>
      <c r="K1105" s="142">
        <v>57960</v>
      </c>
      <c r="L1105" s="182" t="s">
        <v>960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1652</v>
      </c>
      <c r="E1106" s="135" t="s">
        <v>521</v>
      </c>
      <c r="F1106" s="138" t="s">
        <v>115</v>
      </c>
      <c r="G1106" s="139" t="s">
        <v>417</v>
      </c>
      <c r="H1106" s="140"/>
      <c r="I1106" s="141">
        <v>1</v>
      </c>
      <c r="J1106" s="142">
        <v>33370</v>
      </c>
      <c r="K1106" s="142">
        <v>33370</v>
      </c>
      <c r="L1106" s="182" t="s">
        <v>960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544</v>
      </c>
      <c r="E1107" s="135" t="s">
        <v>545</v>
      </c>
      <c r="F1107" s="138" t="s">
        <v>210</v>
      </c>
      <c r="G1107" s="139" t="s">
        <v>562</v>
      </c>
      <c r="H1107" s="140"/>
      <c r="I1107" s="141">
        <v>1</v>
      </c>
      <c r="J1107" s="142">
        <v>14099</v>
      </c>
      <c r="K1107" s="142">
        <v>14099</v>
      </c>
      <c r="L1107" s="182" t="s">
        <v>960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544</v>
      </c>
      <c r="E1108" s="135" t="s">
        <v>545</v>
      </c>
      <c r="F1108" s="138" t="s">
        <v>116</v>
      </c>
      <c r="G1108" s="139" t="s">
        <v>562</v>
      </c>
      <c r="H1108" s="140"/>
      <c r="I1108" s="141">
        <v>1</v>
      </c>
      <c r="J1108" s="142">
        <v>5274</v>
      </c>
      <c r="K1108" s="142">
        <v>5274</v>
      </c>
      <c r="L1108" s="182" t="s">
        <v>960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1653</v>
      </c>
      <c r="E1109" s="135" t="s">
        <v>545</v>
      </c>
      <c r="F1109" s="138" t="s">
        <v>580</v>
      </c>
      <c r="G1109" s="139" t="s">
        <v>371</v>
      </c>
      <c r="H1109" s="140"/>
      <c r="I1109" s="141">
        <v>1</v>
      </c>
      <c r="J1109" s="142">
        <v>25800</v>
      </c>
      <c r="K1109" s="142">
        <v>25800</v>
      </c>
      <c r="L1109" s="182" t="s">
        <v>960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1654</v>
      </c>
      <c r="E1110" s="135" t="s">
        <v>545</v>
      </c>
      <c r="F1110" s="138" t="s">
        <v>217</v>
      </c>
      <c r="G1110" s="139" t="s">
        <v>371</v>
      </c>
      <c r="H1110" s="140"/>
      <c r="I1110" s="141">
        <v>1</v>
      </c>
      <c r="J1110" s="142">
        <v>44597</v>
      </c>
      <c r="K1110" s="142">
        <v>44597</v>
      </c>
      <c r="L1110" s="182" t="s">
        <v>960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1612</v>
      </c>
      <c r="E1111" s="135" t="s">
        <v>545</v>
      </c>
      <c r="F1111" s="138" t="s">
        <v>115</v>
      </c>
      <c r="G1111" s="139" t="s">
        <v>1655</v>
      </c>
      <c r="H1111" s="140"/>
      <c r="I1111" s="141">
        <v>3</v>
      </c>
      <c r="J1111" s="142">
        <v>33370</v>
      </c>
      <c r="K1111" s="142">
        <v>100110</v>
      </c>
      <c r="L1111" s="182" t="s">
        <v>960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1612</v>
      </c>
      <c r="E1112" s="135" t="s">
        <v>545</v>
      </c>
      <c r="F1112" s="138" t="s">
        <v>116</v>
      </c>
      <c r="G1112" s="139" t="s">
        <v>1655</v>
      </c>
      <c r="H1112" s="140"/>
      <c r="I1112" s="141">
        <v>3</v>
      </c>
      <c r="J1112" s="142">
        <v>5274</v>
      </c>
      <c r="K1112" s="142">
        <v>15822</v>
      </c>
      <c r="L1112" s="182" t="s">
        <v>960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1656</v>
      </c>
      <c r="E1113" s="135" t="s">
        <v>1558</v>
      </c>
      <c r="F1113" s="138" t="s">
        <v>173</v>
      </c>
      <c r="G1113" s="139" t="s">
        <v>371</v>
      </c>
      <c r="H1113" s="140"/>
      <c r="I1113" s="141">
        <v>1</v>
      </c>
      <c r="J1113" s="142">
        <v>18764</v>
      </c>
      <c r="K1113" s="142">
        <v>18764</v>
      </c>
      <c r="L1113" s="182" t="s">
        <v>960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1657</v>
      </c>
      <c r="E1114" s="135" t="s">
        <v>545</v>
      </c>
      <c r="F1114" s="138" t="s">
        <v>537</v>
      </c>
      <c r="G1114" s="139" t="s">
        <v>472</v>
      </c>
      <c r="H1114" s="140"/>
      <c r="I1114" s="141">
        <v>1</v>
      </c>
      <c r="J1114" s="142">
        <v>30429</v>
      </c>
      <c r="K1114" s="142">
        <v>30429</v>
      </c>
      <c r="L1114" s="182" t="s">
        <v>960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1613</v>
      </c>
      <c r="E1115" s="135" t="s">
        <v>521</v>
      </c>
      <c r="F1115" s="138" t="s">
        <v>115</v>
      </c>
      <c r="G1115" s="139" t="s">
        <v>527</v>
      </c>
      <c r="H1115" s="140"/>
      <c r="I1115" s="141">
        <v>1</v>
      </c>
      <c r="J1115" s="142">
        <v>33370</v>
      </c>
      <c r="K1115" s="142">
        <v>33370</v>
      </c>
      <c r="L1115" s="182" t="s">
        <v>960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1658</v>
      </c>
      <c r="E1116" s="135" t="s">
        <v>545</v>
      </c>
      <c r="F1116" s="138" t="s">
        <v>580</v>
      </c>
      <c r="G1116" s="139" t="s">
        <v>371</v>
      </c>
      <c r="H1116" s="140"/>
      <c r="I1116" s="141">
        <v>1</v>
      </c>
      <c r="J1116" s="142">
        <v>25800</v>
      </c>
      <c r="K1116" s="142">
        <v>25800</v>
      </c>
      <c r="L1116" s="182" t="s">
        <v>960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1659</v>
      </c>
      <c r="E1117" s="135" t="s">
        <v>545</v>
      </c>
      <c r="F1117" s="138" t="s">
        <v>115</v>
      </c>
      <c r="G1117" s="139" t="s">
        <v>407</v>
      </c>
      <c r="H1117" s="140"/>
      <c r="I1117" s="141">
        <v>1</v>
      </c>
      <c r="J1117" s="142">
        <v>33370</v>
      </c>
      <c r="K1117" s="142">
        <v>33370</v>
      </c>
      <c r="L1117" s="182" t="s">
        <v>960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1660</v>
      </c>
      <c r="E1118" s="135" t="s">
        <v>1558</v>
      </c>
      <c r="F1118" s="138" t="s">
        <v>173</v>
      </c>
      <c r="G1118" s="139" t="s">
        <v>371</v>
      </c>
      <c r="H1118" s="140"/>
      <c r="I1118" s="141">
        <v>1</v>
      </c>
      <c r="J1118" s="142">
        <v>18764</v>
      </c>
      <c r="K1118" s="142">
        <v>18764</v>
      </c>
      <c r="L1118" s="182" t="s">
        <v>960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1661</v>
      </c>
      <c r="E1119" s="135" t="s">
        <v>1558</v>
      </c>
      <c r="F1119" s="138" t="s">
        <v>173</v>
      </c>
      <c r="G1119" s="139" t="s">
        <v>371</v>
      </c>
      <c r="H1119" s="140"/>
      <c r="I1119" s="141">
        <v>1</v>
      </c>
      <c r="J1119" s="142">
        <v>18764</v>
      </c>
      <c r="K1119" s="142">
        <v>18764</v>
      </c>
      <c r="L1119" s="182" t="s">
        <v>960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1615</v>
      </c>
      <c r="E1120" s="135" t="s">
        <v>521</v>
      </c>
      <c r="F1120" s="138" t="s">
        <v>1579</v>
      </c>
      <c r="G1120" s="139" t="s">
        <v>417</v>
      </c>
      <c r="H1120" s="140"/>
      <c r="I1120" s="141">
        <v>1</v>
      </c>
      <c r="J1120" s="142">
        <v>63583</v>
      </c>
      <c r="K1120" s="142">
        <v>63583</v>
      </c>
      <c r="L1120" s="182" t="s">
        <v>960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1662</v>
      </c>
      <c r="E1121" s="135" t="s">
        <v>1553</v>
      </c>
      <c r="F1121" s="138" t="s">
        <v>682</v>
      </c>
      <c r="G1121" s="139" t="s">
        <v>387</v>
      </c>
      <c r="H1121" s="140"/>
      <c r="I1121" s="141">
        <v>2</v>
      </c>
      <c r="J1121" s="142">
        <v>55058</v>
      </c>
      <c r="K1121" s="142">
        <v>110116</v>
      </c>
      <c r="L1121" s="182" t="s">
        <v>960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1616</v>
      </c>
      <c r="E1122" s="135" t="s">
        <v>545</v>
      </c>
      <c r="F1122" s="138" t="s">
        <v>210</v>
      </c>
      <c r="G1122" s="139" t="s">
        <v>392</v>
      </c>
      <c r="H1122" s="140"/>
      <c r="I1122" s="141">
        <v>1</v>
      </c>
      <c r="J1122" s="142">
        <v>14099</v>
      </c>
      <c r="K1122" s="142">
        <v>14099</v>
      </c>
      <c r="L1122" s="182" t="s">
        <v>960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1616</v>
      </c>
      <c r="E1123" s="135" t="s">
        <v>545</v>
      </c>
      <c r="F1123" s="138" t="s">
        <v>116</v>
      </c>
      <c r="G1123" s="139" t="s">
        <v>392</v>
      </c>
      <c r="H1123" s="140"/>
      <c r="I1123" s="141">
        <v>1</v>
      </c>
      <c r="J1123" s="142">
        <v>5274</v>
      </c>
      <c r="K1123" s="142">
        <v>5274</v>
      </c>
      <c r="L1123" s="182" t="s">
        <v>960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1663</v>
      </c>
      <c r="E1124" s="135" t="s">
        <v>545</v>
      </c>
      <c r="F1124" s="138" t="s">
        <v>210</v>
      </c>
      <c r="G1124" s="139" t="s">
        <v>442</v>
      </c>
      <c r="H1124" s="140"/>
      <c r="I1124" s="141">
        <v>1</v>
      </c>
      <c r="J1124" s="142">
        <v>14099</v>
      </c>
      <c r="K1124" s="142">
        <v>14099</v>
      </c>
      <c r="L1124" s="182" t="s">
        <v>960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1663</v>
      </c>
      <c r="E1125" s="135" t="s">
        <v>545</v>
      </c>
      <c r="F1125" s="138" t="s">
        <v>116</v>
      </c>
      <c r="G1125" s="139" t="s">
        <v>442</v>
      </c>
      <c r="H1125" s="140"/>
      <c r="I1125" s="141">
        <v>1</v>
      </c>
      <c r="J1125" s="142">
        <v>5274</v>
      </c>
      <c r="K1125" s="142">
        <v>5274</v>
      </c>
      <c r="L1125" s="182" t="s">
        <v>960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1664</v>
      </c>
      <c r="E1126" s="135" t="s">
        <v>545</v>
      </c>
      <c r="F1126" s="138" t="s">
        <v>537</v>
      </c>
      <c r="G1126" s="139" t="s">
        <v>431</v>
      </c>
      <c r="H1126" s="140"/>
      <c r="I1126" s="141">
        <v>1</v>
      </c>
      <c r="J1126" s="142">
        <v>30429</v>
      </c>
      <c r="K1126" s="142">
        <v>30429</v>
      </c>
      <c r="L1126" s="182" t="s">
        <v>960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1665</v>
      </c>
      <c r="E1127" s="135" t="s">
        <v>1603</v>
      </c>
      <c r="F1127" s="138" t="s">
        <v>210</v>
      </c>
      <c r="G1127" s="139" t="s">
        <v>417</v>
      </c>
      <c r="H1127" s="140"/>
      <c r="I1127" s="141">
        <v>1</v>
      </c>
      <c r="J1127" s="142">
        <v>14099</v>
      </c>
      <c r="K1127" s="142">
        <v>14099</v>
      </c>
      <c r="L1127" s="182" t="s">
        <v>960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1619</v>
      </c>
      <c r="E1128" s="135" t="s">
        <v>545</v>
      </c>
      <c r="F1128" s="138" t="s">
        <v>115</v>
      </c>
      <c r="G1128" s="139" t="s">
        <v>442</v>
      </c>
      <c r="H1128" s="140"/>
      <c r="I1128" s="141">
        <v>1</v>
      </c>
      <c r="J1128" s="142">
        <v>33370</v>
      </c>
      <c r="K1128" s="142">
        <v>33370</v>
      </c>
      <c r="L1128" s="182" t="s">
        <v>960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1666</v>
      </c>
      <c r="E1129" s="135" t="s">
        <v>545</v>
      </c>
      <c r="F1129" s="138" t="s">
        <v>210</v>
      </c>
      <c r="G1129" s="139" t="s">
        <v>534</v>
      </c>
      <c r="H1129" s="140"/>
      <c r="I1129" s="141">
        <v>1</v>
      </c>
      <c r="J1129" s="142">
        <v>14099</v>
      </c>
      <c r="K1129" s="142">
        <v>14099</v>
      </c>
      <c r="L1129" s="182" t="s">
        <v>960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1666</v>
      </c>
      <c r="E1130" s="135" t="s">
        <v>545</v>
      </c>
      <c r="F1130" s="138" t="s">
        <v>116</v>
      </c>
      <c r="G1130" s="139" t="s">
        <v>534</v>
      </c>
      <c r="H1130" s="140"/>
      <c r="I1130" s="141">
        <v>1</v>
      </c>
      <c r="J1130" s="142">
        <v>5274</v>
      </c>
      <c r="K1130" s="142">
        <v>5274</v>
      </c>
      <c r="L1130" s="182" t="s">
        <v>960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1667</v>
      </c>
      <c r="E1131" s="135" t="s">
        <v>521</v>
      </c>
      <c r="F1131" s="138" t="s">
        <v>1049</v>
      </c>
      <c r="G1131" s="139" t="s">
        <v>392</v>
      </c>
      <c r="H1131" s="140"/>
      <c r="I1131" s="141">
        <v>1</v>
      </c>
      <c r="J1131" s="142">
        <v>63583</v>
      </c>
      <c r="K1131" s="142">
        <v>63583</v>
      </c>
      <c r="L1131" s="182" t="s">
        <v>960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1668</v>
      </c>
      <c r="E1132" s="135" t="s">
        <v>521</v>
      </c>
      <c r="F1132" s="138" t="s">
        <v>115</v>
      </c>
      <c r="G1132" s="139" t="s">
        <v>1098</v>
      </c>
      <c r="H1132" s="140"/>
      <c r="I1132" s="141">
        <v>2</v>
      </c>
      <c r="J1132" s="142">
        <v>33370</v>
      </c>
      <c r="K1132" s="142">
        <v>66740</v>
      </c>
      <c r="L1132" s="182" t="s">
        <v>960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1668</v>
      </c>
      <c r="E1133" s="135" t="s">
        <v>521</v>
      </c>
      <c r="F1133" s="138" t="s">
        <v>204</v>
      </c>
      <c r="G1133" s="139" t="s">
        <v>562</v>
      </c>
      <c r="H1133" s="140"/>
      <c r="I1133" s="141">
        <v>1</v>
      </c>
      <c r="J1133" s="142">
        <v>17244</v>
      </c>
      <c r="K1133" s="142">
        <v>17244</v>
      </c>
      <c r="L1133" s="182" t="s">
        <v>960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1669</v>
      </c>
      <c r="E1134" s="135" t="s">
        <v>545</v>
      </c>
      <c r="F1134" s="138" t="s">
        <v>537</v>
      </c>
      <c r="G1134" s="139" t="s">
        <v>442</v>
      </c>
      <c r="H1134" s="140"/>
      <c r="I1134" s="141">
        <v>1</v>
      </c>
      <c r="J1134" s="142">
        <v>30429</v>
      </c>
      <c r="K1134" s="142">
        <v>30429</v>
      </c>
      <c r="L1134" s="182" t="s">
        <v>960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1669</v>
      </c>
      <c r="E1135" s="135" t="s">
        <v>545</v>
      </c>
      <c r="F1135" s="138" t="s">
        <v>210</v>
      </c>
      <c r="G1135" s="139" t="s">
        <v>419</v>
      </c>
      <c r="H1135" s="140"/>
      <c r="I1135" s="141">
        <v>1</v>
      </c>
      <c r="J1135" s="142">
        <v>14099</v>
      </c>
      <c r="K1135" s="142">
        <v>14099</v>
      </c>
      <c r="L1135" s="182" t="s">
        <v>960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1669</v>
      </c>
      <c r="E1136" s="135" t="s">
        <v>545</v>
      </c>
      <c r="F1136" s="138" t="s">
        <v>116</v>
      </c>
      <c r="G1136" s="139" t="s">
        <v>419</v>
      </c>
      <c r="H1136" s="140"/>
      <c r="I1136" s="141">
        <v>1</v>
      </c>
      <c r="J1136" s="142">
        <v>5274</v>
      </c>
      <c r="K1136" s="142">
        <v>5274</v>
      </c>
      <c r="L1136" s="182" t="s">
        <v>960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1670</v>
      </c>
      <c r="E1137" s="135" t="s">
        <v>1671</v>
      </c>
      <c r="F1137" s="138" t="s">
        <v>195</v>
      </c>
      <c r="G1137" s="139" t="s">
        <v>371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960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1672</v>
      </c>
      <c r="E1138" s="135" t="s">
        <v>1030</v>
      </c>
      <c r="F1138" s="138" t="s">
        <v>197</v>
      </c>
      <c r="G1138" s="139" t="s">
        <v>1673</v>
      </c>
      <c r="H1138" s="140"/>
      <c r="I1138" s="141">
        <v>5</v>
      </c>
      <c r="J1138" s="142">
        <v>2739</v>
      </c>
      <c r="K1138" s="142">
        <v>13695</v>
      </c>
      <c r="L1138" s="182" t="s">
        <v>960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1674</v>
      </c>
      <c r="E1139" s="135" t="s">
        <v>1603</v>
      </c>
      <c r="F1139" s="138" t="s">
        <v>1132</v>
      </c>
      <c r="G1139" s="139" t="s">
        <v>407</v>
      </c>
      <c r="H1139" s="140"/>
      <c r="I1139" s="141">
        <v>1</v>
      </c>
      <c r="J1139" s="142">
        <v>49701</v>
      </c>
      <c r="K1139" s="142">
        <v>49701</v>
      </c>
      <c r="L1139" s="182" t="s">
        <v>960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1675</v>
      </c>
      <c r="E1140" s="202" t="s">
        <v>1603</v>
      </c>
      <c r="F1140" s="199" t="s">
        <v>537</v>
      </c>
      <c r="G1140" s="204" t="s">
        <v>527</v>
      </c>
      <c r="H1140" s="204"/>
      <c r="I1140" s="205">
        <v>1</v>
      </c>
      <c r="J1140" s="180">
        <v>30429</v>
      </c>
      <c r="K1140" s="180">
        <v>30429</v>
      </c>
      <c r="L1140" s="182" t="s">
        <v>960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1676</v>
      </c>
      <c r="E1141" s="135" t="s">
        <v>545</v>
      </c>
      <c r="F1141" s="213" t="s">
        <v>219</v>
      </c>
      <c r="G1141" s="139" t="s">
        <v>371</v>
      </c>
      <c r="H1141" s="140"/>
      <c r="I1141" s="141">
        <v>1</v>
      </c>
      <c r="J1141" s="142">
        <v>22299</v>
      </c>
      <c r="K1141" s="142">
        <v>22299</v>
      </c>
      <c r="L1141" s="182" t="s">
        <v>960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1677</v>
      </c>
      <c r="E1142" s="135" t="s">
        <v>521</v>
      </c>
      <c r="F1142" s="138" t="s">
        <v>644</v>
      </c>
      <c r="G1142" s="139" t="s">
        <v>594</v>
      </c>
      <c r="H1142" s="140"/>
      <c r="I1142" s="141">
        <v>1</v>
      </c>
      <c r="J1142" s="142">
        <v>29440</v>
      </c>
      <c r="K1142" s="142">
        <v>29440</v>
      </c>
      <c r="L1142" s="182" t="s">
        <v>960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1678</v>
      </c>
      <c r="E1143" s="135" t="s">
        <v>545</v>
      </c>
      <c r="F1143" s="138" t="s">
        <v>116</v>
      </c>
      <c r="G1143" s="139" t="s">
        <v>1679</v>
      </c>
      <c r="H1143" s="140"/>
      <c r="I1143" s="141">
        <v>9</v>
      </c>
      <c r="J1143" s="142">
        <v>5274</v>
      </c>
      <c r="K1143" s="142">
        <v>47466</v>
      </c>
      <c r="L1143" s="182" t="s">
        <v>960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1560</v>
      </c>
      <c r="E1144" s="135" t="s">
        <v>521</v>
      </c>
      <c r="F1144" s="138" t="s">
        <v>1579</v>
      </c>
      <c r="G1144" s="139" t="s">
        <v>645</v>
      </c>
      <c r="H1144" s="140"/>
      <c r="I1144" s="141">
        <v>1</v>
      </c>
      <c r="J1144" s="142">
        <v>63583</v>
      </c>
      <c r="K1144" s="142">
        <v>63583</v>
      </c>
      <c r="L1144" s="182" t="s">
        <v>960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1680</v>
      </c>
      <c r="E1145" s="135" t="s">
        <v>1558</v>
      </c>
      <c r="F1145" s="138" t="s">
        <v>173</v>
      </c>
      <c r="G1145" s="139" t="s">
        <v>371</v>
      </c>
      <c r="H1145" s="140"/>
      <c r="I1145" s="141">
        <v>1</v>
      </c>
      <c r="J1145" s="142">
        <v>18764</v>
      </c>
      <c r="K1145" s="142">
        <v>18764</v>
      </c>
      <c r="L1145" s="182" t="s">
        <v>960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1681</v>
      </c>
      <c r="E1146" s="135" t="s">
        <v>521</v>
      </c>
      <c r="F1146" s="138" t="s">
        <v>115</v>
      </c>
      <c r="G1146" s="139" t="s">
        <v>410</v>
      </c>
      <c r="H1146" s="140"/>
      <c r="I1146" s="141">
        <v>1</v>
      </c>
      <c r="J1146" s="142">
        <v>33370</v>
      </c>
      <c r="K1146" s="142">
        <v>33370</v>
      </c>
      <c r="L1146" s="182" t="s">
        <v>960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1682</v>
      </c>
      <c r="E1147" s="135" t="s">
        <v>545</v>
      </c>
      <c r="F1147" s="138" t="s">
        <v>682</v>
      </c>
      <c r="G1147" s="139" t="s">
        <v>369</v>
      </c>
      <c r="H1147" s="140"/>
      <c r="I1147" s="141">
        <v>1</v>
      </c>
      <c r="J1147" s="142">
        <v>55058</v>
      </c>
      <c r="K1147" s="142">
        <v>55058</v>
      </c>
      <c r="L1147" s="182" t="s">
        <v>960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1683</v>
      </c>
      <c r="E1148" s="135" t="s">
        <v>545</v>
      </c>
      <c r="F1148" s="138" t="s">
        <v>682</v>
      </c>
      <c r="G1148" s="139" t="s">
        <v>387</v>
      </c>
      <c r="H1148" s="140"/>
      <c r="I1148" s="141">
        <v>2</v>
      </c>
      <c r="J1148" s="142">
        <v>55058</v>
      </c>
      <c r="K1148" s="142">
        <v>110116</v>
      </c>
      <c r="L1148" s="182" t="s">
        <v>960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1582</v>
      </c>
      <c r="E1149" s="135" t="s">
        <v>545</v>
      </c>
      <c r="F1149" s="138" t="s">
        <v>115</v>
      </c>
      <c r="G1149" s="139" t="s">
        <v>527</v>
      </c>
      <c r="H1149" s="140"/>
      <c r="I1149" s="141">
        <v>1</v>
      </c>
      <c r="J1149" s="142">
        <v>33370</v>
      </c>
      <c r="K1149" s="142">
        <v>33370</v>
      </c>
      <c r="L1149" s="182" t="s">
        <v>960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1684</v>
      </c>
      <c r="E1150" s="135" t="s">
        <v>545</v>
      </c>
      <c r="F1150" s="138" t="s">
        <v>577</v>
      </c>
      <c r="G1150" s="139" t="s">
        <v>392</v>
      </c>
      <c r="H1150" s="140"/>
      <c r="I1150" s="141">
        <v>1</v>
      </c>
      <c r="J1150" s="142">
        <v>49701</v>
      </c>
      <c r="K1150" s="142">
        <v>49701</v>
      </c>
      <c r="L1150" s="182" t="s">
        <v>960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1684</v>
      </c>
      <c r="E1151" s="135" t="s">
        <v>545</v>
      </c>
      <c r="F1151" s="138" t="s">
        <v>537</v>
      </c>
      <c r="G1151" s="139" t="s">
        <v>1685</v>
      </c>
      <c r="H1151" s="140"/>
      <c r="I1151" s="141">
        <v>2</v>
      </c>
      <c r="J1151" s="142">
        <v>30429</v>
      </c>
      <c r="K1151" s="142">
        <v>60858</v>
      </c>
      <c r="L1151" s="182" t="s">
        <v>960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1686</v>
      </c>
      <c r="E1152" s="135" t="s">
        <v>545</v>
      </c>
      <c r="F1152" s="138" t="s">
        <v>217</v>
      </c>
      <c r="G1152" s="139" t="s">
        <v>371</v>
      </c>
      <c r="H1152" s="140"/>
      <c r="I1152" s="141">
        <v>1</v>
      </c>
      <c r="J1152" s="142">
        <v>44597</v>
      </c>
      <c r="K1152" s="142">
        <v>44597</v>
      </c>
      <c r="L1152" s="182" t="s">
        <v>960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1687</v>
      </c>
      <c r="E1153" s="122" t="s">
        <v>545</v>
      </c>
      <c r="F1153" s="200" t="s">
        <v>217</v>
      </c>
      <c r="G1153" s="126" t="s">
        <v>371</v>
      </c>
      <c r="H1153" s="127"/>
      <c r="I1153" s="128">
        <v>1</v>
      </c>
      <c r="J1153" s="129">
        <v>44597</v>
      </c>
      <c r="K1153" s="129">
        <v>44597</v>
      </c>
      <c r="L1153" s="189" t="s">
        <v>623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1688</v>
      </c>
      <c r="E1154" s="122" t="s">
        <v>545</v>
      </c>
      <c r="F1154" s="125" t="s">
        <v>115</v>
      </c>
      <c r="G1154" s="126" t="s">
        <v>886</v>
      </c>
      <c r="H1154" s="127"/>
      <c r="I1154" s="128">
        <v>1</v>
      </c>
      <c r="J1154" s="129">
        <v>33370</v>
      </c>
      <c r="K1154" s="129">
        <v>33370</v>
      </c>
      <c r="L1154" s="189" t="s">
        <v>623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1689</v>
      </c>
      <c r="E1155" s="122" t="s">
        <v>521</v>
      </c>
      <c r="F1155" s="125" t="s">
        <v>197</v>
      </c>
      <c r="G1155" s="126" t="s">
        <v>1690</v>
      </c>
      <c r="H1155" s="127"/>
      <c r="I1155" s="128">
        <v>2</v>
      </c>
      <c r="J1155" s="129">
        <v>2739</v>
      </c>
      <c r="K1155" s="129">
        <v>5478</v>
      </c>
      <c r="L1155" s="189" t="s">
        <v>623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1691</v>
      </c>
      <c r="E1156" s="122" t="s">
        <v>545</v>
      </c>
      <c r="F1156" s="125" t="s">
        <v>116</v>
      </c>
      <c r="G1156" s="126" t="s">
        <v>1692</v>
      </c>
      <c r="H1156" s="127"/>
      <c r="I1156" s="128">
        <v>12</v>
      </c>
      <c r="J1156" s="129">
        <v>5274</v>
      </c>
      <c r="K1156" s="129">
        <v>63288</v>
      </c>
      <c r="L1156" s="189" t="s">
        <v>623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1693</v>
      </c>
      <c r="E1157" s="122" t="s">
        <v>545</v>
      </c>
      <c r="F1157" s="125" t="s">
        <v>217</v>
      </c>
      <c r="G1157" s="126" t="s">
        <v>371</v>
      </c>
      <c r="H1157" s="127"/>
      <c r="I1157" s="128">
        <v>1</v>
      </c>
      <c r="J1157" s="129">
        <v>44597</v>
      </c>
      <c r="K1157" s="129">
        <v>44597</v>
      </c>
      <c r="L1157" s="189" t="s">
        <v>623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1694</v>
      </c>
      <c r="E1158" s="122" t="s">
        <v>545</v>
      </c>
      <c r="F1158" s="125" t="s">
        <v>217</v>
      </c>
      <c r="G1158" s="126" t="s">
        <v>387</v>
      </c>
      <c r="H1158" s="127"/>
      <c r="I1158" s="128">
        <v>2</v>
      </c>
      <c r="J1158" s="129">
        <v>44597</v>
      </c>
      <c r="K1158" s="129">
        <v>89194</v>
      </c>
      <c r="L1158" s="189" t="s">
        <v>623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1695</v>
      </c>
      <c r="E1159" s="122" t="s">
        <v>545</v>
      </c>
      <c r="F1159" s="125" t="s">
        <v>115</v>
      </c>
      <c r="G1159" s="126" t="s">
        <v>562</v>
      </c>
      <c r="H1159" s="127"/>
      <c r="I1159" s="128">
        <v>1</v>
      </c>
      <c r="J1159" s="129">
        <v>33370</v>
      </c>
      <c r="K1159" s="129">
        <v>33370</v>
      </c>
      <c r="L1159" s="189" t="s">
        <v>623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1696</v>
      </c>
      <c r="E1160" s="122" t="s">
        <v>545</v>
      </c>
      <c r="F1160" s="125" t="s">
        <v>217</v>
      </c>
      <c r="G1160" s="126" t="s">
        <v>371</v>
      </c>
      <c r="H1160" s="127"/>
      <c r="I1160" s="128">
        <v>1</v>
      </c>
      <c r="J1160" s="129">
        <v>44597</v>
      </c>
      <c r="K1160" s="129">
        <v>44597</v>
      </c>
      <c r="L1160" s="189" t="s">
        <v>623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1589</v>
      </c>
      <c r="E1161" s="122" t="s">
        <v>545</v>
      </c>
      <c r="F1161" s="125" t="s">
        <v>115</v>
      </c>
      <c r="G1161" s="126" t="s">
        <v>594</v>
      </c>
      <c r="H1161" s="127"/>
      <c r="I1161" s="128">
        <v>1</v>
      </c>
      <c r="J1161" s="129">
        <v>33370</v>
      </c>
      <c r="K1161" s="129">
        <v>33370</v>
      </c>
      <c r="L1161" s="189" t="s">
        <v>623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1697</v>
      </c>
      <c r="E1162" s="122" t="s">
        <v>521</v>
      </c>
      <c r="F1162" s="125" t="s">
        <v>537</v>
      </c>
      <c r="G1162" s="126" t="s">
        <v>392</v>
      </c>
      <c r="H1162" s="127"/>
      <c r="I1162" s="128">
        <v>1</v>
      </c>
      <c r="J1162" s="129">
        <v>30429</v>
      </c>
      <c r="K1162" s="129">
        <v>30429</v>
      </c>
      <c r="L1162" s="189" t="s">
        <v>623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1698</v>
      </c>
      <c r="E1163" s="122" t="s">
        <v>545</v>
      </c>
      <c r="F1163" s="200" t="s">
        <v>217</v>
      </c>
      <c r="G1163" s="126" t="s">
        <v>371</v>
      </c>
      <c r="H1163" s="127"/>
      <c r="I1163" s="128">
        <v>1</v>
      </c>
      <c r="J1163" s="129">
        <v>44597</v>
      </c>
      <c r="K1163" s="129">
        <v>44597</v>
      </c>
      <c r="L1163" s="189" t="s">
        <v>623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1699</v>
      </c>
      <c r="E1164" s="122" t="s">
        <v>1644</v>
      </c>
      <c r="F1164" s="125" t="s">
        <v>197</v>
      </c>
      <c r="G1164" s="126" t="s">
        <v>812</v>
      </c>
      <c r="H1164" s="127"/>
      <c r="I1164" s="128">
        <v>3</v>
      </c>
      <c r="J1164" s="129">
        <v>2739</v>
      </c>
      <c r="K1164" s="129">
        <v>8217</v>
      </c>
      <c r="L1164" s="189" t="s">
        <v>623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1699</v>
      </c>
      <c r="E1165" s="122" t="s">
        <v>1644</v>
      </c>
      <c r="F1165" s="125" t="s">
        <v>622</v>
      </c>
      <c r="G1165" s="126" t="s">
        <v>371</v>
      </c>
      <c r="H1165" s="127"/>
      <c r="I1165" s="128">
        <v>1</v>
      </c>
      <c r="J1165" s="129">
        <v>15722</v>
      </c>
      <c r="K1165" s="129">
        <v>15722</v>
      </c>
      <c r="L1165" s="189" t="s">
        <v>623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1700</v>
      </c>
      <c r="E1166" s="122" t="s">
        <v>521</v>
      </c>
      <c r="F1166" s="125" t="s">
        <v>116</v>
      </c>
      <c r="G1166" s="126" t="s">
        <v>812</v>
      </c>
      <c r="H1166" s="127"/>
      <c r="I1166" s="128">
        <v>3</v>
      </c>
      <c r="J1166" s="129">
        <v>5274</v>
      </c>
      <c r="K1166" s="129">
        <v>15822</v>
      </c>
      <c r="L1166" s="189" t="s">
        <v>623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1700</v>
      </c>
      <c r="E1167" s="122" t="s">
        <v>521</v>
      </c>
      <c r="F1167" s="125" t="s">
        <v>210</v>
      </c>
      <c r="G1167" s="126" t="s">
        <v>534</v>
      </c>
      <c r="H1167" s="127"/>
      <c r="I1167" s="128">
        <v>1</v>
      </c>
      <c r="J1167" s="129">
        <v>14099</v>
      </c>
      <c r="K1167" s="129">
        <v>14099</v>
      </c>
      <c r="L1167" s="189" t="s">
        <v>623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1701</v>
      </c>
      <c r="E1168" s="122" t="s">
        <v>1595</v>
      </c>
      <c r="F1168" s="125" t="s">
        <v>217</v>
      </c>
      <c r="G1168" s="126" t="s">
        <v>369</v>
      </c>
      <c r="H1168" s="127"/>
      <c r="I1168" s="128">
        <v>1</v>
      </c>
      <c r="J1168" s="129">
        <v>44597</v>
      </c>
      <c r="K1168" s="129">
        <v>44597</v>
      </c>
      <c r="L1168" s="189" t="s">
        <v>623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1702</v>
      </c>
      <c r="E1169" s="122" t="s">
        <v>545</v>
      </c>
      <c r="F1169" s="125" t="s">
        <v>115</v>
      </c>
      <c r="G1169" s="126" t="s">
        <v>410</v>
      </c>
      <c r="H1169" s="127"/>
      <c r="I1169" s="128">
        <v>1</v>
      </c>
      <c r="J1169" s="129">
        <v>33370</v>
      </c>
      <c r="K1169" s="129">
        <v>33370</v>
      </c>
      <c r="L1169" s="189" t="s">
        <v>623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1703</v>
      </c>
      <c r="E1170" s="122" t="s">
        <v>521</v>
      </c>
      <c r="F1170" s="125" t="s">
        <v>188</v>
      </c>
      <c r="G1170" s="126" t="s">
        <v>407</v>
      </c>
      <c r="H1170" s="127"/>
      <c r="I1170" s="128">
        <v>1</v>
      </c>
      <c r="J1170" s="129">
        <v>42601</v>
      </c>
      <c r="K1170" s="129">
        <v>42601</v>
      </c>
      <c r="L1170" s="189" t="s">
        <v>623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1704</v>
      </c>
      <c r="E1171" s="122" t="s">
        <v>545</v>
      </c>
      <c r="F1171" s="125" t="s">
        <v>217</v>
      </c>
      <c r="G1171" s="126" t="s">
        <v>371</v>
      </c>
      <c r="H1171" s="127"/>
      <c r="I1171" s="128">
        <v>1</v>
      </c>
      <c r="J1171" s="129">
        <v>44597</v>
      </c>
      <c r="K1171" s="129">
        <v>44597</v>
      </c>
      <c r="L1171" s="189" t="s">
        <v>623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1705</v>
      </c>
      <c r="E1172" s="122" t="s">
        <v>545</v>
      </c>
      <c r="F1172" s="125" t="s">
        <v>682</v>
      </c>
      <c r="G1172" s="126" t="s">
        <v>387</v>
      </c>
      <c r="H1172" s="127"/>
      <c r="I1172" s="128">
        <v>2</v>
      </c>
      <c r="J1172" s="129">
        <v>55058</v>
      </c>
      <c r="K1172" s="129">
        <v>110116</v>
      </c>
      <c r="L1172" s="189" t="s">
        <v>623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1665</v>
      </c>
      <c r="E1173" s="122" t="s">
        <v>1603</v>
      </c>
      <c r="F1173" s="125" t="s">
        <v>115</v>
      </c>
      <c r="G1173" s="126" t="s">
        <v>417</v>
      </c>
      <c r="H1173" s="127"/>
      <c r="I1173" s="128">
        <v>1</v>
      </c>
      <c r="J1173" s="129">
        <v>33370</v>
      </c>
      <c r="K1173" s="129">
        <v>33370</v>
      </c>
      <c r="L1173" s="189" t="s">
        <v>623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1706</v>
      </c>
      <c r="E1174" s="122" t="s">
        <v>545</v>
      </c>
      <c r="F1174" s="125" t="s">
        <v>115</v>
      </c>
      <c r="G1174" s="126" t="s">
        <v>1707</v>
      </c>
      <c r="H1174" s="127"/>
      <c r="I1174" s="128">
        <v>2</v>
      </c>
      <c r="J1174" s="129">
        <v>33370</v>
      </c>
      <c r="K1174" s="129">
        <v>66740</v>
      </c>
      <c r="L1174" s="189" t="s">
        <v>623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1708</v>
      </c>
      <c r="E1175" s="122" t="s">
        <v>521</v>
      </c>
      <c r="F1175" s="125" t="s">
        <v>1579</v>
      </c>
      <c r="G1175" s="126" t="s">
        <v>472</v>
      </c>
      <c r="H1175" s="127"/>
      <c r="I1175" s="128">
        <v>1</v>
      </c>
      <c r="J1175" s="129">
        <v>63583</v>
      </c>
      <c r="K1175" s="129">
        <v>63583</v>
      </c>
      <c r="L1175" s="189" t="s">
        <v>623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1666</v>
      </c>
      <c r="E1176" s="122" t="s">
        <v>545</v>
      </c>
      <c r="F1176" s="125" t="s">
        <v>192</v>
      </c>
      <c r="G1176" s="126" t="s">
        <v>534</v>
      </c>
      <c r="H1176" s="127"/>
      <c r="I1176" s="128">
        <v>1</v>
      </c>
      <c r="J1176" s="129">
        <v>57960</v>
      </c>
      <c r="K1176" s="129">
        <v>57960</v>
      </c>
      <c r="L1176" s="189" t="s">
        <v>623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1709</v>
      </c>
      <c r="E1177" s="122" t="s">
        <v>521</v>
      </c>
      <c r="F1177" s="125" t="s">
        <v>210</v>
      </c>
      <c r="G1177" s="126" t="s">
        <v>431</v>
      </c>
      <c r="H1177" s="127"/>
      <c r="I1177" s="128">
        <v>1</v>
      </c>
      <c r="J1177" s="129">
        <v>14099</v>
      </c>
      <c r="K1177" s="129">
        <v>14099</v>
      </c>
      <c r="L1177" s="189" t="s">
        <v>623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1623</v>
      </c>
      <c r="E1178" s="122" t="s">
        <v>545</v>
      </c>
      <c r="F1178" s="125" t="s">
        <v>115</v>
      </c>
      <c r="G1178" s="126" t="s">
        <v>1710</v>
      </c>
      <c r="H1178" s="127"/>
      <c r="I1178" s="128">
        <v>4</v>
      </c>
      <c r="J1178" s="129">
        <v>33370</v>
      </c>
      <c r="K1178" s="129">
        <v>133480</v>
      </c>
      <c r="L1178" s="189" t="s">
        <v>623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1623</v>
      </c>
      <c r="E1179" s="122" t="s">
        <v>545</v>
      </c>
      <c r="F1179" s="125" t="s">
        <v>580</v>
      </c>
      <c r="G1179" s="126" t="s">
        <v>371</v>
      </c>
      <c r="H1179" s="127"/>
      <c r="I1179" s="128">
        <v>1</v>
      </c>
      <c r="J1179" s="129">
        <v>25800</v>
      </c>
      <c r="K1179" s="129">
        <v>25800</v>
      </c>
      <c r="L1179" s="189" t="s">
        <v>623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1711</v>
      </c>
      <c r="E1180" s="122" t="s">
        <v>545</v>
      </c>
      <c r="F1180" s="125" t="s">
        <v>580</v>
      </c>
      <c r="G1180" s="126" t="s">
        <v>371</v>
      </c>
      <c r="H1180" s="127"/>
      <c r="I1180" s="128">
        <v>1</v>
      </c>
      <c r="J1180" s="129">
        <v>25800</v>
      </c>
      <c r="K1180" s="129">
        <v>25800</v>
      </c>
      <c r="L1180" s="189" t="s">
        <v>623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1625</v>
      </c>
      <c r="E1181" s="122" t="s">
        <v>1603</v>
      </c>
      <c r="F1181" s="125" t="s">
        <v>115</v>
      </c>
      <c r="G1181" s="126" t="s">
        <v>392</v>
      </c>
      <c r="H1181" s="127"/>
      <c r="I1181" s="128">
        <v>1</v>
      </c>
      <c r="J1181" s="129">
        <v>33370</v>
      </c>
      <c r="K1181" s="129">
        <v>33370</v>
      </c>
      <c r="L1181" s="189" t="s">
        <v>623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1712</v>
      </c>
      <c r="E1182" s="122" t="s">
        <v>545</v>
      </c>
      <c r="F1182" s="125" t="s">
        <v>115</v>
      </c>
      <c r="G1182" s="126" t="s">
        <v>511</v>
      </c>
      <c r="H1182" s="127"/>
      <c r="I1182" s="128">
        <v>1</v>
      </c>
      <c r="J1182" s="129">
        <v>33370</v>
      </c>
      <c r="K1182" s="129">
        <v>33370</v>
      </c>
      <c r="L1182" s="189" t="s">
        <v>623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1713</v>
      </c>
      <c r="E1183" s="122" t="s">
        <v>521</v>
      </c>
      <c r="F1183" s="125" t="s">
        <v>682</v>
      </c>
      <c r="G1183" s="126" t="s">
        <v>522</v>
      </c>
      <c r="H1183" s="127"/>
      <c r="I1183" s="128">
        <v>1</v>
      </c>
      <c r="J1183" s="129">
        <v>55058</v>
      </c>
      <c r="K1183" s="129">
        <v>55058</v>
      </c>
      <c r="L1183" s="189" t="s">
        <v>623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1714</v>
      </c>
      <c r="E1184" s="122" t="s">
        <v>521</v>
      </c>
      <c r="F1184" s="125" t="s">
        <v>210</v>
      </c>
      <c r="G1184" s="126" t="s">
        <v>445</v>
      </c>
      <c r="H1184" s="127"/>
      <c r="I1184" s="128">
        <v>1</v>
      </c>
      <c r="J1184" s="129">
        <v>14099</v>
      </c>
      <c r="K1184" s="129">
        <v>14099</v>
      </c>
      <c r="L1184" s="189" t="s">
        <v>623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1715</v>
      </c>
      <c r="E1185" s="122" t="s">
        <v>545</v>
      </c>
      <c r="F1185" s="125" t="s">
        <v>116</v>
      </c>
      <c r="G1185" s="126" t="s">
        <v>645</v>
      </c>
      <c r="H1185" s="127"/>
      <c r="I1185" s="128">
        <v>1</v>
      </c>
      <c r="J1185" s="129">
        <v>5274</v>
      </c>
      <c r="K1185" s="129">
        <v>5274</v>
      </c>
      <c r="L1185" s="189" t="s">
        <v>623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1715</v>
      </c>
      <c r="E1186" s="122" t="s">
        <v>545</v>
      </c>
      <c r="F1186" s="125" t="s">
        <v>210</v>
      </c>
      <c r="G1186" s="126" t="s">
        <v>645</v>
      </c>
      <c r="H1186" s="127"/>
      <c r="I1186" s="128">
        <v>1</v>
      </c>
      <c r="J1186" s="129">
        <v>14099</v>
      </c>
      <c r="K1186" s="129">
        <v>14099</v>
      </c>
      <c r="L1186" s="189" t="s">
        <v>623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1716</v>
      </c>
      <c r="E1187" s="122" t="s">
        <v>545</v>
      </c>
      <c r="F1187" s="125" t="s">
        <v>537</v>
      </c>
      <c r="G1187" s="126" t="s">
        <v>472</v>
      </c>
      <c r="H1187" s="127"/>
      <c r="I1187" s="128">
        <v>1</v>
      </c>
      <c r="J1187" s="129">
        <v>30429</v>
      </c>
      <c r="K1187" s="129">
        <v>30429</v>
      </c>
      <c r="L1187" s="189" t="s">
        <v>623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1717</v>
      </c>
      <c r="E1188" s="122" t="s">
        <v>545</v>
      </c>
      <c r="F1188" s="125" t="s">
        <v>116</v>
      </c>
      <c r="G1188" s="126" t="s">
        <v>407</v>
      </c>
      <c r="H1188" s="127"/>
      <c r="I1188" s="128">
        <v>1</v>
      </c>
      <c r="J1188" s="129">
        <v>5274</v>
      </c>
      <c r="K1188" s="129">
        <v>5274</v>
      </c>
      <c r="L1188" s="189" t="s">
        <v>623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1717</v>
      </c>
      <c r="E1189" s="122" t="s">
        <v>545</v>
      </c>
      <c r="F1189" s="125" t="s">
        <v>210</v>
      </c>
      <c r="G1189" s="126" t="s">
        <v>407</v>
      </c>
      <c r="H1189" s="127"/>
      <c r="I1189" s="128">
        <v>1</v>
      </c>
      <c r="J1189" s="129">
        <v>14099</v>
      </c>
      <c r="K1189" s="129">
        <v>14099</v>
      </c>
      <c r="L1189" s="189" t="s">
        <v>623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1717</v>
      </c>
      <c r="E1190" s="122" t="s">
        <v>545</v>
      </c>
      <c r="F1190" s="125" t="s">
        <v>115</v>
      </c>
      <c r="G1190" s="126" t="s">
        <v>407</v>
      </c>
      <c r="H1190" s="127"/>
      <c r="I1190" s="128">
        <v>1</v>
      </c>
      <c r="J1190" s="129">
        <v>33370</v>
      </c>
      <c r="K1190" s="129">
        <v>33370</v>
      </c>
      <c r="L1190" s="189" t="s">
        <v>623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1718</v>
      </c>
      <c r="E1191" s="122" t="s">
        <v>545</v>
      </c>
      <c r="F1191" s="125" t="s">
        <v>682</v>
      </c>
      <c r="G1191" s="126" t="s">
        <v>369</v>
      </c>
      <c r="H1191" s="127"/>
      <c r="I1191" s="128">
        <v>1</v>
      </c>
      <c r="J1191" s="129">
        <v>55058</v>
      </c>
      <c r="K1191" s="129">
        <v>55058</v>
      </c>
      <c r="L1191" s="189" t="s">
        <v>623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1719</v>
      </c>
      <c r="E1192" s="122" t="s">
        <v>545</v>
      </c>
      <c r="F1192" s="125" t="s">
        <v>115</v>
      </c>
      <c r="G1192" s="126" t="s">
        <v>419</v>
      </c>
      <c r="H1192" s="127"/>
      <c r="I1192" s="128">
        <v>1</v>
      </c>
      <c r="J1192" s="129">
        <v>33370</v>
      </c>
      <c r="K1192" s="129">
        <v>33370</v>
      </c>
      <c r="L1192" s="189" t="s">
        <v>623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1720</v>
      </c>
      <c r="E1193" s="122" t="s">
        <v>545</v>
      </c>
      <c r="F1193" s="125" t="s">
        <v>116</v>
      </c>
      <c r="G1193" s="126" t="s">
        <v>442</v>
      </c>
      <c r="H1193" s="127"/>
      <c r="I1193" s="128">
        <v>1</v>
      </c>
      <c r="J1193" s="129">
        <v>5274</v>
      </c>
      <c r="K1193" s="129">
        <v>5274</v>
      </c>
      <c r="L1193" s="189" t="s">
        <v>623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1720</v>
      </c>
      <c r="E1194" s="122" t="s">
        <v>545</v>
      </c>
      <c r="F1194" s="125" t="s">
        <v>210</v>
      </c>
      <c r="G1194" s="126" t="s">
        <v>442</v>
      </c>
      <c r="H1194" s="127"/>
      <c r="I1194" s="128">
        <v>1</v>
      </c>
      <c r="J1194" s="129">
        <v>14099</v>
      </c>
      <c r="K1194" s="129">
        <v>14099</v>
      </c>
      <c r="L1194" s="189" t="s">
        <v>623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1721</v>
      </c>
      <c r="E1195" s="122" t="s">
        <v>545</v>
      </c>
      <c r="F1195" s="125" t="s">
        <v>116</v>
      </c>
      <c r="G1195" s="126" t="s">
        <v>1004</v>
      </c>
      <c r="H1195" s="127"/>
      <c r="I1195" s="128">
        <v>4</v>
      </c>
      <c r="J1195" s="129">
        <v>5274</v>
      </c>
      <c r="K1195" s="129">
        <v>21096</v>
      </c>
      <c r="L1195" s="189" t="s">
        <v>623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1722</v>
      </c>
      <c r="E1196" s="122" t="s">
        <v>1603</v>
      </c>
      <c r="F1196" s="200" t="s">
        <v>217</v>
      </c>
      <c r="G1196" s="126" t="s">
        <v>387</v>
      </c>
      <c r="H1196" s="127"/>
      <c r="I1196" s="128">
        <v>2</v>
      </c>
      <c r="J1196" s="129">
        <v>44597</v>
      </c>
      <c r="K1196" s="129">
        <v>89194</v>
      </c>
      <c r="L1196" s="189" t="s">
        <v>623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1723</v>
      </c>
      <c r="E1197" s="122" t="s">
        <v>521</v>
      </c>
      <c r="F1197" s="200" t="s">
        <v>1579</v>
      </c>
      <c r="G1197" s="126" t="s">
        <v>404</v>
      </c>
      <c r="H1197" s="127"/>
      <c r="I1197" s="128">
        <v>1</v>
      </c>
      <c r="J1197" s="129">
        <v>63583</v>
      </c>
      <c r="K1197" s="210">
        <v>63583</v>
      </c>
      <c r="L1197" s="189" t="s">
        <v>623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1724</v>
      </c>
      <c r="E1198" s="122" t="s">
        <v>545</v>
      </c>
      <c r="F1198" s="200" t="s">
        <v>1725</v>
      </c>
      <c r="G1198" s="126" t="s">
        <v>371</v>
      </c>
      <c r="H1198" s="127"/>
      <c r="I1198" s="128">
        <v>1</v>
      </c>
      <c r="J1198" s="129">
        <v>17250</v>
      </c>
      <c r="K1198" s="210">
        <v>17250</v>
      </c>
      <c r="L1198" s="189" t="s">
        <v>623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1726</v>
      </c>
      <c r="E1199" s="122" t="s">
        <v>545</v>
      </c>
      <c r="F1199" s="125" t="s">
        <v>1725</v>
      </c>
      <c r="G1199" s="126" t="s">
        <v>371</v>
      </c>
      <c r="H1199" s="127"/>
      <c r="I1199" s="128">
        <v>1</v>
      </c>
      <c r="J1199" s="129">
        <v>17250</v>
      </c>
      <c r="K1199" s="210">
        <v>17250</v>
      </c>
      <c r="L1199" s="189" t="s">
        <v>623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1727</v>
      </c>
      <c r="E1200" s="135" t="s">
        <v>543</v>
      </c>
      <c r="F1200" s="138" t="s">
        <v>116</v>
      </c>
      <c r="G1200" s="139" t="s">
        <v>419</v>
      </c>
      <c r="H1200" s="140"/>
      <c r="I1200" s="141">
        <v>1</v>
      </c>
      <c r="J1200" s="142">
        <v>5274</v>
      </c>
      <c r="K1200" s="142">
        <v>5274</v>
      </c>
      <c r="L1200" s="592" t="s">
        <v>620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1728</v>
      </c>
      <c r="E1201" s="135" t="s">
        <v>543</v>
      </c>
      <c r="F1201" s="138" t="s">
        <v>580</v>
      </c>
      <c r="G1201" s="139" t="s">
        <v>371</v>
      </c>
      <c r="H1201" s="140"/>
      <c r="I1201" s="141">
        <v>1</v>
      </c>
      <c r="J1201" s="142">
        <v>25800</v>
      </c>
      <c r="K1201" s="142">
        <v>25800</v>
      </c>
      <c r="L1201" s="593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1729</v>
      </c>
      <c r="E1202" s="135" t="s">
        <v>1068</v>
      </c>
      <c r="F1202" s="138" t="s">
        <v>173</v>
      </c>
      <c r="G1202" s="139" t="s">
        <v>387</v>
      </c>
      <c r="H1202" s="140"/>
      <c r="I1202" s="141">
        <v>2</v>
      </c>
      <c r="J1202" s="142">
        <v>18764</v>
      </c>
      <c r="K1202" s="142">
        <v>37528</v>
      </c>
      <c r="L1202" s="593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1730</v>
      </c>
      <c r="E1203" s="135" t="s">
        <v>543</v>
      </c>
      <c r="F1203" s="138" t="s">
        <v>116</v>
      </c>
      <c r="G1203" s="139" t="s">
        <v>400</v>
      </c>
      <c r="H1203" s="140"/>
      <c r="I1203" s="141">
        <v>2</v>
      </c>
      <c r="J1203" s="142">
        <v>5274</v>
      </c>
      <c r="K1203" s="142">
        <v>10548</v>
      </c>
      <c r="L1203" s="593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1731</v>
      </c>
      <c r="E1204" s="135" t="s">
        <v>1068</v>
      </c>
      <c r="F1204" s="138" t="s">
        <v>173</v>
      </c>
      <c r="G1204" s="139" t="s">
        <v>371</v>
      </c>
      <c r="H1204" s="140"/>
      <c r="I1204" s="141">
        <v>1</v>
      </c>
      <c r="J1204" s="142">
        <v>18764</v>
      </c>
      <c r="K1204" s="142">
        <v>18764</v>
      </c>
      <c r="L1204" s="593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1731</v>
      </c>
      <c r="E1205" s="135" t="s">
        <v>1068</v>
      </c>
      <c r="F1205" s="138" t="s">
        <v>173</v>
      </c>
      <c r="G1205" s="139" t="s">
        <v>371</v>
      </c>
      <c r="H1205" s="140"/>
      <c r="I1205" s="141">
        <v>1</v>
      </c>
      <c r="J1205" s="142">
        <v>18764</v>
      </c>
      <c r="K1205" s="142" t="s">
        <v>1015</v>
      </c>
      <c r="L1205" s="593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1732</v>
      </c>
      <c r="E1206" s="135" t="s">
        <v>543</v>
      </c>
      <c r="F1206" s="138" t="s">
        <v>116</v>
      </c>
      <c r="G1206" s="139" t="s">
        <v>527</v>
      </c>
      <c r="H1206" s="140"/>
      <c r="I1206" s="141">
        <v>1</v>
      </c>
      <c r="J1206" s="142">
        <v>5274</v>
      </c>
      <c r="K1206" s="142">
        <v>5274</v>
      </c>
      <c r="L1206" s="594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1733</v>
      </c>
      <c r="E1207" s="122" t="s">
        <v>543</v>
      </c>
      <c r="F1207" s="125" t="s">
        <v>116</v>
      </c>
      <c r="G1207" s="126" t="s">
        <v>1734</v>
      </c>
      <c r="H1207" s="127"/>
      <c r="I1207" s="128">
        <v>4</v>
      </c>
      <c r="J1207" s="129">
        <v>5274</v>
      </c>
      <c r="K1207" s="142">
        <v>21096</v>
      </c>
      <c r="L1207" s="211" t="s">
        <v>960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1735</v>
      </c>
      <c r="E1208" s="122" t="s">
        <v>543</v>
      </c>
      <c r="F1208" s="125" t="s">
        <v>537</v>
      </c>
      <c r="G1208" s="126" t="s">
        <v>442</v>
      </c>
      <c r="H1208" s="127"/>
      <c r="I1208" s="128">
        <v>1</v>
      </c>
      <c r="J1208" s="129">
        <v>30429</v>
      </c>
      <c r="K1208" s="142">
        <v>30429</v>
      </c>
      <c r="L1208" s="211" t="s">
        <v>960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1735</v>
      </c>
      <c r="E1209" s="122" t="s">
        <v>543</v>
      </c>
      <c r="F1209" s="125" t="s">
        <v>115</v>
      </c>
      <c r="G1209" s="126" t="s">
        <v>419</v>
      </c>
      <c r="H1209" s="127"/>
      <c r="I1209" s="128">
        <v>1</v>
      </c>
      <c r="J1209" s="129">
        <v>33370</v>
      </c>
      <c r="K1209" s="142">
        <v>33370</v>
      </c>
      <c r="L1209" s="211" t="s">
        <v>960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1736</v>
      </c>
      <c r="E1210" s="122" t="s">
        <v>1737</v>
      </c>
      <c r="F1210" s="125" t="s">
        <v>116</v>
      </c>
      <c r="G1210" s="126" t="s">
        <v>534</v>
      </c>
      <c r="H1210" s="127"/>
      <c r="I1210" s="128">
        <v>1</v>
      </c>
      <c r="J1210" s="129">
        <v>5274</v>
      </c>
      <c r="K1210" s="142">
        <v>5274</v>
      </c>
      <c r="L1210" s="211" t="s">
        <v>960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1738</v>
      </c>
      <c r="E1211" s="122" t="s">
        <v>1068</v>
      </c>
      <c r="F1211" s="125" t="s">
        <v>173</v>
      </c>
      <c r="G1211" s="126" t="s">
        <v>371</v>
      </c>
      <c r="H1211" s="127"/>
      <c r="I1211" s="128">
        <v>1</v>
      </c>
      <c r="J1211" s="129">
        <v>18764</v>
      </c>
      <c r="K1211" s="142">
        <v>18764</v>
      </c>
      <c r="L1211" s="211" t="s">
        <v>960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1739</v>
      </c>
      <c r="E1212" s="122" t="s">
        <v>1068</v>
      </c>
      <c r="F1212" s="125" t="s">
        <v>987</v>
      </c>
      <c r="G1212" s="126" t="s">
        <v>371</v>
      </c>
      <c r="H1212" s="127"/>
      <c r="I1212" s="128">
        <v>1</v>
      </c>
      <c r="J1212" s="129">
        <v>22315</v>
      </c>
      <c r="K1212" s="142">
        <v>22315</v>
      </c>
      <c r="L1212" s="211" t="s">
        <v>960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1740</v>
      </c>
      <c r="E1213" s="122" t="s">
        <v>943</v>
      </c>
      <c r="F1213" s="125" t="s">
        <v>580</v>
      </c>
      <c r="G1213" s="126" t="s">
        <v>371</v>
      </c>
      <c r="H1213" s="127"/>
      <c r="I1213" s="128">
        <v>1</v>
      </c>
      <c r="J1213" s="129">
        <v>25800</v>
      </c>
      <c r="K1213" s="142">
        <v>25800</v>
      </c>
      <c r="L1213" s="211" t="s">
        <v>960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1741</v>
      </c>
      <c r="E1214" s="122" t="s">
        <v>1737</v>
      </c>
      <c r="F1214" s="125" t="s">
        <v>116</v>
      </c>
      <c r="G1214" s="126" t="s">
        <v>562</v>
      </c>
      <c r="H1214" s="127"/>
      <c r="I1214" s="128">
        <v>1</v>
      </c>
      <c r="J1214" s="129">
        <v>5274</v>
      </c>
      <c r="K1214" s="142">
        <v>5274</v>
      </c>
      <c r="L1214" s="211" t="s">
        <v>960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1742</v>
      </c>
      <c r="E1215" s="122" t="s">
        <v>1737</v>
      </c>
      <c r="F1215" s="125" t="s">
        <v>219</v>
      </c>
      <c r="G1215" s="126" t="s">
        <v>371</v>
      </c>
      <c r="H1215" s="127"/>
      <c r="I1215" s="128">
        <v>1</v>
      </c>
      <c r="J1215" s="129">
        <v>22299</v>
      </c>
      <c r="K1215" s="142">
        <v>22299</v>
      </c>
      <c r="L1215" s="211" t="s">
        <v>960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1743</v>
      </c>
      <c r="E1216" s="122" t="s">
        <v>1744</v>
      </c>
      <c r="F1216" s="125" t="s">
        <v>580</v>
      </c>
      <c r="G1216" s="126" t="s">
        <v>371</v>
      </c>
      <c r="H1216" s="127"/>
      <c r="I1216" s="128">
        <v>1</v>
      </c>
      <c r="J1216" s="129">
        <v>25800</v>
      </c>
      <c r="K1216" s="142">
        <v>25800</v>
      </c>
      <c r="L1216" s="211" t="s">
        <v>960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1745</v>
      </c>
      <c r="E1217" s="122" t="s">
        <v>521</v>
      </c>
      <c r="F1217" s="125" t="s">
        <v>580</v>
      </c>
      <c r="G1217" s="126" t="s">
        <v>371</v>
      </c>
      <c r="H1217" s="127"/>
      <c r="I1217" s="128">
        <v>1</v>
      </c>
      <c r="J1217" s="129">
        <v>25800</v>
      </c>
      <c r="K1217" s="142">
        <v>25800</v>
      </c>
      <c r="L1217" s="211" t="s">
        <v>960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1746</v>
      </c>
      <c r="E1218" s="122" t="s">
        <v>543</v>
      </c>
      <c r="F1218" s="125" t="s">
        <v>116</v>
      </c>
      <c r="G1218" s="126" t="s">
        <v>442</v>
      </c>
      <c r="H1218" s="127"/>
      <c r="I1218" s="128">
        <v>1</v>
      </c>
      <c r="J1218" s="129">
        <v>5274</v>
      </c>
      <c r="K1218" s="142">
        <v>5274</v>
      </c>
      <c r="L1218" s="211" t="s">
        <v>960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1747</v>
      </c>
      <c r="E1219" s="122" t="s">
        <v>543</v>
      </c>
      <c r="F1219" s="125" t="s">
        <v>217</v>
      </c>
      <c r="G1219" s="126" t="s">
        <v>387</v>
      </c>
      <c r="H1219" s="127"/>
      <c r="I1219" s="128">
        <v>2</v>
      </c>
      <c r="J1219" s="129">
        <v>44597</v>
      </c>
      <c r="K1219" s="142">
        <v>89194</v>
      </c>
      <c r="L1219" s="211" t="s">
        <v>960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1748</v>
      </c>
      <c r="E1220" s="122" t="s">
        <v>1749</v>
      </c>
      <c r="F1220" s="125" t="s">
        <v>1011</v>
      </c>
      <c r="G1220" s="126" t="s">
        <v>387</v>
      </c>
      <c r="H1220" s="127"/>
      <c r="I1220" s="128">
        <v>2</v>
      </c>
      <c r="J1220" s="129">
        <v>9129</v>
      </c>
      <c r="K1220" s="142">
        <v>18258</v>
      </c>
      <c r="L1220" s="211" t="s">
        <v>960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1750</v>
      </c>
      <c r="E1221" s="122" t="s">
        <v>1737</v>
      </c>
      <c r="F1221" s="125" t="s">
        <v>537</v>
      </c>
      <c r="G1221" s="126" t="s">
        <v>431</v>
      </c>
      <c r="H1221" s="127"/>
      <c r="I1221" s="128">
        <v>1</v>
      </c>
      <c r="J1221" s="129">
        <v>30429</v>
      </c>
      <c r="K1221" s="142">
        <v>30429</v>
      </c>
      <c r="L1221" s="211" t="s">
        <v>960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1751</v>
      </c>
      <c r="E1222" s="122" t="s">
        <v>543</v>
      </c>
      <c r="F1222" s="125" t="s">
        <v>537</v>
      </c>
      <c r="G1222" s="126" t="s">
        <v>431</v>
      </c>
      <c r="H1222" s="127"/>
      <c r="I1222" s="128">
        <v>1</v>
      </c>
      <c r="J1222" s="129">
        <v>30429</v>
      </c>
      <c r="K1222" s="142">
        <v>30429</v>
      </c>
      <c r="L1222" s="211" t="s">
        <v>960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1752</v>
      </c>
      <c r="E1223" s="122" t="s">
        <v>543</v>
      </c>
      <c r="F1223" s="125" t="s">
        <v>115</v>
      </c>
      <c r="G1223" s="126" t="s">
        <v>527</v>
      </c>
      <c r="H1223" s="127"/>
      <c r="I1223" s="128">
        <v>1</v>
      </c>
      <c r="J1223" s="129">
        <v>33370</v>
      </c>
      <c r="K1223" s="142">
        <v>33370</v>
      </c>
      <c r="L1223" s="211" t="s">
        <v>960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1752</v>
      </c>
      <c r="E1224" s="122" t="s">
        <v>370</v>
      </c>
      <c r="F1224" s="125" t="s">
        <v>173</v>
      </c>
      <c r="G1224" s="126" t="s">
        <v>371</v>
      </c>
      <c r="H1224" s="127"/>
      <c r="I1224" s="128">
        <v>1</v>
      </c>
      <c r="J1224" s="129">
        <v>18764</v>
      </c>
      <c r="K1224" s="142">
        <v>18764</v>
      </c>
      <c r="L1224" s="211" t="s">
        <v>960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1753</v>
      </c>
      <c r="E1225" s="122" t="s">
        <v>1068</v>
      </c>
      <c r="F1225" s="200" t="s">
        <v>173</v>
      </c>
      <c r="G1225" s="126" t="s">
        <v>371</v>
      </c>
      <c r="H1225" s="127"/>
      <c r="I1225" s="128">
        <v>1</v>
      </c>
      <c r="J1225" s="129">
        <v>18764</v>
      </c>
      <c r="K1225" s="129">
        <v>18764</v>
      </c>
      <c r="L1225" s="189" t="s">
        <v>623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1746</v>
      </c>
      <c r="E1226" s="122" t="s">
        <v>543</v>
      </c>
      <c r="F1226" s="125" t="s">
        <v>537</v>
      </c>
      <c r="G1226" s="126" t="s">
        <v>417</v>
      </c>
      <c r="H1226" s="127"/>
      <c r="I1226" s="128">
        <v>1</v>
      </c>
      <c r="J1226" s="129">
        <v>30429</v>
      </c>
      <c r="K1226" s="129">
        <v>30429</v>
      </c>
      <c r="L1226" s="189" t="s">
        <v>623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1754</v>
      </c>
      <c r="E1227" s="122" t="s">
        <v>1737</v>
      </c>
      <c r="F1227" s="125" t="s">
        <v>537</v>
      </c>
      <c r="G1227" s="126" t="s">
        <v>392</v>
      </c>
      <c r="H1227" s="127"/>
      <c r="I1227" s="128">
        <v>1</v>
      </c>
      <c r="J1227" s="129">
        <v>30429</v>
      </c>
      <c r="K1227" s="129">
        <v>30429</v>
      </c>
      <c r="L1227" s="189" t="s">
        <v>623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1755</v>
      </c>
      <c r="E1228" s="122" t="s">
        <v>543</v>
      </c>
      <c r="F1228" s="125" t="s">
        <v>537</v>
      </c>
      <c r="G1228" s="126" t="s">
        <v>415</v>
      </c>
      <c r="H1228" s="127"/>
      <c r="I1228" s="128">
        <v>1</v>
      </c>
      <c r="J1228" s="129">
        <v>30429</v>
      </c>
      <c r="K1228" s="129">
        <v>30429</v>
      </c>
      <c r="L1228" s="189" t="s">
        <v>623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1756</v>
      </c>
      <c r="E1229" s="122" t="s">
        <v>943</v>
      </c>
      <c r="F1229" s="125" t="s">
        <v>580</v>
      </c>
      <c r="G1229" s="126" t="s">
        <v>371</v>
      </c>
      <c r="H1229" s="127"/>
      <c r="I1229" s="128">
        <v>1</v>
      </c>
      <c r="J1229" s="129">
        <v>25800</v>
      </c>
      <c r="K1229" s="129">
        <v>25800</v>
      </c>
      <c r="L1229" s="189" t="s">
        <v>623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1741</v>
      </c>
      <c r="E1230" s="122" t="s">
        <v>1737</v>
      </c>
      <c r="F1230" s="125" t="s">
        <v>115</v>
      </c>
      <c r="G1230" s="126" t="s">
        <v>562</v>
      </c>
      <c r="H1230" s="127"/>
      <c r="I1230" s="128">
        <v>1</v>
      </c>
      <c r="J1230" s="129">
        <v>33370</v>
      </c>
      <c r="K1230" s="129">
        <v>33370</v>
      </c>
      <c r="L1230" s="189" t="s">
        <v>623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1757</v>
      </c>
      <c r="E1231" s="122" t="s">
        <v>543</v>
      </c>
      <c r="F1231" s="125" t="s">
        <v>219</v>
      </c>
      <c r="G1231" s="126" t="s">
        <v>371</v>
      </c>
      <c r="H1231" s="127"/>
      <c r="I1231" s="128">
        <v>1</v>
      </c>
      <c r="J1231" s="129">
        <v>22299</v>
      </c>
      <c r="K1231" s="129">
        <v>22299</v>
      </c>
      <c r="L1231" s="189" t="s">
        <v>623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1758</v>
      </c>
      <c r="E1232" s="122" t="s">
        <v>943</v>
      </c>
      <c r="F1232" s="125" t="s">
        <v>580</v>
      </c>
      <c r="G1232" s="126" t="s">
        <v>371</v>
      </c>
      <c r="H1232" s="127"/>
      <c r="I1232" s="128">
        <v>1</v>
      </c>
      <c r="J1232" s="129">
        <v>25800</v>
      </c>
      <c r="K1232" s="129">
        <v>25800</v>
      </c>
      <c r="L1232" s="189" t="s">
        <v>623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1759</v>
      </c>
      <c r="E1233" s="122" t="s">
        <v>543</v>
      </c>
      <c r="F1233" s="125" t="s">
        <v>116</v>
      </c>
      <c r="G1233" s="126" t="s">
        <v>1760</v>
      </c>
      <c r="H1233" s="127"/>
      <c r="I1233" s="128">
        <v>3</v>
      </c>
      <c r="J1233" s="129">
        <v>5274</v>
      </c>
      <c r="K1233" s="129">
        <v>15822</v>
      </c>
      <c r="L1233" s="189" t="s">
        <v>623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1761</v>
      </c>
      <c r="E1234" s="122" t="s">
        <v>1737</v>
      </c>
      <c r="F1234" s="125" t="s">
        <v>537</v>
      </c>
      <c r="G1234" s="126" t="s">
        <v>431</v>
      </c>
      <c r="H1234" s="127"/>
      <c r="I1234" s="128">
        <v>1</v>
      </c>
      <c r="J1234" s="129">
        <v>30429</v>
      </c>
      <c r="K1234" s="129">
        <v>30429</v>
      </c>
      <c r="L1234" s="189" t="s">
        <v>623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1762</v>
      </c>
      <c r="E1235" s="122" t="s">
        <v>1737</v>
      </c>
      <c r="F1235" s="125" t="s">
        <v>537</v>
      </c>
      <c r="G1235" s="126" t="s">
        <v>419</v>
      </c>
      <c r="H1235" s="127"/>
      <c r="I1235" s="128">
        <v>1</v>
      </c>
      <c r="J1235" s="129">
        <v>30429</v>
      </c>
      <c r="K1235" s="129">
        <v>30429</v>
      </c>
      <c r="L1235" s="189" t="s">
        <v>623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1763</v>
      </c>
      <c r="E1236" s="122" t="s">
        <v>543</v>
      </c>
      <c r="F1236" s="125" t="s">
        <v>116</v>
      </c>
      <c r="G1236" s="126" t="s">
        <v>442</v>
      </c>
      <c r="H1236" s="127"/>
      <c r="I1236" s="128">
        <v>1</v>
      </c>
      <c r="J1236" s="129">
        <v>5274</v>
      </c>
      <c r="K1236" s="129">
        <v>5274</v>
      </c>
      <c r="L1236" s="189" t="s">
        <v>623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1764</v>
      </c>
      <c r="E1237" s="122" t="s">
        <v>1737</v>
      </c>
      <c r="F1237" s="125" t="s">
        <v>116</v>
      </c>
      <c r="G1237" s="126" t="s">
        <v>400</v>
      </c>
      <c r="H1237" s="127"/>
      <c r="I1237" s="128">
        <v>2</v>
      </c>
      <c r="J1237" s="129">
        <v>5274</v>
      </c>
      <c r="K1237" s="129">
        <v>10548</v>
      </c>
      <c r="L1237" s="189" t="s">
        <v>623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1765</v>
      </c>
      <c r="E1238" s="122" t="s">
        <v>1068</v>
      </c>
      <c r="F1238" s="125" t="s">
        <v>173</v>
      </c>
      <c r="G1238" s="126" t="s">
        <v>371</v>
      </c>
      <c r="H1238" s="127"/>
      <c r="I1238" s="128">
        <v>1</v>
      </c>
      <c r="J1238" s="129">
        <v>18764</v>
      </c>
      <c r="K1238" s="129">
        <v>18764</v>
      </c>
      <c r="L1238" s="189" t="s">
        <v>623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1766</v>
      </c>
      <c r="E1239" s="122" t="s">
        <v>543</v>
      </c>
      <c r="F1239" s="125" t="s">
        <v>537</v>
      </c>
      <c r="G1239" s="126" t="s">
        <v>472</v>
      </c>
      <c r="H1239" s="127"/>
      <c r="I1239" s="128">
        <v>1</v>
      </c>
      <c r="J1239" s="129">
        <v>30429</v>
      </c>
      <c r="K1239" s="129">
        <v>30429</v>
      </c>
      <c r="L1239" s="189" t="s">
        <v>623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1767</v>
      </c>
      <c r="E1240" s="122" t="s">
        <v>543</v>
      </c>
      <c r="F1240" s="125" t="s">
        <v>537</v>
      </c>
      <c r="G1240" s="126" t="s">
        <v>442</v>
      </c>
      <c r="H1240" s="127"/>
      <c r="I1240" s="128">
        <v>1</v>
      </c>
      <c r="J1240" s="129">
        <v>30429</v>
      </c>
      <c r="K1240" s="129">
        <v>30429</v>
      </c>
      <c r="L1240" s="189" t="s">
        <v>623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1768</v>
      </c>
      <c r="E1241" s="122" t="s">
        <v>543</v>
      </c>
      <c r="F1241" s="125" t="s">
        <v>116</v>
      </c>
      <c r="G1241" s="126" t="s">
        <v>472</v>
      </c>
      <c r="H1241" s="127"/>
      <c r="I1241" s="128">
        <v>1</v>
      </c>
      <c r="J1241" s="129">
        <v>5274</v>
      </c>
      <c r="K1241" s="129">
        <v>5274</v>
      </c>
      <c r="L1241" s="189" t="s">
        <v>623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1769</v>
      </c>
      <c r="E1242" s="122" t="s">
        <v>543</v>
      </c>
      <c r="F1242" s="125" t="s">
        <v>116</v>
      </c>
      <c r="G1242" s="126" t="s">
        <v>434</v>
      </c>
      <c r="H1242" s="127"/>
      <c r="I1242" s="128">
        <v>1</v>
      </c>
      <c r="J1242" s="129">
        <v>5274</v>
      </c>
      <c r="K1242" s="129">
        <v>5274</v>
      </c>
      <c r="L1242" s="189" t="s">
        <v>623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1770</v>
      </c>
      <c r="E1243" s="135" t="s">
        <v>414</v>
      </c>
      <c r="F1243" s="138" t="s">
        <v>217</v>
      </c>
      <c r="G1243" s="139" t="s">
        <v>371</v>
      </c>
      <c r="H1243" s="140"/>
      <c r="I1243" s="141">
        <v>1</v>
      </c>
      <c r="J1243" s="142">
        <v>44597</v>
      </c>
      <c r="K1243" s="142">
        <v>44597</v>
      </c>
      <c r="L1243" s="621" t="s">
        <v>608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1771</v>
      </c>
      <c r="E1244" s="135" t="s">
        <v>414</v>
      </c>
      <c r="F1244" s="138" t="s">
        <v>116</v>
      </c>
      <c r="G1244" s="139" t="s">
        <v>419</v>
      </c>
      <c r="H1244" s="140"/>
      <c r="I1244" s="141">
        <v>1</v>
      </c>
      <c r="J1244" s="142">
        <v>5274</v>
      </c>
      <c r="K1244" s="142">
        <v>5274</v>
      </c>
      <c r="L1244" s="600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1772</v>
      </c>
      <c r="E1245" s="135" t="s">
        <v>414</v>
      </c>
      <c r="F1245" s="138" t="s">
        <v>116</v>
      </c>
      <c r="G1245" s="139" t="s">
        <v>1773</v>
      </c>
      <c r="H1245" s="140"/>
      <c r="I1245" s="141">
        <v>3</v>
      </c>
      <c r="J1245" s="142">
        <v>5274</v>
      </c>
      <c r="K1245" s="142">
        <v>15822</v>
      </c>
      <c r="L1245" s="600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1774</v>
      </c>
      <c r="E1246" s="135" t="s">
        <v>1775</v>
      </c>
      <c r="F1246" s="138" t="s">
        <v>580</v>
      </c>
      <c r="G1246" s="139" t="s">
        <v>369</v>
      </c>
      <c r="H1246" s="140"/>
      <c r="I1246" s="141">
        <v>1</v>
      </c>
      <c r="J1246" s="142">
        <v>25800</v>
      </c>
      <c r="K1246" s="142">
        <v>25800</v>
      </c>
      <c r="L1246" s="600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1776</v>
      </c>
      <c r="E1247" s="135" t="s">
        <v>414</v>
      </c>
      <c r="F1247" s="138" t="s">
        <v>537</v>
      </c>
      <c r="G1247" s="139" t="s">
        <v>562</v>
      </c>
      <c r="H1247" s="140"/>
      <c r="I1247" s="141">
        <v>1</v>
      </c>
      <c r="J1247" s="142">
        <v>30429</v>
      </c>
      <c r="K1247" s="142">
        <v>30429</v>
      </c>
      <c r="L1247" s="600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1777</v>
      </c>
      <c r="E1248" s="135" t="s">
        <v>414</v>
      </c>
      <c r="F1248" s="138" t="s">
        <v>217</v>
      </c>
      <c r="G1248" s="139" t="s">
        <v>387</v>
      </c>
      <c r="H1248" s="140"/>
      <c r="I1248" s="141">
        <v>2</v>
      </c>
      <c r="J1248" s="142">
        <v>44597</v>
      </c>
      <c r="K1248" s="142">
        <v>89194</v>
      </c>
      <c r="L1248" s="600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1778</v>
      </c>
      <c r="E1249" s="135" t="s">
        <v>414</v>
      </c>
      <c r="F1249" s="138" t="s">
        <v>537</v>
      </c>
      <c r="G1249" s="139" t="s">
        <v>527</v>
      </c>
      <c r="H1249" s="140"/>
      <c r="I1249" s="141">
        <v>1</v>
      </c>
      <c r="J1249" s="142">
        <v>30429</v>
      </c>
      <c r="K1249" s="142">
        <v>30429</v>
      </c>
      <c r="L1249" s="600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1779</v>
      </c>
      <c r="E1250" s="135" t="s">
        <v>414</v>
      </c>
      <c r="F1250" s="138" t="s">
        <v>217</v>
      </c>
      <c r="G1250" s="139" t="s">
        <v>371</v>
      </c>
      <c r="H1250" s="140"/>
      <c r="I1250" s="141">
        <v>1</v>
      </c>
      <c r="J1250" s="142">
        <v>44597</v>
      </c>
      <c r="K1250" s="142">
        <v>44597</v>
      </c>
      <c r="L1250" s="600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1780</v>
      </c>
      <c r="E1251" s="135" t="s">
        <v>414</v>
      </c>
      <c r="F1251" s="138" t="s">
        <v>217</v>
      </c>
      <c r="G1251" s="139" t="s">
        <v>371</v>
      </c>
      <c r="H1251" s="140"/>
      <c r="I1251" s="141">
        <v>1</v>
      </c>
      <c r="J1251" s="142">
        <v>44597</v>
      </c>
      <c r="K1251" s="142">
        <v>44597</v>
      </c>
      <c r="L1251" s="600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1772</v>
      </c>
      <c r="E1252" s="135" t="s">
        <v>414</v>
      </c>
      <c r="F1252" s="138" t="s">
        <v>210</v>
      </c>
      <c r="G1252" s="139" t="s">
        <v>383</v>
      </c>
      <c r="H1252" s="140"/>
      <c r="I1252" s="141">
        <v>1</v>
      </c>
      <c r="J1252" s="142">
        <v>14099</v>
      </c>
      <c r="K1252" s="142">
        <v>14099</v>
      </c>
      <c r="L1252" s="600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1781</v>
      </c>
      <c r="E1253" s="135" t="s">
        <v>414</v>
      </c>
      <c r="F1253" s="138" t="s">
        <v>116</v>
      </c>
      <c r="G1253" s="139" t="s">
        <v>472</v>
      </c>
      <c r="H1253" s="140"/>
      <c r="I1253" s="141">
        <v>1</v>
      </c>
      <c r="J1253" s="142">
        <v>5274</v>
      </c>
      <c r="K1253" s="142">
        <v>5274</v>
      </c>
      <c r="L1253" s="600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460</v>
      </c>
      <c r="E1254" s="135" t="s">
        <v>1782</v>
      </c>
      <c r="F1254" s="138" t="s">
        <v>116</v>
      </c>
      <c r="G1254" s="139" t="s">
        <v>534</v>
      </c>
      <c r="H1254" s="140"/>
      <c r="I1254" s="141">
        <v>1</v>
      </c>
      <c r="J1254" s="142">
        <v>5274</v>
      </c>
      <c r="K1254" s="142">
        <v>5274</v>
      </c>
      <c r="L1254" s="600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1772</v>
      </c>
      <c r="E1255" s="135" t="s">
        <v>414</v>
      </c>
      <c r="F1255" s="138" t="s">
        <v>116</v>
      </c>
      <c r="G1255" s="139" t="s">
        <v>1783</v>
      </c>
      <c r="H1255" s="140"/>
      <c r="I1255" s="141">
        <v>3</v>
      </c>
      <c r="J1255" s="142">
        <v>5274</v>
      </c>
      <c r="K1255" s="142">
        <v>15822</v>
      </c>
      <c r="L1255" s="600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1784</v>
      </c>
      <c r="E1256" s="135" t="s">
        <v>414</v>
      </c>
      <c r="F1256" s="138" t="s">
        <v>217</v>
      </c>
      <c r="G1256" s="139" t="s">
        <v>387</v>
      </c>
      <c r="H1256" s="140"/>
      <c r="I1256" s="141">
        <v>2</v>
      </c>
      <c r="J1256" s="142">
        <v>44597</v>
      </c>
      <c r="K1256" s="142">
        <v>89194</v>
      </c>
      <c r="L1256" s="600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1785</v>
      </c>
      <c r="E1257" s="135" t="s">
        <v>414</v>
      </c>
      <c r="F1257" s="138" t="s">
        <v>537</v>
      </c>
      <c r="G1257" s="139" t="s">
        <v>431</v>
      </c>
      <c r="H1257" s="140"/>
      <c r="I1257" s="141">
        <v>1</v>
      </c>
      <c r="J1257" s="142">
        <v>30429</v>
      </c>
      <c r="K1257" s="142">
        <v>30429</v>
      </c>
      <c r="L1257" s="600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1786</v>
      </c>
      <c r="E1258" s="135" t="s">
        <v>1782</v>
      </c>
      <c r="F1258" s="138" t="s">
        <v>537</v>
      </c>
      <c r="G1258" s="139" t="s">
        <v>511</v>
      </c>
      <c r="H1258" s="140"/>
      <c r="I1258" s="141">
        <v>1</v>
      </c>
      <c r="J1258" s="142">
        <v>30429</v>
      </c>
      <c r="K1258" s="142">
        <v>30429</v>
      </c>
      <c r="L1258" s="600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1781</v>
      </c>
      <c r="E1259" s="135" t="s">
        <v>414</v>
      </c>
      <c r="F1259" s="138" t="s">
        <v>210</v>
      </c>
      <c r="G1259" s="139" t="s">
        <v>472</v>
      </c>
      <c r="H1259" s="140"/>
      <c r="I1259" s="141">
        <v>1</v>
      </c>
      <c r="J1259" s="142">
        <v>14099</v>
      </c>
      <c r="K1259" s="142">
        <v>14099</v>
      </c>
      <c r="L1259" s="601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1787</v>
      </c>
      <c r="E1260" s="135" t="s">
        <v>414</v>
      </c>
      <c r="F1260" s="138" t="s">
        <v>116</v>
      </c>
      <c r="G1260" s="139" t="s">
        <v>431</v>
      </c>
      <c r="H1260" s="140"/>
      <c r="I1260" s="141">
        <v>1</v>
      </c>
      <c r="J1260" s="142">
        <v>5274</v>
      </c>
      <c r="K1260" s="142">
        <v>5274</v>
      </c>
      <c r="L1260" s="182" t="s">
        <v>760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1788</v>
      </c>
      <c r="E1261" s="135" t="s">
        <v>414</v>
      </c>
      <c r="F1261" s="138" t="s">
        <v>537</v>
      </c>
      <c r="G1261" s="139" t="s">
        <v>538</v>
      </c>
      <c r="H1261" s="140"/>
      <c r="I1261" s="141">
        <v>1</v>
      </c>
      <c r="J1261" s="142">
        <v>30429</v>
      </c>
      <c r="K1261" s="142">
        <v>30429</v>
      </c>
      <c r="L1261" s="182" t="s">
        <v>760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1789</v>
      </c>
      <c r="E1262" s="135" t="s">
        <v>1790</v>
      </c>
      <c r="F1262" s="138" t="s">
        <v>116</v>
      </c>
      <c r="G1262" s="139" t="s">
        <v>1791</v>
      </c>
      <c r="H1262" s="140"/>
      <c r="I1262" s="141">
        <v>3</v>
      </c>
      <c r="J1262" s="142">
        <v>5274</v>
      </c>
      <c r="K1262" s="142">
        <v>15822</v>
      </c>
      <c r="L1262" s="182" t="s">
        <v>760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1792</v>
      </c>
      <c r="E1263" s="135" t="s">
        <v>1790</v>
      </c>
      <c r="F1263" s="138" t="s">
        <v>115</v>
      </c>
      <c r="G1263" s="139" t="s">
        <v>392</v>
      </c>
      <c r="H1263" s="140"/>
      <c r="I1263" s="141">
        <v>1</v>
      </c>
      <c r="J1263" s="142">
        <v>33370</v>
      </c>
      <c r="K1263" s="142">
        <v>33370</v>
      </c>
      <c r="L1263" s="182" t="s">
        <v>760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1793</v>
      </c>
      <c r="E1264" s="135" t="s">
        <v>414</v>
      </c>
      <c r="F1264" s="138" t="s">
        <v>577</v>
      </c>
      <c r="G1264" s="139" t="s">
        <v>511</v>
      </c>
      <c r="H1264" s="140"/>
      <c r="I1264" s="141">
        <v>1</v>
      </c>
      <c r="J1264" s="142">
        <v>49701</v>
      </c>
      <c r="K1264" s="142">
        <v>49701</v>
      </c>
      <c r="L1264" s="182" t="s">
        <v>760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1794</v>
      </c>
      <c r="E1265" s="135" t="s">
        <v>414</v>
      </c>
      <c r="F1265" s="138" t="s">
        <v>577</v>
      </c>
      <c r="G1265" s="139" t="s">
        <v>562</v>
      </c>
      <c r="H1265" s="140"/>
      <c r="I1265" s="141">
        <v>1</v>
      </c>
      <c r="J1265" s="142">
        <v>49701</v>
      </c>
      <c r="K1265" s="142">
        <v>49701</v>
      </c>
      <c r="L1265" s="182" t="s">
        <v>760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1772</v>
      </c>
      <c r="E1266" s="135" t="s">
        <v>414</v>
      </c>
      <c r="F1266" s="138" t="s">
        <v>115</v>
      </c>
      <c r="G1266" s="139" t="s">
        <v>383</v>
      </c>
      <c r="H1266" s="140"/>
      <c r="I1266" s="141">
        <v>1</v>
      </c>
      <c r="J1266" s="142">
        <v>33370</v>
      </c>
      <c r="K1266" s="142">
        <v>33370</v>
      </c>
      <c r="L1266" s="182" t="s">
        <v>760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1795</v>
      </c>
      <c r="E1267" s="135" t="s">
        <v>414</v>
      </c>
      <c r="F1267" s="138" t="s">
        <v>217</v>
      </c>
      <c r="G1267" s="139" t="s">
        <v>371</v>
      </c>
      <c r="H1267" s="140"/>
      <c r="I1267" s="141">
        <v>1</v>
      </c>
      <c r="J1267" s="142">
        <v>44597</v>
      </c>
      <c r="K1267" s="142">
        <v>44597</v>
      </c>
      <c r="L1267" s="182" t="s">
        <v>760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1796</v>
      </c>
      <c r="E1268" s="135" t="s">
        <v>414</v>
      </c>
      <c r="F1268" s="138" t="s">
        <v>577</v>
      </c>
      <c r="G1268" s="139" t="s">
        <v>645</v>
      </c>
      <c r="H1268" s="140"/>
      <c r="I1268" s="141">
        <v>1</v>
      </c>
      <c r="J1268" s="142">
        <v>49701</v>
      </c>
      <c r="K1268" s="142">
        <v>49701</v>
      </c>
      <c r="L1268" s="182" t="s">
        <v>760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1797</v>
      </c>
      <c r="E1269" s="135" t="s">
        <v>414</v>
      </c>
      <c r="F1269" s="138" t="s">
        <v>116</v>
      </c>
      <c r="G1269" s="139" t="s">
        <v>511</v>
      </c>
      <c r="H1269" s="140"/>
      <c r="I1269" s="141">
        <v>1</v>
      </c>
      <c r="J1269" s="142">
        <v>5274</v>
      </c>
      <c r="K1269" s="142">
        <v>5274</v>
      </c>
      <c r="L1269" s="182" t="s">
        <v>760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1759</v>
      </c>
      <c r="E1270" s="135" t="s">
        <v>414</v>
      </c>
      <c r="F1270" s="138" t="s">
        <v>580</v>
      </c>
      <c r="G1270" s="139" t="s">
        <v>371</v>
      </c>
      <c r="H1270" s="140"/>
      <c r="I1270" s="141">
        <v>1</v>
      </c>
      <c r="J1270" s="142">
        <v>25800</v>
      </c>
      <c r="K1270" s="142">
        <v>25800</v>
      </c>
      <c r="L1270" s="182" t="s">
        <v>760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1798</v>
      </c>
      <c r="E1271" s="135" t="s">
        <v>904</v>
      </c>
      <c r="F1271" s="138" t="s">
        <v>580</v>
      </c>
      <c r="G1271" s="139" t="s">
        <v>371</v>
      </c>
      <c r="H1271" s="140"/>
      <c r="I1271" s="141">
        <v>1</v>
      </c>
      <c r="J1271" s="142">
        <v>25800</v>
      </c>
      <c r="K1271" s="142">
        <v>25800</v>
      </c>
      <c r="L1271" s="182" t="s">
        <v>760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1799</v>
      </c>
      <c r="E1272" s="135" t="s">
        <v>1790</v>
      </c>
      <c r="F1272" s="138" t="s">
        <v>537</v>
      </c>
      <c r="G1272" s="139" t="s">
        <v>1800</v>
      </c>
      <c r="H1272" s="140"/>
      <c r="I1272" s="141">
        <v>2</v>
      </c>
      <c r="J1272" s="142">
        <v>30429</v>
      </c>
      <c r="K1272" s="142">
        <v>60858</v>
      </c>
      <c r="L1272" s="182" t="s">
        <v>760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1801</v>
      </c>
      <c r="E1273" s="135" t="s">
        <v>414</v>
      </c>
      <c r="F1273" s="138" t="s">
        <v>577</v>
      </c>
      <c r="G1273" s="139" t="s">
        <v>562</v>
      </c>
      <c r="H1273" s="140"/>
      <c r="I1273" s="141">
        <v>1</v>
      </c>
      <c r="J1273" s="142">
        <v>49701</v>
      </c>
      <c r="K1273" s="142">
        <v>49701</v>
      </c>
      <c r="L1273" s="182" t="s">
        <v>760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778</v>
      </c>
      <c r="E1274" s="135" t="s">
        <v>414</v>
      </c>
      <c r="F1274" s="138" t="s">
        <v>116</v>
      </c>
      <c r="G1274" s="139" t="s">
        <v>594</v>
      </c>
      <c r="H1274" s="140"/>
      <c r="I1274" s="141">
        <v>1</v>
      </c>
      <c r="J1274" s="142">
        <v>5274</v>
      </c>
      <c r="K1274" s="142">
        <v>5274</v>
      </c>
      <c r="L1274" s="182" t="s">
        <v>760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1802</v>
      </c>
      <c r="E1275" s="135" t="s">
        <v>414</v>
      </c>
      <c r="F1275" s="138" t="s">
        <v>537</v>
      </c>
      <c r="G1275" s="139" t="s">
        <v>511</v>
      </c>
      <c r="H1275" s="140"/>
      <c r="I1275" s="141">
        <v>1</v>
      </c>
      <c r="J1275" s="142">
        <v>30429</v>
      </c>
      <c r="K1275" s="142">
        <v>30429</v>
      </c>
      <c r="L1275" s="182" t="s">
        <v>760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1803</v>
      </c>
      <c r="E1276" s="135" t="s">
        <v>414</v>
      </c>
      <c r="F1276" s="138" t="s">
        <v>577</v>
      </c>
      <c r="G1276" s="139" t="s">
        <v>530</v>
      </c>
      <c r="H1276" s="140"/>
      <c r="I1276" s="141">
        <v>1</v>
      </c>
      <c r="J1276" s="142">
        <v>49701</v>
      </c>
      <c r="K1276" s="142">
        <v>49701</v>
      </c>
      <c r="L1276" s="182" t="s">
        <v>760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1771</v>
      </c>
      <c r="E1277" s="135" t="s">
        <v>414</v>
      </c>
      <c r="F1277" s="138" t="s">
        <v>210</v>
      </c>
      <c r="G1277" s="139" t="s">
        <v>419</v>
      </c>
      <c r="H1277" s="140"/>
      <c r="I1277" s="141">
        <v>1</v>
      </c>
      <c r="J1277" s="142">
        <v>14099</v>
      </c>
      <c r="K1277" s="142">
        <v>14099</v>
      </c>
      <c r="L1277" s="182" t="s">
        <v>760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1788</v>
      </c>
      <c r="E1278" s="135" t="s">
        <v>414</v>
      </c>
      <c r="F1278" s="138" t="s">
        <v>580</v>
      </c>
      <c r="G1278" s="139" t="s">
        <v>371</v>
      </c>
      <c r="H1278" s="140"/>
      <c r="I1278" s="141">
        <v>1</v>
      </c>
      <c r="J1278" s="142">
        <v>25800</v>
      </c>
      <c r="K1278" s="142">
        <v>25800</v>
      </c>
      <c r="L1278" s="182" t="s">
        <v>760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1804</v>
      </c>
      <c r="E1279" s="135" t="s">
        <v>414</v>
      </c>
      <c r="F1279" s="138" t="s">
        <v>537</v>
      </c>
      <c r="G1279" s="139" t="s">
        <v>562</v>
      </c>
      <c r="H1279" s="140"/>
      <c r="I1279" s="141">
        <v>1</v>
      </c>
      <c r="J1279" s="142">
        <v>30429</v>
      </c>
      <c r="K1279" s="142">
        <v>30429</v>
      </c>
      <c r="L1279" s="182" t="s">
        <v>760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1805</v>
      </c>
      <c r="E1280" s="135" t="s">
        <v>414</v>
      </c>
      <c r="F1280" s="138" t="s">
        <v>537</v>
      </c>
      <c r="G1280" s="139" t="s">
        <v>511</v>
      </c>
      <c r="H1280" s="140"/>
      <c r="I1280" s="141">
        <v>1</v>
      </c>
      <c r="J1280" s="142">
        <v>30429</v>
      </c>
      <c r="K1280" s="142">
        <v>30429</v>
      </c>
      <c r="L1280" s="182" t="s">
        <v>760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1781</v>
      </c>
      <c r="E1281" s="135" t="s">
        <v>414</v>
      </c>
      <c r="F1281" s="138" t="s">
        <v>115</v>
      </c>
      <c r="G1281" s="139" t="s">
        <v>472</v>
      </c>
      <c r="H1281" s="140"/>
      <c r="I1281" s="141">
        <v>1</v>
      </c>
      <c r="J1281" s="142">
        <v>33370</v>
      </c>
      <c r="K1281" s="142">
        <v>33370</v>
      </c>
      <c r="L1281" s="182" t="s">
        <v>760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1806</v>
      </c>
      <c r="E1282" s="135" t="s">
        <v>414</v>
      </c>
      <c r="F1282" s="138" t="s">
        <v>537</v>
      </c>
      <c r="G1282" s="139" t="s">
        <v>527</v>
      </c>
      <c r="H1282" s="140"/>
      <c r="I1282" s="141">
        <v>1</v>
      </c>
      <c r="J1282" s="142">
        <v>30429</v>
      </c>
      <c r="K1282" s="142">
        <v>30429</v>
      </c>
      <c r="L1282" s="182" t="s">
        <v>760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1786</v>
      </c>
      <c r="E1283" s="135" t="s">
        <v>414</v>
      </c>
      <c r="F1283" s="138" t="s">
        <v>537</v>
      </c>
      <c r="G1283" s="139" t="s">
        <v>645</v>
      </c>
      <c r="H1283" s="140"/>
      <c r="I1283" s="141">
        <v>1</v>
      </c>
      <c r="J1283" s="142">
        <v>30429</v>
      </c>
      <c r="K1283" s="142">
        <v>30429</v>
      </c>
      <c r="L1283" s="182" t="s">
        <v>760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1807</v>
      </c>
      <c r="E1284" s="135" t="s">
        <v>414</v>
      </c>
      <c r="F1284" s="138" t="s">
        <v>577</v>
      </c>
      <c r="G1284" s="139" t="s">
        <v>568</v>
      </c>
      <c r="H1284" s="140"/>
      <c r="I1284" s="141">
        <v>1</v>
      </c>
      <c r="J1284" s="142">
        <v>49701</v>
      </c>
      <c r="K1284" s="142">
        <v>49701</v>
      </c>
      <c r="L1284" s="182" t="s">
        <v>760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1808</v>
      </c>
      <c r="E1285" s="135" t="s">
        <v>414</v>
      </c>
      <c r="F1285" s="138" t="s">
        <v>537</v>
      </c>
      <c r="G1285" s="139" t="s">
        <v>645</v>
      </c>
      <c r="H1285" s="140"/>
      <c r="I1285" s="141">
        <v>1</v>
      </c>
      <c r="J1285" s="142">
        <v>30429</v>
      </c>
      <c r="K1285" s="142">
        <v>30429</v>
      </c>
      <c r="L1285" s="182" t="s">
        <v>760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1771</v>
      </c>
      <c r="E1286" s="135" t="s">
        <v>414</v>
      </c>
      <c r="F1286" s="138" t="s">
        <v>537</v>
      </c>
      <c r="G1286" s="139" t="s">
        <v>431</v>
      </c>
      <c r="H1286" s="140"/>
      <c r="I1286" s="141">
        <v>1</v>
      </c>
      <c r="J1286" s="142">
        <v>30429</v>
      </c>
      <c r="K1286" s="142">
        <v>30429</v>
      </c>
      <c r="L1286" s="182" t="s">
        <v>760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1809</v>
      </c>
      <c r="E1287" s="135" t="s">
        <v>1790</v>
      </c>
      <c r="F1287" s="138" t="s">
        <v>115</v>
      </c>
      <c r="G1287" s="139" t="s">
        <v>419</v>
      </c>
      <c r="H1287" s="140"/>
      <c r="I1287" s="141">
        <v>1</v>
      </c>
      <c r="J1287" s="142">
        <v>33370</v>
      </c>
      <c r="K1287" s="142">
        <v>33370</v>
      </c>
      <c r="L1287" s="182" t="s">
        <v>760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1810</v>
      </c>
      <c r="E1288" s="135" t="s">
        <v>414</v>
      </c>
      <c r="F1288" s="138" t="s">
        <v>210</v>
      </c>
      <c r="G1288" s="139" t="s">
        <v>410</v>
      </c>
      <c r="H1288" s="140"/>
      <c r="I1288" s="141">
        <v>1</v>
      </c>
      <c r="J1288" s="142">
        <v>14099</v>
      </c>
      <c r="K1288" s="142">
        <v>14099</v>
      </c>
      <c r="L1288" s="182" t="s">
        <v>760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1811</v>
      </c>
      <c r="E1289" s="135" t="s">
        <v>414</v>
      </c>
      <c r="F1289" s="138" t="s">
        <v>217</v>
      </c>
      <c r="G1289" s="139" t="s">
        <v>369</v>
      </c>
      <c r="H1289" s="140"/>
      <c r="I1289" s="141">
        <v>1</v>
      </c>
      <c r="J1289" s="142">
        <v>44597</v>
      </c>
      <c r="K1289" s="142">
        <v>44597</v>
      </c>
      <c r="L1289" s="598" t="s">
        <v>788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1812</v>
      </c>
      <c r="E1290" s="135" t="s">
        <v>1813</v>
      </c>
      <c r="F1290" s="138" t="s">
        <v>537</v>
      </c>
      <c r="G1290" s="139" t="s">
        <v>527</v>
      </c>
      <c r="H1290" s="140"/>
      <c r="I1290" s="141">
        <v>1</v>
      </c>
      <c r="J1290" s="142">
        <v>30429</v>
      </c>
      <c r="K1290" s="142">
        <v>30429</v>
      </c>
      <c r="L1290" s="634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1814</v>
      </c>
      <c r="E1291" s="135" t="s">
        <v>414</v>
      </c>
      <c r="F1291" s="138" t="s">
        <v>537</v>
      </c>
      <c r="G1291" s="139" t="s">
        <v>472</v>
      </c>
      <c r="H1291" s="140"/>
      <c r="I1291" s="141">
        <v>1</v>
      </c>
      <c r="J1291" s="142">
        <v>30429</v>
      </c>
      <c r="K1291" s="142">
        <v>30429</v>
      </c>
      <c r="L1291" s="634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1815</v>
      </c>
      <c r="E1292" s="135" t="s">
        <v>1790</v>
      </c>
      <c r="F1292" s="138" t="s">
        <v>116</v>
      </c>
      <c r="G1292" s="139" t="s">
        <v>419</v>
      </c>
      <c r="H1292" s="140"/>
      <c r="I1292" s="141">
        <v>1</v>
      </c>
      <c r="J1292" s="142">
        <v>5274</v>
      </c>
      <c r="K1292" s="142">
        <v>5274</v>
      </c>
      <c r="L1292" s="634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1816</v>
      </c>
      <c r="E1293" s="135" t="s">
        <v>414</v>
      </c>
      <c r="F1293" s="138" t="s">
        <v>580</v>
      </c>
      <c r="G1293" s="139" t="s">
        <v>371</v>
      </c>
      <c r="H1293" s="140"/>
      <c r="I1293" s="141">
        <v>1</v>
      </c>
      <c r="J1293" s="142">
        <v>25800</v>
      </c>
      <c r="K1293" s="142">
        <v>25800</v>
      </c>
      <c r="L1293" s="634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1771</v>
      </c>
      <c r="E1294" s="135" t="s">
        <v>414</v>
      </c>
      <c r="F1294" s="138" t="s">
        <v>115</v>
      </c>
      <c r="G1294" s="139" t="s">
        <v>419</v>
      </c>
      <c r="H1294" s="140"/>
      <c r="I1294" s="141">
        <v>1</v>
      </c>
      <c r="J1294" s="142">
        <v>33370</v>
      </c>
      <c r="K1294" s="142">
        <v>33370</v>
      </c>
      <c r="L1294" s="634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1817</v>
      </c>
      <c r="E1295" s="135" t="s">
        <v>515</v>
      </c>
      <c r="F1295" s="138" t="s">
        <v>580</v>
      </c>
      <c r="G1295" s="139" t="s">
        <v>371</v>
      </c>
      <c r="H1295" s="140"/>
      <c r="I1295" s="141">
        <v>1</v>
      </c>
      <c r="J1295" s="142">
        <v>25800</v>
      </c>
      <c r="K1295" s="142">
        <v>25800</v>
      </c>
      <c r="L1295" s="634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1818</v>
      </c>
      <c r="E1296" s="135" t="s">
        <v>414</v>
      </c>
      <c r="F1296" s="138" t="s">
        <v>217</v>
      </c>
      <c r="G1296" s="139" t="s">
        <v>371</v>
      </c>
      <c r="H1296" s="140"/>
      <c r="I1296" s="141">
        <v>1</v>
      </c>
      <c r="J1296" s="142">
        <v>44597</v>
      </c>
      <c r="K1296" s="142">
        <v>44597</v>
      </c>
      <c r="L1296" s="634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513</v>
      </c>
      <c r="E1297" s="135" t="s">
        <v>414</v>
      </c>
      <c r="F1297" s="138" t="s">
        <v>116</v>
      </c>
      <c r="G1297" s="139" t="s">
        <v>415</v>
      </c>
      <c r="H1297" s="140"/>
      <c r="I1297" s="141">
        <v>1</v>
      </c>
      <c r="J1297" s="142">
        <v>5274</v>
      </c>
      <c r="K1297" s="142">
        <v>5274</v>
      </c>
      <c r="L1297" s="634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1819</v>
      </c>
      <c r="E1298" s="135" t="s">
        <v>414</v>
      </c>
      <c r="F1298" s="138" t="s">
        <v>116</v>
      </c>
      <c r="G1298" s="139" t="s">
        <v>527</v>
      </c>
      <c r="H1298" s="140"/>
      <c r="I1298" s="141">
        <v>1</v>
      </c>
      <c r="J1298" s="142">
        <v>5274</v>
      </c>
      <c r="K1298" s="142">
        <v>5274</v>
      </c>
      <c r="L1298" s="634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1820</v>
      </c>
      <c r="E1299" s="135" t="s">
        <v>1790</v>
      </c>
      <c r="F1299" s="138" t="s">
        <v>537</v>
      </c>
      <c r="G1299" s="139" t="s">
        <v>431</v>
      </c>
      <c r="H1299" s="140"/>
      <c r="I1299" s="141">
        <v>1</v>
      </c>
      <c r="J1299" s="142">
        <v>30429</v>
      </c>
      <c r="K1299" s="142">
        <v>30429</v>
      </c>
      <c r="L1299" s="634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1821</v>
      </c>
      <c r="E1300" s="135" t="s">
        <v>414</v>
      </c>
      <c r="F1300" s="138" t="s">
        <v>217</v>
      </c>
      <c r="G1300" s="139" t="s">
        <v>369</v>
      </c>
      <c r="H1300" s="140"/>
      <c r="I1300" s="141">
        <v>1</v>
      </c>
      <c r="J1300" s="142">
        <v>44597</v>
      </c>
      <c r="K1300" s="142">
        <v>44597</v>
      </c>
      <c r="L1300" s="634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1822</v>
      </c>
      <c r="E1301" s="135" t="s">
        <v>590</v>
      </c>
      <c r="F1301" s="138" t="s">
        <v>217</v>
      </c>
      <c r="G1301" s="139" t="s">
        <v>371</v>
      </c>
      <c r="H1301" s="140"/>
      <c r="I1301" s="141">
        <v>1</v>
      </c>
      <c r="J1301" s="142">
        <v>44597</v>
      </c>
      <c r="K1301" s="142">
        <v>44597</v>
      </c>
      <c r="L1301" s="634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1797</v>
      </c>
      <c r="E1302" s="135" t="s">
        <v>414</v>
      </c>
      <c r="F1302" s="138" t="s">
        <v>115</v>
      </c>
      <c r="G1302" s="139" t="s">
        <v>417</v>
      </c>
      <c r="H1302" s="140"/>
      <c r="I1302" s="141">
        <v>1</v>
      </c>
      <c r="J1302" s="142">
        <v>33370</v>
      </c>
      <c r="K1302" s="142">
        <v>33370</v>
      </c>
      <c r="L1302" s="634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1823</v>
      </c>
      <c r="E1303" s="135" t="s">
        <v>1790</v>
      </c>
      <c r="F1303" s="138" t="s">
        <v>537</v>
      </c>
      <c r="G1303" s="139" t="s">
        <v>431</v>
      </c>
      <c r="H1303" s="140"/>
      <c r="I1303" s="141">
        <v>1</v>
      </c>
      <c r="J1303" s="142">
        <v>30429</v>
      </c>
      <c r="K1303" s="142">
        <v>30429</v>
      </c>
      <c r="L1303" s="634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1504</v>
      </c>
      <c r="E1304" s="135" t="s">
        <v>414</v>
      </c>
      <c r="F1304" s="138" t="s">
        <v>577</v>
      </c>
      <c r="G1304" s="139" t="s">
        <v>417</v>
      </c>
      <c r="H1304" s="140"/>
      <c r="I1304" s="141">
        <v>1</v>
      </c>
      <c r="J1304" s="142">
        <v>49701</v>
      </c>
      <c r="K1304" s="142">
        <v>49701</v>
      </c>
      <c r="L1304" s="634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778</v>
      </c>
      <c r="E1305" s="135" t="s">
        <v>414</v>
      </c>
      <c r="F1305" s="138" t="s">
        <v>115</v>
      </c>
      <c r="G1305" s="139" t="s">
        <v>594</v>
      </c>
      <c r="H1305" s="140"/>
      <c r="I1305" s="141">
        <v>1</v>
      </c>
      <c r="J1305" s="142">
        <v>33370</v>
      </c>
      <c r="K1305" s="142">
        <v>33370</v>
      </c>
      <c r="L1305" s="634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1824</v>
      </c>
      <c r="E1306" s="135" t="s">
        <v>414</v>
      </c>
      <c r="F1306" s="138" t="s">
        <v>577</v>
      </c>
      <c r="G1306" s="139" t="s">
        <v>527</v>
      </c>
      <c r="H1306" s="140"/>
      <c r="I1306" s="141">
        <v>1</v>
      </c>
      <c r="J1306" s="142">
        <v>49701</v>
      </c>
      <c r="K1306" s="142">
        <v>49701</v>
      </c>
      <c r="L1306" s="634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1825</v>
      </c>
      <c r="E1307" s="135" t="s">
        <v>943</v>
      </c>
      <c r="F1307" s="138" t="s">
        <v>580</v>
      </c>
      <c r="G1307" s="139" t="s">
        <v>371</v>
      </c>
      <c r="H1307" s="140"/>
      <c r="I1307" s="141">
        <v>1</v>
      </c>
      <c r="J1307" s="142">
        <v>25800</v>
      </c>
      <c r="K1307" s="142">
        <v>25800</v>
      </c>
      <c r="L1307" s="634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1826</v>
      </c>
      <c r="E1308" s="135" t="s">
        <v>414</v>
      </c>
      <c r="F1308" s="138" t="s">
        <v>116</v>
      </c>
      <c r="G1308" s="139" t="s">
        <v>419</v>
      </c>
      <c r="H1308" s="140"/>
      <c r="I1308" s="141">
        <v>1</v>
      </c>
      <c r="J1308" s="142">
        <v>5274</v>
      </c>
      <c r="K1308" s="142">
        <v>5274</v>
      </c>
      <c r="L1308" s="634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1827</v>
      </c>
      <c r="E1309" s="135" t="s">
        <v>414</v>
      </c>
      <c r="F1309" s="138" t="s">
        <v>217</v>
      </c>
      <c r="G1309" s="139" t="s">
        <v>387</v>
      </c>
      <c r="H1309" s="140"/>
      <c r="I1309" s="141">
        <v>2</v>
      </c>
      <c r="J1309" s="142">
        <v>44597</v>
      </c>
      <c r="K1309" s="142">
        <v>89194</v>
      </c>
      <c r="L1309" s="634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1828</v>
      </c>
      <c r="E1310" s="135" t="s">
        <v>414</v>
      </c>
      <c r="F1310" s="138" t="s">
        <v>217</v>
      </c>
      <c r="G1310" s="139" t="s">
        <v>371</v>
      </c>
      <c r="H1310" s="140"/>
      <c r="I1310" s="141">
        <v>1</v>
      </c>
      <c r="J1310" s="142">
        <v>44597</v>
      </c>
      <c r="K1310" s="142">
        <v>44597</v>
      </c>
      <c r="L1310" s="634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1829</v>
      </c>
      <c r="E1311" s="135" t="s">
        <v>414</v>
      </c>
      <c r="F1311" s="138" t="s">
        <v>217</v>
      </c>
      <c r="G1311" s="139" t="s">
        <v>371</v>
      </c>
      <c r="H1311" s="140"/>
      <c r="I1311" s="141">
        <v>1</v>
      </c>
      <c r="J1311" s="142">
        <v>44597</v>
      </c>
      <c r="K1311" s="142">
        <v>44597</v>
      </c>
      <c r="L1311" s="634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1830</v>
      </c>
      <c r="E1312" s="135" t="s">
        <v>414</v>
      </c>
      <c r="F1312" s="138" t="s">
        <v>219</v>
      </c>
      <c r="G1312" s="139" t="s">
        <v>369</v>
      </c>
      <c r="H1312" s="140"/>
      <c r="I1312" s="141">
        <v>1</v>
      </c>
      <c r="J1312" s="142">
        <v>22299</v>
      </c>
      <c r="K1312" s="142">
        <v>22299</v>
      </c>
      <c r="L1312" s="634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519</v>
      </c>
      <c r="E1313" s="135" t="s">
        <v>1790</v>
      </c>
      <c r="F1313" s="138" t="s">
        <v>217</v>
      </c>
      <c r="G1313" s="139" t="s">
        <v>369</v>
      </c>
      <c r="H1313" s="140"/>
      <c r="I1313" s="141">
        <v>1</v>
      </c>
      <c r="J1313" s="142">
        <v>44597</v>
      </c>
      <c r="K1313" s="142">
        <v>44597</v>
      </c>
      <c r="L1313" s="635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1831</v>
      </c>
      <c r="E1314" s="135" t="s">
        <v>1790</v>
      </c>
      <c r="F1314" s="138" t="s">
        <v>116</v>
      </c>
      <c r="G1314" s="139" t="s">
        <v>527</v>
      </c>
      <c r="H1314" s="140"/>
      <c r="I1314" s="141">
        <v>1</v>
      </c>
      <c r="J1314" s="142">
        <v>5274</v>
      </c>
      <c r="K1314" s="142">
        <v>5274</v>
      </c>
      <c r="L1314" s="595" t="s">
        <v>617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1832</v>
      </c>
      <c r="E1315" s="135" t="s">
        <v>1790</v>
      </c>
      <c r="F1315" s="138" t="s">
        <v>116</v>
      </c>
      <c r="G1315" s="139" t="s">
        <v>410</v>
      </c>
      <c r="H1315" s="140"/>
      <c r="I1315" s="141">
        <v>1</v>
      </c>
      <c r="J1315" s="142">
        <v>5274</v>
      </c>
      <c r="K1315" s="142">
        <v>5274</v>
      </c>
      <c r="L1315" s="596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1833</v>
      </c>
      <c r="E1316" s="135" t="s">
        <v>414</v>
      </c>
      <c r="F1316" s="138" t="s">
        <v>116</v>
      </c>
      <c r="G1316" s="139" t="s">
        <v>1834</v>
      </c>
      <c r="H1316" s="140"/>
      <c r="I1316" s="141">
        <v>1</v>
      </c>
      <c r="J1316" s="142">
        <v>5274</v>
      </c>
      <c r="K1316" s="142">
        <v>5274</v>
      </c>
      <c r="L1316" s="596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1833</v>
      </c>
      <c r="E1317" s="135" t="s">
        <v>414</v>
      </c>
      <c r="F1317" s="138" t="s">
        <v>210</v>
      </c>
      <c r="G1317" s="139" t="s">
        <v>1834</v>
      </c>
      <c r="H1317" s="140"/>
      <c r="I1317" s="141">
        <v>1</v>
      </c>
      <c r="J1317" s="142">
        <v>14099</v>
      </c>
      <c r="K1317" s="142">
        <v>14099</v>
      </c>
      <c r="L1317" s="596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514</v>
      </c>
      <c r="E1318" s="135" t="s">
        <v>414</v>
      </c>
      <c r="F1318" s="138" t="s">
        <v>537</v>
      </c>
      <c r="G1318" s="139" t="s">
        <v>431</v>
      </c>
      <c r="H1318" s="140"/>
      <c r="I1318" s="141">
        <v>1</v>
      </c>
      <c r="J1318" s="142">
        <v>30429</v>
      </c>
      <c r="K1318" s="142">
        <v>30429</v>
      </c>
      <c r="L1318" s="596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1815</v>
      </c>
      <c r="E1319" s="135" t="s">
        <v>1790</v>
      </c>
      <c r="F1319" s="138" t="s">
        <v>115</v>
      </c>
      <c r="G1319" s="139" t="s">
        <v>419</v>
      </c>
      <c r="H1319" s="140"/>
      <c r="I1319" s="141">
        <v>1</v>
      </c>
      <c r="J1319" s="142">
        <v>33370</v>
      </c>
      <c r="K1319" s="142">
        <v>33370</v>
      </c>
      <c r="L1319" s="596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1835</v>
      </c>
      <c r="E1320" s="135" t="s">
        <v>1790</v>
      </c>
      <c r="F1320" s="138" t="s">
        <v>116</v>
      </c>
      <c r="G1320" s="139" t="s">
        <v>415</v>
      </c>
      <c r="H1320" s="140"/>
      <c r="I1320" s="141">
        <v>1</v>
      </c>
      <c r="J1320" s="142">
        <v>5274</v>
      </c>
      <c r="K1320" s="142">
        <v>5274</v>
      </c>
      <c r="L1320" s="596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1836</v>
      </c>
      <c r="E1321" s="135" t="s">
        <v>1790</v>
      </c>
      <c r="F1321" s="138" t="s">
        <v>116</v>
      </c>
      <c r="G1321" s="139" t="s">
        <v>1837</v>
      </c>
      <c r="H1321" s="140"/>
      <c r="I1321" s="141">
        <v>4</v>
      </c>
      <c r="J1321" s="142">
        <v>5274</v>
      </c>
      <c r="K1321" s="180">
        <v>21096</v>
      </c>
      <c r="L1321" s="596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1838</v>
      </c>
      <c r="E1322" s="135" t="s">
        <v>1839</v>
      </c>
      <c r="F1322" s="138" t="s">
        <v>217</v>
      </c>
      <c r="G1322" s="139" t="s">
        <v>371</v>
      </c>
      <c r="H1322" s="140"/>
      <c r="I1322" s="141">
        <v>1</v>
      </c>
      <c r="J1322" s="142">
        <v>44597</v>
      </c>
      <c r="K1322" s="142">
        <v>44597</v>
      </c>
      <c r="L1322" s="596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416</v>
      </c>
      <c r="E1323" s="135" t="s">
        <v>414</v>
      </c>
      <c r="F1323" s="138" t="s">
        <v>210</v>
      </c>
      <c r="G1323" s="139" t="s">
        <v>417</v>
      </c>
      <c r="H1323" s="140"/>
      <c r="I1323" s="141">
        <v>1</v>
      </c>
      <c r="J1323" s="142">
        <v>14099</v>
      </c>
      <c r="K1323" s="142">
        <v>14099</v>
      </c>
      <c r="L1323" s="596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1840</v>
      </c>
      <c r="E1324" s="135" t="s">
        <v>414</v>
      </c>
      <c r="F1324" s="138" t="s">
        <v>682</v>
      </c>
      <c r="G1324" s="139" t="s">
        <v>369</v>
      </c>
      <c r="H1324" s="140"/>
      <c r="I1324" s="141">
        <v>1</v>
      </c>
      <c r="J1324" s="142">
        <v>55058</v>
      </c>
      <c r="K1324" s="142">
        <v>55058</v>
      </c>
      <c r="L1324" s="596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1840</v>
      </c>
      <c r="E1325" s="135" t="s">
        <v>414</v>
      </c>
      <c r="F1325" s="138" t="s">
        <v>217</v>
      </c>
      <c r="G1325" s="139" t="s">
        <v>371</v>
      </c>
      <c r="H1325" s="140"/>
      <c r="I1325" s="141">
        <v>1</v>
      </c>
      <c r="J1325" s="142">
        <v>44597</v>
      </c>
      <c r="K1325" s="142">
        <v>44597</v>
      </c>
      <c r="L1325" s="596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1841</v>
      </c>
      <c r="E1326" s="135" t="s">
        <v>414</v>
      </c>
      <c r="F1326" s="138" t="s">
        <v>210</v>
      </c>
      <c r="G1326" s="139" t="s">
        <v>383</v>
      </c>
      <c r="H1326" s="140"/>
      <c r="I1326" s="141">
        <v>1</v>
      </c>
      <c r="J1326" s="142">
        <v>14099</v>
      </c>
      <c r="K1326" s="142">
        <v>14099</v>
      </c>
      <c r="L1326" s="596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1842</v>
      </c>
      <c r="E1327" s="135" t="s">
        <v>414</v>
      </c>
      <c r="F1327" s="138" t="s">
        <v>116</v>
      </c>
      <c r="G1327" s="139" t="s">
        <v>415</v>
      </c>
      <c r="H1327" s="140"/>
      <c r="I1327" s="141">
        <v>1</v>
      </c>
      <c r="J1327" s="142">
        <v>5274</v>
      </c>
      <c r="K1327" s="142">
        <v>5274</v>
      </c>
      <c r="L1327" s="596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1843</v>
      </c>
      <c r="E1328" s="135" t="s">
        <v>943</v>
      </c>
      <c r="F1328" s="138" t="s">
        <v>580</v>
      </c>
      <c r="G1328" s="139" t="s">
        <v>371</v>
      </c>
      <c r="H1328" s="140"/>
      <c r="I1328" s="141">
        <v>1</v>
      </c>
      <c r="J1328" s="142">
        <v>25800</v>
      </c>
      <c r="K1328" s="142">
        <v>25800</v>
      </c>
      <c r="L1328" s="596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513</v>
      </c>
      <c r="E1329" s="135" t="s">
        <v>414</v>
      </c>
      <c r="F1329" s="138" t="s">
        <v>115</v>
      </c>
      <c r="G1329" s="139" t="s">
        <v>415</v>
      </c>
      <c r="H1329" s="140"/>
      <c r="I1329" s="141">
        <v>1</v>
      </c>
      <c r="J1329" s="142">
        <v>33370</v>
      </c>
      <c r="K1329" s="142">
        <v>33370</v>
      </c>
      <c r="L1329" s="596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1819</v>
      </c>
      <c r="E1330" s="135" t="s">
        <v>414</v>
      </c>
      <c r="F1330" s="138" t="s">
        <v>210</v>
      </c>
      <c r="G1330" s="139" t="s">
        <v>527</v>
      </c>
      <c r="H1330" s="140"/>
      <c r="I1330" s="141">
        <v>1</v>
      </c>
      <c r="J1330" s="142">
        <v>14099</v>
      </c>
      <c r="K1330" s="142">
        <v>14099</v>
      </c>
      <c r="L1330" s="596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1819</v>
      </c>
      <c r="E1331" s="135" t="s">
        <v>414</v>
      </c>
      <c r="F1331" s="138" t="s">
        <v>210</v>
      </c>
      <c r="G1331" s="139" t="s">
        <v>434</v>
      </c>
      <c r="H1331" s="140"/>
      <c r="I1331" s="141">
        <v>1</v>
      </c>
      <c r="J1331" s="142">
        <v>14099</v>
      </c>
      <c r="K1331" s="142">
        <v>14099</v>
      </c>
      <c r="L1331" s="596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1844</v>
      </c>
      <c r="E1332" s="135" t="s">
        <v>414</v>
      </c>
      <c r="F1332" s="138" t="s">
        <v>116</v>
      </c>
      <c r="G1332" s="139" t="s">
        <v>562</v>
      </c>
      <c r="H1332" s="140"/>
      <c r="I1332" s="141">
        <v>1</v>
      </c>
      <c r="J1332" s="142">
        <v>5274</v>
      </c>
      <c r="K1332" s="142">
        <v>5274</v>
      </c>
      <c r="L1332" s="596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1845</v>
      </c>
      <c r="E1333" s="135" t="s">
        <v>521</v>
      </c>
      <c r="F1333" s="138" t="s">
        <v>580</v>
      </c>
      <c r="G1333" s="139" t="s">
        <v>371</v>
      </c>
      <c r="H1333" s="140"/>
      <c r="I1333" s="141">
        <v>1</v>
      </c>
      <c r="J1333" s="142">
        <v>25800</v>
      </c>
      <c r="K1333" s="142">
        <v>25800</v>
      </c>
      <c r="L1333" s="596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1776</v>
      </c>
      <c r="E1334" s="135" t="s">
        <v>414</v>
      </c>
      <c r="F1334" s="138" t="s">
        <v>537</v>
      </c>
      <c r="G1334" s="139" t="s">
        <v>431</v>
      </c>
      <c r="H1334" s="140"/>
      <c r="I1334" s="141">
        <v>1</v>
      </c>
      <c r="J1334" s="142">
        <v>30429</v>
      </c>
      <c r="K1334" s="142">
        <v>30429</v>
      </c>
      <c r="L1334" s="596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1801</v>
      </c>
      <c r="E1335" s="135" t="s">
        <v>414</v>
      </c>
      <c r="F1335" s="138" t="s">
        <v>537</v>
      </c>
      <c r="G1335" s="139" t="s">
        <v>415</v>
      </c>
      <c r="H1335" s="140"/>
      <c r="I1335" s="141">
        <v>1</v>
      </c>
      <c r="J1335" s="142">
        <v>30429</v>
      </c>
      <c r="K1335" s="142">
        <v>30429</v>
      </c>
      <c r="L1335" s="596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1846</v>
      </c>
      <c r="E1336" s="135" t="s">
        <v>414</v>
      </c>
      <c r="F1336" s="138" t="s">
        <v>577</v>
      </c>
      <c r="G1336" s="139" t="s">
        <v>562</v>
      </c>
      <c r="H1336" s="140"/>
      <c r="I1336" s="141">
        <v>1</v>
      </c>
      <c r="J1336" s="142">
        <v>49701</v>
      </c>
      <c r="K1336" s="142">
        <v>49701</v>
      </c>
      <c r="L1336" s="596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1847</v>
      </c>
      <c r="E1337" s="135" t="s">
        <v>414</v>
      </c>
      <c r="F1337" s="138" t="s">
        <v>537</v>
      </c>
      <c r="G1337" s="139" t="s">
        <v>527</v>
      </c>
      <c r="H1337" s="140"/>
      <c r="I1337" s="141">
        <v>1</v>
      </c>
      <c r="J1337" s="142">
        <v>30429</v>
      </c>
      <c r="K1337" s="142">
        <v>30429</v>
      </c>
      <c r="L1337" s="596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1848</v>
      </c>
      <c r="E1338" s="135" t="s">
        <v>414</v>
      </c>
      <c r="F1338" s="138" t="s">
        <v>537</v>
      </c>
      <c r="G1338" s="139" t="s">
        <v>527</v>
      </c>
      <c r="H1338" s="140"/>
      <c r="I1338" s="141">
        <v>1</v>
      </c>
      <c r="J1338" s="142">
        <v>30429</v>
      </c>
      <c r="K1338" s="142">
        <v>30429</v>
      </c>
      <c r="L1338" s="596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1810</v>
      </c>
      <c r="E1339" s="135" t="s">
        <v>414</v>
      </c>
      <c r="F1339" s="138" t="s">
        <v>115</v>
      </c>
      <c r="G1339" s="139" t="s">
        <v>410</v>
      </c>
      <c r="H1339" s="140"/>
      <c r="I1339" s="141">
        <v>1</v>
      </c>
      <c r="J1339" s="142">
        <v>33370</v>
      </c>
      <c r="K1339" s="142">
        <v>33370</v>
      </c>
      <c r="L1339" s="596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1849</v>
      </c>
      <c r="E1340" s="135" t="s">
        <v>590</v>
      </c>
      <c r="F1340" s="138" t="s">
        <v>217</v>
      </c>
      <c r="G1340" s="139" t="s">
        <v>369</v>
      </c>
      <c r="H1340" s="140"/>
      <c r="I1340" s="141">
        <v>1</v>
      </c>
      <c r="J1340" s="142">
        <v>44597</v>
      </c>
      <c r="K1340" s="142">
        <v>44597</v>
      </c>
      <c r="L1340" s="596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1850</v>
      </c>
      <c r="E1341" s="135" t="s">
        <v>1790</v>
      </c>
      <c r="F1341" s="138" t="s">
        <v>537</v>
      </c>
      <c r="G1341" s="139" t="s">
        <v>1851</v>
      </c>
      <c r="H1341" s="140"/>
      <c r="I1341" s="141">
        <v>2</v>
      </c>
      <c r="J1341" s="142">
        <v>30429</v>
      </c>
      <c r="K1341" s="142">
        <v>60858</v>
      </c>
      <c r="L1341" s="596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1850</v>
      </c>
      <c r="E1342" s="135" t="s">
        <v>1790</v>
      </c>
      <c r="F1342" s="138" t="s">
        <v>537</v>
      </c>
      <c r="G1342" s="139" t="s">
        <v>594</v>
      </c>
      <c r="H1342" s="140"/>
      <c r="I1342" s="141">
        <v>1</v>
      </c>
      <c r="J1342" s="142">
        <v>30429</v>
      </c>
      <c r="K1342" s="142">
        <v>30429</v>
      </c>
      <c r="L1342" s="596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1852</v>
      </c>
      <c r="E1343" s="135" t="s">
        <v>943</v>
      </c>
      <c r="F1343" s="138" t="s">
        <v>580</v>
      </c>
      <c r="G1343" s="139" t="s">
        <v>371</v>
      </c>
      <c r="H1343" s="140"/>
      <c r="I1343" s="141">
        <v>1</v>
      </c>
      <c r="J1343" s="142">
        <v>25800</v>
      </c>
      <c r="K1343" s="142">
        <v>25800</v>
      </c>
      <c r="L1343" s="596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1826</v>
      </c>
      <c r="E1344" s="135" t="s">
        <v>414</v>
      </c>
      <c r="F1344" s="138" t="s">
        <v>115</v>
      </c>
      <c r="G1344" s="139" t="s">
        <v>419</v>
      </c>
      <c r="H1344" s="140"/>
      <c r="I1344" s="141">
        <v>1</v>
      </c>
      <c r="J1344" s="142">
        <v>33370</v>
      </c>
      <c r="K1344" s="142">
        <v>33370</v>
      </c>
      <c r="L1344" s="596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1853</v>
      </c>
      <c r="E1345" s="135" t="s">
        <v>943</v>
      </c>
      <c r="F1345" s="138" t="s">
        <v>580</v>
      </c>
      <c r="G1345" s="139" t="s">
        <v>371</v>
      </c>
      <c r="H1345" s="140"/>
      <c r="I1345" s="141">
        <v>1</v>
      </c>
      <c r="J1345" s="142">
        <v>25800</v>
      </c>
      <c r="K1345" s="142">
        <v>25800</v>
      </c>
      <c r="L1345" s="596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1854</v>
      </c>
      <c r="E1346" s="135" t="s">
        <v>590</v>
      </c>
      <c r="F1346" s="138" t="s">
        <v>217</v>
      </c>
      <c r="G1346" s="139" t="s">
        <v>387</v>
      </c>
      <c r="H1346" s="140"/>
      <c r="I1346" s="141">
        <v>2</v>
      </c>
      <c r="J1346" s="142">
        <v>44597</v>
      </c>
      <c r="K1346" s="142">
        <v>89194</v>
      </c>
      <c r="L1346" s="596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1855</v>
      </c>
      <c r="E1347" s="135" t="s">
        <v>414</v>
      </c>
      <c r="F1347" s="138" t="s">
        <v>537</v>
      </c>
      <c r="G1347" s="139" t="s">
        <v>568</v>
      </c>
      <c r="H1347" s="140"/>
      <c r="I1347" s="141">
        <v>1</v>
      </c>
      <c r="J1347" s="142">
        <v>30429</v>
      </c>
      <c r="K1347" s="142">
        <v>30429</v>
      </c>
      <c r="L1347" s="596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1855</v>
      </c>
      <c r="E1348" s="135" t="s">
        <v>943</v>
      </c>
      <c r="F1348" s="138" t="s">
        <v>580</v>
      </c>
      <c r="G1348" s="139" t="s">
        <v>371</v>
      </c>
      <c r="H1348" s="140"/>
      <c r="I1348" s="141">
        <v>1</v>
      </c>
      <c r="J1348" s="142">
        <v>25800</v>
      </c>
      <c r="K1348" s="142">
        <v>25800</v>
      </c>
      <c r="L1348" s="596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1856</v>
      </c>
      <c r="E1349" s="135" t="s">
        <v>414</v>
      </c>
      <c r="F1349" s="138" t="s">
        <v>217</v>
      </c>
      <c r="G1349" s="139" t="s">
        <v>371</v>
      </c>
      <c r="H1349" s="140"/>
      <c r="I1349" s="141">
        <v>1</v>
      </c>
      <c r="J1349" s="142">
        <v>44597</v>
      </c>
      <c r="K1349" s="142">
        <v>44597</v>
      </c>
      <c r="L1349" s="596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1857</v>
      </c>
      <c r="E1350" s="135" t="s">
        <v>1790</v>
      </c>
      <c r="F1350" s="138" t="s">
        <v>116</v>
      </c>
      <c r="G1350" s="139" t="s">
        <v>1858</v>
      </c>
      <c r="H1350" s="140"/>
      <c r="I1350" s="141">
        <v>4</v>
      </c>
      <c r="J1350" s="142">
        <v>5274</v>
      </c>
      <c r="K1350" s="142">
        <v>21096</v>
      </c>
      <c r="L1350" s="596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1859</v>
      </c>
      <c r="E1351" s="135" t="s">
        <v>521</v>
      </c>
      <c r="F1351" s="138" t="s">
        <v>537</v>
      </c>
      <c r="G1351" s="139" t="s">
        <v>472</v>
      </c>
      <c r="H1351" s="140"/>
      <c r="I1351" s="141">
        <v>1</v>
      </c>
      <c r="J1351" s="142">
        <v>30429</v>
      </c>
      <c r="K1351" s="142">
        <v>30429</v>
      </c>
      <c r="L1351" s="596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1860</v>
      </c>
      <c r="E1352" s="135" t="s">
        <v>414</v>
      </c>
      <c r="F1352" s="138" t="s">
        <v>210</v>
      </c>
      <c r="G1352" s="139" t="s">
        <v>419</v>
      </c>
      <c r="H1352" s="140"/>
      <c r="I1352" s="141">
        <v>1</v>
      </c>
      <c r="J1352" s="142">
        <v>14099</v>
      </c>
      <c r="K1352" s="142">
        <v>14099</v>
      </c>
      <c r="L1352" s="596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1861</v>
      </c>
      <c r="E1353" s="135" t="s">
        <v>414</v>
      </c>
      <c r="F1353" s="138" t="s">
        <v>682</v>
      </c>
      <c r="G1353" s="139" t="s">
        <v>371</v>
      </c>
      <c r="H1353" s="140"/>
      <c r="I1353" s="141">
        <v>1</v>
      </c>
      <c r="J1353" s="142">
        <v>55058</v>
      </c>
      <c r="K1353" s="142">
        <v>55058</v>
      </c>
      <c r="L1353" s="597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525</v>
      </c>
      <c r="E1354" s="135" t="s">
        <v>1790</v>
      </c>
      <c r="F1354" s="138" t="s">
        <v>115</v>
      </c>
      <c r="G1354" s="139" t="s">
        <v>527</v>
      </c>
      <c r="H1354" s="140"/>
      <c r="I1354" s="141">
        <v>1</v>
      </c>
      <c r="J1354" s="142">
        <v>33370</v>
      </c>
      <c r="K1354" s="142">
        <v>33370</v>
      </c>
      <c r="L1354" s="196" t="s">
        <v>620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1862</v>
      </c>
      <c r="E1355" s="135" t="s">
        <v>414</v>
      </c>
      <c r="F1355" s="138" t="s">
        <v>116</v>
      </c>
      <c r="G1355" s="139" t="s">
        <v>407</v>
      </c>
      <c r="H1355" s="140"/>
      <c r="I1355" s="141">
        <v>1</v>
      </c>
      <c r="J1355" s="142">
        <v>5274</v>
      </c>
      <c r="K1355" s="142">
        <v>5274</v>
      </c>
      <c r="L1355" s="196" t="s">
        <v>620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1863</v>
      </c>
      <c r="E1356" s="135" t="s">
        <v>414</v>
      </c>
      <c r="F1356" s="138" t="s">
        <v>115</v>
      </c>
      <c r="G1356" s="139" t="s">
        <v>1834</v>
      </c>
      <c r="H1356" s="140"/>
      <c r="I1356" s="141">
        <v>1</v>
      </c>
      <c r="J1356" s="142">
        <v>33370</v>
      </c>
      <c r="K1356" s="142">
        <v>33370</v>
      </c>
      <c r="L1356" s="196" t="s">
        <v>620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1864</v>
      </c>
      <c r="E1357" s="135" t="s">
        <v>1790</v>
      </c>
      <c r="F1357" s="138" t="s">
        <v>537</v>
      </c>
      <c r="G1357" s="139" t="s">
        <v>472</v>
      </c>
      <c r="H1357" s="140"/>
      <c r="I1357" s="141">
        <v>1</v>
      </c>
      <c r="J1357" s="142">
        <v>30429</v>
      </c>
      <c r="K1357" s="142">
        <v>30429</v>
      </c>
      <c r="L1357" s="196" t="s">
        <v>620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514</v>
      </c>
      <c r="E1358" s="135" t="s">
        <v>515</v>
      </c>
      <c r="F1358" s="138" t="s">
        <v>580</v>
      </c>
      <c r="G1358" s="139" t="s">
        <v>371</v>
      </c>
      <c r="H1358" s="140"/>
      <c r="I1358" s="141">
        <v>1</v>
      </c>
      <c r="J1358" s="142">
        <v>25800</v>
      </c>
      <c r="K1358" s="142">
        <v>25800</v>
      </c>
      <c r="L1358" s="196" t="s">
        <v>620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1865</v>
      </c>
      <c r="E1359" s="135" t="s">
        <v>414</v>
      </c>
      <c r="F1359" s="138" t="s">
        <v>217</v>
      </c>
      <c r="G1359" s="139" t="s">
        <v>369</v>
      </c>
      <c r="H1359" s="140"/>
      <c r="I1359" s="141">
        <v>1</v>
      </c>
      <c r="J1359" s="142">
        <v>44597</v>
      </c>
      <c r="K1359" s="142">
        <v>44597</v>
      </c>
      <c r="L1359" s="196" t="s">
        <v>620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413</v>
      </c>
      <c r="E1360" s="135" t="s">
        <v>414</v>
      </c>
      <c r="F1360" s="138" t="s">
        <v>115</v>
      </c>
      <c r="G1360" s="139" t="s">
        <v>415</v>
      </c>
      <c r="H1360" s="140"/>
      <c r="I1360" s="141">
        <v>1</v>
      </c>
      <c r="J1360" s="142">
        <v>33370</v>
      </c>
      <c r="K1360" s="142">
        <v>33370</v>
      </c>
      <c r="L1360" s="196" t="s">
        <v>620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1835</v>
      </c>
      <c r="E1361" s="135" t="s">
        <v>1790</v>
      </c>
      <c r="F1361" s="138" t="s">
        <v>115</v>
      </c>
      <c r="G1361" s="139" t="s">
        <v>415</v>
      </c>
      <c r="H1361" s="140"/>
      <c r="I1361" s="141">
        <v>1</v>
      </c>
      <c r="J1361" s="142">
        <v>33370</v>
      </c>
      <c r="K1361" s="142">
        <v>33370</v>
      </c>
      <c r="L1361" s="196" t="s">
        <v>620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1866</v>
      </c>
      <c r="E1362" s="135" t="s">
        <v>414</v>
      </c>
      <c r="F1362" s="138" t="s">
        <v>116</v>
      </c>
      <c r="G1362" s="139" t="s">
        <v>534</v>
      </c>
      <c r="H1362" s="140"/>
      <c r="I1362" s="141">
        <v>1</v>
      </c>
      <c r="J1362" s="142">
        <v>5274</v>
      </c>
      <c r="K1362" s="142">
        <v>5274</v>
      </c>
      <c r="L1362" s="196" t="s">
        <v>620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1867</v>
      </c>
      <c r="E1363" s="135" t="s">
        <v>414</v>
      </c>
      <c r="F1363" s="138" t="s">
        <v>537</v>
      </c>
      <c r="G1363" s="139" t="s">
        <v>527</v>
      </c>
      <c r="H1363" s="140"/>
      <c r="I1363" s="141">
        <v>1</v>
      </c>
      <c r="J1363" s="142">
        <v>30429</v>
      </c>
      <c r="K1363" s="142">
        <v>30429</v>
      </c>
      <c r="L1363" s="196" t="s">
        <v>620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416</v>
      </c>
      <c r="E1364" s="135" t="s">
        <v>414</v>
      </c>
      <c r="F1364" s="138" t="s">
        <v>115</v>
      </c>
      <c r="G1364" s="139" t="s">
        <v>417</v>
      </c>
      <c r="H1364" s="140"/>
      <c r="I1364" s="141">
        <v>1</v>
      </c>
      <c r="J1364" s="142">
        <v>33370</v>
      </c>
      <c r="K1364" s="142">
        <v>33370</v>
      </c>
      <c r="L1364" s="196" t="s">
        <v>620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1868</v>
      </c>
      <c r="E1365" s="135" t="s">
        <v>414</v>
      </c>
      <c r="F1365" s="138" t="s">
        <v>116</v>
      </c>
      <c r="G1365" s="139" t="s">
        <v>530</v>
      </c>
      <c r="H1365" s="140"/>
      <c r="I1365" s="141">
        <v>1</v>
      </c>
      <c r="J1365" s="142">
        <v>5274</v>
      </c>
      <c r="K1365" s="142">
        <v>5274</v>
      </c>
      <c r="L1365" s="196" t="s">
        <v>620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1869</v>
      </c>
      <c r="E1366" s="135" t="s">
        <v>414</v>
      </c>
      <c r="F1366" s="138" t="s">
        <v>682</v>
      </c>
      <c r="G1366" s="139" t="s">
        <v>369</v>
      </c>
      <c r="H1366" s="140"/>
      <c r="I1366" s="141">
        <v>1</v>
      </c>
      <c r="J1366" s="142">
        <v>55058</v>
      </c>
      <c r="K1366" s="142">
        <v>55058</v>
      </c>
      <c r="L1366" s="196" t="s">
        <v>620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1819</v>
      </c>
      <c r="E1367" s="135" t="s">
        <v>414</v>
      </c>
      <c r="F1367" s="138" t="s">
        <v>115</v>
      </c>
      <c r="G1367" s="139" t="s">
        <v>434</v>
      </c>
      <c r="H1367" s="140"/>
      <c r="I1367" s="141">
        <v>1</v>
      </c>
      <c r="J1367" s="142">
        <v>33370</v>
      </c>
      <c r="K1367" s="142">
        <v>33370</v>
      </c>
      <c r="L1367" s="196" t="s">
        <v>620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1870</v>
      </c>
      <c r="E1368" s="135" t="s">
        <v>1790</v>
      </c>
      <c r="F1368" s="138" t="s">
        <v>537</v>
      </c>
      <c r="G1368" s="139" t="s">
        <v>415</v>
      </c>
      <c r="H1368" s="140"/>
      <c r="I1368" s="141">
        <v>1</v>
      </c>
      <c r="J1368" s="142">
        <v>30429</v>
      </c>
      <c r="K1368" s="142">
        <v>30429</v>
      </c>
      <c r="L1368" s="196" t="s">
        <v>620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1871</v>
      </c>
      <c r="E1369" s="135" t="s">
        <v>414</v>
      </c>
      <c r="F1369" s="138" t="s">
        <v>116</v>
      </c>
      <c r="G1369" s="139" t="s">
        <v>410</v>
      </c>
      <c r="H1369" s="140"/>
      <c r="I1369" s="141">
        <v>1</v>
      </c>
      <c r="J1369" s="142">
        <v>5274</v>
      </c>
      <c r="K1369" s="142">
        <v>5274</v>
      </c>
      <c r="L1369" s="196" t="s">
        <v>620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1797</v>
      </c>
      <c r="E1370" s="135" t="s">
        <v>414</v>
      </c>
      <c r="F1370" s="138" t="s">
        <v>1132</v>
      </c>
      <c r="G1370" s="139" t="s">
        <v>568</v>
      </c>
      <c r="H1370" s="140"/>
      <c r="I1370" s="141">
        <v>1</v>
      </c>
      <c r="J1370" s="142">
        <v>49701</v>
      </c>
      <c r="K1370" s="142">
        <v>49701</v>
      </c>
      <c r="L1370" s="196" t="s">
        <v>620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1276</v>
      </c>
      <c r="E1371" s="135" t="s">
        <v>414</v>
      </c>
      <c r="F1371" s="138" t="s">
        <v>537</v>
      </c>
      <c r="G1371" s="139" t="s">
        <v>511</v>
      </c>
      <c r="H1371" s="140"/>
      <c r="I1371" s="141">
        <v>1</v>
      </c>
      <c r="J1371" s="142">
        <v>30429</v>
      </c>
      <c r="K1371" s="142">
        <v>30429</v>
      </c>
      <c r="L1371" s="196" t="s">
        <v>620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1872</v>
      </c>
      <c r="E1372" s="135" t="s">
        <v>414</v>
      </c>
      <c r="F1372" s="138" t="s">
        <v>116</v>
      </c>
      <c r="G1372" s="139" t="s">
        <v>431</v>
      </c>
      <c r="H1372" s="140"/>
      <c r="I1372" s="141">
        <v>1</v>
      </c>
      <c r="J1372" s="142">
        <v>5274</v>
      </c>
      <c r="K1372" s="142">
        <v>5274</v>
      </c>
      <c r="L1372" s="196" t="s">
        <v>620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1873</v>
      </c>
      <c r="E1373" s="135" t="s">
        <v>414</v>
      </c>
      <c r="F1373" s="138" t="s">
        <v>537</v>
      </c>
      <c r="G1373" s="139" t="s">
        <v>431</v>
      </c>
      <c r="H1373" s="140"/>
      <c r="I1373" s="141">
        <v>1</v>
      </c>
      <c r="J1373" s="142">
        <v>30429</v>
      </c>
      <c r="K1373" s="142">
        <v>30429</v>
      </c>
      <c r="L1373" s="196" t="s">
        <v>620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1874</v>
      </c>
      <c r="E1374" s="135" t="s">
        <v>414</v>
      </c>
      <c r="F1374" s="138" t="s">
        <v>537</v>
      </c>
      <c r="G1374" s="139" t="s">
        <v>419</v>
      </c>
      <c r="H1374" s="140"/>
      <c r="I1374" s="141">
        <v>1</v>
      </c>
      <c r="J1374" s="142">
        <v>30429</v>
      </c>
      <c r="K1374" s="142">
        <v>30429</v>
      </c>
      <c r="L1374" s="196" t="s">
        <v>620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1192</v>
      </c>
      <c r="E1375" s="135" t="s">
        <v>414</v>
      </c>
      <c r="F1375" s="138" t="s">
        <v>682</v>
      </c>
      <c r="G1375" s="139" t="s">
        <v>371</v>
      </c>
      <c r="H1375" s="140"/>
      <c r="I1375" s="141">
        <v>1</v>
      </c>
      <c r="J1375" s="142">
        <v>55058</v>
      </c>
      <c r="K1375" s="142">
        <v>55058</v>
      </c>
      <c r="L1375" s="196" t="s">
        <v>620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1875</v>
      </c>
      <c r="E1376" s="135" t="s">
        <v>521</v>
      </c>
      <c r="F1376" s="138" t="s">
        <v>580</v>
      </c>
      <c r="G1376" s="139" t="s">
        <v>371</v>
      </c>
      <c r="H1376" s="140"/>
      <c r="I1376" s="141">
        <v>1</v>
      </c>
      <c r="J1376" s="142">
        <v>25800</v>
      </c>
      <c r="K1376" s="142">
        <v>25800</v>
      </c>
      <c r="L1376" s="196" t="s">
        <v>620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418</v>
      </c>
      <c r="E1377" s="135" t="s">
        <v>414</v>
      </c>
      <c r="F1377" s="138" t="s">
        <v>115</v>
      </c>
      <c r="G1377" s="139" t="s">
        <v>419</v>
      </c>
      <c r="H1377" s="140"/>
      <c r="I1377" s="141">
        <v>1</v>
      </c>
      <c r="J1377" s="142">
        <v>33370</v>
      </c>
      <c r="K1377" s="142">
        <v>33370</v>
      </c>
      <c r="L1377" s="196" t="s">
        <v>620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1876</v>
      </c>
      <c r="E1378" s="122" t="s">
        <v>414</v>
      </c>
      <c r="F1378" s="125" t="s">
        <v>116</v>
      </c>
      <c r="G1378" s="126" t="s">
        <v>431</v>
      </c>
      <c r="H1378" s="127"/>
      <c r="I1378" s="128">
        <v>1</v>
      </c>
      <c r="J1378" s="129">
        <v>5274</v>
      </c>
      <c r="K1378" s="129">
        <v>5274</v>
      </c>
      <c r="L1378" s="215" t="s">
        <v>960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420</v>
      </c>
      <c r="E1379" s="122" t="s">
        <v>421</v>
      </c>
      <c r="F1379" s="125" t="s">
        <v>580</v>
      </c>
      <c r="G1379" s="126" t="s">
        <v>371</v>
      </c>
      <c r="H1379" s="127"/>
      <c r="I1379" s="128">
        <v>1</v>
      </c>
      <c r="J1379" s="129">
        <v>25800</v>
      </c>
      <c r="K1379" s="129">
        <v>25800</v>
      </c>
      <c r="L1379" s="215" t="s">
        <v>960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1877</v>
      </c>
      <c r="E1380" s="122" t="s">
        <v>414</v>
      </c>
      <c r="F1380" s="125" t="s">
        <v>235</v>
      </c>
      <c r="G1380" s="126" t="s">
        <v>369</v>
      </c>
      <c r="H1380" s="127"/>
      <c r="I1380" s="128">
        <v>1</v>
      </c>
      <c r="J1380" s="129">
        <v>12499</v>
      </c>
      <c r="K1380" s="129">
        <v>12499</v>
      </c>
      <c r="L1380" s="215" t="s">
        <v>960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1862</v>
      </c>
      <c r="E1381" s="122" t="s">
        <v>414</v>
      </c>
      <c r="F1381" s="125" t="s">
        <v>210</v>
      </c>
      <c r="G1381" s="126" t="s">
        <v>407</v>
      </c>
      <c r="H1381" s="127"/>
      <c r="I1381" s="128">
        <v>1</v>
      </c>
      <c r="J1381" s="129">
        <v>14099</v>
      </c>
      <c r="K1381" s="129">
        <v>14099</v>
      </c>
      <c r="L1381" s="215" t="s">
        <v>960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1862</v>
      </c>
      <c r="E1382" s="122" t="s">
        <v>414</v>
      </c>
      <c r="F1382" s="125" t="s">
        <v>192</v>
      </c>
      <c r="G1382" s="126" t="s">
        <v>407</v>
      </c>
      <c r="H1382" s="127"/>
      <c r="I1382" s="128">
        <v>1</v>
      </c>
      <c r="J1382" s="129">
        <v>57960</v>
      </c>
      <c r="K1382" s="129">
        <v>57960</v>
      </c>
      <c r="L1382" s="215" t="s">
        <v>960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1878</v>
      </c>
      <c r="E1383" s="122" t="s">
        <v>414</v>
      </c>
      <c r="F1383" s="125" t="s">
        <v>537</v>
      </c>
      <c r="G1383" s="126" t="s">
        <v>511</v>
      </c>
      <c r="H1383" s="127"/>
      <c r="I1383" s="128">
        <v>1</v>
      </c>
      <c r="J1383" s="129">
        <v>30429</v>
      </c>
      <c r="K1383" s="129">
        <v>30429</v>
      </c>
      <c r="L1383" s="215" t="s">
        <v>960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1879</v>
      </c>
      <c r="E1384" s="122" t="s">
        <v>414</v>
      </c>
      <c r="F1384" s="125" t="s">
        <v>116</v>
      </c>
      <c r="G1384" s="126" t="s">
        <v>1880</v>
      </c>
      <c r="H1384" s="127"/>
      <c r="I1384" s="128">
        <v>4</v>
      </c>
      <c r="J1384" s="129">
        <v>5274</v>
      </c>
      <c r="K1384" s="129">
        <v>21096</v>
      </c>
      <c r="L1384" s="215" t="s">
        <v>960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1881</v>
      </c>
      <c r="E1385" s="122" t="s">
        <v>414</v>
      </c>
      <c r="F1385" s="125" t="s">
        <v>116</v>
      </c>
      <c r="G1385" s="126" t="s">
        <v>1882</v>
      </c>
      <c r="H1385" s="127"/>
      <c r="I1385" s="128">
        <v>2</v>
      </c>
      <c r="J1385" s="129">
        <v>5274</v>
      </c>
      <c r="K1385" s="129">
        <v>10548</v>
      </c>
      <c r="L1385" s="215" t="s">
        <v>960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1883</v>
      </c>
      <c r="E1386" s="122" t="s">
        <v>414</v>
      </c>
      <c r="F1386" s="125" t="s">
        <v>577</v>
      </c>
      <c r="G1386" s="126" t="s">
        <v>431</v>
      </c>
      <c r="H1386" s="127"/>
      <c r="I1386" s="128">
        <v>1</v>
      </c>
      <c r="J1386" s="129">
        <v>49701</v>
      </c>
      <c r="K1386" s="129">
        <v>49701</v>
      </c>
      <c r="L1386" s="215" t="s">
        <v>960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1884</v>
      </c>
      <c r="E1387" s="122" t="s">
        <v>590</v>
      </c>
      <c r="F1387" s="125" t="s">
        <v>217</v>
      </c>
      <c r="G1387" s="126" t="s">
        <v>371</v>
      </c>
      <c r="H1387" s="127"/>
      <c r="I1387" s="128">
        <v>1</v>
      </c>
      <c r="J1387" s="129">
        <v>44597</v>
      </c>
      <c r="K1387" s="129">
        <v>44597</v>
      </c>
      <c r="L1387" s="215" t="s">
        <v>960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1868</v>
      </c>
      <c r="E1388" s="122" t="s">
        <v>414</v>
      </c>
      <c r="F1388" s="125" t="s">
        <v>115</v>
      </c>
      <c r="G1388" s="126" t="s">
        <v>404</v>
      </c>
      <c r="H1388" s="127"/>
      <c r="I1388" s="128">
        <v>1</v>
      </c>
      <c r="J1388" s="129">
        <v>33370</v>
      </c>
      <c r="K1388" s="129">
        <v>33370</v>
      </c>
      <c r="L1388" s="215" t="s">
        <v>960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1885</v>
      </c>
      <c r="E1389" s="122" t="s">
        <v>414</v>
      </c>
      <c r="F1389" s="125" t="s">
        <v>537</v>
      </c>
      <c r="G1389" s="126" t="s">
        <v>415</v>
      </c>
      <c r="H1389" s="127"/>
      <c r="I1389" s="128">
        <v>1</v>
      </c>
      <c r="J1389" s="129">
        <v>30429</v>
      </c>
      <c r="K1389" s="129">
        <v>30429</v>
      </c>
      <c r="L1389" s="215" t="s">
        <v>960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1886</v>
      </c>
      <c r="E1390" s="122" t="s">
        <v>414</v>
      </c>
      <c r="F1390" s="125" t="s">
        <v>537</v>
      </c>
      <c r="G1390" s="126" t="s">
        <v>417</v>
      </c>
      <c r="H1390" s="127"/>
      <c r="I1390" s="128">
        <v>1</v>
      </c>
      <c r="J1390" s="129">
        <v>30429</v>
      </c>
      <c r="K1390" s="129">
        <v>30429</v>
      </c>
      <c r="L1390" s="215" t="s">
        <v>960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1887</v>
      </c>
      <c r="E1391" s="122" t="s">
        <v>414</v>
      </c>
      <c r="F1391" s="125" t="s">
        <v>577</v>
      </c>
      <c r="G1391" s="126" t="s">
        <v>562</v>
      </c>
      <c r="H1391" s="127"/>
      <c r="I1391" s="128">
        <v>1</v>
      </c>
      <c r="J1391" s="129">
        <v>49701</v>
      </c>
      <c r="K1391" s="129">
        <v>49701</v>
      </c>
      <c r="L1391" s="215" t="s">
        <v>960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1888</v>
      </c>
      <c r="E1392" s="122" t="s">
        <v>414</v>
      </c>
      <c r="F1392" s="125" t="s">
        <v>537</v>
      </c>
      <c r="G1392" s="126" t="s">
        <v>472</v>
      </c>
      <c r="H1392" s="127"/>
      <c r="I1392" s="128">
        <v>1</v>
      </c>
      <c r="J1392" s="129">
        <v>30429</v>
      </c>
      <c r="K1392" s="129">
        <v>30429</v>
      </c>
      <c r="L1392" s="215" t="s">
        <v>960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1819</v>
      </c>
      <c r="E1393" s="122" t="s">
        <v>414</v>
      </c>
      <c r="F1393" s="125" t="s">
        <v>115</v>
      </c>
      <c r="G1393" s="126" t="s">
        <v>415</v>
      </c>
      <c r="H1393" s="127"/>
      <c r="I1393" s="128">
        <v>1</v>
      </c>
      <c r="J1393" s="129">
        <v>33370</v>
      </c>
      <c r="K1393" s="129">
        <v>33370</v>
      </c>
      <c r="L1393" s="215" t="s">
        <v>960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1844</v>
      </c>
      <c r="E1394" s="122" t="s">
        <v>414</v>
      </c>
      <c r="F1394" s="125" t="s">
        <v>537</v>
      </c>
      <c r="G1394" s="126" t="s">
        <v>472</v>
      </c>
      <c r="H1394" s="127"/>
      <c r="I1394" s="128">
        <v>1</v>
      </c>
      <c r="J1394" s="129">
        <v>30429</v>
      </c>
      <c r="K1394" s="129">
        <v>30429</v>
      </c>
      <c r="L1394" s="215" t="s">
        <v>960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1889</v>
      </c>
      <c r="E1395" s="122" t="s">
        <v>414</v>
      </c>
      <c r="F1395" s="125" t="s">
        <v>210</v>
      </c>
      <c r="G1395" s="126" t="s">
        <v>410</v>
      </c>
      <c r="H1395" s="127"/>
      <c r="I1395" s="128">
        <v>1</v>
      </c>
      <c r="J1395" s="129">
        <v>14099</v>
      </c>
      <c r="K1395" s="129">
        <v>14099</v>
      </c>
      <c r="L1395" s="215" t="s">
        <v>960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1890</v>
      </c>
      <c r="E1396" s="122" t="s">
        <v>414</v>
      </c>
      <c r="F1396" s="125" t="s">
        <v>217</v>
      </c>
      <c r="G1396" s="126" t="s">
        <v>369</v>
      </c>
      <c r="H1396" s="127"/>
      <c r="I1396" s="128">
        <v>1</v>
      </c>
      <c r="J1396" s="129">
        <v>44597</v>
      </c>
      <c r="K1396" s="129">
        <v>44597</v>
      </c>
      <c r="L1396" s="215" t="s">
        <v>960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1891</v>
      </c>
      <c r="E1397" s="122" t="s">
        <v>414</v>
      </c>
      <c r="F1397" s="125" t="s">
        <v>207</v>
      </c>
      <c r="G1397" s="126" t="s">
        <v>472</v>
      </c>
      <c r="H1397" s="127"/>
      <c r="I1397" s="128">
        <v>1</v>
      </c>
      <c r="J1397" s="129">
        <v>55062</v>
      </c>
      <c r="K1397" s="129">
        <v>55062</v>
      </c>
      <c r="L1397" s="215" t="s">
        <v>960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1892</v>
      </c>
      <c r="E1398" s="122" t="s">
        <v>414</v>
      </c>
      <c r="F1398" s="125" t="s">
        <v>210</v>
      </c>
      <c r="G1398" s="126" t="s">
        <v>407</v>
      </c>
      <c r="H1398" s="127"/>
      <c r="I1398" s="128">
        <v>1</v>
      </c>
      <c r="J1398" s="129">
        <v>14099</v>
      </c>
      <c r="K1398" s="129">
        <v>14099</v>
      </c>
      <c r="L1398" s="215" t="s">
        <v>960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1893</v>
      </c>
      <c r="E1399" s="122" t="s">
        <v>414</v>
      </c>
      <c r="F1399" s="125" t="s">
        <v>537</v>
      </c>
      <c r="G1399" s="126" t="s">
        <v>431</v>
      </c>
      <c r="H1399" s="127"/>
      <c r="I1399" s="128">
        <v>1</v>
      </c>
      <c r="J1399" s="129">
        <v>30429</v>
      </c>
      <c r="K1399" s="129">
        <v>30429</v>
      </c>
      <c r="L1399" s="215" t="s">
        <v>960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1872</v>
      </c>
      <c r="E1400" s="122" t="s">
        <v>414</v>
      </c>
      <c r="F1400" s="125" t="s">
        <v>210</v>
      </c>
      <c r="G1400" s="126" t="s">
        <v>431</v>
      </c>
      <c r="H1400" s="127"/>
      <c r="I1400" s="128">
        <v>1</v>
      </c>
      <c r="J1400" s="129">
        <v>14099</v>
      </c>
      <c r="K1400" s="129">
        <v>14099</v>
      </c>
      <c r="L1400" s="215" t="s">
        <v>960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523</v>
      </c>
      <c r="E1401" s="122" t="s">
        <v>521</v>
      </c>
      <c r="F1401" s="125" t="s">
        <v>580</v>
      </c>
      <c r="G1401" s="126" t="s">
        <v>371</v>
      </c>
      <c r="H1401" s="127"/>
      <c r="I1401" s="128">
        <v>1</v>
      </c>
      <c r="J1401" s="129">
        <v>25800</v>
      </c>
      <c r="K1401" s="129">
        <v>25800</v>
      </c>
      <c r="L1401" s="215" t="s">
        <v>960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1894</v>
      </c>
      <c r="E1402" s="122" t="s">
        <v>1895</v>
      </c>
      <c r="F1402" s="125" t="s">
        <v>1011</v>
      </c>
      <c r="G1402" s="126" t="s">
        <v>387</v>
      </c>
      <c r="H1402" s="127"/>
      <c r="I1402" s="128">
        <v>2</v>
      </c>
      <c r="J1402" s="129">
        <v>9129</v>
      </c>
      <c r="K1402" s="129">
        <v>18258</v>
      </c>
      <c r="L1402" s="215" t="s">
        <v>960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529</v>
      </c>
      <c r="E1403" s="122" t="s">
        <v>414</v>
      </c>
      <c r="F1403" s="125" t="s">
        <v>116</v>
      </c>
      <c r="G1403" s="126" t="s">
        <v>530</v>
      </c>
      <c r="H1403" s="127"/>
      <c r="I1403" s="128">
        <v>1</v>
      </c>
      <c r="J1403" s="129">
        <v>5274</v>
      </c>
      <c r="K1403" s="129">
        <v>5274</v>
      </c>
      <c r="L1403" s="215" t="s">
        <v>960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1896</v>
      </c>
      <c r="E1404" s="122" t="s">
        <v>1790</v>
      </c>
      <c r="F1404" s="125" t="s">
        <v>537</v>
      </c>
      <c r="G1404" s="126" t="s">
        <v>431</v>
      </c>
      <c r="H1404" s="127"/>
      <c r="I1404" s="128">
        <v>1</v>
      </c>
      <c r="J1404" s="129">
        <v>30429</v>
      </c>
      <c r="K1404" s="129">
        <v>30429</v>
      </c>
      <c r="L1404" s="215" t="s">
        <v>960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1854</v>
      </c>
      <c r="E1405" s="122" t="s">
        <v>590</v>
      </c>
      <c r="F1405" s="125" t="s">
        <v>217</v>
      </c>
      <c r="G1405" s="126" t="s">
        <v>387</v>
      </c>
      <c r="H1405" s="127"/>
      <c r="I1405" s="128">
        <v>2</v>
      </c>
      <c r="J1405" s="129">
        <v>44597</v>
      </c>
      <c r="K1405" s="129" t="s">
        <v>1570</v>
      </c>
      <c r="L1405" s="215" t="s">
        <v>960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1897</v>
      </c>
      <c r="E1406" s="122" t="s">
        <v>414</v>
      </c>
      <c r="F1406" s="125" t="s">
        <v>116</v>
      </c>
      <c r="G1406" s="126" t="s">
        <v>527</v>
      </c>
      <c r="H1406" s="127"/>
      <c r="I1406" s="128">
        <v>1</v>
      </c>
      <c r="J1406" s="129">
        <v>5274</v>
      </c>
      <c r="K1406" s="129">
        <v>5274</v>
      </c>
      <c r="L1406" s="215" t="s">
        <v>960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520</v>
      </c>
      <c r="E1407" s="122" t="s">
        <v>521</v>
      </c>
      <c r="F1407" s="125" t="s">
        <v>580</v>
      </c>
      <c r="G1407" s="126" t="s">
        <v>371</v>
      </c>
      <c r="H1407" s="127"/>
      <c r="I1407" s="128">
        <v>1</v>
      </c>
      <c r="J1407" s="129">
        <v>25800</v>
      </c>
      <c r="K1407" s="129">
        <v>25800</v>
      </c>
      <c r="L1407" s="215" t="s">
        <v>960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1898</v>
      </c>
      <c r="E1408" s="122" t="s">
        <v>414</v>
      </c>
      <c r="F1408" s="125" t="s">
        <v>537</v>
      </c>
      <c r="G1408" s="126" t="s">
        <v>431</v>
      </c>
      <c r="H1408" s="127"/>
      <c r="I1408" s="128">
        <v>1</v>
      </c>
      <c r="J1408" s="129">
        <v>30429</v>
      </c>
      <c r="K1408" s="129">
        <v>30429</v>
      </c>
      <c r="L1408" s="215" t="s">
        <v>960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1899</v>
      </c>
      <c r="E1409" s="122" t="s">
        <v>414</v>
      </c>
      <c r="F1409" s="125" t="s">
        <v>116</v>
      </c>
      <c r="G1409" s="126" t="s">
        <v>392</v>
      </c>
      <c r="H1409" s="127"/>
      <c r="I1409" s="128">
        <v>1</v>
      </c>
      <c r="J1409" s="129">
        <v>5274</v>
      </c>
      <c r="K1409" s="129">
        <v>5274</v>
      </c>
      <c r="L1409" s="215" t="s">
        <v>960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1900</v>
      </c>
      <c r="E1410" s="122" t="s">
        <v>414</v>
      </c>
      <c r="F1410" s="125" t="s">
        <v>116</v>
      </c>
      <c r="G1410" s="126" t="s">
        <v>410</v>
      </c>
      <c r="H1410" s="127"/>
      <c r="I1410" s="128">
        <v>1</v>
      </c>
      <c r="J1410" s="129">
        <v>5274</v>
      </c>
      <c r="K1410" s="129">
        <v>5274</v>
      </c>
      <c r="L1410" s="212" t="s">
        <v>623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1901</v>
      </c>
      <c r="E1411" s="122" t="s">
        <v>414</v>
      </c>
      <c r="F1411" s="125" t="s">
        <v>116</v>
      </c>
      <c r="G1411" s="126" t="s">
        <v>527</v>
      </c>
      <c r="H1411" s="127"/>
      <c r="I1411" s="128">
        <v>1</v>
      </c>
      <c r="J1411" s="129">
        <v>5274</v>
      </c>
      <c r="K1411" s="129">
        <v>5274</v>
      </c>
      <c r="L1411" s="212" t="s">
        <v>623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1781</v>
      </c>
      <c r="E1412" s="122" t="s">
        <v>414</v>
      </c>
      <c r="F1412" s="125" t="s">
        <v>537</v>
      </c>
      <c r="G1412" s="126" t="s">
        <v>645</v>
      </c>
      <c r="H1412" s="127"/>
      <c r="I1412" s="128">
        <v>1</v>
      </c>
      <c r="J1412" s="129">
        <v>30429</v>
      </c>
      <c r="K1412" s="129">
        <v>30429</v>
      </c>
      <c r="L1412" s="212" t="s">
        <v>623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1902</v>
      </c>
      <c r="E1413" s="122" t="s">
        <v>414</v>
      </c>
      <c r="F1413" s="125" t="s">
        <v>116</v>
      </c>
      <c r="G1413" s="126" t="s">
        <v>1903</v>
      </c>
      <c r="H1413" s="127"/>
      <c r="I1413" s="128">
        <v>1</v>
      </c>
      <c r="J1413" s="129">
        <v>5274</v>
      </c>
      <c r="K1413" s="129">
        <v>5274</v>
      </c>
      <c r="L1413" s="212" t="s">
        <v>623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1904</v>
      </c>
      <c r="E1414" s="122" t="s">
        <v>414</v>
      </c>
      <c r="F1414" s="125" t="s">
        <v>192</v>
      </c>
      <c r="G1414" s="126" t="s">
        <v>407</v>
      </c>
      <c r="H1414" s="127"/>
      <c r="I1414" s="128">
        <v>1</v>
      </c>
      <c r="J1414" s="129">
        <v>57960</v>
      </c>
      <c r="K1414" s="129">
        <v>57960</v>
      </c>
      <c r="L1414" s="212" t="s">
        <v>623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1848</v>
      </c>
      <c r="E1415" s="122" t="s">
        <v>943</v>
      </c>
      <c r="F1415" s="125" t="s">
        <v>580</v>
      </c>
      <c r="G1415" s="126" t="s">
        <v>369</v>
      </c>
      <c r="H1415" s="127"/>
      <c r="I1415" s="128">
        <v>1</v>
      </c>
      <c r="J1415" s="129">
        <v>25800</v>
      </c>
      <c r="K1415" s="129">
        <v>25800</v>
      </c>
      <c r="L1415" s="212" t="s">
        <v>623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1905</v>
      </c>
      <c r="E1416" s="122" t="s">
        <v>414</v>
      </c>
      <c r="F1416" s="125" t="s">
        <v>210</v>
      </c>
      <c r="G1416" s="126" t="s">
        <v>392</v>
      </c>
      <c r="H1416" s="127"/>
      <c r="I1416" s="128">
        <v>1</v>
      </c>
      <c r="J1416" s="129">
        <v>14099</v>
      </c>
      <c r="K1416" s="129">
        <v>14099</v>
      </c>
      <c r="L1416" s="212" t="s">
        <v>623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1906</v>
      </c>
      <c r="E1417" s="122" t="s">
        <v>414</v>
      </c>
      <c r="F1417" s="125" t="s">
        <v>537</v>
      </c>
      <c r="G1417" s="126" t="s">
        <v>415</v>
      </c>
      <c r="H1417" s="127"/>
      <c r="I1417" s="128">
        <v>1</v>
      </c>
      <c r="J1417" s="129">
        <v>30429</v>
      </c>
      <c r="K1417" s="129">
        <v>30429</v>
      </c>
      <c r="L1417" s="212" t="s">
        <v>623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1907</v>
      </c>
      <c r="E1418" s="122" t="s">
        <v>414</v>
      </c>
      <c r="F1418" s="125" t="s">
        <v>537</v>
      </c>
      <c r="G1418" s="126" t="s">
        <v>1098</v>
      </c>
      <c r="H1418" s="127"/>
      <c r="I1418" s="128">
        <v>2</v>
      </c>
      <c r="J1418" s="129">
        <v>30429</v>
      </c>
      <c r="K1418" s="129">
        <v>60858</v>
      </c>
      <c r="L1418" s="212" t="s">
        <v>623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1908</v>
      </c>
      <c r="E1419" s="122" t="s">
        <v>414</v>
      </c>
      <c r="F1419" s="125" t="s">
        <v>537</v>
      </c>
      <c r="G1419" s="126" t="s">
        <v>415</v>
      </c>
      <c r="H1419" s="127"/>
      <c r="I1419" s="128">
        <v>1</v>
      </c>
      <c r="J1419" s="129">
        <v>30429</v>
      </c>
      <c r="K1419" s="129">
        <v>30429</v>
      </c>
      <c r="L1419" s="212" t="s">
        <v>623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1844</v>
      </c>
      <c r="E1420" s="122" t="s">
        <v>414</v>
      </c>
      <c r="F1420" s="125" t="s">
        <v>116</v>
      </c>
      <c r="G1420" s="126" t="s">
        <v>562</v>
      </c>
      <c r="H1420" s="127"/>
      <c r="I1420" s="128">
        <v>1</v>
      </c>
      <c r="J1420" s="129">
        <v>5274</v>
      </c>
      <c r="K1420" s="129">
        <v>5274</v>
      </c>
      <c r="L1420" s="212" t="s">
        <v>623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1909</v>
      </c>
      <c r="E1421" s="122" t="s">
        <v>414</v>
      </c>
      <c r="F1421" s="125" t="s">
        <v>115</v>
      </c>
      <c r="G1421" s="126" t="s">
        <v>1563</v>
      </c>
      <c r="H1421" s="127"/>
      <c r="I1421" s="128">
        <v>3</v>
      </c>
      <c r="J1421" s="129">
        <v>33370</v>
      </c>
      <c r="K1421" s="129">
        <v>100110</v>
      </c>
      <c r="L1421" s="212" t="s">
        <v>623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1910</v>
      </c>
      <c r="E1422" s="122" t="s">
        <v>414</v>
      </c>
      <c r="F1422" s="125" t="s">
        <v>577</v>
      </c>
      <c r="G1422" s="126" t="s">
        <v>404</v>
      </c>
      <c r="H1422" s="127"/>
      <c r="I1422" s="128">
        <v>1</v>
      </c>
      <c r="J1422" s="129">
        <v>49701</v>
      </c>
      <c r="K1422" s="129">
        <v>49701</v>
      </c>
      <c r="L1422" s="212" t="s">
        <v>623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1911</v>
      </c>
      <c r="E1423" s="122" t="s">
        <v>414</v>
      </c>
      <c r="F1423" s="125" t="s">
        <v>577</v>
      </c>
      <c r="G1423" s="126" t="s">
        <v>415</v>
      </c>
      <c r="H1423" s="127"/>
      <c r="I1423" s="128">
        <v>1</v>
      </c>
      <c r="J1423" s="129">
        <v>49701</v>
      </c>
      <c r="K1423" s="129">
        <v>49701</v>
      </c>
      <c r="L1423" s="212" t="s">
        <v>623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533</v>
      </c>
      <c r="E1424" s="122" t="s">
        <v>414</v>
      </c>
      <c r="F1424" s="125" t="s">
        <v>116</v>
      </c>
      <c r="G1424" s="126" t="s">
        <v>534</v>
      </c>
      <c r="H1424" s="127"/>
      <c r="I1424" s="128">
        <v>1</v>
      </c>
      <c r="J1424" s="129">
        <v>5274</v>
      </c>
      <c r="K1424" s="129">
        <v>5274</v>
      </c>
      <c r="L1424" s="212" t="s">
        <v>623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1912</v>
      </c>
      <c r="E1425" s="122" t="s">
        <v>414</v>
      </c>
      <c r="F1425" s="125" t="s">
        <v>1485</v>
      </c>
      <c r="G1425" s="126" t="s">
        <v>400</v>
      </c>
      <c r="H1425" s="127"/>
      <c r="I1425" s="128">
        <v>2</v>
      </c>
      <c r="J1425" s="129">
        <v>48203</v>
      </c>
      <c r="K1425" s="129">
        <v>96406</v>
      </c>
      <c r="L1425" s="212" t="s">
        <v>623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1866</v>
      </c>
      <c r="E1426" s="122" t="s">
        <v>414</v>
      </c>
      <c r="F1426" s="125" t="s">
        <v>210</v>
      </c>
      <c r="G1426" s="126" t="s">
        <v>392</v>
      </c>
      <c r="H1426" s="127"/>
      <c r="I1426" s="128">
        <v>1</v>
      </c>
      <c r="J1426" s="129">
        <v>14099</v>
      </c>
      <c r="K1426" s="129">
        <v>14099</v>
      </c>
      <c r="L1426" s="212" t="s">
        <v>623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529</v>
      </c>
      <c r="E1427" s="122" t="s">
        <v>414</v>
      </c>
      <c r="F1427" s="125" t="s">
        <v>210</v>
      </c>
      <c r="G1427" s="126" t="s">
        <v>530</v>
      </c>
      <c r="H1427" s="127"/>
      <c r="I1427" s="128">
        <v>1</v>
      </c>
      <c r="J1427" s="129">
        <v>14099</v>
      </c>
      <c r="K1427" s="129">
        <v>14099</v>
      </c>
      <c r="L1427" s="212" t="s">
        <v>623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1866</v>
      </c>
      <c r="E1428" s="122" t="s">
        <v>414</v>
      </c>
      <c r="F1428" s="125" t="s">
        <v>192</v>
      </c>
      <c r="G1428" s="126" t="s">
        <v>534</v>
      </c>
      <c r="H1428" s="127"/>
      <c r="I1428" s="128">
        <v>1</v>
      </c>
      <c r="J1428" s="129">
        <v>57960</v>
      </c>
      <c r="K1428" s="129">
        <v>57960</v>
      </c>
      <c r="L1428" s="212" t="s">
        <v>623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1913</v>
      </c>
      <c r="E1429" s="122" t="s">
        <v>414</v>
      </c>
      <c r="F1429" s="125" t="s">
        <v>577</v>
      </c>
      <c r="G1429" s="126" t="s">
        <v>431</v>
      </c>
      <c r="H1429" s="127"/>
      <c r="I1429" s="128">
        <v>1</v>
      </c>
      <c r="J1429" s="129">
        <v>49701</v>
      </c>
      <c r="K1429" s="129">
        <v>49701</v>
      </c>
      <c r="L1429" s="212" t="s">
        <v>623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1914</v>
      </c>
      <c r="E1430" s="122" t="s">
        <v>414</v>
      </c>
      <c r="F1430" s="125" t="s">
        <v>577</v>
      </c>
      <c r="G1430" s="126" t="s">
        <v>419</v>
      </c>
      <c r="H1430" s="127"/>
      <c r="I1430" s="128">
        <v>1</v>
      </c>
      <c r="J1430" s="129">
        <v>49701</v>
      </c>
      <c r="K1430" s="129">
        <v>49701</v>
      </c>
      <c r="L1430" s="212" t="s">
        <v>623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525</v>
      </c>
      <c r="E1431" s="122" t="s">
        <v>526</v>
      </c>
      <c r="F1431" s="125" t="s">
        <v>580</v>
      </c>
      <c r="G1431" s="126" t="s">
        <v>371</v>
      </c>
      <c r="H1431" s="127"/>
      <c r="I1431" s="128">
        <v>1</v>
      </c>
      <c r="J1431" s="129">
        <v>25800</v>
      </c>
      <c r="K1431" s="129">
        <v>25800</v>
      </c>
      <c r="L1431" s="212" t="s">
        <v>623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1915</v>
      </c>
      <c r="E1432" s="122" t="s">
        <v>414</v>
      </c>
      <c r="F1432" s="125" t="s">
        <v>537</v>
      </c>
      <c r="G1432" s="126" t="s">
        <v>527</v>
      </c>
      <c r="H1432" s="127"/>
      <c r="I1432" s="128">
        <v>1</v>
      </c>
      <c r="J1432" s="129">
        <v>30429</v>
      </c>
      <c r="K1432" s="129">
        <v>30429</v>
      </c>
      <c r="L1432" s="212" t="s">
        <v>623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1916</v>
      </c>
      <c r="E1433" s="122" t="s">
        <v>414</v>
      </c>
      <c r="F1433" s="125" t="s">
        <v>116</v>
      </c>
      <c r="G1433" s="126" t="s">
        <v>527</v>
      </c>
      <c r="H1433" s="127"/>
      <c r="I1433" s="128">
        <v>1</v>
      </c>
      <c r="J1433" s="129">
        <v>5274</v>
      </c>
      <c r="K1433" s="129">
        <v>5274</v>
      </c>
      <c r="L1433" s="212" t="s">
        <v>623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1917</v>
      </c>
      <c r="E1434" s="122" t="s">
        <v>414</v>
      </c>
      <c r="F1434" s="125" t="s">
        <v>537</v>
      </c>
      <c r="G1434" s="126" t="s">
        <v>527</v>
      </c>
      <c r="H1434" s="127"/>
      <c r="I1434" s="128">
        <v>1</v>
      </c>
      <c r="J1434" s="129">
        <v>30429</v>
      </c>
      <c r="K1434" s="129">
        <v>30429</v>
      </c>
      <c r="L1434" s="212" t="s">
        <v>623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1918</v>
      </c>
      <c r="E1435" s="122" t="s">
        <v>484</v>
      </c>
      <c r="F1435" s="125" t="s">
        <v>1069</v>
      </c>
      <c r="G1435" s="126" t="s">
        <v>371</v>
      </c>
      <c r="H1435" s="127"/>
      <c r="I1435" s="128">
        <v>1</v>
      </c>
      <c r="J1435" s="129">
        <v>18764</v>
      </c>
      <c r="K1435" s="129">
        <v>18764</v>
      </c>
      <c r="L1435" s="212" t="s">
        <v>623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1919</v>
      </c>
      <c r="E1436" s="122" t="s">
        <v>414</v>
      </c>
      <c r="F1436" s="125" t="s">
        <v>115</v>
      </c>
      <c r="G1436" s="126" t="s">
        <v>527</v>
      </c>
      <c r="H1436" s="127"/>
      <c r="I1436" s="128">
        <v>1</v>
      </c>
      <c r="J1436" s="129">
        <v>33370</v>
      </c>
      <c r="K1436" s="129">
        <v>33370</v>
      </c>
      <c r="L1436" s="212" t="s">
        <v>623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533</v>
      </c>
      <c r="E1437" s="122" t="s">
        <v>414</v>
      </c>
      <c r="F1437" s="125" t="s">
        <v>210</v>
      </c>
      <c r="G1437" s="126" t="s">
        <v>534</v>
      </c>
      <c r="H1437" s="127"/>
      <c r="I1437" s="128">
        <v>1</v>
      </c>
      <c r="J1437" s="129">
        <v>14099</v>
      </c>
      <c r="K1437" s="129">
        <v>14099</v>
      </c>
      <c r="L1437" s="212" t="s">
        <v>623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1920</v>
      </c>
      <c r="E1438" s="122" t="s">
        <v>1921</v>
      </c>
      <c r="F1438" s="125" t="s">
        <v>580</v>
      </c>
      <c r="G1438" s="126" t="s">
        <v>371</v>
      </c>
      <c r="H1438" s="127"/>
      <c r="I1438" s="128">
        <v>1</v>
      </c>
      <c r="J1438" s="129">
        <v>25800</v>
      </c>
      <c r="K1438" s="129">
        <v>25800</v>
      </c>
      <c r="L1438" s="212" t="s">
        <v>623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1876</v>
      </c>
      <c r="E1439" s="122" t="s">
        <v>414</v>
      </c>
      <c r="F1439" s="125" t="s">
        <v>115</v>
      </c>
      <c r="G1439" s="126" t="s">
        <v>431</v>
      </c>
      <c r="H1439" s="127"/>
      <c r="I1439" s="128">
        <v>1</v>
      </c>
      <c r="J1439" s="129">
        <v>33370</v>
      </c>
      <c r="K1439" s="129">
        <v>33370</v>
      </c>
      <c r="L1439" s="212" t="s">
        <v>623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1922</v>
      </c>
      <c r="E1440" s="122" t="s">
        <v>536</v>
      </c>
      <c r="F1440" s="125" t="s">
        <v>116</v>
      </c>
      <c r="G1440" s="126" t="s">
        <v>472</v>
      </c>
      <c r="H1440" s="127"/>
      <c r="I1440" s="128">
        <v>1</v>
      </c>
      <c r="J1440" s="129">
        <v>5274</v>
      </c>
      <c r="K1440" s="129">
        <v>5274</v>
      </c>
      <c r="L1440" s="212" t="s">
        <v>623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1923</v>
      </c>
      <c r="E1441" s="122" t="s">
        <v>414</v>
      </c>
      <c r="F1441" s="125" t="s">
        <v>537</v>
      </c>
      <c r="G1441" s="126" t="s">
        <v>562</v>
      </c>
      <c r="H1441" s="127"/>
      <c r="I1441" s="128">
        <v>1</v>
      </c>
      <c r="J1441" s="129">
        <v>30429</v>
      </c>
      <c r="K1441" s="129">
        <v>30429</v>
      </c>
      <c r="L1441" s="212" t="s">
        <v>623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1924</v>
      </c>
      <c r="E1442" s="122" t="s">
        <v>414</v>
      </c>
      <c r="F1442" s="125" t="s">
        <v>115</v>
      </c>
      <c r="G1442" s="126" t="s">
        <v>431</v>
      </c>
      <c r="H1442" s="127"/>
      <c r="I1442" s="128">
        <v>1</v>
      </c>
      <c r="J1442" s="129">
        <v>33370</v>
      </c>
      <c r="K1442" s="129">
        <v>33370</v>
      </c>
      <c r="L1442" s="212" t="s">
        <v>623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1925</v>
      </c>
      <c r="E1443" s="122" t="s">
        <v>414</v>
      </c>
      <c r="F1443" s="125" t="s">
        <v>217</v>
      </c>
      <c r="G1443" s="126" t="s">
        <v>387</v>
      </c>
      <c r="H1443" s="127"/>
      <c r="I1443" s="128">
        <v>2</v>
      </c>
      <c r="J1443" s="129">
        <v>44597</v>
      </c>
      <c r="K1443" s="129">
        <v>89194</v>
      </c>
      <c r="L1443" s="212" t="s">
        <v>623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1830</v>
      </c>
      <c r="E1444" s="122" t="s">
        <v>414</v>
      </c>
      <c r="F1444" s="125" t="s">
        <v>217</v>
      </c>
      <c r="G1444" s="126" t="s">
        <v>387</v>
      </c>
      <c r="H1444" s="127"/>
      <c r="I1444" s="128">
        <v>2</v>
      </c>
      <c r="J1444" s="129">
        <v>44597</v>
      </c>
      <c r="K1444" s="129">
        <v>89194</v>
      </c>
      <c r="L1444" s="212" t="s">
        <v>623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1901</v>
      </c>
      <c r="E1445" s="122" t="s">
        <v>414</v>
      </c>
      <c r="F1445" s="125" t="s">
        <v>210</v>
      </c>
      <c r="G1445" s="126" t="s">
        <v>527</v>
      </c>
      <c r="H1445" s="127"/>
      <c r="I1445" s="128">
        <v>1</v>
      </c>
      <c r="J1445" s="129">
        <v>14099</v>
      </c>
      <c r="K1445" s="129">
        <v>14099</v>
      </c>
      <c r="L1445" s="212" t="s">
        <v>623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1926</v>
      </c>
      <c r="E1446" s="122" t="s">
        <v>414</v>
      </c>
      <c r="F1446" s="125" t="s">
        <v>537</v>
      </c>
      <c r="G1446" s="126" t="s">
        <v>568</v>
      </c>
      <c r="H1446" s="127"/>
      <c r="I1446" s="128">
        <v>1</v>
      </c>
      <c r="J1446" s="129">
        <v>30429</v>
      </c>
      <c r="K1446" s="129">
        <v>30429</v>
      </c>
      <c r="L1446" s="212" t="s">
        <v>623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1927</v>
      </c>
      <c r="E1447" s="122" t="s">
        <v>414</v>
      </c>
      <c r="F1447" s="125" t="s">
        <v>537</v>
      </c>
      <c r="G1447" s="126" t="s">
        <v>431</v>
      </c>
      <c r="H1447" s="127"/>
      <c r="I1447" s="128">
        <v>1</v>
      </c>
      <c r="J1447" s="129">
        <v>30429</v>
      </c>
      <c r="K1447" s="129">
        <v>30429</v>
      </c>
      <c r="L1447" s="212" t="s">
        <v>623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1928</v>
      </c>
      <c r="E1448" s="122" t="s">
        <v>414</v>
      </c>
      <c r="F1448" s="125" t="s">
        <v>217</v>
      </c>
      <c r="G1448" s="126" t="s">
        <v>387</v>
      </c>
      <c r="H1448" s="127"/>
      <c r="I1448" s="128">
        <v>2</v>
      </c>
      <c r="J1448" s="129">
        <v>44597</v>
      </c>
      <c r="K1448" s="129">
        <v>89194</v>
      </c>
      <c r="L1448" s="212" t="s">
        <v>623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1929</v>
      </c>
      <c r="E1449" s="122" t="s">
        <v>414</v>
      </c>
      <c r="F1449" s="125" t="s">
        <v>537</v>
      </c>
      <c r="G1449" s="126" t="s">
        <v>431</v>
      </c>
      <c r="H1449" s="127"/>
      <c r="I1449" s="128">
        <v>1</v>
      </c>
      <c r="J1449" s="129">
        <v>30429</v>
      </c>
      <c r="K1449" s="129">
        <v>30429</v>
      </c>
      <c r="L1449" s="212" t="s">
        <v>623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1930</v>
      </c>
      <c r="E1450" s="122" t="s">
        <v>536</v>
      </c>
      <c r="F1450" s="125" t="s">
        <v>537</v>
      </c>
      <c r="G1450" s="126" t="s">
        <v>645</v>
      </c>
      <c r="H1450" s="127"/>
      <c r="I1450" s="128">
        <v>1</v>
      </c>
      <c r="J1450" s="129">
        <v>30429</v>
      </c>
      <c r="K1450" s="129">
        <v>30429</v>
      </c>
      <c r="L1450" s="212" t="s">
        <v>623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1931</v>
      </c>
      <c r="E1451" s="122" t="s">
        <v>414</v>
      </c>
      <c r="F1451" s="125" t="s">
        <v>577</v>
      </c>
      <c r="G1451" s="126" t="s">
        <v>568</v>
      </c>
      <c r="H1451" s="127"/>
      <c r="I1451" s="128">
        <v>1</v>
      </c>
      <c r="J1451" s="129">
        <v>49701</v>
      </c>
      <c r="K1451" s="129">
        <v>49701</v>
      </c>
      <c r="L1451" s="212" t="s">
        <v>623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1932</v>
      </c>
      <c r="E1452" s="122" t="s">
        <v>536</v>
      </c>
      <c r="F1452" s="125" t="s">
        <v>537</v>
      </c>
      <c r="G1452" s="126" t="s">
        <v>527</v>
      </c>
      <c r="H1452" s="127"/>
      <c r="I1452" s="128">
        <v>1</v>
      </c>
      <c r="J1452" s="129">
        <v>30429</v>
      </c>
      <c r="K1452" s="129">
        <v>30429</v>
      </c>
      <c r="L1452" s="212" t="s">
        <v>623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1933</v>
      </c>
      <c r="E1453" s="122" t="s">
        <v>414</v>
      </c>
      <c r="F1453" s="125" t="s">
        <v>682</v>
      </c>
      <c r="G1453" s="126" t="s">
        <v>371</v>
      </c>
      <c r="H1453" s="127"/>
      <c r="I1453" s="128">
        <v>1</v>
      </c>
      <c r="J1453" s="129">
        <v>55058</v>
      </c>
      <c r="K1453" s="129">
        <v>55058</v>
      </c>
      <c r="L1453" s="212" t="s">
        <v>623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1892</v>
      </c>
      <c r="E1454" s="122" t="s">
        <v>414</v>
      </c>
      <c r="F1454" s="125" t="s">
        <v>116</v>
      </c>
      <c r="G1454" s="126" t="s">
        <v>530</v>
      </c>
      <c r="H1454" s="127"/>
      <c r="I1454" s="128">
        <v>1</v>
      </c>
      <c r="J1454" s="129">
        <v>5274</v>
      </c>
      <c r="K1454" s="129">
        <v>5274</v>
      </c>
      <c r="L1454" s="212" t="s">
        <v>623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1892</v>
      </c>
      <c r="E1455" s="122" t="s">
        <v>414</v>
      </c>
      <c r="F1455" s="125" t="s">
        <v>210</v>
      </c>
      <c r="G1455" s="126" t="s">
        <v>530</v>
      </c>
      <c r="H1455" s="127"/>
      <c r="I1455" s="128">
        <v>1</v>
      </c>
      <c r="J1455" s="129">
        <v>14099</v>
      </c>
      <c r="K1455" s="129">
        <v>14099</v>
      </c>
      <c r="L1455" s="212" t="s">
        <v>623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1934</v>
      </c>
      <c r="E1456" s="122" t="s">
        <v>414</v>
      </c>
      <c r="F1456" s="125" t="s">
        <v>537</v>
      </c>
      <c r="G1456" s="126" t="s">
        <v>419</v>
      </c>
      <c r="H1456" s="127"/>
      <c r="I1456" s="128">
        <v>1</v>
      </c>
      <c r="J1456" s="129">
        <v>30429</v>
      </c>
      <c r="K1456" s="129">
        <v>30429</v>
      </c>
      <c r="L1456" s="212" t="s">
        <v>623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1935</v>
      </c>
      <c r="E1457" s="122" t="s">
        <v>414</v>
      </c>
      <c r="F1457" s="125" t="s">
        <v>537</v>
      </c>
      <c r="G1457" s="126" t="s">
        <v>472</v>
      </c>
      <c r="H1457" s="127"/>
      <c r="I1457" s="128">
        <v>1</v>
      </c>
      <c r="J1457" s="129">
        <v>30429</v>
      </c>
      <c r="K1457" s="129">
        <v>30429</v>
      </c>
      <c r="L1457" s="212" t="s">
        <v>623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1936</v>
      </c>
      <c r="E1458" s="122" t="s">
        <v>414</v>
      </c>
      <c r="F1458" s="125" t="s">
        <v>537</v>
      </c>
      <c r="G1458" s="126" t="s">
        <v>392</v>
      </c>
      <c r="H1458" s="127"/>
      <c r="I1458" s="128">
        <v>1</v>
      </c>
      <c r="J1458" s="129">
        <v>30429</v>
      </c>
      <c r="K1458" s="129">
        <v>30429</v>
      </c>
      <c r="L1458" s="212" t="s">
        <v>623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1937</v>
      </c>
      <c r="E1459" s="122" t="s">
        <v>414</v>
      </c>
      <c r="F1459" s="125" t="s">
        <v>217</v>
      </c>
      <c r="G1459" s="126" t="s">
        <v>369</v>
      </c>
      <c r="H1459" s="127"/>
      <c r="I1459" s="128">
        <v>1</v>
      </c>
      <c r="J1459" s="129">
        <v>44597</v>
      </c>
      <c r="K1459" s="129">
        <v>44597</v>
      </c>
      <c r="L1459" s="212" t="s">
        <v>623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1938</v>
      </c>
      <c r="E1460" s="122" t="s">
        <v>414</v>
      </c>
      <c r="F1460" s="125" t="s">
        <v>217</v>
      </c>
      <c r="G1460" s="126" t="s">
        <v>387</v>
      </c>
      <c r="H1460" s="127"/>
      <c r="I1460" s="128">
        <v>2</v>
      </c>
      <c r="J1460" s="129">
        <v>44597</v>
      </c>
      <c r="K1460" s="129">
        <v>89194</v>
      </c>
      <c r="L1460" s="212" t="s">
        <v>623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1939</v>
      </c>
      <c r="D1461" s="122" t="s">
        <v>1940</v>
      </c>
      <c r="E1461" s="125" t="s">
        <v>115</v>
      </c>
      <c r="F1461" s="123">
        <v>41666</v>
      </c>
      <c r="G1461" s="126" t="s">
        <v>415</v>
      </c>
      <c r="H1461" s="127" t="s">
        <v>1941</v>
      </c>
      <c r="I1461" s="128">
        <v>1</v>
      </c>
      <c r="J1461" s="129">
        <v>33370</v>
      </c>
      <c r="K1461" s="129">
        <v>33370</v>
      </c>
      <c r="L1461" s="595" t="s">
        <v>555</v>
      </c>
      <c r="M1461" s="616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1942</v>
      </c>
      <c r="D1462" s="122" t="s">
        <v>1940</v>
      </c>
      <c r="E1462" s="125" t="s">
        <v>537</v>
      </c>
      <c r="F1462" s="123">
        <v>41660</v>
      </c>
      <c r="G1462" s="126" t="s">
        <v>431</v>
      </c>
      <c r="H1462" s="127" t="s">
        <v>650</v>
      </c>
      <c r="I1462" s="128">
        <v>1</v>
      </c>
      <c r="J1462" s="129">
        <v>30429</v>
      </c>
      <c r="K1462" s="129">
        <v>30429</v>
      </c>
      <c r="L1462" s="596"/>
      <c r="M1462" s="617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1943</v>
      </c>
      <c r="D1463" s="122" t="s">
        <v>1940</v>
      </c>
      <c r="E1463" s="125" t="s">
        <v>537</v>
      </c>
      <c r="F1463" s="123">
        <v>41665</v>
      </c>
      <c r="G1463" s="126" t="s">
        <v>472</v>
      </c>
      <c r="H1463" s="127" t="s">
        <v>554</v>
      </c>
      <c r="I1463" s="128">
        <v>1</v>
      </c>
      <c r="J1463" s="129">
        <v>30429</v>
      </c>
      <c r="K1463" s="129">
        <v>30429</v>
      </c>
      <c r="L1463" s="596"/>
      <c r="M1463" s="617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1944</v>
      </c>
      <c r="D1464" s="122" t="s">
        <v>1940</v>
      </c>
      <c r="E1464" s="125" t="s">
        <v>115</v>
      </c>
      <c r="F1464" s="123">
        <v>41614</v>
      </c>
      <c r="G1464" s="126" t="s">
        <v>511</v>
      </c>
      <c r="H1464" s="127"/>
      <c r="I1464" s="128">
        <v>1</v>
      </c>
      <c r="J1464" s="129">
        <v>33370</v>
      </c>
      <c r="K1464" s="129">
        <v>33370</v>
      </c>
      <c r="L1464" s="596"/>
      <c r="M1464" s="617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1945</v>
      </c>
      <c r="D1465" s="122" t="s">
        <v>1940</v>
      </c>
      <c r="E1465" s="125" t="s">
        <v>537</v>
      </c>
      <c r="F1465" s="123">
        <v>41674</v>
      </c>
      <c r="G1465" s="126" t="s">
        <v>404</v>
      </c>
      <c r="H1465" s="127" t="s">
        <v>554</v>
      </c>
      <c r="I1465" s="128">
        <v>1</v>
      </c>
      <c r="J1465" s="129">
        <v>30429</v>
      </c>
      <c r="K1465" s="129">
        <v>30429</v>
      </c>
      <c r="L1465" s="596"/>
      <c r="M1465" s="617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1946</v>
      </c>
      <c r="D1466" s="122" t="s">
        <v>1940</v>
      </c>
      <c r="E1466" s="125" t="s">
        <v>115</v>
      </c>
      <c r="F1466" s="123">
        <v>41654</v>
      </c>
      <c r="G1466" s="126" t="s">
        <v>562</v>
      </c>
      <c r="H1466" s="127" t="s">
        <v>554</v>
      </c>
      <c r="I1466" s="128">
        <v>1</v>
      </c>
      <c r="J1466" s="129">
        <v>33370</v>
      </c>
      <c r="K1466" s="129">
        <v>33370</v>
      </c>
      <c r="L1466" s="596"/>
      <c r="M1466" s="617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1947</v>
      </c>
      <c r="D1467" s="122" t="s">
        <v>1940</v>
      </c>
      <c r="E1467" s="125" t="s">
        <v>537</v>
      </c>
      <c r="F1467" s="123">
        <v>41646</v>
      </c>
      <c r="G1467" s="126" t="s">
        <v>431</v>
      </c>
      <c r="H1467" s="127" t="s">
        <v>1948</v>
      </c>
      <c r="I1467" s="128">
        <v>1</v>
      </c>
      <c r="J1467" s="129">
        <v>30429</v>
      </c>
      <c r="K1467" s="129">
        <v>30429</v>
      </c>
      <c r="L1467" s="596"/>
      <c r="M1467" s="617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1949</v>
      </c>
      <c r="D1468" s="122" t="s">
        <v>1940</v>
      </c>
      <c r="E1468" s="125" t="s">
        <v>537</v>
      </c>
      <c r="F1468" s="123">
        <v>41660</v>
      </c>
      <c r="G1468" s="126" t="s">
        <v>562</v>
      </c>
      <c r="H1468" s="127" t="s">
        <v>1941</v>
      </c>
      <c r="I1468" s="128">
        <v>1</v>
      </c>
      <c r="J1468" s="129">
        <v>30429</v>
      </c>
      <c r="K1468" s="129">
        <v>30429</v>
      </c>
      <c r="L1468" s="596"/>
      <c r="M1468" s="617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1950</v>
      </c>
      <c r="D1469" s="122" t="s">
        <v>1940</v>
      </c>
      <c r="E1469" s="125" t="s">
        <v>537</v>
      </c>
      <c r="F1469" s="123">
        <v>41660</v>
      </c>
      <c r="G1469" s="126" t="s">
        <v>431</v>
      </c>
      <c r="H1469" s="127" t="s">
        <v>554</v>
      </c>
      <c r="I1469" s="128">
        <v>1</v>
      </c>
      <c r="J1469" s="129">
        <v>30429</v>
      </c>
      <c r="K1469" s="129">
        <v>30429</v>
      </c>
      <c r="L1469" s="596"/>
      <c r="M1469" s="617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1951</v>
      </c>
      <c r="D1470" s="122" t="s">
        <v>1940</v>
      </c>
      <c r="E1470" s="125" t="s">
        <v>537</v>
      </c>
      <c r="F1470" s="123">
        <v>41660</v>
      </c>
      <c r="G1470" s="126" t="s">
        <v>472</v>
      </c>
      <c r="H1470" s="127" t="s">
        <v>650</v>
      </c>
      <c r="I1470" s="128">
        <v>1</v>
      </c>
      <c r="J1470" s="129">
        <v>30429</v>
      </c>
      <c r="K1470" s="129">
        <v>30429</v>
      </c>
      <c r="L1470" s="596"/>
      <c r="M1470" s="617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1952</v>
      </c>
      <c r="D1471" s="122" t="s">
        <v>1940</v>
      </c>
      <c r="E1471" s="125" t="s">
        <v>537</v>
      </c>
      <c r="F1471" s="123">
        <v>41654</v>
      </c>
      <c r="G1471" s="126" t="s">
        <v>419</v>
      </c>
      <c r="H1471" s="127" t="s">
        <v>554</v>
      </c>
      <c r="I1471" s="128">
        <v>1</v>
      </c>
      <c r="J1471" s="129">
        <v>30429</v>
      </c>
      <c r="K1471" s="129">
        <v>30429</v>
      </c>
      <c r="L1471" s="596"/>
      <c r="M1471" s="617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1953</v>
      </c>
      <c r="D1472" s="122" t="s">
        <v>1940</v>
      </c>
      <c r="E1472" s="125" t="s">
        <v>537</v>
      </c>
      <c r="F1472" s="123">
        <v>41667</v>
      </c>
      <c r="G1472" s="126" t="s">
        <v>1954</v>
      </c>
      <c r="H1472" s="127" t="s">
        <v>1955</v>
      </c>
      <c r="I1472" s="128">
        <v>2</v>
      </c>
      <c r="J1472" s="129">
        <v>30429</v>
      </c>
      <c r="K1472" s="129">
        <v>60858</v>
      </c>
      <c r="L1472" s="596"/>
      <c r="M1472" s="617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1956</v>
      </c>
      <c r="D1473" s="122" t="s">
        <v>1940</v>
      </c>
      <c r="E1473" s="125" t="s">
        <v>537</v>
      </c>
      <c r="F1473" s="123">
        <v>41645</v>
      </c>
      <c r="G1473" s="126" t="s">
        <v>404</v>
      </c>
      <c r="H1473" s="127" t="s">
        <v>1941</v>
      </c>
      <c r="I1473" s="128">
        <v>1</v>
      </c>
      <c r="J1473" s="129">
        <v>30429</v>
      </c>
      <c r="K1473" s="129">
        <v>30429</v>
      </c>
      <c r="L1473" s="596"/>
      <c r="M1473" s="617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1957</v>
      </c>
      <c r="D1474" s="122" t="s">
        <v>1940</v>
      </c>
      <c r="E1474" s="125" t="s">
        <v>537</v>
      </c>
      <c r="F1474" s="123">
        <v>41666</v>
      </c>
      <c r="G1474" s="126" t="s">
        <v>538</v>
      </c>
      <c r="H1474" s="127" t="s">
        <v>554</v>
      </c>
      <c r="I1474" s="128">
        <v>1</v>
      </c>
      <c r="J1474" s="129">
        <v>30429</v>
      </c>
      <c r="K1474" s="129">
        <v>30429</v>
      </c>
      <c r="L1474" s="597"/>
      <c r="M1474" s="618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1958</v>
      </c>
      <c r="B1475" s="135">
        <v>92924</v>
      </c>
      <c r="C1475" s="137" t="s">
        <v>1959</v>
      </c>
      <c r="D1475" s="135" t="s">
        <v>1960</v>
      </c>
      <c r="E1475" s="138" t="s">
        <v>217</v>
      </c>
      <c r="F1475" s="136">
        <v>41673</v>
      </c>
      <c r="G1475" s="139" t="s">
        <v>371</v>
      </c>
      <c r="H1475" s="140" t="s">
        <v>489</v>
      </c>
      <c r="I1475" s="141">
        <v>1</v>
      </c>
      <c r="J1475" s="142">
        <v>44597</v>
      </c>
      <c r="K1475" s="169">
        <v>44597</v>
      </c>
      <c r="L1475" s="639" t="s">
        <v>558</v>
      </c>
      <c r="M1475" s="602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1959</v>
      </c>
      <c r="D1476" s="135" t="s">
        <v>1960</v>
      </c>
      <c r="E1476" s="138" t="s">
        <v>682</v>
      </c>
      <c r="F1476" s="136">
        <v>41673</v>
      </c>
      <c r="G1476" s="139" t="s">
        <v>369</v>
      </c>
      <c r="H1476" s="140" t="s">
        <v>489</v>
      </c>
      <c r="I1476" s="141">
        <v>1</v>
      </c>
      <c r="J1476" s="142">
        <v>55058</v>
      </c>
      <c r="K1476" s="169">
        <v>55058</v>
      </c>
      <c r="L1476" s="640"/>
      <c r="M1476" s="604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1961</v>
      </c>
      <c r="D1477" s="122" t="s">
        <v>1940</v>
      </c>
      <c r="E1477" s="125" t="s">
        <v>537</v>
      </c>
      <c r="F1477" s="123">
        <v>41718</v>
      </c>
      <c r="G1477" s="126" t="s">
        <v>417</v>
      </c>
      <c r="H1477" s="127" t="s">
        <v>554</v>
      </c>
      <c r="I1477" s="128">
        <v>1</v>
      </c>
      <c r="J1477" s="129">
        <v>30429</v>
      </c>
      <c r="K1477" s="129">
        <v>30429</v>
      </c>
      <c r="L1477" s="592" t="s">
        <v>581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1962</v>
      </c>
      <c r="D1478" s="122" t="s">
        <v>1940</v>
      </c>
      <c r="E1478" s="125" t="s">
        <v>537</v>
      </c>
      <c r="F1478" s="123">
        <v>41722</v>
      </c>
      <c r="G1478" s="126" t="s">
        <v>527</v>
      </c>
      <c r="H1478" s="127" t="s">
        <v>554</v>
      </c>
      <c r="I1478" s="128">
        <v>1</v>
      </c>
      <c r="J1478" s="129">
        <v>30429</v>
      </c>
      <c r="K1478" s="129">
        <v>30429</v>
      </c>
      <c r="L1478" s="593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1963</v>
      </c>
      <c r="D1479" s="122" t="s">
        <v>1940</v>
      </c>
      <c r="E1479" s="125" t="s">
        <v>537</v>
      </c>
      <c r="F1479" s="123">
        <v>41722</v>
      </c>
      <c r="G1479" s="126" t="s">
        <v>511</v>
      </c>
      <c r="H1479" s="127" t="s">
        <v>554</v>
      </c>
      <c r="I1479" s="128">
        <v>1</v>
      </c>
      <c r="J1479" s="129">
        <v>30429</v>
      </c>
      <c r="K1479" s="129">
        <v>30429</v>
      </c>
      <c r="L1479" s="593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1964</v>
      </c>
      <c r="D1480" s="122" t="s">
        <v>1940</v>
      </c>
      <c r="E1480" s="125" t="s">
        <v>537</v>
      </c>
      <c r="F1480" s="123">
        <v>41718</v>
      </c>
      <c r="G1480" s="126" t="s">
        <v>527</v>
      </c>
      <c r="H1480" s="127" t="s">
        <v>554</v>
      </c>
      <c r="I1480" s="128">
        <v>1</v>
      </c>
      <c r="J1480" s="129">
        <v>30429</v>
      </c>
      <c r="K1480" s="129">
        <v>30429</v>
      </c>
      <c r="L1480" s="593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1965</v>
      </c>
      <c r="D1481" s="122" t="s">
        <v>1940</v>
      </c>
      <c r="E1481" s="125" t="s">
        <v>537</v>
      </c>
      <c r="F1481" s="123">
        <v>41718</v>
      </c>
      <c r="G1481" s="126" t="s">
        <v>404</v>
      </c>
      <c r="H1481" s="127" t="s">
        <v>1966</v>
      </c>
      <c r="I1481" s="128">
        <v>1</v>
      </c>
      <c r="J1481" s="129">
        <v>30429</v>
      </c>
      <c r="K1481" s="129">
        <v>30429</v>
      </c>
      <c r="L1481" s="593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1967</v>
      </c>
      <c r="D1482" s="122" t="s">
        <v>1940</v>
      </c>
      <c r="E1482" s="125" t="s">
        <v>537</v>
      </c>
      <c r="F1482" s="123">
        <v>41711</v>
      </c>
      <c r="G1482" s="126" t="s">
        <v>568</v>
      </c>
      <c r="H1482" s="127" t="s">
        <v>554</v>
      </c>
      <c r="I1482" s="128">
        <v>1</v>
      </c>
      <c r="J1482" s="129">
        <v>30429</v>
      </c>
      <c r="K1482" s="129">
        <v>30429</v>
      </c>
      <c r="L1482" s="593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1968</v>
      </c>
      <c r="D1483" s="122" t="s">
        <v>376</v>
      </c>
      <c r="E1483" s="125" t="s">
        <v>188</v>
      </c>
      <c r="F1483" s="123">
        <v>41726</v>
      </c>
      <c r="G1483" s="126" t="s">
        <v>442</v>
      </c>
      <c r="H1483" s="127" t="s">
        <v>629</v>
      </c>
      <c r="I1483" s="128">
        <v>1</v>
      </c>
      <c r="J1483" s="129">
        <v>42601</v>
      </c>
      <c r="K1483" s="129">
        <v>42601</v>
      </c>
      <c r="L1483" s="594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1969</v>
      </c>
      <c r="D1484" s="122" t="s">
        <v>484</v>
      </c>
      <c r="E1484" s="125" t="s">
        <v>537</v>
      </c>
      <c r="F1484" s="123">
        <v>41759</v>
      </c>
      <c r="G1484" s="126" t="s">
        <v>527</v>
      </c>
      <c r="H1484" s="127" t="s">
        <v>554</v>
      </c>
      <c r="I1484" s="128">
        <v>1</v>
      </c>
      <c r="J1484" s="129">
        <v>30429</v>
      </c>
      <c r="K1484" s="129">
        <v>30429</v>
      </c>
      <c r="L1484" s="592" t="s">
        <v>600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1970</v>
      </c>
      <c r="D1485" s="122" t="s">
        <v>1940</v>
      </c>
      <c r="E1485" s="125" t="s">
        <v>192</v>
      </c>
      <c r="F1485" s="123">
        <v>41757</v>
      </c>
      <c r="G1485" s="126" t="s">
        <v>407</v>
      </c>
      <c r="H1485" s="127" t="s">
        <v>554</v>
      </c>
      <c r="I1485" s="128">
        <v>1</v>
      </c>
      <c r="J1485" s="129">
        <v>57960</v>
      </c>
      <c r="K1485" s="129">
        <v>57960</v>
      </c>
      <c r="L1485" s="593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1971</v>
      </c>
      <c r="D1486" s="122" t="s">
        <v>1940</v>
      </c>
      <c r="E1486" s="125" t="s">
        <v>192</v>
      </c>
      <c r="F1486" s="123">
        <v>41745</v>
      </c>
      <c r="G1486" s="126" t="s">
        <v>407</v>
      </c>
      <c r="H1486" s="127" t="s">
        <v>1966</v>
      </c>
      <c r="I1486" s="128">
        <v>1</v>
      </c>
      <c r="J1486" s="129">
        <v>57960</v>
      </c>
      <c r="K1486" s="129">
        <v>57960</v>
      </c>
      <c r="L1486" s="593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1972</v>
      </c>
      <c r="D1487" s="122" t="s">
        <v>484</v>
      </c>
      <c r="E1487" s="125" t="s">
        <v>537</v>
      </c>
      <c r="F1487" s="123">
        <v>41759</v>
      </c>
      <c r="G1487" s="126" t="s">
        <v>562</v>
      </c>
      <c r="H1487" s="127" t="s">
        <v>569</v>
      </c>
      <c r="I1487" s="128">
        <v>1</v>
      </c>
      <c r="J1487" s="129">
        <v>30429</v>
      </c>
      <c r="K1487" s="129">
        <v>30429</v>
      </c>
      <c r="L1487" s="594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1973</v>
      </c>
      <c r="D1488" s="122" t="s">
        <v>484</v>
      </c>
      <c r="E1488" s="125" t="s">
        <v>192</v>
      </c>
      <c r="F1488" s="123">
        <v>41816</v>
      </c>
      <c r="G1488" s="126" t="s">
        <v>417</v>
      </c>
      <c r="H1488" s="127"/>
      <c r="I1488" s="128">
        <v>1</v>
      </c>
      <c r="J1488" s="129">
        <v>57960</v>
      </c>
      <c r="K1488" s="129">
        <v>57960</v>
      </c>
      <c r="L1488" s="130" t="s">
        <v>608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1974</v>
      </c>
      <c r="D1489" s="135" t="s">
        <v>1975</v>
      </c>
      <c r="E1489" s="138" t="s">
        <v>115</v>
      </c>
      <c r="F1489" s="136">
        <v>41657</v>
      </c>
      <c r="G1489" s="139" t="s">
        <v>431</v>
      </c>
      <c r="H1489" s="140" t="s">
        <v>1976</v>
      </c>
      <c r="I1489" s="141">
        <v>1</v>
      </c>
      <c r="J1489" s="142">
        <v>33370</v>
      </c>
      <c r="K1489" s="142">
        <v>33370</v>
      </c>
      <c r="L1489" s="595" t="s">
        <v>555</v>
      </c>
      <c r="M1489" s="641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1977</v>
      </c>
      <c r="D1490" s="135" t="s">
        <v>1978</v>
      </c>
      <c r="E1490" s="138" t="s">
        <v>116</v>
      </c>
      <c r="F1490" s="136">
        <v>41621</v>
      </c>
      <c r="G1490" s="139" t="s">
        <v>1979</v>
      </c>
      <c r="H1490" s="140" t="s">
        <v>489</v>
      </c>
      <c r="I1490" s="141">
        <v>14</v>
      </c>
      <c r="J1490" s="142">
        <v>5274</v>
      </c>
      <c r="K1490" s="142">
        <v>73836</v>
      </c>
      <c r="L1490" s="596"/>
      <c r="M1490" s="642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1980</v>
      </c>
      <c r="D1491" s="135" t="s">
        <v>1981</v>
      </c>
      <c r="E1491" s="138" t="s">
        <v>537</v>
      </c>
      <c r="F1491" s="136">
        <v>41650</v>
      </c>
      <c r="G1491" s="139" t="s">
        <v>417</v>
      </c>
      <c r="H1491" s="140" t="s">
        <v>1982</v>
      </c>
      <c r="I1491" s="141">
        <v>1</v>
      </c>
      <c r="J1491" s="142">
        <v>30429</v>
      </c>
      <c r="K1491" s="142">
        <v>30429</v>
      </c>
      <c r="L1491" s="596"/>
      <c r="M1491" s="642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1983</v>
      </c>
      <c r="D1492" s="135" t="s">
        <v>1984</v>
      </c>
      <c r="E1492" s="138" t="s">
        <v>1985</v>
      </c>
      <c r="F1492" s="136">
        <v>41670</v>
      </c>
      <c r="G1492" s="139" t="s">
        <v>371</v>
      </c>
      <c r="H1492" s="140"/>
      <c r="I1492" s="141">
        <v>1</v>
      </c>
      <c r="J1492" s="142">
        <v>20396</v>
      </c>
      <c r="K1492" s="142">
        <v>20396</v>
      </c>
      <c r="L1492" s="596"/>
      <c r="M1492" s="642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1986</v>
      </c>
      <c r="D1493" s="135" t="s">
        <v>1975</v>
      </c>
      <c r="E1493" s="138" t="s">
        <v>116</v>
      </c>
      <c r="F1493" s="136">
        <v>41647</v>
      </c>
      <c r="G1493" s="139" t="s">
        <v>562</v>
      </c>
      <c r="H1493" s="140" t="s">
        <v>554</v>
      </c>
      <c r="I1493" s="141">
        <v>1</v>
      </c>
      <c r="J1493" s="142">
        <v>5274</v>
      </c>
      <c r="K1493" s="142">
        <v>5274</v>
      </c>
      <c r="L1493" s="596"/>
      <c r="M1493" s="642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1987</v>
      </c>
      <c r="D1494" s="135" t="s">
        <v>1988</v>
      </c>
      <c r="E1494" s="138" t="s">
        <v>580</v>
      </c>
      <c r="F1494" s="136">
        <v>41597</v>
      </c>
      <c r="G1494" s="139" t="s">
        <v>371</v>
      </c>
      <c r="H1494" s="140"/>
      <c r="I1494" s="141">
        <v>1</v>
      </c>
      <c r="J1494" s="142">
        <v>25800</v>
      </c>
      <c r="K1494" s="142">
        <v>25800</v>
      </c>
      <c r="L1494" s="596"/>
      <c r="M1494" s="642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1989</v>
      </c>
      <c r="D1495" s="135" t="s">
        <v>1990</v>
      </c>
      <c r="E1495" s="138" t="s">
        <v>580</v>
      </c>
      <c r="F1495" s="136">
        <v>41652</v>
      </c>
      <c r="G1495" s="139" t="s">
        <v>371</v>
      </c>
      <c r="H1495" s="140"/>
      <c r="I1495" s="141">
        <v>1</v>
      </c>
      <c r="J1495" s="142">
        <v>25800</v>
      </c>
      <c r="K1495" s="142">
        <v>25800</v>
      </c>
      <c r="L1495" s="596"/>
      <c r="M1495" s="642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1991</v>
      </c>
      <c r="D1496" s="135" t="s">
        <v>1988</v>
      </c>
      <c r="E1496" s="138" t="s">
        <v>188</v>
      </c>
      <c r="F1496" s="136">
        <v>41634</v>
      </c>
      <c r="G1496" s="139" t="s">
        <v>417</v>
      </c>
      <c r="H1496" s="140" t="s">
        <v>560</v>
      </c>
      <c r="I1496" s="141">
        <v>1</v>
      </c>
      <c r="J1496" s="142">
        <v>42601</v>
      </c>
      <c r="K1496" s="142">
        <v>42601</v>
      </c>
      <c r="L1496" s="596"/>
      <c r="M1496" s="642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1992</v>
      </c>
      <c r="D1497" s="135" t="s">
        <v>1975</v>
      </c>
      <c r="E1497" s="138" t="s">
        <v>115</v>
      </c>
      <c r="F1497" s="136">
        <v>41638</v>
      </c>
      <c r="G1497" s="139" t="s">
        <v>417</v>
      </c>
      <c r="H1497" s="140" t="s">
        <v>642</v>
      </c>
      <c r="I1497" s="141">
        <v>1</v>
      </c>
      <c r="J1497" s="142">
        <v>33370</v>
      </c>
      <c r="K1497" s="142">
        <v>33370</v>
      </c>
      <c r="L1497" s="596"/>
      <c r="M1497" s="642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1993</v>
      </c>
      <c r="D1498" s="135" t="s">
        <v>1975</v>
      </c>
      <c r="E1498" s="138" t="s">
        <v>115</v>
      </c>
      <c r="F1498" s="136">
        <v>41660</v>
      </c>
      <c r="G1498" s="139" t="s">
        <v>562</v>
      </c>
      <c r="H1498" s="140" t="s">
        <v>1994</v>
      </c>
      <c r="I1498" s="141">
        <v>1</v>
      </c>
      <c r="J1498" s="142">
        <v>33370</v>
      </c>
      <c r="K1498" s="142">
        <v>33370</v>
      </c>
      <c r="L1498" s="596"/>
      <c r="M1498" s="642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1995</v>
      </c>
      <c r="D1499" s="135" t="s">
        <v>1988</v>
      </c>
      <c r="E1499" s="138" t="s">
        <v>192</v>
      </c>
      <c r="F1499" s="136">
        <v>41661</v>
      </c>
      <c r="G1499" s="139" t="s">
        <v>400</v>
      </c>
      <c r="H1499" s="140" t="s">
        <v>1996</v>
      </c>
      <c r="I1499" s="141">
        <v>2</v>
      </c>
      <c r="J1499" s="142">
        <v>57960</v>
      </c>
      <c r="K1499" s="142">
        <v>115920</v>
      </c>
      <c r="L1499" s="596"/>
      <c r="M1499" s="642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1997</v>
      </c>
      <c r="D1500" s="135" t="s">
        <v>1998</v>
      </c>
      <c r="E1500" s="138" t="s">
        <v>580</v>
      </c>
      <c r="F1500" s="136">
        <v>41649</v>
      </c>
      <c r="G1500" s="139" t="s">
        <v>371</v>
      </c>
      <c r="H1500" s="140"/>
      <c r="I1500" s="141">
        <v>1</v>
      </c>
      <c r="J1500" s="142">
        <v>25800</v>
      </c>
      <c r="K1500" s="142">
        <v>25800</v>
      </c>
      <c r="L1500" s="596"/>
      <c r="M1500" s="642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1999</v>
      </c>
      <c r="D1501" s="135" t="s">
        <v>1975</v>
      </c>
      <c r="E1501" s="138" t="s">
        <v>537</v>
      </c>
      <c r="F1501" s="136">
        <v>41610</v>
      </c>
      <c r="G1501" s="139" t="s">
        <v>562</v>
      </c>
      <c r="H1501" s="140" t="s">
        <v>569</v>
      </c>
      <c r="I1501" s="141">
        <v>1</v>
      </c>
      <c r="J1501" s="142">
        <v>30429</v>
      </c>
      <c r="K1501" s="142">
        <v>30429</v>
      </c>
      <c r="L1501" s="596"/>
      <c r="M1501" s="642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2000</v>
      </c>
      <c r="D1502" s="135" t="s">
        <v>1975</v>
      </c>
      <c r="E1502" s="138" t="s">
        <v>188</v>
      </c>
      <c r="F1502" s="136">
        <v>41611</v>
      </c>
      <c r="G1502" s="139" t="s">
        <v>392</v>
      </c>
      <c r="H1502" s="140" t="s">
        <v>1253</v>
      </c>
      <c r="I1502" s="141">
        <v>1</v>
      </c>
      <c r="J1502" s="142">
        <v>42601</v>
      </c>
      <c r="K1502" s="142">
        <v>42601</v>
      </c>
      <c r="L1502" s="596"/>
      <c r="M1502" s="642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2001</v>
      </c>
      <c r="D1503" s="135" t="s">
        <v>1975</v>
      </c>
      <c r="E1503" s="138" t="s">
        <v>116</v>
      </c>
      <c r="F1503" s="136">
        <v>41652</v>
      </c>
      <c r="G1503" s="139" t="s">
        <v>431</v>
      </c>
      <c r="H1503" s="140" t="s">
        <v>569</v>
      </c>
      <c r="I1503" s="141">
        <v>1</v>
      </c>
      <c r="J1503" s="142">
        <v>5274</v>
      </c>
      <c r="K1503" s="142">
        <v>5274</v>
      </c>
      <c r="L1503" s="596"/>
      <c r="M1503" s="642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2002</v>
      </c>
      <c r="D1504" s="135" t="s">
        <v>1975</v>
      </c>
      <c r="E1504" s="138" t="s">
        <v>115</v>
      </c>
      <c r="F1504" s="136">
        <v>41666</v>
      </c>
      <c r="G1504" s="139" t="s">
        <v>417</v>
      </c>
      <c r="H1504" s="140" t="s">
        <v>629</v>
      </c>
      <c r="I1504" s="141">
        <v>1</v>
      </c>
      <c r="J1504" s="142">
        <v>33370</v>
      </c>
      <c r="K1504" s="142">
        <v>33370</v>
      </c>
      <c r="L1504" s="596"/>
      <c r="M1504" s="642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2003</v>
      </c>
      <c r="D1505" s="135" t="s">
        <v>1975</v>
      </c>
      <c r="E1505" s="138" t="s">
        <v>537</v>
      </c>
      <c r="F1505" s="136">
        <v>41624</v>
      </c>
      <c r="G1505" s="139" t="s">
        <v>472</v>
      </c>
      <c r="H1505" s="140" t="s">
        <v>569</v>
      </c>
      <c r="I1505" s="141">
        <v>1</v>
      </c>
      <c r="J1505" s="142">
        <v>30429</v>
      </c>
      <c r="K1505" s="142">
        <v>30429</v>
      </c>
      <c r="L1505" s="596"/>
      <c r="M1505" s="642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2004</v>
      </c>
      <c r="D1506" s="135" t="s">
        <v>1975</v>
      </c>
      <c r="E1506" s="138" t="s">
        <v>115</v>
      </c>
      <c r="F1506" s="136">
        <v>41643</v>
      </c>
      <c r="G1506" s="139" t="s">
        <v>392</v>
      </c>
      <c r="H1506" s="140" t="s">
        <v>1994</v>
      </c>
      <c r="I1506" s="141">
        <v>1</v>
      </c>
      <c r="J1506" s="142">
        <v>33370</v>
      </c>
      <c r="K1506" s="142">
        <v>33370</v>
      </c>
      <c r="L1506" s="596"/>
      <c r="M1506" s="642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2005</v>
      </c>
      <c r="D1507" s="135" t="s">
        <v>1975</v>
      </c>
      <c r="E1507" s="138" t="s">
        <v>115</v>
      </c>
      <c r="F1507" s="136">
        <v>41631</v>
      </c>
      <c r="G1507" s="139" t="s">
        <v>404</v>
      </c>
      <c r="H1507" s="140" t="s">
        <v>1269</v>
      </c>
      <c r="I1507" s="141">
        <v>1</v>
      </c>
      <c r="J1507" s="142">
        <v>33370</v>
      </c>
      <c r="K1507" s="142">
        <v>33370</v>
      </c>
      <c r="L1507" s="597"/>
      <c r="M1507" s="643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2006</v>
      </c>
      <c r="D1508" s="135" t="s">
        <v>572</v>
      </c>
      <c r="E1508" s="138" t="s">
        <v>116</v>
      </c>
      <c r="F1508" s="136">
        <v>41688</v>
      </c>
      <c r="G1508" s="139" t="s">
        <v>392</v>
      </c>
      <c r="H1508" s="140" t="s">
        <v>489</v>
      </c>
      <c r="I1508" s="141">
        <v>1</v>
      </c>
      <c r="J1508" s="142">
        <v>5274</v>
      </c>
      <c r="K1508" s="142">
        <v>5274</v>
      </c>
      <c r="L1508" s="592" t="s">
        <v>558</v>
      </c>
      <c r="M1508" s="605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2007</v>
      </c>
      <c r="D1509" s="135" t="s">
        <v>572</v>
      </c>
      <c r="E1509" s="138" t="s">
        <v>116</v>
      </c>
      <c r="F1509" s="136">
        <v>41674</v>
      </c>
      <c r="G1509" s="139" t="s">
        <v>417</v>
      </c>
      <c r="H1509" s="140" t="s">
        <v>489</v>
      </c>
      <c r="I1509" s="141">
        <v>1</v>
      </c>
      <c r="J1509" s="142">
        <v>5274</v>
      </c>
      <c r="K1509" s="142">
        <v>5274</v>
      </c>
      <c r="L1509" s="593"/>
      <c r="M1509" s="606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2008</v>
      </c>
      <c r="D1510" s="135" t="s">
        <v>572</v>
      </c>
      <c r="E1510" s="138" t="s">
        <v>116</v>
      </c>
      <c r="F1510" s="136">
        <v>41691</v>
      </c>
      <c r="G1510" s="139" t="s">
        <v>392</v>
      </c>
      <c r="H1510" s="140" t="s">
        <v>489</v>
      </c>
      <c r="I1510" s="141">
        <v>1</v>
      </c>
      <c r="J1510" s="142">
        <v>5274</v>
      </c>
      <c r="K1510" s="142">
        <v>5274</v>
      </c>
      <c r="L1510" s="593"/>
      <c r="M1510" s="606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1977</v>
      </c>
      <c r="D1511" s="135" t="s">
        <v>1978</v>
      </c>
      <c r="E1511" s="138" t="s">
        <v>115</v>
      </c>
      <c r="F1511" s="136">
        <v>41694</v>
      </c>
      <c r="G1511" s="139" t="s">
        <v>419</v>
      </c>
      <c r="H1511" s="140" t="s">
        <v>563</v>
      </c>
      <c r="I1511" s="141">
        <v>1</v>
      </c>
      <c r="J1511" s="142">
        <v>33370</v>
      </c>
      <c r="K1511" s="142">
        <v>33370</v>
      </c>
      <c r="L1511" s="593"/>
      <c r="M1511" s="606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2009</v>
      </c>
      <c r="D1512" s="135" t="s">
        <v>572</v>
      </c>
      <c r="E1512" s="138" t="s">
        <v>537</v>
      </c>
      <c r="F1512" s="136">
        <v>41696</v>
      </c>
      <c r="G1512" s="139" t="s">
        <v>527</v>
      </c>
      <c r="H1512" s="140" t="s">
        <v>583</v>
      </c>
      <c r="I1512" s="141">
        <v>1</v>
      </c>
      <c r="J1512" s="142">
        <v>30429</v>
      </c>
      <c r="K1512" s="142">
        <v>30429</v>
      </c>
      <c r="L1512" s="593"/>
      <c r="M1512" s="606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2010</v>
      </c>
      <c r="D1513" s="135" t="s">
        <v>572</v>
      </c>
      <c r="E1513" s="138" t="s">
        <v>537</v>
      </c>
      <c r="F1513" s="136">
        <v>41691</v>
      </c>
      <c r="G1513" s="139" t="s">
        <v>527</v>
      </c>
      <c r="H1513" s="140" t="s">
        <v>583</v>
      </c>
      <c r="I1513" s="141">
        <v>1</v>
      </c>
      <c r="J1513" s="142">
        <v>30429</v>
      </c>
      <c r="K1513" s="142">
        <v>30429</v>
      </c>
      <c r="L1513" s="593"/>
      <c r="M1513" s="606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2011</v>
      </c>
      <c r="D1514" s="135" t="s">
        <v>1981</v>
      </c>
      <c r="E1514" s="138" t="s">
        <v>537</v>
      </c>
      <c r="F1514" s="136">
        <v>41682</v>
      </c>
      <c r="G1514" s="139" t="s">
        <v>431</v>
      </c>
      <c r="H1514" s="140"/>
      <c r="I1514" s="141">
        <v>1</v>
      </c>
      <c r="J1514" s="142">
        <v>30429</v>
      </c>
      <c r="K1514" s="142">
        <v>30429</v>
      </c>
      <c r="L1514" s="593"/>
      <c r="M1514" s="606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674</v>
      </c>
      <c r="D1515" s="135" t="s">
        <v>572</v>
      </c>
      <c r="E1515" s="138" t="s">
        <v>580</v>
      </c>
      <c r="F1515" s="136">
        <v>41698</v>
      </c>
      <c r="G1515" s="139" t="s">
        <v>371</v>
      </c>
      <c r="H1515" s="140"/>
      <c r="I1515" s="141">
        <v>1</v>
      </c>
      <c r="J1515" s="142">
        <v>25800</v>
      </c>
      <c r="K1515" s="142">
        <v>25800</v>
      </c>
      <c r="L1515" s="593"/>
      <c r="M1515" s="606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2012</v>
      </c>
      <c r="D1516" s="135" t="s">
        <v>2013</v>
      </c>
      <c r="E1516" s="138" t="s">
        <v>580</v>
      </c>
      <c r="F1516" s="136">
        <v>41696</v>
      </c>
      <c r="G1516" s="139" t="s">
        <v>371</v>
      </c>
      <c r="H1516" s="140"/>
      <c r="I1516" s="141">
        <v>1</v>
      </c>
      <c r="J1516" s="142">
        <v>25800</v>
      </c>
      <c r="K1516" s="142">
        <v>25800</v>
      </c>
      <c r="L1516" s="593"/>
      <c r="M1516" s="606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2014</v>
      </c>
      <c r="D1517" s="135" t="s">
        <v>1981</v>
      </c>
      <c r="E1517" s="138" t="s">
        <v>197</v>
      </c>
      <c r="F1517" s="136">
        <v>41684</v>
      </c>
      <c r="G1517" s="139" t="s">
        <v>2015</v>
      </c>
      <c r="H1517" s="140"/>
      <c r="I1517" s="141">
        <v>6</v>
      </c>
      <c r="J1517" s="142">
        <v>2739</v>
      </c>
      <c r="K1517" s="142">
        <v>16434</v>
      </c>
      <c r="L1517" s="593"/>
      <c r="M1517" s="606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2016</v>
      </c>
      <c r="D1518" s="135" t="s">
        <v>572</v>
      </c>
      <c r="E1518" s="138" t="s">
        <v>118</v>
      </c>
      <c r="F1518" s="136">
        <v>41691</v>
      </c>
      <c r="G1518" s="139" t="s">
        <v>371</v>
      </c>
      <c r="H1518" s="140" t="s">
        <v>489</v>
      </c>
      <c r="I1518" s="141">
        <v>1</v>
      </c>
      <c r="J1518" s="142">
        <v>65930</v>
      </c>
      <c r="K1518" s="142">
        <v>65930</v>
      </c>
      <c r="L1518" s="593"/>
      <c r="M1518" s="606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2017</v>
      </c>
      <c r="D1519" s="135" t="s">
        <v>572</v>
      </c>
      <c r="E1519" s="138" t="s">
        <v>116</v>
      </c>
      <c r="F1519" s="136">
        <v>41687</v>
      </c>
      <c r="G1519" s="139" t="s">
        <v>407</v>
      </c>
      <c r="H1519" s="140" t="s">
        <v>486</v>
      </c>
      <c r="I1519" s="141">
        <v>1</v>
      </c>
      <c r="J1519" s="142">
        <v>5274</v>
      </c>
      <c r="K1519" s="142">
        <v>5274</v>
      </c>
      <c r="L1519" s="593"/>
      <c r="M1519" s="606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2017</v>
      </c>
      <c r="D1520" s="135" t="s">
        <v>572</v>
      </c>
      <c r="E1520" s="138" t="s">
        <v>537</v>
      </c>
      <c r="F1520" s="136">
        <v>41687</v>
      </c>
      <c r="G1520" s="139" t="s">
        <v>419</v>
      </c>
      <c r="H1520" s="140" t="s">
        <v>583</v>
      </c>
      <c r="I1520" s="141">
        <v>1</v>
      </c>
      <c r="J1520" s="142">
        <v>30429</v>
      </c>
      <c r="K1520" s="142">
        <v>30429</v>
      </c>
      <c r="L1520" s="593"/>
      <c r="M1520" s="606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2018</v>
      </c>
      <c r="D1521" s="135" t="s">
        <v>1981</v>
      </c>
      <c r="E1521" s="138" t="s">
        <v>580</v>
      </c>
      <c r="F1521" s="136">
        <v>41675</v>
      </c>
      <c r="G1521" s="139" t="s">
        <v>371</v>
      </c>
      <c r="H1521" s="140"/>
      <c r="I1521" s="141">
        <v>1</v>
      </c>
      <c r="J1521" s="142">
        <v>25800</v>
      </c>
      <c r="K1521" s="142">
        <v>25800</v>
      </c>
      <c r="L1521" s="593"/>
      <c r="M1521" s="606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2019</v>
      </c>
      <c r="D1522" s="135" t="s">
        <v>572</v>
      </c>
      <c r="E1522" s="138" t="s">
        <v>116</v>
      </c>
      <c r="F1522" s="136">
        <v>41684</v>
      </c>
      <c r="G1522" s="139" t="s">
        <v>1954</v>
      </c>
      <c r="H1522" s="140"/>
      <c r="I1522" s="141">
        <v>2</v>
      </c>
      <c r="J1522" s="142">
        <v>5274</v>
      </c>
      <c r="K1522" s="142">
        <v>10548</v>
      </c>
      <c r="L1522" s="593"/>
      <c r="M1522" s="606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2020</v>
      </c>
      <c r="D1523" s="135" t="s">
        <v>1975</v>
      </c>
      <c r="E1523" s="138" t="s">
        <v>115</v>
      </c>
      <c r="F1523" s="136">
        <v>41646</v>
      </c>
      <c r="G1523" s="139" t="s">
        <v>404</v>
      </c>
      <c r="H1523" s="140" t="s">
        <v>2021</v>
      </c>
      <c r="I1523" s="141">
        <v>1</v>
      </c>
      <c r="J1523" s="142">
        <v>33370</v>
      </c>
      <c r="K1523" s="169">
        <v>33370</v>
      </c>
      <c r="L1523" s="593"/>
      <c r="M1523" s="606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2022</v>
      </c>
      <c r="D1524" s="135" t="s">
        <v>572</v>
      </c>
      <c r="E1524" s="138" t="s">
        <v>116</v>
      </c>
      <c r="F1524" s="136">
        <v>41690</v>
      </c>
      <c r="G1524" s="139" t="s">
        <v>417</v>
      </c>
      <c r="H1524" s="140" t="s">
        <v>489</v>
      </c>
      <c r="I1524" s="141">
        <v>1</v>
      </c>
      <c r="J1524" s="142">
        <v>5274</v>
      </c>
      <c r="K1524" s="142">
        <v>5274</v>
      </c>
      <c r="L1524" s="593"/>
      <c r="M1524" s="606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2023</v>
      </c>
      <c r="D1525" s="135" t="s">
        <v>572</v>
      </c>
      <c r="E1525" s="138" t="s">
        <v>116</v>
      </c>
      <c r="F1525" s="136">
        <v>41694</v>
      </c>
      <c r="G1525" s="139" t="s">
        <v>511</v>
      </c>
      <c r="H1525" s="140" t="s">
        <v>489</v>
      </c>
      <c r="I1525" s="141">
        <v>1</v>
      </c>
      <c r="J1525" s="142">
        <v>5274</v>
      </c>
      <c r="K1525" s="142">
        <v>5274</v>
      </c>
      <c r="L1525" s="593"/>
      <c r="M1525" s="606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2024</v>
      </c>
      <c r="D1526" s="135" t="s">
        <v>572</v>
      </c>
      <c r="E1526" s="138" t="s">
        <v>537</v>
      </c>
      <c r="F1526" s="136">
        <v>41683</v>
      </c>
      <c r="G1526" s="139" t="s">
        <v>527</v>
      </c>
      <c r="H1526" s="140" t="s">
        <v>563</v>
      </c>
      <c r="I1526" s="141">
        <v>1</v>
      </c>
      <c r="J1526" s="142">
        <v>30429</v>
      </c>
      <c r="K1526" s="142">
        <v>30429</v>
      </c>
      <c r="L1526" s="593"/>
      <c r="M1526" s="606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2025</v>
      </c>
      <c r="D1527" s="135" t="s">
        <v>572</v>
      </c>
      <c r="E1527" s="138" t="s">
        <v>537</v>
      </c>
      <c r="F1527" s="136">
        <v>41682</v>
      </c>
      <c r="G1527" s="139" t="s">
        <v>562</v>
      </c>
      <c r="H1527" s="140" t="s">
        <v>563</v>
      </c>
      <c r="I1527" s="141">
        <v>1</v>
      </c>
      <c r="J1527" s="142">
        <v>30429</v>
      </c>
      <c r="K1527" s="142">
        <v>30429</v>
      </c>
      <c r="L1527" s="593"/>
      <c r="M1527" s="606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2026</v>
      </c>
      <c r="D1528" s="135" t="s">
        <v>1981</v>
      </c>
      <c r="E1528" s="138" t="s">
        <v>197</v>
      </c>
      <c r="F1528" s="136">
        <v>41684</v>
      </c>
      <c r="G1528" s="139" t="s">
        <v>2015</v>
      </c>
      <c r="H1528" s="140"/>
      <c r="I1528" s="141">
        <v>6</v>
      </c>
      <c r="J1528" s="142">
        <v>2739</v>
      </c>
      <c r="K1528" s="142">
        <v>16434</v>
      </c>
      <c r="L1528" s="593"/>
      <c r="M1528" s="606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2027</v>
      </c>
      <c r="D1529" s="135" t="s">
        <v>572</v>
      </c>
      <c r="E1529" s="138" t="s">
        <v>116</v>
      </c>
      <c r="F1529" s="136">
        <v>41689</v>
      </c>
      <c r="G1529" s="139" t="s">
        <v>562</v>
      </c>
      <c r="H1529" s="140" t="s">
        <v>489</v>
      </c>
      <c r="I1529" s="141">
        <v>1</v>
      </c>
      <c r="J1529" s="142">
        <v>5274</v>
      </c>
      <c r="K1529" s="142">
        <v>5274</v>
      </c>
      <c r="L1529" s="594"/>
      <c r="M1529" s="607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2028</v>
      </c>
      <c r="D1530" s="122" t="s">
        <v>1978</v>
      </c>
      <c r="E1530" s="125" t="s">
        <v>537</v>
      </c>
      <c r="F1530" s="123">
        <v>41695</v>
      </c>
      <c r="G1530" s="126" t="s">
        <v>527</v>
      </c>
      <c r="H1530" s="127" t="s">
        <v>554</v>
      </c>
      <c r="I1530" s="128">
        <v>1</v>
      </c>
      <c r="J1530" s="129">
        <v>30429</v>
      </c>
      <c r="K1530" s="207">
        <v>30429</v>
      </c>
      <c r="L1530" s="636" t="s">
        <v>581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2029</v>
      </c>
      <c r="D1531" s="122" t="s">
        <v>572</v>
      </c>
      <c r="E1531" s="125" t="s">
        <v>223</v>
      </c>
      <c r="F1531" s="123">
        <v>41717</v>
      </c>
      <c r="G1531" s="126" t="s">
        <v>371</v>
      </c>
      <c r="H1531" s="127" t="s">
        <v>489</v>
      </c>
      <c r="I1531" s="128">
        <v>1</v>
      </c>
      <c r="J1531" s="129">
        <v>40572</v>
      </c>
      <c r="K1531" s="129">
        <v>40572</v>
      </c>
      <c r="L1531" s="637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2030</v>
      </c>
      <c r="D1532" s="122" t="s">
        <v>572</v>
      </c>
      <c r="E1532" s="125" t="s">
        <v>115</v>
      </c>
      <c r="F1532" s="123">
        <v>41718</v>
      </c>
      <c r="G1532" s="126" t="s">
        <v>445</v>
      </c>
      <c r="H1532" s="127" t="s">
        <v>563</v>
      </c>
      <c r="I1532" s="128">
        <v>1</v>
      </c>
      <c r="J1532" s="129">
        <v>33370</v>
      </c>
      <c r="K1532" s="129">
        <v>33370</v>
      </c>
      <c r="L1532" s="637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2031</v>
      </c>
      <c r="D1533" s="122" t="s">
        <v>1988</v>
      </c>
      <c r="E1533" s="125" t="s">
        <v>192</v>
      </c>
      <c r="F1533" s="123">
        <v>41648</v>
      </c>
      <c r="G1533" s="126" t="s">
        <v>400</v>
      </c>
      <c r="H1533" s="127" t="s">
        <v>2032</v>
      </c>
      <c r="I1533" s="128">
        <v>2</v>
      </c>
      <c r="J1533" s="129">
        <v>57960</v>
      </c>
      <c r="K1533" s="216" t="s">
        <v>2033</v>
      </c>
      <c r="L1533" s="637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2034</v>
      </c>
      <c r="D1534" s="122" t="s">
        <v>1975</v>
      </c>
      <c r="E1534" s="125" t="s">
        <v>682</v>
      </c>
      <c r="F1534" s="123">
        <v>41722</v>
      </c>
      <c r="G1534" s="126" t="s">
        <v>371</v>
      </c>
      <c r="H1534" s="127" t="s">
        <v>2035</v>
      </c>
      <c r="I1534" s="128">
        <v>1</v>
      </c>
      <c r="J1534" s="129">
        <v>55058</v>
      </c>
      <c r="K1534" s="129">
        <v>55058</v>
      </c>
      <c r="L1534" s="637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2036</v>
      </c>
      <c r="D1535" s="122" t="s">
        <v>2013</v>
      </c>
      <c r="E1535" s="125" t="s">
        <v>580</v>
      </c>
      <c r="F1535" s="123">
        <v>41696</v>
      </c>
      <c r="G1535" s="126" t="s">
        <v>371</v>
      </c>
      <c r="H1535" s="127"/>
      <c r="I1535" s="128">
        <v>1</v>
      </c>
      <c r="J1535" s="129">
        <v>25800</v>
      </c>
      <c r="K1535" s="207">
        <v>25800</v>
      </c>
      <c r="L1535" s="637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2037</v>
      </c>
      <c r="D1536" s="122" t="s">
        <v>1975</v>
      </c>
      <c r="E1536" s="125" t="s">
        <v>188</v>
      </c>
      <c r="F1536" s="123">
        <v>41715</v>
      </c>
      <c r="G1536" s="126" t="s">
        <v>1880</v>
      </c>
      <c r="H1536" s="127" t="s">
        <v>1994</v>
      </c>
      <c r="I1536" s="128">
        <v>4</v>
      </c>
      <c r="J1536" s="129">
        <v>42601</v>
      </c>
      <c r="K1536" s="129">
        <v>170404</v>
      </c>
      <c r="L1536" s="637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2038</v>
      </c>
      <c r="D1537" s="122" t="s">
        <v>2039</v>
      </c>
      <c r="E1537" s="125" t="s">
        <v>580</v>
      </c>
      <c r="F1537" s="123">
        <v>41684</v>
      </c>
      <c r="G1537" s="126" t="s">
        <v>371</v>
      </c>
      <c r="H1537" s="127"/>
      <c r="I1537" s="128">
        <v>1</v>
      </c>
      <c r="J1537" s="129">
        <v>25800</v>
      </c>
      <c r="K1537" s="207">
        <v>25800</v>
      </c>
      <c r="L1537" s="637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2040</v>
      </c>
      <c r="D1538" s="122" t="s">
        <v>862</v>
      </c>
      <c r="E1538" s="125" t="s">
        <v>210</v>
      </c>
      <c r="F1538" s="123">
        <v>41589</v>
      </c>
      <c r="G1538" s="126" t="s">
        <v>511</v>
      </c>
      <c r="H1538" s="127"/>
      <c r="I1538" s="128">
        <v>1</v>
      </c>
      <c r="J1538" s="129">
        <v>14099</v>
      </c>
      <c r="K1538" s="210" t="s">
        <v>1015</v>
      </c>
      <c r="L1538" s="637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2041</v>
      </c>
      <c r="D1539" s="122" t="s">
        <v>572</v>
      </c>
      <c r="E1539" s="125" t="s">
        <v>115</v>
      </c>
      <c r="F1539" s="123">
        <v>41689</v>
      </c>
      <c r="G1539" s="126" t="s">
        <v>417</v>
      </c>
      <c r="H1539" s="127" t="s">
        <v>583</v>
      </c>
      <c r="I1539" s="128">
        <v>1</v>
      </c>
      <c r="J1539" s="129">
        <v>33370</v>
      </c>
      <c r="K1539" s="207">
        <v>33370</v>
      </c>
      <c r="L1539" s="637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2042</v>
      </c>
      <c r="D1540" s="122" t="s">
        <v>1978</v>
      </c>
      <c r="E1540" s="125" t="s">
        <v>116</v>
      </c>
      <c r="F1540" s="123">
        <v>41632</v>
      </c>
      <c r="G1540" s="126" t="s">
        <v>562</v>
      </c>
      <c r="H1540" s="127" t="s">
        <v>489</v>
      </c>
      <c r="I1540" s="128">
        <v>1</v>
      </c>
      <c r="J1540" s="129">
        <v>5274</v>
      </c>
      <c r="K1540" s="210" t="s">
        <v>1015</v>
      </c>
      <c r="L1540" s="637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807</v>
      </c>
      <c r="D1541" s="122" t="s">
        <v>572</v>
      </c>
      <c r="E1541" s="125" t="s">
        <v>115</v>
      </c>
      <c r="F1541" s="123">
        <v>41698</v>
      </c>
      <c r="G1541" s="126" t="s">
        <v>442</v>
      </c>
      <c r="H1541" s="127" t="s">
        <v>642</v>
      </c>
      <c r="I1541" s="128">
        <v>1</v>
      </c>
      <c r="J1541" s="129">
        <v>33370</v>
      </c>
      <c r="K1541" s="207">
        <v>33370</v>
      </c>
      <c r="L1541" s="637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2043</v>
      </c>
      <c r="D1542" s="122" t="s">
        <v>572</v>
      </c>
      <c r="E1542" s="125" t="s">
        <v>116</v>
      </c>
      <c r="F1542" s="123">
        <v>41694</v>
      </c>
      <c r="G1542" s="126" t="s">
        <v>472</v>
      </c>
      <c r="H1542" s="127" t="s">
        <v>489</v>
      </c>
      <c r="I1542" s="128">
        <v>1</v>
      </c>
      <c r="J1542" s="129">
        <v>5274</v>
      </c>
      <c r="K1542" s="207">
        <v>5274</v>
      </c>
      <c r="L1542" s="637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2044</v>
      </c>
      <c r="D1543" s="122" t="s">
        <v>1988</v>
      </c>
      <c r="E1543" s="125" t="s">
        <v>115</v>
      </c>
      <c r="F1543" s="123">
        <v>41667</v>
      </c>
      <c r="G1543" s="126" t="s">
        <v>1356</v>
      </c>
      <c r="H1543" s="127" t="s">
        <v>563</v>
      </c>
      <c r="I1543" s="128">
        <v>2</v>
      </c>
      <c r="J1543" s="129">
        <v>33370</v>
      </c>
      <c r="K1543" s="207">
        <v>66740</v>
      </c>
      <c r="L1543" s="637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2045</v>
      </c>
      <c r="D1544" s="122" t="s">
        <v>1981</v>
      </c>
      <c r="E1544" s="125" t="s">
        <v>580</v>
      </c>
      <c r="F1544" s="123">
        <v>41684</v>
      </c>
      <c r="G1544" s="126" t="s">
        <v>371</v>
      </c>
      <c r="H1544" s="127"/>
      <c r="I1544" s="128">
        <v>1</v>
      </c>
      <c r="J1544" s="129">
        <v>25800</v>
      </c>
      <c r="K1544" s="210" t="s">
        <v>1570</v>
      </c>
      <c r="L1544" s="637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2046</v>
      </c>
      <c r="D1545" s="122" t="s">
        <v>1998</v>
      </c>
      <c r="E1545" s="125" t="s">
        <v>580</v>
      </c>
      <c r="F1545" s="123">
        <v>41683</v>
      </c>
      <c r="G1545" s="126" t="s">
        <v>371</v>
      </c>
      <c r="H1545" s="127"/>
      <c r="I1545" s="128">
        <v>1</v>
      </c>
      <c r="J1545" s="129">
        <v>25800</v>
      </c>
      <c r="K1545" s="207">
        <v>25800</v>
      </c>
      <c r="L1545" s="638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2034</v>
      </c>
      <c r="D1546" s="122" t="s">
        <v>1975</v>
      </c>
      <c r="E1546" s="125" t="s">
        <v>682</v>
      </c>
      <c r="F1546" s="123">
        <v>41820</v>
      </c>
      <c r="G1546" s="126" t="s">
        <v>369</v>
      </c>
      <c r="H1546" s="127"/>
      <c r="I1546" s="128">
        <v>1</v>
      </c>
      <c r="J1546" s="129">
        <v>55058</v>
      </c>
      <c r="K1546" s="129">
        <v>55058</v>
      </c>
      <c r="L1546" s="130" t="s">
        <v>608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2047</v>
      </c>
      <c r="D1547" s="122" t="s">
        <v>1978</v>
      </c>
      <c r="E1547" s="125" t="s">
        <v>188</v>
      </c>
      <c r="F1547" s="123">
        <v>41850</v>
      </c>
      <c r="G1547" s="126" t="s">
        <v>442</v>
      </c>
      <c r="H1547" s="127" t="s">
        <v>1903</v>
      </c>
      <c r="I1547" s="128">
        <v>1</v>
      </c>
      <c r="J1547" s="129">
        <v>42601</v>
      </c>
      <c r="K1547" s="129" t="s">
        <v>2048</v>
      </c>
      <c r="L1547" s="189" t="s">
        <v>760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2049</v>
      </c>
      <c r="D1548" s="122" t="s">
        <v>1975</v>
      </c>
      <c r="E1548" s="125" t="s">
        <v>682</v>
      </c>
      <c r="F1548" s="123">
        <v>41862</v>
      </c>
      <c r="G1548" s="126" t="s">
        <v>371</v>
      </c>
      <c r="H1548" s="127"/>
      <c r="I1548" s="128">
        <v>1</v>
      </c>
      <c r="J1548" s="129">
        <v>55058</v>
      </c>
      <c r="K1548" s="129">
        <v>55058</v>
      </c>
      <c r="L1548" s="189" t="s">
        <v>788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  <mergeCell ref="L1243:L1259"/>
    <mergeCell ref="L1289:L1313"/>
    <mergeCell ref="L1508:L1529"/>
    <mergeCell ref="M1508:M1529"/>
    <mergeCell ref="L1314:L1353"/>
    <mergeCell ref="L1461:L1474"/>
    <mergeCell ref="L946:L969"/>
    <mergeCell ref="M946:M969"/>
    <mergeCell ref="L995:L1001"/>
    <mergeCell ref="L1200:L1206"/>
    <mergeCell ref="L1017:L1033"/>
    <mergeCell ref="L1055:L1096"/>
    <mergeCell ref="L1002:L1016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853:L878"/>
    <mergeCell ref="L889:L911"/>
    <mergeCell ref="L784:L810"/>
    <mergeCell ref="L811:L852"/>
    <mergeCell ref="M811:M852"/>
    <mergeCell ref="M889:M911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44" t="s">
        <v>2050</v>
      </c>
      <c r="B2" s="644"/>
      <c r="C2" s="644"/>
      <c r="D2" s="644"/>
      <c r="E2" s="644"/>
      <c r="F2" s="644"/>
      <c r="G2" s="644"/>
      <c r="H2" s="644"/>
      <c r="I2" s="644"/>
      <c r="J2" s="644"/>
      <c r="K2" s="644"/>
      <c r="L2" s="644"/>
      <c r="M2" s="644"/>
    </row>
    <row r="3" spans="1:13" ht="18.75" customHeight="1" x14ac:dyDescent="0.25">
      <c r="A3" s="223" t="s">
        <v>2051</v>
      </c>
      <c r="B3" s="223" t="s">
        <v>97</v>
      </c>
      <c r="C3" s="223" t="s">
        <v>2052</v>
      </c>
      <c r="D3" s="223" t="s">
        <v>2053</v>
      </c>
      <c r="E3" s="223" t="s">
        <v>2054</v>
      </c>
      <c r="F3" s="223" t="s">
        <v>2055</v>
      </c>
      <c r="G3" s="223" t="s">
        <v>2056</v>
      </c>
      <c r="H3" s="224" t="s">
        <v>2057</v>
      </c>
      <c r="I3" s="223" t="s">
        <v>2058</v>
      </c>
      <c r="J3" s="223" t="s">
        <v>2059</v>
      </c>
      <c r="K3" s="223" t="s">
        <v>2060</v>
      </c>
      <c r="L3" s="223" t="s">
        <v>2061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2062</v>
      </c>
      <c r="D4" s="174" t="s">
        <v>724</v>
      </c>
      <c r="E4" s="172" t="s">
        <v>197</v>
      </c>
      <c r="F4" s="177" t="s">
        <v>2063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608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2064</v>
      </c>
      <c r="D5" s="174" t="s">
        <v>724</v>
      </c>
      <c r="E5" s="172" t="s">
        <v>537</v>
      </c>
      <c r="F5" s="177" t="s">
        <v>2065</v>
      </c>
      <c r="G5" s="177" t="s">
        <v>554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608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2064</v>
      </c>
      <c r="D6" s="174" t="s">
        <v>724</v>
      </c>
      <c r="E6" s="172" t="s">
        <v>537</v>
      </c>
      <c r="F6" s="177" t="s">
        <v>419</v>
      </c>
      <c r="G6" s="177" t="s">
        <v>554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608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2066</v>
      </c>
      <c r="D7" s="228" t="s">
        <v>724</v>
      </c>
      <c r="E7" s="229" t="s">
        <v>116</v>
      </c>
      <c r="F7" s="230" t="s">
        <v>417</v>
      </c>
      <c r="G7" s="230" t="s">
        <v>2067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608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2068</v>
      </c>
      <c r="D8" s="233" t="s">
        <v>724</v>
      </c>
      <c r="E8" s="235" t="s">
        <v>537</v>
      </c>
      <c r="F8" s="236" t="s">
        <v>2069</v>
      </c>
      <c r="G8" s="237" t="s">
        <v>2070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760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2071</v>
      </c>
      <c r="D9" s="135" t="s">
        <v>724</v>
      </c>
      <c r="E9" s="172" t="s">
        <v>192</v>
      </c>
      <c r="F9" s="139" t="s">
        <v>400</v>
      </c>
      <c r="G9" s="177" t="s">
        <v>2072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760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2073</v>
      </c>
      <c r="D10" s="135" t="s">
        <v>724</v>
      </c>
      <c r="E10" s="172" t="s">
        <v>537</v>
      </c>
      <c r="F10" s="139" t="s">
        <v>2074</v>
      </c>
      <c r="G10" s="177" t="s">
        <v>2075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760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2066</v>
      </c>
      <c r="D11" s="135" t="s">
        <v>724</v>
      </c>
      <c r="E11" s="172" t="s">
        <v>115</v>
      </c>
      <c r="F11" s="139" t="s">
        <v>417</v>
      </c>
      <c r="G11" s="177" t="s">
        <v>563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760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2076</v>
      </c>
      <c r="D12" s="135" t="s">
        <v>724</v>
      </c>
      <c r="E12" s="172" t="s">
        <v>537</v>
      </c>
      <c r="F12" s="139" t="s">
        <v>527</v>
      </c>
      <c r="G12" s="177" t="s">
        <v>560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760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2077</v>
      </c>
      <c r="D13" s="135" t="s">
        <v>724</v>
      </c>
      <c r="E13" s="172" t="s">
        <v>537</v>
      </c>
      <c r="F13" s="139" t="s">
        <v>442</v>
      </c>
      <c r="G13" s="177" t="s">
        <v>566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760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2078</v>
      </c>
      <c r="D14" s="135" t="s">
        <v>724</v>
      </c>
      <c r="E14" s="172" t="s">
        <v>537</v>
      </c>
      <c r="F14" s="139" t="s">
        <v>417</v>
      </c>
      <c r="G14" s="177" t="s">
        <v>2079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760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2078</v>
      </c>
      <c r="D15" s="135" t="s">
        <v>724</v>
      </c>
      <c r="E15" s="172" t="s">
        <v>537</v>
      </c>
      <c r="F15" s="139" t="s">
        <v>419</v>
      </c>
      <c r="G15" s="177" t="s">
        <v>2079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760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2080</v>
      </c>
      <c r="D16" s="135" t="s">
        <v>724</v>
      </c>
      <c r="E16" s="172" t="s">
        <v>115</v>
      </c>
      <c r="F16" s="139" t="s">
        <v>527</v>
      </c>
      <c r="G16" s="177" t="s">
        <v>2081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760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2062</v>
      </c>
      <c r="D17" s="135" t="s">
        <v>724</v>
      </c>
      <c r="E17" s="172" t="s">
        <v>116</v>
      </c>
      <c r="F17" s="139" t="s">
        <v>594</v>
      </c>
      <c r="G17" s="177" t="s">
        <v>2067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760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2062</v>
      </c>
      <c r="D18" s="135" t="s">
        <v>724</v>
      </c>
      <c r="E18" s="172" t="s">
        <v>115</v>
      </c>
      <c r="F18" s="139" t="s">
        <v>594</v>
      </c>
      <c r="G18" s="177" t="s">
        <v>2081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760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2082</v>
      </c>
      <c r="D19" s="135" t="s">
        <v>724</v>
      </c>
      <c r="E19" s="172" t="s">
        <v>204</v>
      </c>
      <c r="F19" s="139" t="s">
        <v>415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760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723</v>
      </c>
      <c r="D20" s="135" t="s">
        <v>724</v>
      </c>
      <c r="E20" s="172" t="s">
        <v>116</v>
      </c>
      <c r="F20" s="139" t="s">
        <v>725</v>
      </c>
      <c r="G20" s="177" t="s">
        <v>554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760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2083</v>
      </c>
      <c r="D21" s="135" t="s">
        <v>724</v>
      </c>
      <c r="E21" s="172" t="s">
        <v>537</v>
      </c>
      <c r="F21" s="139" t="s">
        <v>562</v>
      </c>
      <c r="G21" s="177" t="s">
        <v>2084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760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2085</v>
      </c>
      <c r="D22" s="135" t="s">
        <v>724</v>
      </c>
      <c r="E22" s="172" t="s">
        <v>537</v>
      </c>
      <c r="F22" s="139" t="s">
        <v>417</v>
      </c>
      <c r="G22" s="177" t="s">
        <v>560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760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2086</v>
      </c>
      <c r="D23" s="135" t="s">
        <v>724</v>
      </c>
      <c r="E23" s="172" t="s">
        <v>116</v>
      </c>
      <c r="F23" s="139" t="s">
        <v>2087</v>
      </c>
      <c r="G23" s="177" t="s">
        <v>1059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760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2088</v>
      </c>
      <c r="D24" s="135" t="s">
        <v>724</v>
      </c>
      <c r="E24" s="172" t="s">
        <v>237</v>
      </c>
      <c r="F24" s="139" t="s">
        <v>369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760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2089</v>
      </c>
      <c r="D25" s="241" t="s">
        <v>724</v>
      </c>
      <c r="E25" s="229" t="s">
        <v>116</v>
      </c>
      <c r="F25" s="243" t="s">
        <v>2090</v>
      </c>
      <c r="G25" s="230" t="s">
        <v>1059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760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2091</v>
      </c>
      <c r="D26" s="135" t="s">
        <v>724</v>
      </c>
      <c r="E26" s="172" t="s">
        <v>682</v>
      </c>
      <c r="F26" s="139" t="s">
        <v>387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788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2092</v>
      </c>
      <c r="D27" s="135" t="s">
        <v>724</v>
      </c>
      <c r="E27" s="172" t="s">
        <v>217</v>
      </c>
      <c r="F27" s="139" t="s">
        <v>369</v>
      </c>
      <c r="G27" s="177" t="s">
        <v>1064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788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2093</v>
      </c>
      <c r="D28" s="135" t="s">
        <v>724</v>
      </c>
      <c r="E28" s="172" t="s">
        <v>207</v>
      </c>
      <c r="F28" s="139" t="s">
        <v>472</v>
      </c>
      <c r="G28" s="177" t="s">
        <v>2094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788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2095</v>
      </c>
      <c r="D29" s="135" t="s">
        <v>724</v>
      </c>
      <c r="E29" s="172" t="s">
        <v>537</v>
      </c>
      <c r="F29" s="139" t="s">
        <v>431</v>
      </c>
      <c r="G29" s="177" t="s">
        <v>560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788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2096</v>
      </c>
      <c r="D30" s="135" t="s">
        <v>724</v>
      </c>
      <c r="E30" s="172" t="s">
        <v>580</v>
      </c>
      <c r="F30" s="139" t="s">
        <v>371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788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701</v>
      </c>
      <c r="D31" s="135" t="s">
        <v>724</v>
      </c>
      <c r="E31" s="172" t="s">
        <v>217</v>
      </c>
      <c r="F31" s="139" t="s">
        <v>371</v>
      </c>
      <c r="G31" s="177" t="s">
        <v>2097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788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2098</v>
      </c>
      <c r="D32" s="135" t="s">
        <v>724</v>
      </c>
      <c r="E32" s="172" t="s">
        <v>237</v>
      </c>
      <c r="F32" s="139" t="s">
        <v>369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788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810</v>
      </c>
      <c r="D33" s="135" t="s">
        <v>724</v>
      </c>
      <c r="E33" s="172" t="s">
        <v>217</v>
      </c>
      <c r="F33" s="139" t="s">
        <v>369</v>
      </c>
      <c r="G33" s="177" t="s">
        <v>2067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788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2099</v>
      </c>
      <c r="D34" s="135" t="s">
        <v>724</v>
      </c>
      <c r="E34" s="172" t="s">
        <v>116</v>
      </c>
      <c r="F34" s="139" t="s">
        <v>2100</v>
      </c>
      <c r="G34" s="177" t="s">
        <v>2101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788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2102</v>
      </c>
      <c r="D35" s="135" t="s">
        <v>724</v>
      </c>
      <c r="E35" s="172" t="s">
        <v>116</v>
      </c>
      <c r="F35" s="139" t="s">
        <v>472</v>
      </c>
      <c r="G35" s="177" t="s">
        <v>2101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788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2103</v>
      </c>
      <c r="D36" s="135" t="s">
        <v>724</v>
      </c>
      <c r="E36" s="172" t="s">
        <v>537</v>
      </c>
      <c r="F36" s="139" t="s">
        <v>431</v>
      </c>
      <c r="G36" s="177" t="s">
        <v>597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788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2104</v>
      </c>
      <c r="D37" s="135" t="s">
        <v>724</v>
      </c>
      <c r="E37" s="172" t="s">
        <v>1011</v>
      </c>
      <c r="F37" s="139" t="s">
        <v>387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788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2105</v>
      </c>
      <c r="D38" s="135" t="s">
        <v>724</v>
      </c>
      <c r="E38" s="172" t="s">
        <v>682</v>
      </c>
      <c r="F38" s="139" t="s">
        <v>371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788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2106</v>
      </c>
      <c r="D39" s="135" t="s">
        <v>478</v>
      </c>
      <c r="E39" s="172" t="s">
        <v>116</v>
      </c>
      <c r="F39" s="139" t="s">
        <v>562</v>
      </c>
      <c r="G39" s="177" t="s">
        <v>2107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788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2108</v>
      </c>
      <c r="D40" s="135" t="s">
        <v>724</v>
      </c>
      <c r="E40" s="172" t="s">
        <v>217</v>
      </c>
      <c r="F40" s="139" t="s">
        <v>371</v>
      </c>
      <c r="G40" s="177" t="s">
        <v>2101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788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2109</v>
      </c>
      <c r="D41" s="135" t="s">
        <v>724</v>
      </c>
      <c r="E41" s="172" t="s">
        <v>217</v>
      </c>
      <c r="F41" s="139" t="s">
        <v>371</v>
      </c>
      <c r="G41" s="177" t="s">
        <v>2110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788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2111</v>
      </c>
      <c r="D42" s="135" t="s">
        <v>724</v>
      </c>
      <c r="E42" s="172" t="s">
        <v>537</v>
      </c>
      <c r="F42" s="139" t="s">
        <v>511</v>
      </c>
      <c r="G42" s="177" t="s">
        <v>2112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788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2113</v>
      </c>
      <c r="D43" s="135" t="s">
        <v>724</v>
      </c>
      <c r="E43" s="172" t="s">
        <v>116</v>
      </c>
      <c r="F43" s="139" t="s">
        <v>2114</v>
      </c>
      <c r="G43" s="177" t="s">
        <v>2067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788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2115</v>
      </c>
      <c r="D44" s="135" t="s">
        <v>545</v>
      </c>
      <c r="E44" s="172" t="s">
        <v>217</v>
      </c>
      <c r="F44" s="139" t="s">
        <v>371</v>
      </c>
      <c r="G44" s="177" t="s">
        <v>2067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788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2116</v>
      </c>
      <c r="D45" s="135" t="s">
        <v>724</v>
      </c>
      <c r="E45" s="172" t="s">
        <v>116</v>
      </c>
      <c r="F45" s="139" t="s">
        <v>527</v>
      </c>
      <c r="G45" s="177" t="s">
        <v>2117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788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2118</v>
      </c>
      <c r="D46" s="135" t="s">
        <v>389</v>
      </c>
      <c r="E46" s="172" t="s">
        <v>580</v>
      </c>
      <c r="F46" s="139" t="s">
        <v>371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788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2089</v>
      </c>
      <c r="D47" s="135" t="s">
        <v>724</v>
      </c>
      <c r="E47" s="172" t="s">
        <v>210</v>
      </c>
      <c r="F47" s="139" t="s">
        <v>419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788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2119</v>
      </c>
      <c r="D48" s="245" t="s">
        <v>478</v>
      </c>
      <c r="E48" s="247" t="s">
        <v>217</v>
      </c>
      <c r="F48" s="248" t="s">
        <v>2120</v>
      </c>
      <c r="G48" s="249" t="s">
        <v>2117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788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2121</v>
      </c>
      <c r="D49" s="135" t="s">
        <v>724</v>
      </c>
      <c r="E49" s="172" t="s">
        <v>116</v>
      </c>
      <c r="F49" s="139" t="s">
        <v>404</v>
      </c>
      <c r="G49" s="177" t="s">
        <v>2067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617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2121</v>
      </c>
      <c r="D50" s="135" t="s">
        <v>724</v>
      </c>
      <c r="E50" s="172" t="s">
        <v>115</v>
      </c>
      <c r="F50" s="139" t="s">
        <v>404</v>
      </c>
      <c r="G50" s="177" t="s">
        <v>597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617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2122</v>
      </c>
      <c r="D51" s="135" t="s">
        <v>545</v>
      </c>
      <c r="E51" s="172" t="s">
        <v>217</v>
      </c>
      <c r="F51" s="139" t="s">
        <v>371</v>
      </c>
      <c r="G51" s="177" t="s">
        <v>743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617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2123</v>
      </c>
      <c r="D52" s="135" t="s">
        <v>724</v>
      </c>
      <c r="E52" s="172" t="s">
        <v>537</v>
      </c>
      <c r="F52" s="139" t="s">
        <v>472</v>
      </c>
      <c r="G52" s="177" t="s">
        <v>729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617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2124</v>
      </c>
      <c r="D53" s="135" t="s">
        <v>545</v>
      </c>
      <c r="E53" s="172" t="s">
        <v>537</v>
      </c>
      <c r="F53" s="139" t="s">
        <v>511</v>
      </c>
      <c r="G53" s="177" t="s">
        <v>563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617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2099</v>
      </c>
      <c r="D54" s="135" t="s">
        <v>724</v>
      </c>
      <c r="E54" s="172" t="s">
        <v>192</v>
      </c>
      <c r="F54" s="139" t="s">
        <v>2100</v>
      </c>
      <c r="G54" s="177" t="s">
        <v>2097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617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633</v>
      </c>
      <c r="D55" s="135" t="s">
        <v>724</v>
      </c>
      <c r="E55" s="172" t="s">
        <v>116</v>
      </c>
      <c r="F55" s="139" t="s">
        <v>2125</v>
      </c>
      <c r="G55" s="177" t="s">
        <v>2107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617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2126</v>
      </c>
      <c r="D56" s="135" t="s">
        <v>724</v>
      </c>
      <c r="E56" s="172" t="s">
        <v>537</v>
      </c>
      <c r="F56" s="139" t="s">
        <v>431</v>
      </c>
      <c r="G56" s="177" t="s">
        <v>2127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617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2066</v>
      </c>
      <c r="D57" s="135" t="s">
        <v>724</v>
      </c>
      <c r="E57" s="172" t="s">
        <v>537</v>
      </c>
      <c r="F57" s="139" t="s">
        <v>392</v>
      </c>
      <c r="G57" s="177" t="s">
        <v>560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617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2128</v>
      </c>
      <c r="D58" s="135" t="s">
        <v>545</v>
      </c>
      <c r="E58" s="172" t="s">
        <v>537</v>
      </c>
      <c r="F58" s="139" t="s">
        <v>472</v>
      </c>
      <c r="G58" s="177" t="s">
        <v>642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617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2129</v>
      </c>
      <c r="D59" s="135" t="s">
        <v>545</v>
      </c>
      <c r="E59" s="172" t="s">
        <v>537</v>
      </c>
      <c r="F59" s="139" t="s">
        <v>442</v>
      </c>
      <c r="G59" s="177" t="s">
        <v>563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617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2130</v>
      </c>
      <c r="D60" s="135" t="s">
        <v>724</v>
      </c>
      <c r="E60" s="172" t="s">
        <v>537</v>
      </c>
      <c r="F60" s="139" t="s">
        <v>562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617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2131</v>
      </c>
      <c r="D61" s="135" t="s">
        <v>724</v>
      </c>
      <c r="E61" s="172" t="s">
        <v>237</v>
      </c>
      <c r="F61" s="139" t="s">
        <v>369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617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2132</v>
      </c>
      <c r="D62" s="135" t="s">
        <v>478</v>
      </c>
      <c r="E62" s="172" t="s">
        <v>217</v>
      </c>
      <c r="F62" s="139" t="s">
        <v>371</v>
      </c>
      <c r="G62" s="177" t="s">
        <v>2133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617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2134</v>
      </c>
      <c r="D63" s="135" t="s">
        <v>545</v>
      </c>
      <c r="E63" s="172" t="s">
        <v>116</v>
      </c>
      <c r="F63" s="139" t="s">
        <v>419</v>
      </c>
      <c r="G63" s="177" t="s">
        <v>2135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617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2134</v>
      </c>
      <c r="D64" s="135" t="s">
        <v>545</v>
      </c>
      <c r="E64" s="172" t="s">
        <v>210</v>
      </c>
      <c r="F64" s="139" t="s">
        <v>419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617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2134</v>
      </c>
      <c r="D65" s="135" t="s">
        <v>545</v>
      </c>
      <c r="E65" s="172" t="s">
        <v>115</v>
      </c>
      <c r="F65" s="139" t="s">
        <v>419</v>
      </c>
      <c r="G65" s="177" t="s">
        <v>2136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617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2137</v>
      </c>
      <c r="D66" s="135" t="s">
        <v>545</v>
      </c>
      <c r="E66" s="172" t="s">
        <v>116</v>
      </c>
      <c r="F66" s="139" t="s">
        <v>472</v>
      </c>
      <c r="G66" s="177" t="s">
        <v>2067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617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2137</v>
      </c>
      <c r="D67" s="135" t="s">
        <v>545</v>
      </c>
      <c r="E67" s="172" t="s">
        <v>210</v>
      </c>
      <c r="F67" s="139" t="s">
        <v>472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617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2138</v>
      </c>
      <c r="D68" s="135" t="s">
        <v>545</v>
      </c>
      <c r="E68" s="172" t="s">
        <v>116</v>
      </c>
      <c r="F68" s="139" t="s">
        <v>594</v>
      </c>
      <c r="G68" s="177" t="s">
        <v>2135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617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2139</v>
      </c>
      <c r="D69" s="135" t="s">
        <v>724</v>
      </c>
      <c r="E69" s="172" t="s">
        <v>217</v>
      </c>
      <c r="F69" s="139" t="s">
        <v>371</v>
      </c>
      <c r="G69" s="177" t="s">
        <v>2067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617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2140</v>
      </c>
      <c r="D70" s="135" t="s">
        <v>724</v>
      </c>
      <c r="E70" s="172" t="s">
        <v>537</v>
      </c>
      <c r="F70" s="139" t="s">
        <v>527</v>
      </c>
      <c r="G70" s="177" t="s">
        <v>2141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617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2142</v>
      </c>
      <c r="D71" s="135" t="s">
        <v>724</v>
      </c>
      <c r="E71" s="172" t="s">
        <v>537</v>
      </c>
      <c r="F71" s="139" t="s">
        <v>527</v>
      </c>
      <c r="G71" s="177" t="s">
        <v>2143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617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2144</v>
      </c>
      <c r="D72" s="135" t="s">
        <v>545</v>
      </c>
      <c r="E72" s="172" t="s">
        <v>116</v>
      </c>
      <c r="F72" s="139" t="s">
        <v>1004</v>
      </c>
      <c r="G72" s="177" t="s">
        <v>2135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617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2145</v>
      </c>
      <c r="D73" s="135" t="s">
        <v>724</v>
      </c>
      <c r="E73" s="172" t="s">
        <v>116</v>
      </c>
      <c r="F73" s="139" t="s">
        <v>417</v>
      </c>
      <c r="G73" s="177" t="s">
        <v>2067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617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2062</v>
      </c>
      <c r="D74" s="135" t="s">
        <v>724</v>
      </c>
      <c r="E74" s="172" t="s">
        <v>192</v>
      </c>
      <c r="F74" s="139" t="s">
        <v>392</v>
      </c>
      <c r="G74" s="177" t="s">
        <v>2146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617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2147</v>
      </c>
      <c r="D75" s="135" t="s">
        <v>724</v>
      </c>
      <c r="E75" s="172" t="s">
        <v>116</v>
      </c>
      <c r="F75" s="139" t="s">
        <v>431</v>
      </c>
      <c r="G75" s="177" t="s">
        <v>2107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617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2148</v>
      </c>
      <c r="D76" s="135" t="s">
        <v>724</v>
      </c>
      <c r="E76" s="172" t="s">
        <v>115</v>
      </c>
      <c r="F76" s="139" t="s">
        <v>431</v>
      </c>
      <c r="G76" s="177" t="s">
        <v>560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617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2149</v>
      </c>
      <c r="D77" s="135" t="s">
        <v>724</v>
      </c>
      <c r="E77" s="172" t="s">
        <v>237</v>
      </c>
      <c r="F77" s="139" t="s">
        <v>369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617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2150</v>
      </c>
      <c r="D78" s="135" t="s">
        <v>724</v>
      </c>
      <c r="E78" s="172" t="s">
        <v>115</v>
      </c>
      <c r="F78" s="139" t="s">
        <v>527</v>
      </c>
      <c r="G78" s="177" t="s">
        <v>2151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617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723</v>
      </c>
      <c r="D79" s="135" t="s">
        <v>724</v>
      </c>
      <c r="E79" s="172" t="s">
        <v>1011</v>
      </c>
      <c r="F79" s="139" t="s">
        <v>387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617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2152</v>
      </c>
      <c r="D80" s="135" t="s">
        <v>724</v>
      </c>
      <c r="E80" s="172" t="s">
        <v>577</v>
      </c>
      <c r="F80" s="139" t="s">
        <v>527</v>
      </c>
      <c r="G80" s="177" t="s">
        <v>560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617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2153</v>
      </c>
      <c r="D81" s="135" t="s">
        <v>545</v>
      </c>
      <c r="E81" s="172" t="s">
        <v>537</v>
      </c>
      <c r="F81" s="139" t="s">
        <v>568</v>
      </c>
      <c r="G81" s="177" t="s">
        <v>563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617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2154</v>
      </c>
      <c r="D82" s="135" t="s">
        <v>545</v>
      </c>
      <c r="E82" s="172" t="s">
        <v>116</v>
      </c>
      <c r="F82" s="139" t="s">
        <v>2155</v>
      </c>
      <c r="G82" s="177" t="s">
        <v>1250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617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2156</v>
      </c>
      <c r="D83" s="135" t="s">
        <v>545</v>
      </c>
      <c r="E83" s="172" t="s">
        <v>537</v>
      </c>
      <c r="F83" s="139" t="s">
        <v>419</v>
      </c>
      <c r="G83" s="177" t="s">
        <v>583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617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2157</v>
      </c>
      <c r="D84" s="135" t="s">
        <v>545</v>
      </c>
      <c r="E84" s="172" t="s">
        <v>537</v>
      </c>
      <c r="F84" s="139" t="s">
        <v>527</v>
      </c>
      <c r="G84" s="177" t="s">
        <v>563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617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2158</v>
      </c>
      <c r="D85" s="135" t="s">
        <v>478</v>
      </c>
      <c r="E85" s="172" t="s">
        <v>116</v>
      </c>
      <c r="F85" s="139" t="s">
        <v>410</v>
      </c>
      <c r="G85" s="177" t="s">
        <v>2067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617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2159</v>
      </c>
      <c r="D86" s="135" t="s">
        <v>545</v>
      </c>
      <c r="E86" s="172" t="s">
        <v>537</v>
      </c>
      <c r="F86" s="139" t="s">
        <v>472</v>
      </c>
      <c r="G86" s="177" t="s">
        <v>583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617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2086</v>
      </c>
      <c r="D87" s="135" t="s">
        <v>724</v>
      </c>
      <c r="E87" s="172" t="s">
        <v>115</v>
      </c>
      <c r="F87" s="139" t="s">
        <v>2160</v>
      </c>
      <c r="G87" s="177" t="s">
        <v>2094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617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2161</v>
      </c>
      <c r="D88" s="135" t="s">
        <v>545</v>
      </c>
      <c r="E88" s="172" t="s">
        <v>537</v>
      </c>
      <c r="F88" s="139" t="s">
        <v>594</v>
      </c>
      <c r="G88" s="177" t="s">
        <v>563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617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2161</v>
      </c>
      <c r="D89" s="135" t="s">
        <v>545</v>
      </c>
      <c r="E89" s="172" t="s">
        <v>537</v>
      </c>
      <c r="F89" s="139" t="s">
        <v>415</v>
      </c>
      <c r="G89" s="177" t="s">
        <v>629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617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2162</v>
      </c>
      <c r="D90" s="135" t="s">
        <v>389</v>
      </c>
      <c r="E90" s="172" t="s">
        <v>537</v>
      </c>
      <c r="F90" s="139" t="s">
        <v>431</v>
      </c>
      <c r="G90" s="177" t="s">
        <v>2084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617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2163</v>
      </c>
      <c r="D91" s="135" t="s">
        <v>545</v>
      </c>
      <c r="E91" s="172" t="s">
        <v>537</v>
      </c>
      <c r="F91" s="139" t="s">
        <v>419</v>
      </c>
      <c r="G91" s="177" t="s">
        <v>642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617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2164</v>
      </c>
      <c r="D92" s="135" t="s">
        <v>545</v>
      </c>
      <c r="E92" s="172" t="s">
        <v>537</v>
      </c>
      <c r="F92" s="139" t="s">
        <v>527</v>
      </c>
      <c r="G92" s="177" t="s">
        <v>642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617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2089</v>
      </c>
      <c r="D93" s="135" t="s">
        <v>724</v>
      </c>
      <c r="E93" s="172" t="s">
        <v>192</v>
      </c>
      <c r="F93" s="139" t="s">
        <v>1066</v>
      </c>
      <c r="G93" s="177" t="s">
        <v>1340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617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2089</v>
      </c>
      <c r="D94" s="255" t="s">
        <v>724</v>
      </c>
      <c r="E94" s="256" t="s">
        <v>115</v>
      </c>
      <c r="F94" s="257" t="s">
        <v>419</v>
      </c>
      <c r="G94" s="258" t="s">
        <v>2165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617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2166</v>
      </c>
      <c r="D95" s="262" t="s">
        <v>545</v>
      </c>
      <c r="E95" s="264" t="s">
        <v>217</v>
      </c>
      <c r="F95" s="265" t="s">
        <v>371</v>
      </c>
      <c r="G95" s="266" t="s">
        <v>489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620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2167</v>
      </c>
      <c r="D96" s="122" t="s">
        <v>376</v>
      </c>
      <c r="E96" s="150" t="s">
        <v>217</v>
      </c>
      <c r="F96" s="126" t="s">
        <v>371</v>
      </c>
      <c r="G96" s="271" t="s">
        <v>1236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620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2168</v>
      </c>
      <c r="D97" s="122" t="s">
        <v>665</v>
      </c>
      <c r="E97" s="150" t="s">
        <v>197</v>
      </c>
      <c r="F97" s="126" t="s">
        <v>1004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620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2169</v>
      </c>
      <c r="D98" s="122" t="s">
        <v>545</v>
      </c>
      <c r="E98" s="150" t="s">
        <v>116</v>
      </c>
      <c r="F98" s="126" t="s">
        <v>812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620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2170</v>
      </c>
      <c r="D99" s="122" t="s">
        <v>724</v>
      </c>
      <c r="E99" s="150" t="s">
        <v>580</v>
      </c>
      <c r="F99" s="126" t="s">
        <v>371</v>
      </c>
      <c r="G99" s="271" t="s">
        <v>2171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620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2172</v>
      </c>
      <c r="D100" s="122" t="s">
        <v>545</v>
      </c>
      <c r="E100" s="150" t="s">
        <v>537</v>
      </c>
      <c r="F100" s="126" t="s">
        <v>392</v>
      </c>
      <c r="G100" s="271" t="s">
        <v>629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620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633</v>
      </c>
      <c r="D101" s="122" t="s">
        <v>724</v>
      </c>
      <c r="E101" s="150" t="s">
        <v>115</v>
      </c>
      <c r="F101" s="126" t="s">
        <v>442</v>
      </c>
      <c r="G101" s="271" t="s">
        <v>2173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620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2174</v>
      </c>
      <c r="D102" s="274" t="s">
        <v>545</v>
      </c>
      <c r="E102" s="276" t="s">
        <v>682</v>
      </c>
      <c r="F102" s="277" t="s">
        <v>387</v>
      </c>
      <c r="G102" s="278" t="s">
        <v>2067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620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2137</v>
      </c>
      <c r="D103" s="274" t="s">
        <v>545</v>
      </c>
      <c r="E103" s="276" t="s">
        <v>115</v>
      </c>
      <c r="F103" s="277" t="s">
        <v>472</v>
      </c>
      <c r="G103" s="278" t="s">
        <v>629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620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2175</v>
      </c>
      <c r="D104" s="274" t="s">
        <v>545</v>
      </c>
      <c r="E104" s="276" t="s">
        <v>116</v>
      </c>
      <c r="F104" s="277" t="s">
        <v>511</v>
      </c>
      <c r="G104" s="278" t="s">
        <v>2067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620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2175</v>
      </c>
      <c r="D105" s="274" t="s">
        <v>545</v>
      </c>
      <c r="E105" s="276" t="s">
        <v>210</v>
      </c>
      <c r="F105" s="277" t="s">
        <v>511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620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2138</v>
      </c>
      <c r="D106" s="274" t="s">
        <v>545</v>
      </c>
      <c r="E106" s="276" t="s">
        <v>210</v>
      </c>
      <c r="F106" s="277" t="s">
        <v>594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620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2138</v>
      </c>
      <c r="D107" s="274" t="s">
        <v>545</v>
      </c>
      <c r="E107" s="276" t="s">
        <v>115</v>
      </c>
      <c r="F107" s="277" t="s">
        <v>594</v>
      </c>
      <c r="G107" s="278" t="s">
        <v>563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620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2176</v>
      </c>
      <c r="D108" s="274" t="s">
        <v>545</v>
      </c>
      <c r="E108" s="276" t="s">
        <v>217</v>
      </c>
      <c r="F108" s="277" t="s">
        <v>371</v>
      </c>
      <c r="G108" s="278" t="s">
        <v>2067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620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2177</v>
      </c>
      <c r="D109" s="274" t="s">
        <v>724</v>
      </c>
      <c r="E109" s="276" t="s">
        <v>217</v>
      </c>
      <c r="F109" s="277" t="s">
        <v>387</v>
      </c>
      <c r="G109" s="278" t="s">
        <v>2067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620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2178</v>
      </c>
      <c r="D110" s="274" t="s">
        <v>724</v>
      </c>
      <c r="E110" s="276" t="s">
        <v>217</v>
      </c>
      <c r="F110" s="277" t="s">
        <v>387</v>
      </c>
      <c r="G110" s="278" t="s">
        <v>2067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620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2179</v>
      </c>
      <c r="D111" s="274" t="s">
        <v>724</v>
      </c>
      <c r="E111" s="276" t="s">
        <v>116</v>
      </c>
      <c r="F111" s="277" t="s">
        <v>431</v>
      </c>
      <c r="G111" s="278" t="s">
        <v>2135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620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2106</v>
      </c>
      <c r="D112" s="274" t="s">
        <v>724</v>
      </c>
      <c r="E112" s="276" t="s">
        <v>537</v>
      </c>
      <c r="F112" s="277" t="s">
        <v>527</v>
      </c>
      <c r="G112" s="278" t="s">
        <v>729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620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2106</v>
      </c>
      <c r="D113" s="274" t="s">
        <v>724</v>
      </c>
      <c r="E113" s="276" t="s">
        <v>116</v>
      </c>
      <c r="F113" s="277" t="s">
        <v>442</v>
      </c>
      <c r="G113" s="278" t="s">
        <v>729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620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2180</v>
      </c>
      <c r="D114" s="274" t="s">
        <v>545</v>
      </c>
      <c r="E114" s="276" t="s">
        <v>537</v>
      </c>
      <c r="F114" s="277" t="s">
        <v>442</v>
      </c>
      <c r="G114" s="278" t="s">
        <v>563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620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2144</v>
      </c>
      <c r="D115" s="274" t="s">
        <v>545</v>
      </c>
      <c r="E115" s="276" t="s">
        <v>1053</v>
      </c>
      <c r="F115" s="277" t="s">
        <v>1004</v>
      </c>
      <c r="G115" s="278" t="s">
        <v>489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620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2181</v>
      </c>
      <c r="D116" s="274" t="s">
        <v>545</v>
      </c>
      <c r="E116" s="276" t="s">
        <v>537</v>
      </c>
      <c r="F116" s="277" t="s">
        <v>431</v>
      </c>
      <c r="G116" s="278" t="s">
        <v>554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620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2182</v>
      </c>
      <c r="D117" s="274" t="s">
        <v>545</v>
      </c>
      <c r="E117" s="276" t="s">
        <v>116</v>
      </c>
      <c r="F117" s="277" t="s">
        <v>410</v>
      </c>
      <c r="G117" s="278" t="s">
        <v>486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620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2150</v>
      </c>
      <c r="D118" s="274" t="s">
        <v>724</v>
      </c>
      <c r="E118" s="276" t="s">
        <v>537</v>
      </c>
      <c r="F118" s="277" t="s">
        <v>431</v>
      </c>
      <c r="G118" s="278" t="s">
        <v>2079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620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2183</v>
      </c>
      <c r="D119" s="274" t="s">
        <v>389</v>
      </c>
      <c r="E119" s="276" t="s">
        <v>537</v>
      </c>
      <c r="F119" s="277" t="s">
        <v>562</v>
      </c>
      <c r="G119" s="278" t="s">
        <v>2184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620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2154</v>
      </c>
      <c r="D120" s="274" t="s">
        <v>545</v>
      </c>
      <c r="E120" s="276" t="s">
        <v>2185</v>
      </c>
      <c r="F120" s="277" t="s">
        <v>2155</v>
      </c>
      <c r="G120" s="278" t="s">
        <v>629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620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2186</v>
      </c>
      <c r="D121" s="274" t="s">
        <v>545</v>
      </c>
      <c r="E121" s="276" t="s">
        <v>116</v>
      </c>
      <c r="F121" s="277" t="s">
        <v>1851</v>
      </c>
      <c r="G121" s="278" t="s">
        <v>573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620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2187</v>
      </c>
      <c r="D122" s="274" t="s">
        <v>376</v>
      </c>
      <c r="E122" s="276" t="s">
        <v>116</v>
      </c>
      <c r="F122" s="277" t="s">
        <v>472</v>
      </c>
      <c r="G122" s="278" t="s">
        <v>718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620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2188</v>
      </c>
      <c r="D123" s="274" t="s">
        <v>2189</v>
      </c>
      <c r="E123" s="276" t="s">
        <v>580</v>
      </c>
      <c r="F123" s="277" t="s">
        <v>371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620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2190</v>
      </c>
      <c r="D124" s="274" t="s">
        <v>545</v>
      </c>
      <c r="E124" s="276" t="s">
        <v>197</v>
      </c>
      <c r="F124" s="277" t="s">
        <v>2191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620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2192</v>
      </c>
      <c r="D125" s="274" t="s">
        <v>376</v>
      </c>
      <c r="E125" s="276" t="s">
        <v>537</v>
      </c>
      <c r="F125" s="277" t="s">
        <v>431</v>
      </c>
      <c r="G125" s="278" t="s">
        <v>566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620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2193</v>
      </c>
      <c r="D126" s="274" t="s">
        <v>724</v>
      </c>
      <c r="E126" s="276" t="s">
        <v>577</v>
      </c>
      <c r="F126" s="277" t="s">
        <v>527</v>
      </c>
      <c r="G126" s="278" t="s">
        <v>2127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620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2194</v>
      </c>
      <c r="D127" s="274" t="s">
        <v>545</v>
      </c>
      <c r="E127" s="276" t="s">
        <v>217</v>
      </c>
      <c r="F127" s="277" t="s">
        <v>371</v>
      </c>
      <c r="G127" s="278" t="s">
        <v>1064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620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2195</v>
      </c>
      <c r="D128" s="274" t="s">
        <v>545</v>
      </c>
      <c r="E128" s="276" t="s">
        <v>537</v>
      </c>
      <c r="F128" s="277" t="s">
        <v>527</v>
      </c>
      <c r="G128" s="278" t="s">
        <v>563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620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2161</v>
      </c>
      <c r="D129" s="274" t="s">
        <v>545</v>
      </c>
      <c r="E129" s="276" t="s">
        <v>537</v>
      </c>
      <c r="F129" s="277" t="s">
        <v>645</v>
      </c>
      <c r="G129" s="278" t="s">
        <v>629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620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2196</v>
      </c>
      <c r="D130" s="274" t="s">
        <v>545</v>
      </c>
      <c r="E130" s="276" t="s">
        <v>217</v>
      </c>
      <c r="F130" s="277" t="s">
        <v>387</v>
      </c>
      <c r="G130" s="278" t="s">
        <v>489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620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2197</v>
      </c>
      <c r="D131" s="274" t="s">
        <v>665</v>
      </c>
      <c r="E131" s="276" t="s">
        <v>537</v>
      </c>
      <c r="F131" s="277" t="s">
        <v>431</v>
      </c>
      <c r="G131" s="278" t="s">
        <v>2198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620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2199</v>
      </c>
      <c r="D132" s="274" t="s">
        <v>545</v>
      </c>
      <c r="E132" s="276" t="s">
        <v>537</v>
      </c>
      <c r="F132" s="277" t="s">
        <v>415</v>
      </c>
      <c r="G132" s="278" t="s">
        <v>658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620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2200</v>
      </c>
      <c r="D133" s="274" t="s">
        <v>724</v>
      </c>
      <c r="E133" s="276" t="s">
        <v>580</v>
      </c>
      <c r="F133" s="277" t="s">
        <v>371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620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2201</v>
      </c>
      <c r="D134" s="282" t="s">
        <v>545</v>
      </c>
      <c r="E134" s="284" t="s">
        <v>217</v>
      </c>
      <c r="F134" s="285" t="s">
        <v>371</v>
      </c>
      <c r="G134" s="286" t="s">
        <v>489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620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2202</v>
      </c>
      <c r="D135" s="122" t="s">
        <v>545</v>
      </c>
      <c r="E135" s="150" t="s">
        <v>537</v>
      </c>
      <c r="F135" s="126" t="s">
        <v>527</v>
      </c>
      <c r="G135" s="271" t="s">
        <v>583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960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2203</v>
      </c>
      <c r="D136" s="122" t="s">
        <v>376</v>
      </c>
      <c r="E136" s="150" t="s">
        <v>537</v>
      </c>
      <c r="F136" s="126" t="s">
        <v>511</v>
      </c>
      <c r="G136" s="271" t="s">
        <v>554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960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2204</v>
      </c>
      <c r="D137" s="122" t="s">
        <v>389</v>
      </c>
      <c r="E137" s="150" t="s">
        <v>537</v>
      </c>
      <c r="F137" s="126" t="s">
        <v>568</v>
      </c>
      <c r="G137" s="271" t="s">
        <v>642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960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2205</v>
      </c>
      <c r="D138" s="274" t="s">
        <v>376</v>
      </c>
      <c r="E138" s="276" t="s">
        <v>537</v>
      </c>
      <c r="F138" s="277" t="s">
        <v>562</v>
      </c>
      <c r="G138" s="278" t="s">
        <v>554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960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2206</v>
      </c>
      <c r="D139" s="274" t="s">
        <v>545</v>
      </c>
      <c r="E139" s="276" t="s">
        <v>537</v>
      </c>
      <c r="F139" s="277" t="s">
        <v>527</v>
      </c>
      <c r="G139" s="278" t="s">
        <v>629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960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2124</v>
      </c>
      <c r="D140" s="274" t="s">
        <v>545</v>
      </c>
      <c r="E140" s="276" t="s">
        <v>580</v>
      </c>
      <c r="F140" s="277" t="s">
        <v>371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960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2207</v>
      </c>
      <c r="D141" s="274" t="s">
        <v>545</v>
      </c>
      <c r="E141" s="276" t="s">
        <v>204</v>
      </c>
      <c r="F141" s="277" t="s">
        <v>1540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960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2207</v>
      </c>
      <c r="D142" s="274" t="s">
        <v>545</v>
      </c>
      <c r="E142" s="276" t="s">
        <v>115</v>
      </c>
      <c r="F142" s="277" t="s">
        <v>472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960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2208</v>
      </c>
      <c r="D143" s="274" t="s">
        <v>478</v>
      </c>
      <c r="E143" s="276" t="s">
        <v>188</v>
      </c>
      <c r="F143" s="277" t="s">
        <v>431</v>
      </c>
      <c r="G143" s="278" t="s">
        <v>2136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960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633</v>
      </c>
      <c r="D144" s="274" t="s">
        <v>724</v>
      </c>
      <c r="E144" s="276" t="s">
        <v>115</v>
      </c>
      <c r="F144" s="277" t="s">
        <v>410</v>
      </c>
      <c r="G144" s="278" t="s">
        <v>563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960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2168</v>
      </c>
      <c r="D145" s="274" t="s">
        <v>665</v>
      </c>
      <c r="E145" s="276" t="s">
        <v>197</v>
      </c>
      <c r="F145" s="277" t="s">
        <v>2209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960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2169</v>
      </c>
      <c r="D146" s="274" t="s">
        <v>545</v>
      </c>
      <c r="E146" s="276" t="s">
        <v>192</v>
      </c>
      <c r="F146" s="277" t="s">
        <v>812</v>
      </c>
      <c r="G146" s="278" t="s">
        <v>563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960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2210</v>
      </c>
      <c r="D147" s="274" t="s">
        <v>545</v>
      </c>
      <c r="E147" s="276" t="s">
        <v>537</v>
      </c>
      <c r="F147" s="277" t="s">
        <v>472</v>
      </c>
      <c r="G147" s="278" t="s">
        <v>563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960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2211</v>
      </c>
      <c r="D148" s="274" t="s">
        <v>545</v>
      </c>
      <c r="E148" s="276" t="s">
        <v>217</v>
      </c>
      <c r="F148" s="277" t="s">
        <v>371</v>
      </c>
      <c r="G148" s="278" t="s">
        <v>703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960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2212</v>
      </c>
      <c r="D149" s="274" t="s">
        <v>376</v>
      </c>
      <c r="E149" s="276" t="s">
        <v>210</v>
      </c>
      <c r="F149" s="277" t="s">
        <v>407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960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2213</v>
      </c>
      <c r="D150" s="274" t="s">
        <v>545</v>
      </c>
      <c r="E150" s="276" t="s">
        <v>116</v>
      </c>
      <c r="F150" s="277" t="s">
        <v>415</v>
      </c>
      <c r="G150" s="278" t="s">
        <v>573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960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2213</v>
      </c>
      <c r="D151" s="274" t="s">
        <v>545</v>
      </c>
      <c r="E151" s="276" t="s">
        <v>210</v>
      </c>
      <c r="F151" s="277" t="s">
        <v>415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960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2214</v>
      </c>
      <c r="D152" s="274" t="s">
        <v>545</v>
      </c>
      <c r="E152" s="276" t="s">
        <v>115</v>
      </c>
      <c r="F152" s="277" t="s">
        <v>415</v>
      </c>
      <c r="G152" s="278" t="s">
        <v>563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960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2215</v>
      </c>
      <c r="D153" s="274" t="s">
        <v>545</v>
      </c>
      <c r="E153" s="276" t="s">
        <v>116</v>
      </c>
      <c r="F153" s="277" t="s">
        <v>530</v>
      </c>
      <c r="G153" s="278" t="s">
        <v>489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960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2215</v>
      </c>
      <c r="D154" s="274" t="s">
        <v>545</v>
      </c>
      <c r="E154" s="276" t="s">
        <v>197</v>
      </c>
      <c r="F154" s="277" t="s">
        <v>2216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960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2175</v>
      </c>
      <c r="D155" s="274" t="s">
        <v>545</v>
      </c>
      <c r="E155" s="276" t="s">
        <v>115</v>
      </c>
      <c r="F155" s="277" t="s">
        <v>415</v>
      </c>
      <c r="G155" s="278" t="s">
        <v>563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960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2217</v>
      </c>
      <c r="D156" s="274" t="s">
        <v>545</v>
      </c>
      <c r="E156" s="276" t="s">
        <v>217</v>
      </c>
      <c r="F156" s="277" t="s">
        <v>371</v>
      </c>
      <c r="G156" s="278" t="s">
        <v>489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960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2218</v>
      </c>
      <c r="D157" s="274" t="s">
        <v>545</v>
      </c>
      <c r="E157" s="276" t="s">
        <v>537</v>
      </c>
      <c r="F157" s="277" t="s">
        <v>562</v>
      </c>
      <c r="G157" s="278" t="s">
        <v>629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960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2219</v>
      </c>
      <c r="D158" s="274" t="s">
        <v>665</v>
      </c>
      <c r="E158" s="276" t="s">
        <v>537</v>
      </c>
      <c r="F158" s="277" t="s">
        <v>511</v>
      </c>
      <c r="G158" s="278" t="s">
        <v>583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960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2220</v>
      </c>
      <c r="D159" s="274" t="s">
        <v>478</v>
      </c>
      <c r="E159" s="276" t="s">
        <v>115</v>
      </c>
      <c r="F159" s="277" t="s">
        <v>407</v>
      </c>
      <c r="G159" s="278" t="s">
        <v>2221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960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2220</v>
      </c>
      <c r="D160" s="274" t="s">
        <v>478</v>
      </c>
      <c r="E160" s="276" t="s">
        <v>188</v>
      </c>
      <c r="F160" s="277" t="s">
        <v>410</v>
      </c>
      <c r="G160" s="278" t="s">
        <v>2221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960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2222</v>
      </c>
      <c r="D161" s="274" t="s">
        <v>665</v>
      </c>
      <c r="E161" s="276" t="s">
        <v>537</v>
      </c>
      <c r="F161" s="277" t="s">
        <v>530</v>
      </c>
      <c r="G161" s="278" t="s">
        <v>678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960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2223</v>
      </c>
      <c r="D162" s="274" t="s">
        <v>545</v>
      </c>
      <c r="E162" s="276" t="s">
        <v>116</v>
      </c>
      <c r="F162" s="277" t="s">
        <v>445</v>
      </c>
      <c r="G162" s="278" t="s">
        <v>573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960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2223</v>
      </c>
      <c r="D163" s="274" t="s">
        <v>545</v>
      </c>
      <c r="E163" s="276" t="s">
        <v>192</v>
      </c>
      <c r="F163" s="277" t="s">
        <v>445</v>
      </c>
      <c r="G163" s="278" t="s">
        <v>583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960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2224</v>
      </c>
      <c r="D164" s="274" t="s">
        <v>665</v>
      </c>
      <c r="E164" s="276" t="s">
        <v>217</v>
      </c>
      <c r="F164" s="277" t="s">
        <v>371</v>
      </c>
      <c r="G164" s="278" t="s">
        <v>718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960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2145</v>
      </c>
      <c r="D165" s="274" t="s">
        <v>545</v>
      </c>
      <c r="E165" s="276" t="s">
        <v>115</v>
      </c>
      <c r="F165" s="277" t="s">
        <v>417</v>
      </c>
      <c r="G165" s="278" t="s">
        <v>563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960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2062</v>
      </c>
      <c r="D166" s="274" t="s">
        <v>724</v>
      </c>
      <c r="E166" s="276" t="s">
        <v>580</v>
      </c>
      <c r="F166" s="277" t="s">
        <v>371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960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2225</v>
      </c>
      <c r="D167" s="274" t="s">
        <v>545</v>
      </c>
      <c r="E167" s="276" t="s">
        <v>682</v>
      </c>
      <c r="F167" s="277" t="s">
        <v>371</v>
      </c>
      <c r="G167" s="278" t="s">
        <v>489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960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2148</v>
      </c>
      <c r="D168" s="274" t="s">
        <v>545</v>
      </c>
      <c r="E168" s="276" t="s">
        <v>537</v>
      </c>
      <c r="F168" s="277" t="s">
        <v>645</v>
      </c>
      <c r="G168" s="278" t="s">
        <v>563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960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2226</v>
      </c>
      <c r="D169" s="274" t="s">
        <v>478</v>
      </c>
      <c r="E169" s="276" t="s">
        <v>188</v>
      </c>
      <c r="F169" s="277" t="s">
        <v>594</v>
      </c>
      <c r="G169" s="278" t="s">
        <v>583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960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2182</v>
      </c>
      <c r="D170" s="274" t="s">
        <v>545</v>
      </c>
      <c r="E170" s="276" t="s">
        <v>192</v>
      </c>
      <c r="F170" s="277" t="s">
        <v>410</v>
      </c>
      <c r="G170" s="278" t="s">
        <v>563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960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2227</v>
      </c>
      <c r="D171" s="274" t="s">
        <v>545</v>
      </c>
      <c r="E171" s="276" t="s">
        <v>116</v>
      </c>
      <c r="F171" s="277" t="s">
        <v>407</v>
      </c>
      <c r="G171" s="278" t="s">
        <v>703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960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2227</v>
      </c>
      <c r="D172" s="274" t="s">
        <v>545</v>
      </c>
      <c r="E172" s="276" t="s">
        <v>210</v>
      </c>
      <c r="F172" s="277" t="s">
        <v>407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960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2228</v>
      </c>
      <c r="D173" s="274" t="s">
        <v>545</v>
      </c>
      <c r="E173" s="276" t="s">
        <v>116</v>
      </c>
      <c r="F173" s="277" t="s">
        <v>417</v>
      </c>
      <c r="G173" s="278" t="s">
        <v>489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960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2228</v>
      </c>
      <c r="D174" s="274" t="s">
        <v>545</v>
      </c>
      <c r="E174" s="276" t="s">
        <v>210</v>
      </c>
      <c r="F174" s="277" t="s">
        <v>417</v>
      </c>
      <c r="G174" s="278" t="s">
        <v>489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960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2229</v>
      </c>
      <c r="D175" s="274" t="s">
        <v>724</v>
      </c>
      <c r="E175" s="276" t="s">
        <v>682</v>
      </c>
      <c r="F175" s="277" t="s">
        <v>387</v>
      </c>
      <c r="G175" s="278" t="s">
        <v>693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960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2230</v>
      </c>
      <c r="D176" s="274" t="s">
        <v>665</v>
      </c>
      <c r="E176" s="276" t="s">
        <v>210</v>
      </c>
      <c r="F176" s="277" t="s">
        <v>445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960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1847</v>
      </c>
      <c r="D177" s="274" t="s">
        <v>724</v>
      </c>
      <c r="E177" s="276" t="s">
        <v>116</v>
      </c>
      <c r="F177" s="277" t="s">
        <v>527</v>
      </c>
      <c r="G177" s="278" t="s">
        <v>2135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960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2231</v>
      </c>
      <c r="D178" s="274" t="s">
        <v>545</v>
      </c>
      <c r="E178" s="276" t="s">
        <v>116</v>
      </c>
      <c r="F178" s="277" t="s">
        <v>392</v>
      </c>
      <c r="G178" s="278" t="s">
        <v>489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960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2231</v>
      </c>
      <c r="D179" s="274" t="s">
        <v>545</v>
      </c>
      <c r="E179" s="276" t="s">
        <v>210</v>
      </c>
      <c r="F179" s="277" t="s">
        <v>392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960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2232</v>
      </c>
      <c r="D180" s="274" t="s">
        <v>545</v>
      </c>
      <c r="E180" s="276" t="s">
        <v>115</v>
      </c>
      <c r="F180" s="277" t="s">
        <v>392</v>
      </c>
      <c r="G180" s="278" t="s">
        <v>2233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960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2234</v>
      </c>
      <c r="D181" s="274" t="s">
        <v>376</v>
      </c>
      <c r="E181" s="276" t="s">
        <v>537</v>
      </c>
      <c r="F181" s="277" t="s">
        <v>442</v>
      </c>
      <c r="G181" s="278" t="s">
        <v>554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960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2235</v>
      </c>
      <c r="D182" s="274" t="s">
        <v>478</v>
      </c>
      <c r="E182" s="276" t="s">
        <v>217</v>
      </c>
      <c r="F182" s="277" t="s">
        <v>371</v>
      </c>
      <c r="G182" s="278" t="s">
        <v>718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960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2236</v>
      </c>
      <c r="D183" s="274" t="s">
        <v>545</v>
      </c>
      <c r="E183" s="276" t="s">
        <v>116</v>
      </c>
      <c r="F183" s="277" t="s">
        <v>417</v>
      </c>
      <c r="G183" s="278" t="s">
        <v>2101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960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2237</v>
      </c>
      <c r="D184" s="274" t="s">
        <v>376</v>
      </c>
      <c r="E184" s="276" t="s">
        <v>116</v>
      </c>
      <c r="F184" s="277" t="s">
        <v>538</v>
      </c>
      <c r="G184" s="278" t="s">
        <v>489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960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2186</v>
      </c>
      <c r="D185" s="274" t="s">
        <v>545</v>
      </c>
      <c r="E185" s="276" t="s">
        <v>115</v>
      </c>
      <c r="F185" s="277" t="s">
        <v>1851</v>
      </c>
      <c r="G185" s="278" t="s">
        <v>563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960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2187</v>
      </c>
      <c r="D186" s="274" t="s">
        <v>376</v>
      </c>
      <c r="E186" s="276" t="s">
        <v>210</v>
      </c>
      <c r="F186" s="277" t="s">
        <v>472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960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2238</v>
      </c>
      <c r="D187" s="274" t="s">
        <v>545</v>
      </c>
      <c r="E187" s="276" t="s">
        <v>537</v>
      </c>
      <c r="F187" s="277" t="s">
        <v>562</v>
      </c>
      <c r="G187" s="278" t="s">
        <v>629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960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2239</v>
      </c>
      <c r="D188" s="274" t="s">
        <v>545</v>
      </c>
      <c r="E188" s="276" t="s">
        <v>116</v>
      </c>
      <c r="F188" s="277" t="s">
        <v>417</v>
      </c>
      <c r="G188" s="278" t="s">
        <v>1236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960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2239</v>
      </c>
      <c r="D189" s="274" t="s">
        <v>545</v>
      </c>
      <c r="E189" s="276" t="s">
        <v>210</v>
      </c>
      <c r="F189" s="277" t="s">
        <v>417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960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2239</v>
      </c>
      <c r="D190" s="274" t="s">
        <v>545</v>
      </c>
      <c r="E190" s="276" t="s">
        <v>115</v>
      </c>
      <c r="F190" s="277" t="s">
        <v>417</v>
      </c>
      <c r="G190" s="278" t="s">
        <v>629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960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2240</v>
      </c>
      <c r="D191" s="274" t="s">
        <v>478</v>
      </c>
      <c r="E191" s="276" t="s">
        <v>116</v>
      </c>
      <c r="F191" s="277" t="s">
        <v>442</v>
      </c>
      <c r="G191" s="278" t="s">
        <v>2067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960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2241</v>
      </c>
      <c r="D192" s="274" t="s">
        <v>478</v>
      </c>
      <c r="E192" s="276" t="s">
        <v>116</v>
      </c>
      <c r="F192" s="277" t="s">
        <v>534</v>
      </c>
      <c r="G192" s="278" t="s">
        <v>489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960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2242</v>
      </c>
      <c r="D193" s="274" t="s">
        <v>545</v>
      </c>
      <c r="E193" s="276" t="s">
        <v>537</v>
      </c>
      <c r="F193" s="277" t="s">
        <v>431</v>
      </c>
      <c r="G193" s="278" t="s">
        <v>563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960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2243</v>
      </c>
      <c r="D194" s="274" t="s">
        <v>545</v>
      </c>
      <c r="E194" s="276" t="s">
        <v>237</v>
      </c>
      <c r="F194" s="277" t="s">
        <v>371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960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2244</v>
      </c>
      <c r="D195" s="274" t="s">
        <v>545</v>
      </c>
      <c r="E195" s="276" t="s">
        <v>537</v>
      </c>
      <c r="F195" s="277" t="s">
        <v>2245</v>
      </c>
      <c r="G195" s="278" t="s">
        <v>563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960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2246</v>
      </c>
      <c r="D196" s="274" t="s">
        <v>478</v>
      </c>
      <c r="E196" s="276" t="s">
        <v>217</v>
      </c>
      <c r="F196" s="277" t="s">
        <v>371</v>
      </c>
      <c r="G196" s="278" t="s">
        <v>489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960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2247</v>
      </c>
      <c r="D197" s="274" t="s">
        <v>376</v>
      </c>
      <c r="E197" s="276" t="s">
        <v>537</v>
      </c>
      <c r="F197" s="277" t="s">
        <v>562</v>
      </c>
      <c r="G197" s="278" t="s">
        <v>554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960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2248</v>
      </c>
      <c r="D198" s="274" t="s">
        <v>545</v>
      </c>
      <c r="E198" s="276" t="s">
        <v>217</v>
      </c>
      <c r="F198" s="277" t="s">
        <v>369</v>
      </c>
      <c r="G198" s="278" t="s">
        <v>489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960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2249</v>
      </c>
      <c r="D199" s="274" t="s">
        <v>545</v>
      </c>
      <c r="E199" s="276" t="s">
        <v>217</v>
      </c>
      <c r="F199" s="277" t="s">
        <v>371</v>
      </c>
      <c r="G199" s="278" t="s">
        <v>489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960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2250</v>
      </c>
      <c r="D200" s="274" t="s">
        <v>545</v>
      </c>
      <c r="E200" s="276" t="s">
        <v>116</v>
      </c>
      <c r="F200" s="277" t="s">
        <v>2251</v>
      </c>
      <c r="G200" s="278" t="s">
        <v>489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960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1159</v>
      </c>
      <c r="D201" s="274" t="s">
        <v>545</v>
      </c>
      <c r="E201" s="276" t="s">
        <v>537</v>
      </c>
      <c r="F201" s="277" t="s">
        <v>527</v>
      </c>
      <c r="G201" s="278" t="s">
        <v>629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960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2252</v>
      </c>
      <c r="D202" s="274" t="s">
        <v>545</v>
      </c>
      <c r="E202" s="276" t="s">
        <v>116</v>
      </c>
      <c r="F202" s="277" t="s">
        <v>442</v>
      </c>
      <c r="G202" s="278" t="s">
        <v>2067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960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2252</v>
      </c>
      <c r="D203" s="274" t="s">
        <v>545</v>
      </c>
      <c r="E203" s="276" t="s">
        <v>210</v>
      </c>
      <c r="F203" s="277" t="s">
        <v>442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960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2252</v>
      </c>
      <c r="D204" s="274" t="s">
        <v>545</v>
      </c>
      <c r="E204" s="276" t="s">
        <v>115</v>
      </c>
      <c r="F204" s="277" t="s">
        <v>442</v>
      </c>
      <c r="G204" s="278" t="s">
        <v>658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960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2253</v>
      </c>
      <c r="D205" s="274" t="s">
        <v>545</v>
      </c>
      <c r="E205" s="276" t="s">
        <v>537</v>
      </c>
      <c r="F205" s="277" t="s">
        <v>511</v>
      </c>
      <c r="G205" s="278" t="s">
        <v>629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960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2254</v>
      </c>
      <c r="D206" s="274" t="s">
        <v>545</v>
      </c>
      <c r="E206" s="276" t="s">
        <v>116</v>
      </c>
      <c r="F206" s="277" t="s">
        <v>392</v>
      </c>
      <c r="G206" s="278" t="s">
        <v>489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960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2255</v>
      </c>
      <c r="D207" s="274" t="s">
        <v>724</v>
      </c>
      <c r="E207" s="276" t="s">
        <v>580</v>
      </c>
      <c r="F207" s="277" t="s">
        <v>371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960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2255</v>
      </c>
      <c r="D208" s="274" t="s">
        <v>665</v>
      </c>
      <c r="E208" s="276" t="s">
        <v>580</v>
      </c>
      <c r="F208" s="277" t="s">
        <v>369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960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2256</v>
      </c>
      <c r="D209" s="291" t="s">
        <v>545</v>
      </c>
      <c r="E209" s="293" t="s">
        <v>537</v>
      </c>
      <c r="F209" s="294" t="s">
        <v>404</v>
      </c>
      <c r="G209" s="295" t="s">
        <v>629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960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2257</v>
      </c>
      <c r="D210" s="274" t="s">
        <v>376</v>
      </c>
      <c r="E210" s="276" t="s">
        <v>116</v>
      </c>
      <c r="F210" s="277" t="s">
        <v>527</v>
      </c>
      <c r="G210" s="278" t="s">
        <v>489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623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712</v>
      </c>
      <c r="D211" s="122" t="s">
        <v>376</v>
      </c>
      <c r="E211" s="150" t="s">
        <v>116</v>
      </c>
      <c r="F211" s="126" t="s">
        <v>419</v>
      </c>
      <c r="G211" s="271" t="s">
        <v>489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623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2258</v>
      </c>
      <c r="D212" s="122" t="s">
        <v>545</v>
      </c>
      <c r="E212" s="150" t="s">
        <v>116</v>
      </c>
      <c r="F212" s="126" t="s">
        <v>511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623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2259</v>
      </c>
      <c r="D213" s="122" t="s">
        <v>545</v>
      </c>
      <c r="E213" s="150" t="s">
        <v>116</v>
      </c>
      <c r="F213" s="126" t="s">
        <v>472</v>
      </c>
      <c r="G213" s="271" t="s">
        <v>573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623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707</v>
      </c>
      <c r="D214" s="122" t="s">
        <v>545</v>
      </c>
      <c r="E214" s="150" t="s">
        <v>116</v>
      </c>
      <c r="F214" s="126" t="s">
        <v>392</v>
      </c>
      <c r="G214" s="271" t="s">
        <v>573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623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2260</v>
      </c>
      <c r="D215" s="122" t="s">
        <v>545</v>
      </c>
      <c r="E215" s="150" t="s">
        <v>116</v>
      </c>
      <c r="F215" s="126" t="s">
        <v>442</v>
      </c>
      <c r="G215" s="271" t="s">
        <v>554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623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2261</v>
      </c>
      <c r="D216" s="122" t="s">
        <v>545</v>
      </c>
      <c r="E216" s="150" t="s">
        <v>116</v>
      </c>
      <c r="F216" s="126" t="s">
        <v>404</v>
      </c>
      <c r="G216" s="271" t="s">
        <v>486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623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2262</v>
      </c>
      <c r="D217" s="122" t="s">
        <v>376</v>
      </c>
      <c r="E217" s="150" t="s">
        <v>116</v>
      </c>
      <c r="F217" s="126" t="s">
        <v>404</v>
      </c>
      <c r="G217" s="271" t="s">
        <v>1236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623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2263</v>
      </c>
      <c r="D218" s="122" t="s">
        <v>376</v>
      </c>
      <c r="E218" s="150" t="s">
        <v>116</v>
      </c>
      <c r="F218" s="126" t="s">
        <v>419</v>
      </c>
      <c r="G218" s="271" t="s">
        <v>489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623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2264</v>
      </c>
      <c r="D219" s="122" t="s">
        <v>545</v>
      </c>
      <c r="E219" s="150" t="s">
        <v>116</v>
      </c>
      <c r="F219" s="126" t="s">
        <v>392</v>
      </c>
      <c r="G219" s="271" t="s">
        <v>489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623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653</v>
      </c>
      <c r="D220" s="122" t="s">
        <v>545</v>
      </c>
      <c r="E220" s="150" t="s">
        <v>116</v>
      </c>
      <c r="F220" s="126" t="s">
        <v>392</v>
      </c>
      <c r="G220" s="271" t="s">
        <v>489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623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2265</v>
      </c>
      <c r="D221" s="122" t="s">
        <v>376</v>
      </c>
      <c r="E221" s="150" t="s">
        <v>116</v>
      </c>
      <c r="F221" s="126" t="s">
        <v>511</v>
      </c>
      <c r="G221" s="271" t="s">
        <v>489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623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707</v>
      </c>
      <c r="D222" s="122" t="s">
        <v>545</v>
      </c>
      <c r="E222" s="150" t="s">
        <v>116</v>
      </c>
      <c r="F222" s="126" t="s">
        <v>534</v>
      </c>
      <c r="G222" s="271" t="s">
        <v>573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623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2266</v>
      </c>
      <c r="D223" s="122" t="s">
        <v>376</v>
      </c>
      <c r="E223" s="150" t="s">
        <v>116</v>
      </c>
      <c r="F223" s="126" t="s">
        <v>419</v>
      </c>
      <c r="G223" s="271" t="s">
        <v>489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623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2267</v>
      </c>
      <c r="D224" s="122" t="s">
        <v>545</v>
      </c>
      <c r="E224" s="150" t="s">
        <v>116</v>
      </c>
      <c r="F224" s="126" t="s">
        <v>417</v>
      </c>
      <c r="G224" s="271" t="s">
        <v>573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623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2268</v>
      </c>
      <c r="D225" s="122" t="s">
        <v>665</v>
      </c>
      <c r="E225" s="150" t="s">
        <v>116</v>
      </c>
      <c r="F225" s="126" t="s">
        <v>472</v>
      </c>
      <c r="G225" s="271" t="s">
        <v>489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623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2269</v>
      </c>
      <c r="D226" s="122" t="s">
        <v>665</v>
      </c>
      <c r="E226" s="150" t="s">
        <v>116</v>
      </c>
      <c r="F226" s="126" t="s">
        <v>415</v>
      </c>
      <c r="G226" s="271" t="s">
        <v>560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623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643</v>
      </c>
      <c r="D227" s="122" t="s">
        <v>545</v>
      </c>
      <c r="E227" s="150" t="s">
        <v>116</v>
      </c>
      <c r="F227" s="126" t="s">
        <v>645</v>
      </c>
      <c r="G227" s="271" t="s">
        <v>573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623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2270</v>
      </c>
      <c r="D228" s="122" t="s">
        <v>545</v>
      </c>
      <c r="E228" s="150" t="s">
        <v>116</v>
      </c>
      <c r="F228" s="126" t="s">
        <v>419</v>
      </c>
      <c r="G228" s="271" t="s">
        <v>573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623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2271</v>
      </c>
      <c r="D229" s="122" t="s">
        <v>545</v>
      </c>
      <c r="E229" s="150" t="s">
        <v>116</v>
      </c>
      <c r="F229" s="126" t="s">
        <v>562</v>
      </c>
      <c r="G229" s="271" t="s">
        <v>573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623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2272</v>
      </c>
      <c r="D230" s="122" t="s">
        <v>478</v>
      </c>
      <c r="E230" s="150" t="s">
        <v>237</v>
      </c>
      <c r="F230" s="126" t="s">
        <v>369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623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2273</v>
      </c>
      <c r="D231" s="122" t="s">
        <v>665</v>
      </c>
      <c r="E231" s="150" t="s">
        <v>116</v>
      </c>
      <c r="F231" s="126" t="s">
        <v>400</v>
      </c>
      <c r="G231" s="271" t="s">
        <v>2112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623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2264</v>
      </c>
      <c r="D232" s="122" t="s">
        <v>545</v>
      </c>
      <c r="E232" s="150" t="s">
        <v>210</v>
      </c>
      <c r="F232" s="126" t="s">
        <v>392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623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712</v>
      </c>
      <c r="D233" s="122" t="s">
        <v>376</v>
      </c>
      <c r="E233" s="150" t="s">
        <v>210</v>
      </c>
      <c r="F233" s="126" t="s">
        <v>419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623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2271</v>
      </c>
      <c r="D234" s="122" t="s">
        <v>545</v>
      </c>
      <c r="E234" s="150" t="s">
        <v>210</v>
      </c>
      <c r="F234" s="126" t="s">
        <v>562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623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633</v>
      </c>
      <c r="D235" s="122" t="s">
        <v>545</v>
      </c>
      <c r="E235" s="150" t="s">
        <v>204</v>
      </c>
      <c r="F235" s="126" t="s">
        <v>568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623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630</v>
      </c>
      <c r="D236" s="122" t="s">
        <v>665</v>
      </c>
      <c r="E236" s="150" t="s">
        <v>116</v>
      </c>
      <c r="F236" s="126" t="s">
        <v>2274</v>
      </c>
      <c r="G236" s="271" t="s">
        <v>554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623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715</v>
      </c>
      <c r="D237" s="122" t="s">
        <v>665</v>
      </c>
      <c r="E237" s="150" t="s">
        <v>116</v>
      </c>
      <c r="F237" s="126" t="s">
        <v>994</v>
      </c>
      <c r="G237" s="271" t="s">
        <v>560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623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2275</v>
      </c>
      <c r="D238" s="122" t="s">
        <v>376</v>
      </c>
      <c r="E238" s="150" t="s">
        <v>537</v>
      </c>
      <c r="F238" s="126" t="s">
        <v>527</v>
      </c>
      <c r="G238" s="271" t="s">
        <v>573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623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2276</v>
      </c>
      <c r="D239" s="122" t="s">
        <v>376</v>
      </c>
      <c r="E239" s="150" t="s">
        <v>537</v>
      </c>
      <c r="F239" s="126" t="s">
        <v>472</v>
      </c>
      <c r="G239" s="271" t="s">
        <v>569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623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2277</v>
      </c>
      <c r="D240" s="122" t="s">
        <v>665</v>
      </c>
      <c r="E240" s="150" t="s">
        <v>537</v>
      </c>
      <c r="F240" s="126" t="s">
        <v>415</v>
      </c>
      <c r="G240" s="271" t="s">
        <v>583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623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2278</v>
      </c>
      <c r="D241" s="122" t="s">
        <v>665</v>
      </c>
      <c r="E241" s="150" t="s">
        <v>537</v>
      </c>
      <c r="F241" s="126" t="s">
        <v>431</v>
      </c>
      <c r="G241" s="271" t="s">
        <v>560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623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2279</v>
      </c>
      <c r="D242" s="122" t="s">
        <v>376</v>
      </c>
      <c r="E242" s="150" t="s">
        <v>537</v>
      </c>
      <c r="F242" s="126" t="s">
        <v>472</v>
      </c>
      <c r="G242" s="271" t="s">
        <v>650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623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2280</v>
      </c>
      <c r="D243" s="122" t="s">
        <v>545</v>
      </c>
      <c r="E243" s="150" t="s">
        <v>537</v>
      </c>
      <c r="F243" s="126" t="s">
        <v>392</v>
      </c>
      <c r="G243" s="271" t="s">
        <v>629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623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2281</v>
      </c>
      <c r="D244" s="122" t="s">
        <v>545</v>
      </c>
      <c r="E244" s="150" t="s">
        <v>537</v>
      </c>
      <c r="F244" s="126" t="s">
        <v>562</v>
      </c>
      <c r="G244" s="271" t="s">
        <v>629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623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719</v>
      </c>
      <c r="D245" s="122" t="s">
        <v>545</v>
      </c>
      <c r="E245" s="150" t="s">
        <v>537</v>
      </c>
      <c r="F245" s="126" t="s">
        <v>527</v>
      </c>
      <c r="G245" s="271" t="s">
        <v>629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623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2282</v>
      </c>
      <c r="D246" s="122" t="s">
        <v>665</v>
      </c>
      <c r="E246" s="150" t="s">
        <v>537</v>
      </c>
      <c r="F246" s="126" t="s">
        <v>392</v>
      </c>
      <c r="G246" s="271" t="s">
        <v>597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623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2271</v>
      </c>
      <c r="D247" s="122" t="s">
        <v>545</v>
      </c>
      <c r="E247" s="150" t="s">
        <v>537</v>
      </c>
      <c r="F247" s="126" t="s">
        <v>431</v>
      </c>
      <c r="G247" s="271" t="s">
        <v>629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623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2283</v>
      </c>
      <c r="D248" s="122" t="s">
        <v>545</v>
      </c>
      <c r="E248" s="150" t="s">
        <v>537</v>
      </c>
      <c r="F248" s="126" t="s">
        <v>511</v>
      </c>
      <c r="G248" s="271" t="s">
        <v>629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623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2284</v>
      </c>
      <c r="D249" s="122" t="s">
        <v>376</v>
      </c>
      <c r="E249" s="150" t="s">
        <v>537</v>
      </c>
      <c r="F249" s="126" t="s">
        <v>511</v>
      </c>
      <c r="G249" s="271" t="s">
        <v>554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623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2285</v>
      </c>
      <c r="D250" s="122" t="s">
        <v>545</v>
      </c>
      <c r="E250" s="150" t="s">
        <v>537</v>
      </c>
      <c r="F250" s="126" t="s">
        <v>392</v>
      </c>
      <c r="G250" s="271" t="s">
        <v>629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623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2266</v>
      </c>
      <c r="D251" s="122" t="s">
        <v>376</v>
      </c>
      <c r="E251" s="150" t="s">
        <v>537</v>
      </c>
      <c r="F251" s="126" t="s">
        <v>419</v>
      </c>
      <c r="G251" s="271" t="s">
        <v>554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623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2286</v>
      </c>
      <c r="D252" s="122" t="s">
        <v>376</v>
      </c>
      <c r="E252" s="150" t="s">
        <v>537</v>
      </c>
      <c r="F252" s="126" t="s">
        <v>431</v>
      </c>
      <c r="G252" s="271" t="s">
        <v>650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623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2287</v>
      </c>
      <c r="D253" s="122" t="s">
        <v>545</v>
      </c>
      <c r="E253" s="150" t="s">
        <v>537</v>
      </c>
      <c r="F253" s="126" t="s">
        <v>511</v>
      </c>
      <c r="G253" s="271" t="s">
        <v>658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623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2288</v>
      </c>
      <c r="D254" s="122" t="s">
        <v>545</v>
      </c>
      <c r="E254" s="150" t="s">
        <v>537</v>
      </c>
      <c r="F254" s="126" t="s">
        <v>527</v>
      </c>
      <c r="G254" s="271" t="s">
        <v>629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623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2289</v>
      </c>
      <c r="D255" s="122" t="s">
        <v>376</v>
      </c>
      <c r="E255" s="150" t="s">
        <v>115</v>
      </c>
      <c r="F255" s="126" t="s">
        <v>472</v>
      </c>
      <c r="G255" s="271" t="s">
        <v>2221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623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2290</v>
      </c>
      <c r="D256" s="122" t="s">
        <v>376</v>
      </c>
      <c r="E256" s="150" t="s">
        <v>115</v>
      </c>
      <c r="F256" s="126" t="s">
        <v>407</v>
      </c>
      <c r="G256" s="271" t="s">
        <v>563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623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2102</v>
      </c>
      <c r="D257" s="122" t="s">
        <v>545</v>
      </c>
      <c r="E257" s="150" t="s">
        <v>115</v>
      </c>
      <c r="F257" s="126" t="s">
        <v>472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623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2253</v>
      </c>
      <c r="D258" s="122" t="s">
        <v>545</v>
      </c>
      <c r="E258" s="150" t="s">
        <v>115</v>
      </c>
      <c r="F258" s="126" t="s">
        <v>392</v>
      </c>
      <c r="G258" s="271" t="s">
        <v>629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623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2227</v>
      </c>
      <c r="D259" s="122" t="s">
        <v>545</v>
      </c>
      <c r="E259" s="150" t="s">
        <v>115</v>
      </c>
      <c r="F259" s="126" t="s">
        <v>407</v>
      </c>
      <c r="G259" s="271" t="s">
        <v>658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623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2291</v>
      </c>
      <c r="D260" s="122" t="s">
        <v>376</v>
      </c>
      <c r="E260" s="150" t="s">
        <v>217</v>
      </c>
      <c r="F260" s="126" t="s">
        <v>371</v>
      </c>
      <c r="G260" s="271" t="s">
        <v>703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623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2258</v>
      </c>
      <c r="D261" s="122" t="s">
        <v>545</v>
      </c>
      <c r="E261" s="150" t="s">
        <v>115</v>
      </c>
      <c r="F261" s="126" t="s">
        <v>511</v>
      </c>
      <c r="G261" s="271" t="s">
        <v>629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623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2259</v>
      </c>
      <c r="D262" s="122" t="s">
        <v>545</v>
      </c>
      <c r="E262" s="150" t="s">
        <v>115</v>
      </c>
      <c r="F262" s="126" t="s">
        <v>472</v>
      </c>
      <c r="G262" s="271" t="s">
        <v>629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623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2292</v>
      </c>
      <c r="D263" s="122" t="s">
        <v>545</v>
      </c>
      <c r="E263" s="150" t="s">
        <v>115</v>
      </c>
      <c r="F263" s="126" t="s">
        <v>530</v>
      </c>
      <c r="G263" s="271" t="s">
        <v>629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623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2230</v>
      </c>
      <c r="D264" s="122" t="s">
        <v>665</v>
      </c>
      <c r="E264" s="150" t="s">
        <v>115</v>
      </c>
      <c r="F264" s="126" t="s">
        <v>445</v>
      </c>
      <c r="G264" s="271" t="s">
        <v>658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623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2267</v>
      </c>
      <c r="D265" s="122" t="s">
        <v>545</v>
      </c>
      <c r="E265" s="150" t="s">
        <v>115</v>
      </c>
      <c r="F265" s="126" t="s">
        <v>417</v>
      </c>
      <c r="G265" s="271" t="s">
        <v>563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623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2264</v>
      </c>
      <c r="D266" s="122" t="s">
        <v>545</v>
      </c>
      <c r="E266" s="150" t="s">
        <v>115</v>
      </c>
      <c r="F266" s="126" t="s">
        <v>392</v>
      </c>
      <c r="G266" s="271" t="s">
        <v>629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623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707</v>
      </c>
      <c r="D267" s="122" t="s">
        <v>545</v>
      </c>
      <c r="E267" s="150" t="s">
        <v>115</v>
      </c>
      <c r="F267" s="126" t="s">
        <v>392</v>
      </c>
      <c r="G267" s="271" t="s">
        <v>642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623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2257</v>
      </c>
      <c r="D268" s="122" t="s">
        <v>376</v>
      </c>
      <c r="E268" s="150" t="s">
        <v>115</v>
      </c>
      <c r="F268" s="126" t="s">
        <v>527</v>
      </c>
      <c r="G268" s="271" t="s">
        <v>735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623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2113</v>
      </c>
      <c r="D269" s="122" t="s">
        <v>724</v>
      </c>
      <c r="E269" s="150" t="s">
        <v>217</v>
      </c>
      <c r="F269" s="126" t="s">
        <v>371</v>
      </c>
      <c r="G269" s="271" t="s">
        <v>1903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623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671</v>
      </c>
      <c r="D270" s="122" t="s">
        <v>478</v>
      </c>
      <c r="E270" s="150" t="s">
        <v>217</v>
      </c>
      <c r="F270" s="126" t="s">
        <v>371</v>
      </c>
      <c r="G270" s="271" t="s">
        <v>489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623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2293</v>
      </c>
      <c r="D271" s="122" t="s">
        <v>665</v>
      </c>
      <c r="E271" s="150" t="s">
        <v>217</v>
      </c>
      <c r="F271" s="126" t="s">
        <v>371</v>
      </c>
      <c r="G271" s="271" t="s">
        <v>489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623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2294</v>
      </c>
      <c r="D272" s="122" t="s">
        <v>665</v>
      </c>
      <c r="E272" s="150" t="s">
        <v>217</v>
      </c>
      <c r="F272" s="126" t="s">
        <v>371</v>
      </c>
      <c r="G272" s="271" t="s">
        <v>489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623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2295</v>
      </c>
      <c r="D273" s="122" t="s">
        <v>478</v>
      </c>
      <c r="E273" s="150" t="s">
        <v>217</v>
      </c>
      <c r="F273" s="126" t="s">
        <v>371</v>
      </c>
      <c r="G273" s="271" t="s">
        <v>489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623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753</v>
      </c>
      <c r="D274" s="122" t="s">
        <v>478</v>
      </c>
      <c r="E274" s="150" t="s">
        <v>217</v>
      </c>
      <c r="F274" s="126" t="s">
        <v>369</v>
      </c>
      <c r="G274" s="271" t="s">
        <v>489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623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2227</v>
      </c>
      <c r="D275" s="122" t="s">
        <v>545</v>
      </c>
      <c r="E275" s="150" t="s">
        <v>217</v>
      </c>
      <c r="F275" s="126" t="s">
        <v>369</v>
      </c>
      <c r="G275" s="271" t="s">
        <v>703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623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2260</v>
      </c>
      <c r="D276" s="122" t="s">
        <v>545</v>
      </c>
      <c r="E276" s="150" t="s">
        <v>577</v>
      </c>
      <c r="F276" s="126" t="s">
        <v>415</v>
      </c>
      <c r="G276" s="271" t="s">
        <v>554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623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2260</v>
      </c>
      <c r="D277" s="122" t="s">
        <v>545</v>
      </c>
      <c r="E277" s="150" t="s">
        <v>192</v>
      </c>
      <c r="F277" s="126" t="s">
        <v>442</v>
      </c>
      <c r="G277" s="271" t="s">
        <v>629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623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707</v>
      </c>
      <c r="D278" s="122" t="s">
        <v>545</v>
      </c>
      <c r="E278" s="150" t="s">
        <v>192</v>
      </c>
      <c r="F278" s="126" t="s">
        <v>534</v>
      </c>
      <c r="G278" s="271" t="s">
        <v>737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623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2261</v>
      </c>
      <c r="D279" s="122" t="s">
        <v>545</v>
      </c>
      <c r="E279" s="150" t="s">
        <v>192</v>
      </c>
      <c r="F279" s="126" t="s">
        <v>404</v>
      </c>
      <c r="G279" s="271" t="s">
        <v>563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623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2296</v>
      </c>
      <c r="D280" s="122" t="s">
        <v>545</v>
      </c>
      <c r="E280" s="150" t="s">
        <v>537</v>
      </c>
      <c r="F280" s="126" t="s">
        <v>2297</v>
      </c>
      <c r="G280" s="271" t="s">
        <v>629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623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2186</v>
      </c>
      <c r="D281" s="122" t="s">
        <v>545</v>
      </c>
      <c r="E281" s="150" t="s">
        <v>537</v>
      </c>
      <c r="F281" s="126" t="s">
        <v>2298</v>
      </c>
      <c r="G281" s="271" t="s">
        <v>563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623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2299</v>
      </c>
      <c r="D282" s="122" t="s">
        <v>545</v>
      </c>
      <c r="E282" s="150" t="s">
        <v>217</v>
      </c>
      <c r="F282" s="126" t="s">
        <v>485</v>
      </c>
      <c r="G282" s="271" t="s">
        <v>743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623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2113</v>
      </c>
      <c r="D283" s="122" t="s">
        <v>724</v>
      </c>
      <c r="E283" s="150" t="s">
        <v>115</v>
      </c>
      <c r="F283" s="126" t="s">
        <v>2114</v>
      </c>
      <c r="G283" s="271" t="s">
        <v>642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623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2300</v>
      </c>
      <c r="F285" s="307">
        <v>3624379</v>
      </c>
      <c r="G285" s="308"/>
      <c r="I285" s="646" t="s">
        <v>2060</v>
      </c>
      <c r="J285" s="646"/>
      <c r="K285" s="309">
        <v>9538010</v>
      </c>
      <c r="L285" s="310"/>
      <c r="M285" s="311" t="s">
        <v>2301</v>
      </c>
    </row>
    <row r="286" spans="1:13" x14ac:dyDescent="0.25">
      <c r="A286" s="303"/>
      <c r="B286" s="304"/>
      <c r="C286" s="305"/>
      <c r="D286" s="304"/>
      <c r="E286" s="306" t="s">
        <v>2302</v>
      </c>
      <c r="F286" s="312">
        <v>472981.4595</v>
      </c>
      <c r="G286" s="308"/>
      <c r="I286" s="647" t="s">
        <v>2303</v>
      </c>
      <c r="J286" s="647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44" t="s">
        <v>2304</v>
      </c>
      <c r="B289" s="644"/>
      <c r="C289" s="644"/>
      <c r="D289" s="644"/>
      <c r="E289" s="644"/>
      <c r="F289" s="644"/>
      <c r="G289" s="644"/>
      <c r="H289" s="644"/>
      <c r="I289" s="644"/>
      <c r="J289" s="644"/>
      <c r="K289" s="644"/>
      <c r="L289" s="644"/>
      <c r="M289" s="644"/>
    </row>
    <row r="290" spans="1:13" ht="28.5" customHeight="1" x14ac:dyDescent="0.25">
      <c r="A290" s="317" t="s">
        <v>2051</v>
      </c>
      <c r="B290" s="317" t="s">
        <v>97</v>
      </c>
      <c r="C290" s="317" t="s">
        <v>2052</v>
      </c>
      <c r="D290" s="317" t="s">
        <v>2053</v>
      </c>
      <c r="E290" s="317" t="s">
        <v>2054</v>
      </c>
      <c r="F290" s="317" t="s">
        <v>2055</v>
      </c>
      <c r="G290" s="317" t="s">
        <v>2056</v>
      </c>
      <c r="H290" s="318" t="s">
        <v>2057</v>
      </c>
      <c r="I290" s="317" t="s">
        <v>2058</v>
      </c>
      <c r="J290" s="317" t="s">
        <v>2059</v>
      </c>
      <c r="K290" s="317" t="s">
        <v>2060</v>
      </c>
      <c r="L290" s="317" t="s">
        <v>2061</v>
      </c>
      <c r="M290" s="317" t="s">
        <v>2305</v>
      </c>
    </row>
    <row r="291" spans="1:13" ht="18.75" customHeight="1" x14ac:dyDescent="0.25">
      <c r="A291" s="319">
        <v>1</v>
      </c>
      <c r="B291" s="319">
        <v>55041</v>
      </c>
      <c r="C291" s="320" t="s">
        <v>2306</v>
      </c>
      <c r="D291" s="319" t="s">
        <v>2307</v>
      </c>
      <c r="E291" s="320" t="s">
        <v>580</v>
      </c>
      <c r="F291" s="321" t="s">
        <v>371</v>
      </c>
      <c r="G291" s="321"/>
      <c r="H291" s="322">
        <v>41526</v>
      </c>
      <c r="I291" s="319">
        <v>1</v>
      </c>
      <c r="J291" s="323">
        <v>25800</v>
      </c>
      <c r="K291" s="323" t="s">
        <v>2308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2309</v>
      </c>
      <c r="D292" s="135" t="s">
        <v>1056</v>
      </c>
      <c r="E292" s="172" t="s">
        <v>116</v>
      </c>
      <c r="F292" s="139" t="s">
        <v>527</v>
      </c>
      <c r="G292" s="326" t="s">
        <v>2067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788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2310</v>
      </c>
      <c r="D293" s="135" t="s">
        <v>1014</v>
      </c>
      <c r="E293" s="172" t="s">
        <v>537</v>
      </c>
      <c r="F293" s="139" t="s">
        <v>431</v>
      </c>
      <c r="G293" s="326" t="s">
        <v>642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788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2311</v>
      </c>
      <c r="D294" s="135" t="s">
        <v>414</v>
      </c>
      <c r="E294" s="172" t="s">
        <v>116</v>
      </c>
      <c r="F294" s="139" t="s">
        <v>527</v>
      </c>
      <c r="G294" s="326" t="s">
        <v>2097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788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2312</v>
      </c>
      <c r="D295" s="135" t="s">
        <v>614</v>
      </c>
      <c r="E295" s="172" t="s">
        <v>175</v>
      </c>
      <c r="F295" s="139" t="s">
        <v>2313</v>
      </c>
      <c r="G295" s="326" t="s">
        <v>569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788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2312</v>
      </c>
      <c r="D296" s="135" t="s">
        <v>614</v>
      </c>
      <c r="E296" s="172" t="s">
        <v>116</v>
      </c>
      <c r="F296" s="139" t="s">
        <v>1356</v>
      </c>
      <c r="G296" s="326" t="s">
        <v>2314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788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2315</v>
      </c>
      <c r="D297" s="135" t="s">
        <v>2307</v>
      </c>
      <c r="E297" s="172" t="s">
        <v>116</v>
      </c>
      <c r="F297" s="139" t="s">
        <v>1004</v>
      </c>
      <c r="G297" s="326" t="s">
        <v>2107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788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2316</v>
      </c>
      <c r="D298" s="135" t="s">
        <v>1056</v>
      </c>
      <c r="E298" s="172" t="s">
        <v>116</v>
      </c>
      <c r="F298" s="139" t="s">
        <v>1361</v>
      </c>
      <c r="G298" s="326" t="s">
        <v>2067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788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2317</v>
      </c>
      <c r="D299" s="135" t="s">
        <v>1056</v>
      </c>
      <c r="E299" s="172" t="s">
        <v>116</v>
      </c>
      <c r="F299" s="139" t="s">
        <v>562</v>
      </c>
      <c r="G299" s="326" t="s">
        <v>1064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788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2318</v>
      </c>
      <c r="D300" s="135" t="s">
        <v>614</v>
      </c>
      <c r="E300" s="172" t="s">
        <v>116</v>
      </c>
      <c r="F300" s="139" t="s">
        <v>2319</v>
      </c>
      <c r="G300" s="326" t="s">
        <v>554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788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2320</v>
      </c>
      <c r="D301" s="135" t="s">
        <v>2321</v>
      </c>
      <c r="E301" s="172" t="s">
        <v>580</v>
      </c>
      <c r="F301" s="139" t="s">
        <v>371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788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2322</v>
      </c>
      <c r="D302" s="135" t="s">
        <v>2321</v>
      </c>
      <c r="E302" s="172" t="s">
        <v>580</v>
      </c>
      <c r="F302" s="139" t="s">
        <v>371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788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2323</v>
      </c>
      <c r="D303" s="135" t="s">
        <v>1056</v>
      </c>
      <c r="E303" s="172" t="s">
        <v>116</v>
      </c>
      <c r="F303" s="139" t="s">
        <v>445</v>
      </c>
      <c r="G303" s="326" t="s">
        <v>2107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788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2312</v>
      </c>
      <c r="D304" s="135" t="s">
        <v>1056</v>
      </c>
      <c r="E304" s="172" t="s">
        <v>537</v>
      </c>
      <c r="F304" s="139" t="s">
        <v>431</v>
      </c>
      <c r="G304" s="326" t="s">
        <v>583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788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2324</v>
      </c>
      <c r="D305" s="135" t="s">
        <v>1014</v>
      </c>
      <c r="E305" s="172" t="s">
        <v>116</v>
      </c>
      <c r="F305" s="139" t="s">
        <v>725</v>
      </c>
      <c r="G305" s="326" t="s">
        <v>2067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788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1590</v>
      </c>
      <c r="D306" s="135" t="s">
        <v>1056</v>
      </c>
      <c r="E306" s="172" t="s">
        <v>228</v>
      </c>
      <c r="F306" s="139" t="s">
        <v>511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788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2325</v>
      </c>
      <c r="D307" s="135" t="s">
        <v>1056</v>
      </c>
      <c r="E307" s="172" t="s">
        <v>537</v>
      </c>
      <c r="F307" s="139" t="s">
        <v>431</v>
      </c>
      <c r="G307" s="326" t="s">
        <v>563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788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2326</v>
      </c>
      <c r="D308" s="135" t="s">
        <v>2321</v>
      </c>
      <c r="E308" s="172" t="s">
        <v>580</v>
      </c>
      <c r="F308" s="139" t="s">
        <v>371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788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2327</v>
      </c>
      <c r="D309" s="135" t="s">
        <v>414</v>
      </c>
      <c r="E309" s="172" t="s">
        <v>115</v>
      </c>
      <c r="F309" s="139" t="s">
        <v>527</v>
      </c>
      <c r="G309" s="326" t="s">
        <v>2328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788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2329</v>
      </c>
      <c r="D310" s="135" t="s">
        <v>1014</v>
      </c>
      <c r="E310" s="172" t="s">
        <v>116</v>
      </c>
      <c r="F310" s="139" t="s">
        <v>2330</v>
      </c>
      <c r="G310" s="326" t="s">
        <v>2107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788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2331</v>
      </c>
      <c r="D311" s="135" t="s">
        <v>1014</v>
      </c>
      <c r="E311" s="172" t="s">
        <v>115</v>
      </c>
      <c r="F311" s="139" t="s">
        <v>442</v>
      </c>
      <c r="G311" s="326" t="s">
        <v>642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788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2332</v>
      </c>
      <c r="D312" s="135" t="s">
        <v>1014</v>
      </c>
      <c r="E312" s="172" t="s">
        <v>537</v>
      </c>
      <c r="F312" s="139" t="s">
        <v>562</v>
      </c>
      <c r="G312" s="326" t="s">
        <v>2333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788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2334</v>
      </c>
      <c r="D313" s="135" t="s">
        <v>1014</v>
      </c>
      <c r="E313" s="172" t="s">
        <v>116</v>
      </c>
      <c r="F313" s="139" t="s">
        <v>415</v>
      </c>
      <c r="G313" s="326" t="s">
        <v>2107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788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2335</v>
      </c>
      <c r="D314" s="135" t="s">
        <v>1014</v>
      </c>
      <c r="E314" s="172" t="s">
        <v>537</v>
      </c>
      <c r="F314" s="139" t="s">
        <v>527</v>
      </c>
      <c r="G314" s="326" t="s">
        <v>583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788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2336</v>
      </c>
      <c r="D315" s="135" t="s">
        <v>1056</v>
      </c>
      <c r="E315" s="172" t="s">
        <v>537</v>
      </c>
      <c r="F315" s="139" t="s">
        <v>2337</v>
      </c>
      <c r="G315" s="326" t="s">
        <v>2338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788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2339</v>
      </c>
      <c r="D316" s="135" t="s">
        <v>1014</v>
      </c>
      <c r="E316" s="172" t="s">
        <v>192</v>
      </c>
      <c r="F316" s="139" t="s">
        <v>534</v>
      </c>
      <c r="G316" s="326" t="s">
        <v>2151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788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2340</v>
      </c>
      <c r="D317" s="135" t="s">
        <v>414</v>
      </c>
      <c r="E317" s="172" t="s">
        <v>115</v>
      </c>
      <c r="F317" s="139" t="s">
        <v>645</v>
      </c>
      <c r="G317" s="326" t="s">
        <v>2341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788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2342</v>
      </c>
      <c r="D318" s="135" t="s">
        <v>1056</v>
      </c>
      <c r="E318" s="172" t="s">
        <v>537</v>
      </c>
      <c r="F318" s="139" t="s">
        <v>527</v>
      </c>
      <c r="G318" s="326" t="s">
        <v>583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788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2343</v>
      </c>
      <c r="D319" s="135" t="s">
        <v>1014</v>
      </c>
      <c r="E319" s="172" t="s">
        <v>116</v>
      </c>
      <c r="F319" s="139" t="s">
        <v>1098</v>
      </c>
      <c r="G319" s="326" t="s">
        <v>2101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788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2344</v>
      </c>
      <c r="D320" s="135" t="s">
        <v>1056</v>
      </c>
      <c r="E320" s="172" t="s">
        <v>188</v>
      </c>
      <c r="F320" s="139" t="s">
        <v>419</v>
      </c>
      <c r="G320" s="326" t="s">
        <v>2345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788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2346</v>
      </c>
      <c r="D321" s="135" t="s">
        <v>414</v>
      </c>
      <c r="E321" s="172" t="s">
        <v>537</v>
      </c>
      <c r="F321" s="139" t="s">
        <v>568</v>
      </c>
      <c r="G321" s="326" t="s">
        <v>2136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788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2347</v>
      </c>
      <c r="D322" s="135" t="s">
        <v>2307</v>
      </c>
      <c r="E322" s="172" t="s">
        <v>580</v>
      </c>
      <c r="F322" s="139" t="s">
        <v>371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788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2348</v>
      </c>
      <c r="D323" s="135" t="s">
        <v>1056</v>
      </c>
      <c r="E323" s="172" t="s">
        <v>116</v>
      </c>
      <c r="F323" s="139" t="s">
        <v>645</v>
      </c>
      <c r="G323" s="326" t="s">
        <v>1064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788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2349</v>
      </c>
      <c r="D324" s="135" t="s">
        <v>2350</v>
      </c>
      <c r="E324" s="172" t="s">
        <v>580</v>
      </c>
      <c r="F324" s="139" t="s">
        <v>371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788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2351</v>
      </c>
      <c r="D325" s="135" t="s">
        <v>1014</v>
      </c>
      <c r="E325" s="172" t="s">
        <v>537</v>
      </c>
      <c r="F325" s="139" t="s">
        <v>442</v>
      </c>
      <c r="G325" s="326" t="s">
        <v>583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788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2352</v>
      </c>
      <c r="D326" s="135" t="s">
        <v>1056</v>
      </c>
      <c r="E326" s="172" t="s">
        <v>537</v>
      </c>
      <c r="F326" s="139" t="s">
        <v>645</v>
      </c>
      <c r="G326" s="326" t="s">
        <v>642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788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2353</v>
      </c>
      <c r="D327" s="135" t="s">
        <v>414</v>
      </c>
      <c r="E327" s="172" t="s">
        <v>115</v>
      </c>
      <c r="F327" s="139" t="s">
        <v>417</v>
      </c>
      <c r="G327" s="326" t="s">
        <v>2341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788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2354</v>
      </c>
      <c r="D328" s="135" t="s">
        <v>414</v>
      </c>
      <c r="E328" s="172" t="s">
        <v>537</v>
      </c>
      <c r="F328" s="139" t="s">
        <v>415</v>
      </c>
      <c r="G328" s="326" t="s">
        <v>554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788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2355</v>
      </c>
      <c r="D329" s="135" t="s">
        <v>1056</v>
      </c>
      <c r="E329" s="172" t="s">
        <v>537</v>
      </c>
      <c r="F329" s="139" t="s">
        <v>419</v>
      </c>
      <c r="G329" s="326" t="s">
        <v>583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788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2356</v>
      </c>
      <c r="D330" s="135" t="s">
        <v>1014</v>
      </c>
      <c r="E330" s="172" t="s">
        <v>116</v>
      </c>
      <c r="F330" s="139" t="s">
        <v>2191</v>
      </c>
      <c r="G330" s="326" t="s">
        <v>2117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788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2357</v>
      </c>
      <c r="D331" s="135" t="s">
        <v>414</v>
      </c>
      <c r="E331" s="172" t="s">
        <v>580</v>
      </c>
      <c r="F331" s="139" t="s">
        <v>371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788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2358</v>
      </c>
      <c r="D332" s="135" t="s">
        <v>414</v>
      </c>
      <c r="E332" s="172" t="s">
        <v>537</v>
      </c>
      <c r="F332" s="139" t="s">
        <v>568</v>
      </c>
      <c r="G332" s="326" t="s">
        <v>563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788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2311</v>
      </c>
      <c r="D333" s="135" t="s">
        <v>414</v>
      </c>
      <c r="E333" s="172" t="s">
        <v>115</v>
      </c>
      <c r="F333" s="139" t="s">
        <v>527</v>
      </c>
      <c r="G333" s="326" t="s">
        <v>554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788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2359</v>
      </c>
      <c r="D334" s="135" t="s">
        <v>1025</v>
      </c>
      <c r="E334" s="172" t="s">
        <v>580</v>
      </c>
      <c r="F334" s="139" t="s">
        <v>371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788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2360</v>
      </c>
      <c r="D335" s="135" t="s">
        <v>1030</v>
      </c>
      <c r="E335" s="172" t="s">
        <v>580</v>
      </c>
      <c r="F335" s="139" t="s">
        <v>371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788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2361</v>
      </c>
      <c r="D336" s="135" t="s">
        <v>414</v>
      </c>
      <c r="E336" s="172" t="s">
        <v>577</v>
      </c>
      <c r="F336" s="139" t="s">
        <v>472</v>
      </c>
      <c r="G336" s="326" t="s">
        <v>2136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788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2362</v>
      </c>
      <c r="D337" s="135" t="s">
        <v>1056</v>
      </c>
      <c r="E337" s="172" t="s">
        <v>116</v>
      </c>
      <c r="F337" s="139" t="s">
        <v>562</v>
      </c>
      <c r="G337" s="326" t="s">
        <v>1064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788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2363</v>
      </c>
      <c r="D338" s="135" t="s">
        <v>2321</v>
      </c>
      <c r="E338" s="172" t="s">
        <v>580</v>
      </c>
      <c r="F338" s="139" t="s">
        <v>371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788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2364</v>
      </c>
      <c r="D339" s="135" t="s">
        <v>1030</v>
      </c>
      <c r="E339" s="172" t="s">
        <v>1011</v>
      </c>
      <c r="F339" s="139" t="s">
        <v>387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788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2365</v>
      </c>
      <c r="D340" s="135">
        <v>10</v>
      </c>
      <c r="E340" s="172" t="s">
        <v>116</v>
      </c>
      <c r="F340" s="139" t="s">
        <v>407</v>
      </c>
      <c r="G340" s="326" t="s">
        <v>2117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788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2366</v>
      </c>
      <c r="D341" s="135" t="s">
        <v>1056</v>
      </c>
      <c r="E341" s="172" t="s">
        <v>115</v>
      </c>
      <c r="F341" s="139" t="s">
        <v>431</v>
      </c>
      <c r="G341" s="326" t="s">
        <v>2367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788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2368</v>
      </c>
      <c r="D342" s="135" t="s">
        <v>1056</v>
      </c>
      <c r="E342" s="172" t="s">
        <v>188</v>
      </c>
      <c r="F342" s="139" t="s">
        <v>431</v>
      </c>
      <c r="G342" s="326" t="s">
        <v>563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788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2369</v>
      </c>
      <c r="D343" s="135" t="s">
        <v>414</v>
      </c>
      <c r="E343" s="172" t="s">
        <v>116</v>
      </c>
      <c r="F343" s="139" t="s">
        <v>527</v>
      </c>
      <c r="G343" s="326" t="s">
        <v>1059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788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2358</v>
      </c>
      <c r="D344" s="135" t="s">
        <v>414</v>
      </c>
      <c r="E344" s="172" t="s">
        <v>115</v>
      </c>
      <c r="F344" s="139" t="s">
        <v>511</v>
      </c>
      <c r="G344" s="326" t="s">
        <v>2136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788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2370</v>
      </c>
      <c r="D345" s="135" t="s">
        <v>1056</v>
      </c>
      <c r="E345" s="172" t="s">
        <v>537</v>
      </c>
      <c r="F345" s="139" t="s">
        <v>442</v>
      </c>
      <c r="G345" s="326" t="s">
        <v>563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788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2371</v>
      </c>
      <c r="D346" s="135" t="s">
        <v>414</v>
      </c>
      <c r="E346" s="172" t="s">
        <v>577</v>
      </c>
      <c r="F346" s="139" t="s">
        <v>527</v>
      </c>
      <c r="G346" s="326" t="s">
        <v>2151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788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2372</v>
      </c>
      <c r="D347" s="135" t="s">
        <v>414</v>
      </c>
      <c r="E347" s="172" t="s">
        <v>188</v>
      </c>
      <c r="F347" s="139" t="s">
        <v>417</v>
      </c>
      <c r="G347" s="326" t="s">
        <v>2373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788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2374</v>
      </c>
      <c r="D348" s="245" t="s">
        <v>1056</v>
      </c>
      <c r="E348" s="247" t="s">
        <v>116</v>
      </c>
      <c r="F348" s="248" t="s">
        <v>594</v>
      </c>
      <c r="G348" s="330" t="s">
        <v>2067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788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2352</v>
      </c>
      <c r="D349" s="332" t="s">
        <v>1056</v>
      </c>
      <c r="E349" s="335" t="s">
        <v>115</v>
      </c>
      <c r="F349" s="336" t="s">
        <v>568</v>
      </c>
      <c r="G349" s="337" t="s">
        <v>583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617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2375</v>
      </c>
      <c r="D350" s="333" t="s">
        <v>1025</v>
      </c>
      <c r="E350" s="341" t="s">
        <v>580</v>
      </c>
      <c r="F350" s="342" t="s">
        <v>371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617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2376</v>
      </c>
      <c r="D351" s="333" t="s">
        <v>2321</v>
      </c>
      <c r="E351" s="341" t="s">
        <v>580</v>
      </c>
      <c r="F351" s="342" t="s">
        <v>371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617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2377</v>
      </c>
      <c r="D352" s="333" t="s">
        <v>1056</v>
      </c>
      <c r="E352" s="341" t="s">
        <v>116</v>
      </c>
      <c r="F352" s="342" t="s">
        <v>419</v>
      </c>
      <c r="G352" s="343" t="s">
        <v>489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617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2324</v>
      </c>
      <c r="D353" s="333" t="s">
        <v>1014</v>
      </c>
      <c r="E353" s="341" t="s">
        <v>577</v>
      </c>
      <c r="F353" s="342" t="s">
        <v>2378</v>
      </c>
      <c r="G353" s="343" t="s">
        <v>1285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617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2379</v>
      </c>
      <c r="D354" s="333" t="s">
        <v>2350</v>
      </c>
      <c r="E354" s="341" t="s">
        <v>580</v>
      </c>
      <c r="F354" s="342" t="s">
        <v>371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617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2380</v>
      </c>
      <c r="D355" s="333" t="s">
        <v>1030</v>
      </c>
      <c r="E355" s="341" t="s">
        <v>580</v>
      </c>
      <c r="F355" s="342" t="s">
        <v>371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617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2381</v>
      </c>
      <c r="D356" s="333" t="s">
        <v>2307</v>
      </c>
      <c r="E356" s="341" t="s">
        <v>580</v>
      </c>
      <c r="F356" s="342" t="s">
        <v>371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617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2382</v>
      </c>
      <c r="D357" s="333" t="s">
        <v>2321</v>
      </c>
      <c r="E357" s="341" t="s">
        <v>580</v>
      </c>
      <c r="F357" s="342" t="s">
        <v>371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617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2383</v>
      </c>
      <c r="D358" s="333" t="s">
        <v>2321</v>
      </c>
      <c r="E358" s="341" t="s">
        <v>580</v>
      </c>
      <c r="F358" s="342" t="s">
        <v>371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617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2384</v>
      </c>
      <c r="D359" s="333" t="s">
        <v>414</v>
      </c>
      <c r="E359" s="341" t="s">
        <v>580</v>
      </c>
      <c r="F359" s="342" t="s">
        <v>371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617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2385</v>
      </c>
      <c r="D360" s="333" t="s">
        <v>414</v>
      </c>
      <c r="E360" s="341" t="s">
        <v>217</v>
      </c>
      <c r="F360" s="342" t="s">
        <v>371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617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2386</v>
      </c>
      <c r="D361" s="333" t="s">
        <v>1014</v>
      </c>
      <c r="E361" s="341" t="s">
        <v>188</v>
      </c>
      <c r="F361" s="342" t="s">
        <v>1563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617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2387</v>
      </c>
      <c r="D362" s="333" t="s">
        <v>1014</v>
      </c>
      <c r="E362" s="341" t="s">
        <v>192</v>
      </c>
      <c r="F362" s="342" t="s">
        <v>1004</v>
      </c>
      <c r="G362" s="343" t="s">
        <v>583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617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2356</v>
      </c>
      <c r="D363" s="333" t="s">
        <v>1014</v>
      </c>
      <c r="E363" s="341" t="s">
        <v>115</v>
      </c>
      <c r="F363" s="342" t="s">
        <v>2388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617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2389</v>
      </c>
      <c r="D364" s="333" t="s">
        <v>1056</v>
      </c>
      <c r="E364" s="341" t="s">
        <v>115</v>
      </c>
      <c r="F364" s="342" t="s">
        <v>562</v>
      </c>
      <c r="G364" s="343" t="s">
        <v>583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617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2390</v>
      </c>
      <c r="D365" s="333" t="s">
        <v>414</v>
      </c>
      <c r="E365" s="341" t="s">
        <v>188</v>
      </c>
      <c r="F365" s="342" t="s">
        <v>431</v>
      </c>
      <c r="G365" s="343" t="s">
        <v>1285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617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2391</v>
      </c>
      <c r="D366" s="333" t="s">
        <v>1014</v>
      </c>
      <c r="E366" s="341" t="s">
        <v>184</v>
      </c>
      <c r="F366" s="342" t="s">
        <v>2392</v>
      </c>
      <c r="G366" s="343" t="s">
        <v>583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617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2340</v>
      </c>
      <c r="D367" s="333" t="s">
        <v>414</v>
      </c>
      <c r="E367" s="341" t="s">
        <v>580</v>
      </c>
      <c r="F367" s="342" t="s">
        <v>371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617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2393</v>
      </c>
      <c r="D368" s="333" t="s">
        <v>2321</v>
      </c>
      <c r="E368" s="341" t="s">
        <v>580</v>
      </c>
      <c r="F368" s="342" t="s">
        <v>371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617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2394</v>
      </c>
      <c r="D369" s="333" t="s">
        <v>2321</v>
      </c>
      <c r="E369" s="341" t="s">
        <v>580</v>
      </c>
      <c r="F369" s="342" t="s">
        <v>371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617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2395</v>
      </c>
      <c r="D370" s="333" t="s">
        <v>2321</v>
      </c>
      <c r="E370" s="341" t="s">
        <v>580</v>
      </c>
      <c r="F370" s="342" t="s">
        <v>371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617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2396</v>
      </c>
      <c r="D371" s="333" t="s">
        <v>2321</v>
      </c>
      <c r="E371" s="341" t="s">
        <v>580</v>
      </c>
      <c r="F371" s="342" t="s">
        <v>371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617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2397</v>
      </c>
      <c r="D372" s="333" t="s">
        <v>2321</v>
      </c>
      <c r="E372" s="341" t="s">
        <v>580</v>
      </c>
      <c r="F372" s="342" t="s">
        <v>371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617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2398</v>
      </c>
      <c r="D373" s="333" t="s">
        <v>1025</v>
      </c>
      <c r="E373" s="341" t="s">
        <v>580</v>
      </c>
      <c r="F373" s="342" t="s">
        <v>371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617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2399</v>
      </c>
      <c r="D374" s="332" t="s">
        <v>2321</v>
      </c>
      <c r="E374" s="335" t="s">
        <v>580</v>
      </c>
      <c r="F374" s="336" t="s">
        <v>371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617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2400</v>
      </c>
      <c r="D375" s="333" t="s">
        <v>414</v>
      </c>
      <c r="E375" s="341" t="s">
        <v>682</v>
      </c>
      <c r="F375" s="342" t="s">
        <v>371</v>
      </c>
      <c r="G375" s="343" t="s">
        <v>2135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617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2401</v>
      </c>
      <c r="D376" s="346" t="s">
        <v>2350</v>
      </c>
      <c r="E376" s="348" t="s">
        <v>580</v>
      </c>
      <c r="F376" s="349" t="s">
        <v>371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617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2402</v>
      </c>
      <c r="D377" s="274" t="s">
        <v>2321</v>
      </c>
      <c r="E377" s="276" t="s">
        <v>580</v>
      </c>
      <c r="F377" s="277" t="s">
        <v>371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620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2403</v>
      </c>
      <c r="D378" s="274" t="s">
        <v>2404</v>
      </c>
      <c r="E378" s="276" t="s">
        <v>217</v>
      </c>
      <c r="F378" s="277" t="s">
        <v>371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620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2405</v>
      </c>
      <c r="D379" s="233" t="s">
        <v>1025</v>
      </c>
      <c r="E379" s="235" t="s">
        <v>580</v>
      </c>
      <c r="F379" s="236" t="s">
        <v>371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620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2406</v>
      </c>
      <c r="D380" s="233" t="s">
        <v>2350</v>
      </c>
      <c r="E380" s="235" t="s">
        <v>580</v>
      </c>
      <c r="F380" s="236" t="s">
        <v>371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620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2407</v>
      </c>
      <c r="D381" s="233" t="s">
        <v>2350</v>
      </c>
      <c r="E381" s="235" t="s">
        <v>580</v>
      </c>
      <c r="F381" s="236" t="s">
        <v>371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620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2408</v>
      </c>
      <c r="D382" s="233" t="s">
        <v>2350</v>
      </c>
      <c r="E382" s="235" t="s">
        <v>580</v>
      </c>
      <c r="F382" s="236" t="s">
        <v>371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620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2409</v>
      </c>
      <c r="D383" s="233" t="s">
        <v>414</v>
      </c>
      <c r="E383" s="235" t="s">
        <v>115</v>
      </c>
      <c r="F383" s="236" t="s">
        <v>2410</v>
      </c>
      <c r="G383" s="356" t="s">
        <v>2136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620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2411</v>
      </c>
      <c r="D384" s="233" t="s">
        <v>2350</v>
      </c>
      <c r="E384" s="235" t="s">
        <v>580</v>
      </c>
      <c r="F384" s="236" t="s">
        <v>371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620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2412</v>
      </c>
      <c r="D385" s="233" t="s">
        <v>1020</v>
      </c>
      <c r="E385" s="235" t="s">
        <v>1011</v>
      </c>
      <c r="F385" s="236" t="s">
        <v>387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620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2349</v>
      </c>
      <c r="D386" s="233" t="s">
        <v>2350</v>
      </c>
      <c r="E386" s="235" t="s">
        <v>580</v>
      </c>
      <c r="F386" s="236" t="s">
        <v>371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620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2413</v>
      </c>
      <c r="D387" s="233" t="s">
        <v>2414</v>
      </c>
      <c r="E387" s="235" t="s">
        <v>580</v>
      </c>
      <c r="F387" s="236" t="s">
        <v>371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620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2415</v>
      </c>
      <c r="D388" s="233" t="s">
        <v>1025</v>
      </c>
      <c r="E388" s="235" t="s">
        <v>580</v>
      </c>
      <c r="F388" s="236" t="s">
        <v>371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620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2416</v>
      </c>
      <c r="D389" s="233" t="s">
        <v>1020</v>
      </c>
      <c r="E389" s="235" t="s">
        <v>580</v>
      </c>
      <c r="F389" s="236" t="s">
        <v>371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620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2417</v>
      </c>
      <c r="D390" s="233" t="s">
        <v>2321</v>
      </c>
      <c r="E390" s="235" t="s">
        <v>1011</v>
      </c>
      <c r="F390" s="236" t="s">
        <v>2418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620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2329</v>
      </c>
      <c r="D391" s="274" t="s">
        <v>1014</v>
      </c>
      <c r="E391" s="276" t="s">
        <v>188</v>
      </c>
      <c r="F391" s="277" t="s">
        <v>2419</v>
      </c>
      <c r="G391" s="278"/>
      <c r="H391" s="279">
        <v>41620</v>
      </c>
      <c r="I391" s="274">
        <v>4</v>
      </c>
      <c r="J391" s="354">
        <v>42601</v>
      </c>
      <c r="K391" s="358" t="s">
        <v>1018</v>
      </c>
      <c r="L391" s="359" t="s">
        <v>623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2300</v>
      </c>
      <c r="F393" s="307">
        <v>3624379</v>
      </c>
      <c r="G393" s="308"/>
      <c r="H393" s="217"/>
      <c r="I393" s="304"/>
      <c r="J393" s="360" t="s">
        <v>2060</v>
      </c>
      <c r="K393" s="309">
        <v>3768555</v>
      </c>
      <c r="L393" s="310"/>
      <c r="M393" s="311" t="s">
        <v>2301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2302</v>
      </c>
      <c r="F394" s="312">
        <v>472981.4595</v>
      </c>
      <c r="G394" s="308"/>
      <c r="H394" s="217"/>
      <c r="I394" s="304"/>
      <c r="J394" s="361" t="s">
        <v>2303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44" t="s">
        <v>2420</v>
      </c>
      <c r="B396" s="644"/>
      <c r="C396" s="644"/>
      <c r="D396" s="644"/>
      <c r="E396" s="644"/>
      <c r="F396" s="644"/>
      <c r="G396" s="644"/>
      <c r="H396" s="644"/>
      <c r="I396" s="644"/>
      <c r="J396" s="644"/>
      <c r="K396" s="644"/>
      <c r="L396" s="644"/>
      <c r="M396" s="644"/>
    </row>
    <row r="397" spans="1:13" s="134" customFormat="1" ht="15" customHeight="1" x14ac:dyDescent="0.25">
      <c r="A397" s="223" t="s">
        <v>2051</v>
      </c>
      <c r="B397" s="223" t="s">
        <v>97</v>
      </c>
      <c r="C397" s="223" t="s">
        <v>2052</v>
      </c>
      <c r="D397" s="223" t="s">
        <v>2053</v>
      </c>
      <c r="E397" s="223" t="s">
        <v>2054</v>
      </c>
      <c r="F397" s="223" t="s">
        <v>2055</v>
      </c>
      <c r="G397" s="223" t="s">
        <v>2056</v>
      </c>
      <c r="H397" s="224" t="s">
        <v>2057</v>
      </c>
      <c r="I397" s="223" t="s">
        <v>2058</v>
      </c>
      <c r="J397" s="223" t="s">
        <v>2059</v>
      </c>
      <c r="K397" s="223" t="s">
        <v>2060</v>
      </c>
      <c r="L397" s="223" t="s">
        <v>2061</v>
      </c>
      <c r="M397" s="223" t="s">
        <v>2305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2421</v>
      </c>
      <c r="D398" s="174" t="s">
        <v>476</v>
      </c>
      <c r="E398" s="172" t="s">
        <v>116</v>
      </c>
      <c r="F398" s="177" t="s">
        <v>410</v>
      </c>
      <c r="G398" s="177" t="s">
        <v>2067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608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2242</v>
      </c>
      <c r="D399" s="228" t="s">
        <v>476</v>
      </c>
      <c r="E399" s="229" t="s">
        <v>537</v>
      </c>
      <c r="F399" s="230" t="s">
        <v>419</v>
      </c>
      <c r="G399" s="230" t="s">
        <v>554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608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2422</v>
      </c>
      <c r="D400" s="333" t="s">
        <v>476</v>
      </c>
      <c r="E400" s="341" t="s">
        <v>116</v>
      </c>
      <c r="F400" s="342" t="s">
        <v>2423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760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2424</v>
      </c>
      <c r="D401" s="332" t="s">
        <v>476</v>
      </c>
      <c r="E401" s="335" t="s">
        <v>577</v>
      </c>
      <c r="F401" s="336" t="s">
        <v>527</v>
      </c>
      <c r="G401" s="337" t="s">
        <v>554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760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2425</v>
      </c>
      <c r="D402" s="332" t="s">
        <v>476</v>
      </c>
      <c r="E402" s="335" t="s">
        <v>580</v>
      </c>
      <c r="F402" s="336" t="s">
        <v>371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760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2426</v>
      </c>
      <c r="D403" s="332" t="s">
        <v>476</v>
      </c>
      <c r="E403" s="335" t="s">
        <v>115</v>
      </c>
      <c r="F403" s="336" t="s">
        <v>472</v>
      </c>
      <c r="G403" s="337" t="s">
        <v>2427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760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2428</v>
      </c>
      <c r="D404" s="332" t="s">
        <v>476</v>
      </c>
      <c r="E404" s="335" t="s">
        <v>115</v>
      </c>
      <c r="F404" s="336" t="s">
        <v>419</v>
      </c>
      <c r="G404" s="337" t="s">
        <v>1966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760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2429</v>
      </c>
      <c r="D405" s="332" t="s">
        <v>476</v>
      </c>
      <c r="E405" s="335" t="s">
        <v>116</v>
      </c>
      <c r="F405" s="336" t="s">
        <v>419</v>
      </c>
      <c r="G405" s="337" t="s">
        <v>2067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760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2429</v>
      </c>
      <c r="D406" s="332" t="s">
        <v>476</v>
      </c>
      <c r="E406" s="335" t="s">
        <v>537</v>
      </c>
      <c r="F406" s="336" t="s">
        <v>562</v>
      </c>
      <c r="G406" s="337" t="s">
        <v>554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760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2430</v>
      </c>
      <c r="D407" s="332" t="s">
        <v>484</v>
      </c>
      <c r="E407" s="335" t="s">
        <v>116</v>
      </c>
      <c r="F407" s="336" t="s">
        <v>415</v>
      </c>
      <c r="G407" s="337" t="s">
        <v>2067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760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2431</v>
      </c>
      <c r="D408" s="332" t="s">
        <v>476</v>
      </c>
      <c r="E408" s="335" t="s">
        <v>577</v>
      </c>
      <c r="F408" s="336" t="s">
        <v>431</v>
      </c>
      <c r="G408" s="337" t="s">
        <v>554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760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2432</v>
      </c>
      <c r="D409" s="332" t="s">
        <v>476</v>
      </c>
      <c r="E409" s="335" t="s">
        <v>116</v>
      </c>
      <c r="F409" s="336" t="s">
        <v>442</v>
      </c>
      <c r="G409" s="337" t="s">
        <v>2067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760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2433</v>
      </c>
      <c r="D410" s="332" t="s">
        <v>484</v>
      </c>
      <c r="E410" s="335" t="s">
        <v>115</v>
      </c>
      <c r="F410" s="336" t="s">
        <v>527</v>
      </c>
      <c r="G410" s="337" t="s">
        <v>2097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760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2434</v>
      </c>
      <c r="D411" s="332" t="s">
        <v>476</v>
      </c>
      <c r="E411" s="335" t="s">
        <v>577</v>
      </c>
      <c r="F411" s="336" t="s">
        <v>419</v>
      </c>
      <c r="G411" s="337" t="s">
        <v>554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760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2435</v>
      </c>
      <c r="D412" s="332" t="s">
        <v>476</v>
      </c>
      <c r="E412" s="335" t="s">
        <v>577</v>
      </c>
      <c r="F412" s="336" t="s">
        <v>419</v>
      </c>
      <c r="G412" s="337" t="s">
        <v>554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760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2436</v>
      </c>
      <c r="D413" s="332" t="s">
        <v>484</v>
      </c>
      <c r="E413" s="335" t="s">
        <v>116</v>
      </c>
      <c r="F413" s="336" t="s">
        <v>417</v>
      </c>
      <c r="G413" s="337" t="s">
        <v>2107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760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2437</v>
      </c>
      <c r="D414" s="332" t="s">
        <v>476</v>
      </c>
      <c r="E414" s="335" t="s">
        <v>116</v>
      </c>
      <c r="F414" s="336" t="s">
        <v>419</v>
      </c>
      <c r="G414" s="337" t="s">
        <v>2067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760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2438</v>
      </c>
      <c r="D415" s="332" t="s">
        <v>476</v>
      </c>
      <c r="E415" s="335" t="s">
        <v>204</v>
      </c>
      <c r="F415" s="336" t="s">
        <v>568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760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2438</v>
      </c>
      <c r="D416" s="332" t="s">
        <v>476</v>
      </c>
      <c r="E416" s="335" t="s">
        <v>116</v>
      </c>
      <c r="F416" s="336" t="s">
        <v>812</v>
      </c>
      <c r="G416" s="337" t="s">
        <v>2107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760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2439</v>
      </c>
      <c r="D417" s="332" t="s">
        <v>484</v>
      </c>
      <c r="E417" s="335" t="s">
        <v>577</v>
      </c>
      <c r="F417" s="336" t="s">
        <v>472</v>
      </c>
      <c r="G417" s="337" t="s">
        <v>569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760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2439</v>
      </c>
      <c r="D418" s="332" t="s">
        <v>484</v>
      </c>
      <c r="E418" s="335" t="s">
        <v>577</v>
      </c>
      <c r="F418" s="336" t="s">
        <v>442</v>
      </c>
      <c r="G418" s="337" t="s">
        <v>2097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760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2440</v>
      </c>
      <c r="D419" s="332" t="s">
        <v>476</v>
      </c>
      <c r="E419" s="335" t="s">
        <v>577</v>
      </c>
      <c r="F419" s="336" t="s">
        <v>419</v>
      </c>
      <c r="G419" s="337" t="s">
        <v>569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760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2441</v>
      </c>
      <c r="D420" s="332" t="s">
        <v>476</v>
      </c>
      <c r="E420" s="335" t="s">
        <v>577</v>
      </c>
      <c r="F420" s="336" t="s">
        <v>568</v>
      </c>
      <c r="G420" s="337" t="s">
        <v>569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760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2442</v>
      </c>
      <c r="D421" s="332" t="s">
        <v>474</v>
      </c>
      <c r="E421" s="335" t="s">
        <v>577</v>
      </c>
      <c r="F421" s="336" t="s">
        <v>419</v>
      </c>
      <c r="G421" s="337" t="s">
        <v>563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760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2443</v>
      </c>
      <c r="D422" s="332" t="s">
        <v>484</v>
      </c>
      <c r="E422" s="335" t="s">
        <v>537</v>
      </c>
      <c r="F422" s="336" t="s">
        <v>527</v>
      </c>
      <c r="G422" s="337" t="s">
        <v>554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760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2444</v>
      </c>
      <c r="D423" s="332" t="s">
        <v>476</v>
      </c>
      <c r="E423" s="335" t="s">
        <v>577</v>
      </c>
      <c r="F423" s="336" t="s">
        <v>417</v>
      </c>
      <c r="G423" s="337" t="s">
        <v>554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760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1400</v>
      </c>
      <c r="D424" s="332" t="s">
        <v>484</v>
      </c>
      <c r="E424" s="335" t="s">
        <v>577</v>
      </c>
      <c r="F424" s="336" t="s">
        <v>431</v>
      </c>
      <c r="G424" s="337" t="s">
        <v>569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760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2445</v>
      </c>
      <c r="D425" s="332" t="s">
        <v>484</v>
      </c>
      <c r="E425" s="335" t="s">
        <v>116</v>
      </c>
      <c r="F425" s="336" t="s">
        <v>538</v>
      </c>
      <c r="G425" s="337" t="s">
        <v>1064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760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2445</v>
      </c>
      <c r="D426" s="332" t="s">
        <v>484</v>
      </c>
      <c r="E426" s="335" t="s">
        <v>115</v>
      </c>
      <c r="F426" s="336" t="s">
        <v>538</v>
      </c>
      <c r="G426" s="337" t="s">
        <v>554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760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2446</v>
      </c>
      <c r="D427" s="332" t="s">
        <v>476</v>
      </c>
      <c r="E427" s="335" t="s">
        <v>577</v>
      </c>
      <c r="F427" s="336" t="s">
        <v>1645</v>
      </c>
      <c r="G427" s="337" t="s">
        <v>2097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760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2447</v>
      </c>
      <c r="D428" s="332" t="s">
        <v>484</v>
      </c>
      <c r="E428" s="335" t="s">
        <v>577</v>
      </c>
      <c r="F428" s="336" t="s">
        <v>527</v>
      </c>
      <c r="G428" s="337" t="s">
        <v>569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760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2448</v>
      </c>
      <c r="D429" s="332" t="s">
        <v>484</v>
      </c>
      <c r="E429" s="335" t="s">
        <v>577</v>
      </c>
      <c r="F429" s="336" t="s">
        <v>527</v>
      </c>
      <c r="G429" s="337" t="s">
        <v>2449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760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2450</v>
      </c>
      <c r="D430" s="332" t="s">
        <v>476</v>
      </c>
      <c r="E430" s="335" t="s">
        <v>537</v>
      </c>
      <c r="F430" s="336" t="s">
        <v>442</v>
      </c>
      <c r="G430" s="337" t="s">
        <v>554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760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2450</v>
      </c>
      <c r="D431" s="332" t="s">
        <v>476</v>
      </c>
      <c r="E431" s="335" t="s">
        <v>115</v>
      </c>
      <c r="F431" s="336" t="s">
        <v>419</v>
      </c>
      <c r="G431" s="337" t="s">
        <v>2451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760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2452</v>
      </c>
      <c r="D432" s="332" t="s">
        <v>484</v>
      </c>
      <c r="E432" s="335" t="s">
        <v>115</v>
      </c>
      <c r="F432" s="336" t="s">
        <v>404</v>
      </c>
      <c r="G432" s="337" t="s">
        <v>2453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760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2454</v>
      </c>
      <c r="D433" s="332" t="s">
        <v>476</v>
      </c>
      <c r="E433" s="335" t="s">
        <v>116</v>
      </c>
      <c r="F433" s="336" t="s">
        <v>562</v>
      </c>
      <c r="G433" s="337" t="s">
        <v>1059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760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2454</v>
      </c>
      <c r="D434" s="332" t="s">
        <v>476</v>
      </c>
      <c r="E434" s="335" t="s">
        <v>577</v>
      </c>
      <c r="F434" s="336" t="s">
        <v>419</v>
      </c>
      <c r="G434" s="337" t="s">
        <v>554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760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2455</v>
      </c>
      <c r="D435" s="332" t="s">
        <v>476</v>
      </c>
      <c r="E435" s="335" t="s">
        <v>204</v>
      </c>
      <c r="F435" s="336" t="s">
        <v>415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760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851</v>
      </c>
      <c r="D436" s="332" t="s">
        <v>476</v>
      </c>
      <c r="E436" s="335" t="s">
        <v>115</v>
      </c>
      <c r="F436" s="336" t="s">
        <v>383</v>
      </c>
      <c r="G436" s="337" t="s">
        <v>2097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760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2456</v>
      </c>
      <c r="D437" s="332" t="s">
        <v>476</v>
      </c>
      <c r="E437" s="335" t="s">
        <v>116</v>
      </c>
      <c r="F437" s="336" t="s">
        <v>431</v>
      </c>
      <c r="G437" s="337" t="s">
        <v>2067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760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2457</v>
      </c>
      <c r="D438" s="332" t="s">
        <v>1749</v>
      </c>
      <c r="E438" s="335" t="s">
        <v>580</v>
      </c>
      <c r="F438" s="336" t="s">
        <v>371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760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2421</v>
      </c>
      <c r="D439" s="332" t="s">
        <v>476</v>
      </c>
      <c r="E439" s="335" t="s">
        <v>1053</v>
      </c>
      <c r="F439" s="336" t="s">
        <v>410</v>
      </c>
      <c r="G439" s="337" t="s">
        <v>2151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760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2458</v>
      </c>
      <c r="D440" s="332" t="s">
        <v>484</v>
      </c>
      <c r="E440" s="335" t="s">
        <v>577</v>
      </c>
      <c r="F440" s="336" t="s">
        <v>431</v>
      </c>
      <c r="G440" s="337" t="s">
        <v>569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760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2459</v>
      </c>
      <c r="D441" s="332" t="s">
        <v>476</v>
      </c>
      <c r="E441" s="335" t="s">
        <v>204</v>
      </c>
      <c r="F441" s="336" t="s">
        <v>645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760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2460</v>
      </c>
      <c r="D442" s="332" t="s">
        <v>476</v>
      </c>
      <c r="E442" s="335" t="s">
        <v>577</v>
      </c>
      <c r="F442" s="336" t="s">
        <v>562</v>
      </c>
      <c r="G442" s="337" t="s">
        <v>554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760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2460</v>
      </c>
      <c r="D443" s="332" t="s">
        <v>476</v>
      </c>
      <c r="E443" s="335" t="s">
        <v>537</v>
      </c>
      <c r="F443" s="336" t="s">
        <v>527</v>
      </c>
      <c r="G443" s="337" t="s">
        <v>554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760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2461</v>
      </c>
      <c r="D444" s="332" t="s">
        <v>476</v>
      </c>
      <c r="E444" s="335" t="s">
        <v>116</v>
      </c>
      <c r="F444" s="336" t="s">
        <v>2462</v>
      </c>
      <c r="G444" s="337" t="s">
        <v>2067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760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2463</v>
      </c>
      <c r="D445" s="332" t="s">
        <v>484</v>
      </c>
      <c r="E445" s="335" t="s">
        <v>537</v>
      </c>
      <c r="F445" s="336" t="s">
        <v>511</v>
      </c>
      <c r="G445" s="337" t="s">
        <v>554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760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2464</v>
      </c>
      <c r="D446" s="332" t="s">
        <v>484</v>
      </c>
      <c r="E446" s="335" t="s">
        <v>204</v>
      </c>
      <c r="F446" s="336" t="s">
        <v>511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760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2465</v>
      </c>
      <c r="D447" s="332" t="s">
        <v>484</v>
      </c>
      <c r="E447" s="335" t="s">
        <v>237</v>
      </c>
      <c r="F447" s="336" t="s">
        <v>369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760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2466</v>
      </c>
      <c r="D448" s="332" t="s">
        <v>484</v>
      </c>
      <c r="E448" s="335" t="s">
        <v>580</v>
      </c>
      <c r="F448" s="336" t="s">
        <v>371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760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2467</v>
      </c>
      <c r="D449" s="332" t="s">
        <v>484</v>
      </c>
      <c r="E449" s="335" t="s">
        <v>116</v>
      </c>
      <c r="F449" s="336" t="s">
        <v>442</v>
      </c>
      <c r="G449" s="337" t="s">
        <v>1064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760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2468</v>
      </c>
      <c r="D450" s="332" t="s">
        <v>484</v>
      </c>
      <c r="E450" s="335" t="s">
        <v>217</v>
      </c>
      <c r="F450" s="336" t="s">
        <v>369</v>
      </c>
      <c r="G450" s="337" t="s">
        <v>2469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760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2470</v>
      </c>
      <c r="D451" s="332" t="s">
        <v>484</v>
      </c>
      <c r="E451" s="335" t="s">
        <v>537</v>
      </c>
      <c r="F451" s="336" t="s">
        <v>562</v>
      </c>
      <c r="G451" s="337" t="s">
        <v>2471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760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1244</v>
      </c>
      <c r="D452" s="332" t="s">
        <v>484</v>
      </c>
      <c r="E452" s="335" t="s">
        <v>577</v>
      </c>
      <c r="F452" s="336" t="s">
        <v>527</v>
      </c>
      <c r="G452" s="337" t="s">
        <v>569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760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1244</v>
      </c>
      <c r="D453" s="332" t="s">
        <v>484</v>
      </c>
      <c r="E453" s="335" t="s">
        <v>577</v>
      </c>
      <c r="F453" s="336" t="s">
        <v>472</v>
      </c>
      <c r="G453" s="337" t="s">
        <v>554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760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2472</v>
      </c>
      <c r="D454" s="332" t="s">
        <v>476</v>
      </c>
      <c r="E454" s="335" t="s">
        <v>115</v>
      </c>
      <c r="F454" s="336" t="s">
        <v>417</v>
      </c>
      <c r="G454" s="337" t="s">
        <v>2097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760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2473</v>
      </c>
      <c r="D455" s="332" t="s">
        <v>476</v>
      </c>
      <c r="E455" s="335" t="s">
        <v>116</v>
      </c>
      <c r="F455" s="336" t="s">
        <v>442</v>
      </c>
      <c r="G455" s="337" t="s">
        <v>2067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760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2474</v>
      </c>
      <c r="D456" s="332" t="s">
        <v>484</v>
      </c>
      <c r="E456" s="335" t="s">
        <v>577</v>
      </c>
      <c r="F456" s="336" t="s">
        <v>2475</v>
      </c>
      <c r="G456" s="337" t="s">
        <v>2476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760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2477</v>
      </c>
      <c r="D457" s="332" t="s">
        <v>484</v>
      </c>
      <c r="E457" s="335" t="s">
        <v>577</v>
      </c>
      <c r="F457" s="336" t="s">
        <v>511</v>
      </c>
      <c r="G457" s="337" t="s">
        <v>554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760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1324</v>
      </c>
      <c r="D458" s="332" t="s">
        <v>476</v>
      </c>
      <c r="E458" s="335" t="s">
        <v>115</v>
      </c>
      <c r="F458" s="336" t="s">
        <v>472</v>
      </c>
      <c r="G458" s="337" t="s">
        <v>2097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760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2478</v>
      </c>
      <c r="D459" s="332" t="s">
        <v>476</v>
      </c>
      <c r="E459" s="335" t="s">
        <v>537</v>
      </c>
      <c r="F459" s="336" t="s">
        <v>527</v>
      </c>
      <c r="G459" s="337" t="s">
        <v>554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760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2479</v>
      </c>
      <c r="D460" s="332" t="s">
        <v>476</v>
      </c>
      <c r="E460" s="335" t="s">
        <v>116</v>
      </c>
      <c r="F460" s="336" t="s">
        <v>534</v>
      </c>
      <c r="G460" s="337" t="s">
        <v>1059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760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2480</v>
      </c>
      <c r="D461" s="332" t="s">
        <v>476</v>
      </c>
      <c r="E461" s="335" t="s">
        <v>116</v>
      </c>
      <c r="F461" s="336" t="s">
        <v>562</v>
      </c>
      <c r="G461" s="337" t="s">
        <v>2067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760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2481</v>
      </c>
      <c r="D462" s="332" t="s">
        <v>476</v>
      </c>
      <c r="E462" s="335" t="s">
        <v>577</v>
      </c>
      <c r="F462" s="336" t="s">
        <v>1378</v>
      </c>
      <c r="G462" s="337" t="s">
        <v>554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760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2482</v>
      </c>
      <c r="D463" s="332" t="s">
        <v>484</v>
      </c>
      <c r="E463" s="335" t="s">
        <v>204</v>
      </c>
      <c r="F463" s="336" t="s">
        <v>568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760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1329</v>
      </c>
      <c r="D464" s="332" t="s">
        <v>476</v>
      </c>
      <c r="E464" s="335" t="s">
        <v>204</v>
      </c>
      <c r="F464" s="336" t="s">
        <v>392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760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2483</v>
      </c>
      <c r="D465" s="368" t="s">
        <v>476</v>
      </c>
      <c r="E465" s="370" t="s">
        <v>115</v>
      </c>
      <c r="F465" s="371" t="s">
        <v>1834</v>
      </c>
      <c r="G465" s="372" t="s">
        <v>2097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760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2484</v>
      </c>
      <c r="D466" s="376" t="s">
        <v>484</v>
      </c>
      <c r="E466" s="378" t="s">
        <v>116</v>
      </c>
      <c r="F466" s="379" t="s">
        <v>527</v>
      </c>
      <c r="G466" s="380" t="s">
        <v>1064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788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2485</v>
      </c>
      <c r="D467" s="233" t="s">
        <v>476</v>
      </c>
      <c r="E467" s="235" t="s">
        <v>204</v>
      </c>
      <c r="F467" s="236" t="s">
        <v>415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788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2486</v>
      </c>
      <c r="D468" s="233" t="s">
        <v>476</v>
      </c>
      <c r="E468" s="235" t="s">
        <v>116</v>
      </c>
      <c r="F468" s="236" t="s">
        <v>1023</v>
      </c>
      <c r="G468" s="237" t="s">
        <v>1059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788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2487</v>
      </c>
      <c r="D469" s="233" t="s">
        <v>476</v>
      </c>
      <c r="E469" s="235" t="s">
        <v>537</v>
      </c>
      <c r="F469" s="236" t="s">
        <v>417</v>
      </c>
      <c r="G469" s="237" t="s">
        <v>563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788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1246</v>
      </c>
      <c r="D470" s="233" t="s">
        <v>484</v>
      </c>
      <c r="E470" s="235" t="s">
        <v>537</v>
      </c>
      <c r="F470" s="236" t="s">
        <v>527</v>
      </c>
      <c r="G470" s="237" t="s">
        <v>554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788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2488</v>
      </c>
      <c r="D471" s="135" t="s">
        <v>476</v>
      </c>
      <c r="E471" s="172" t="s">
        <v>116</v>
      </c>
      <c r="F471" s="139" t="s">
        <v>442</v>
      </c>
      <c r="G471" s="177" t="s">
        <v>2067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788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2489</v>
      </c>
      <c r="D472" s="135" t="s">
        <v>476</v>
      </c>
      <c r="E472" s="172" t="s">
        <v>116</v>
      </c>
      <c r="F472" s="139" t="s">
        <v>534</v>
      </c>
      <c r="G472" s="177" t="s">
        <v>1059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788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2490</v>
      </c>
      <c r="D473" s="135" t="s">
        <v>484</v>
      </c>
      <c r="E473" s="172" t="s">
        <v>577</v>
      </c>
      <c r="F473" s="139" t="s">
        <v>404</v>
      </c>
      <c r="G473" s="177" t="s">
        <v>569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788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2491</v>
      </c>
      <c r="D474" s="135" t="s">
        <v>476</v>
      </c>
      <c r="E474" s="172" t="s">
        <v>116</v>
      </c>
      <c r="F474" s="139" t="s">
        <v>442</v>
      </c>
      <c r="G474" s="177" t="s">
        <v>1059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788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2492</v>
      </c>
      <c r="D475" s="135" t="s">
        <v>474</v>
      </c>
      <c r="E475" s="172" t="s">
        <v>577</v>
      </c>
      <c r="F475" s="139" t="s">
        <v>511</v>
      </c>
      <c r="G475" s="177" t="s">
        <v>629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788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2493</v>
      </c>
      <c r="D476" s="135" t="s">
        <v>476</v>
      </c>
      <c r="E476" s="172" t="s">
        <v>217</v>
      </c>
      <c r="F476" s="139" t="s">
        <v>371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788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2494</v>
      </c>
      <c r="D477" s="135" t="s">
        <v>474</v>
      </c>
      <c r="E477" s="172" t="s">
        <v>577</v>
      </c>
      <c r="F477" s="139" t="s">
        <v>431</v>
      </c>
      <c r="G477" s="177" t="s">
        <v>2453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788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1273</v>
      </c>
      <c r="D478" s="135" t="s">
        <v>484</v>
      </c>
      <c r="E478" s="172" t="s">
        <v>116</v>
      </c>
      <c r="F478" s="139" t="s">
        <v>527</v>
      </c>
      <c r="G478" s="177" t="s">
        <v>1064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788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2495</v>
      </c>
      <c r="D479" s="135" t="s">
        <v>476</v>
      </c>
      <c r="E479" s="172" t="s">
        <v>116</v>
      </c>
      <c r="F479" s="139" t="s">
        <v>2496</v>
      </c>
      <c r="G479" s="177" t="s">
        <v>2067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788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2497</v>
      </c>
      <c r="D480" s="135" t="s">
        <v>484</v>
      </c>
      <c r="E480" s="172" t="s">
        <v>116</v>
      </c>
      <c r="F480" s="139" t="s">
        <v>415</v>
      </c>
      <c r="G480" s="177" t="s">
        <v>2067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788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2498</v>
      </c>
      <c r="D481" s="135" t="s">
        <v>474</v>
      </c>
      <c r="E481" s="172" t="s">
        <v>577</v>
      </c>
      <c r="F481" s="139" t="s">
        <v>431</v>
      </c>
      <c r="G481" s="177" t="s">
        <v>554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788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2499</v>
      </c>
      <c r="D482" s="135" t="s">
        <v>476</v>
      </c>
      <c r="E482" s="172" t="s">
        <v>577</v>
      </c>
      <c r="F482" s="139" t="s">
        <v>562</v>
      </c>
      <c r="G482" s="177" t="s">
        <v>554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788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2436</v>
      </c>
      <c r="D483" s="135" t="s">
        <v>484</v>
      </c>
      <c r="E483" s="172" t="s">
        <v>577</v>
      </c>
      <c r="F483" s="139" t="s">
        <v>472</v>
      </c>
      <c r="G483" s="177" t="s">
        <v>569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788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2494</v>
      </c>
      <c r="D484" s="135" t="s">
        <v>476</v>
      </c>
      <c r="E484" s="172" t="s">
        <v>577</v>
      </c>
      <c r="F484" s="139" t="s">
        <v>415</v>
      </c>
      <c r="G484" s="177" t="s">
        <v>2500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788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2472</v>
      </c>
      <c r="D485" s="135" t="s">
        <v>476</v>
      </c>
      <c r="E485" s="172" t="s">
        <v>116</v>
      </c>
      <c r="F485" s="139" t="s">
        <v>445</v>
      </c>
      <c r="G485" s="177" t="s">
        <v>2067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788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2501</v>
      </c>
      <c r="D486" s="135" t="s">
        <v>484</v>
      </c>
      <c r="E486" s="172" t="s">
        <v>577</v>
      </c>
      <c r="F486" s="139" t="s">
        <v>527</v>
      </c>
      <c r="G486" s="177" t="s">
        <v>569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788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2502</v>
      </c>
      <c r="D487" s="135" t="s">
        <v>476</v>
      </c>
      <c r="E487" s="172" t="s">
        <v>577</v>
      </c>
      <c r="F487" s="139" t="s">
        <v>419</v>
      </c>
      <c r="G487" s="177" t="s">
        <v>554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788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2430</v>
      </c>
      <c r="D488" s="135" t="s">
        <v>484</v>
      </c>
      <c r="E488" s="172" t="s">
        <v>115</v>
      </c>
      <c r="F488" s="139" t="s">
        <v>1201</v>
      </c>
      <c r="G488" s="177" t="s">
        <v>2097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788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2503</v>
      </c>
      <c r="D489" s="135" t="s">
        <v>476</v>
      </c>
      <c r="E489" s="172" t="s">
        <v>116</v>
      </c>
      <c r="F489" s="139" t="s">
        <v>2475</v>
      </c>
      <c r="G489" s="177" t="s">
        <v>2097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788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2504</v>
      </c>
      <c r="D490" s="135" t="s">
        <v>484</v>
      </c>
      <c r="E490" s="172" t="s">
        <v>577</v>
      </c>
      <c r="F490" s="139" t="s">
        <v>472</v>
      </c>
      <c r="G490" s="177" t="s">
        <v>583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788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2505</v>
      </c>
      <c r="D491" s="135" t="s">
        <v>476</v>
      </c>
      <c r="E491" s="172" t="s">
        <v>116</v>
      </c>
      <c r="F491" s="139" t="s">
        <v>2506</v>
      </c>
      <c r="G491" s="177" t="s">
        <v>2107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788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2507</v>
      </c>
      <c r="D492" s="135" t="s">
        <v>476</v>
      </c>
      <c r="E492" s="172" t="s">
        <v>537</v>
      </c>
      <c r="F492" s="139" t="s">
        <v>2508</v>
      </c>
      <c r="G492" s="177" t="s">
        <v>1948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788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2509</v>
      </c>
      <c r="D493" s="135" t="s">
        <v>478</v>
      </c>
      <c r="E493" s="172" t="s">
        <v>188</v>
      </c>
      <c r="F493" s="139" t="s">
        <v>445</v>
      </c>
      <c r="G493" s="177" t="s">
        <v>2510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788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2511</v>
      </c>
      <c r="D494" s="135" t="s">
        <v>484</v>
      </c>
      <c r="E494" s="172" t="s">
        <v>188</v>
      </c>
      <c r="F494" s="139" t="s">
        <v>442</v>
      </c>
      <c r="G494" s="177" t="s">
        <v>642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788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2512</v>
      </c>
      <c r="D495" s="135" t="s">
        <v>484</v>
      </c>
      <c r="E495" s="172" t="s">
        <v>577</v>
      </c>
      <c r="F495" s="139" t="s">
        <v>419</v>
      </c>
      <c r="G495" s="177" t="s">
        <v>554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788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2513</v>
      </c>
      <c r="D496" s="135" t="s">
        <v>476</v>
      </c>
      <c r="E496" s="172" t="s">
        <v>577</v>
      </c>
      <c r="F496" s="139" t="s">
        <v>2514</v>
      </c>
      <c r="G496" s="177" t="s">
        <v>2500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788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2437</v>
      </c>
      <c r="D497" s="135" t="s">
        <v>476</v>
      </c>
      <c r="E497" s="172" t="s">
        <v>115</v>
      </c>
      <c r="F497" s="139" t="s">
        <v>419</v>
      </c>
      <c r="G497" s="177" t="s">
        <v>583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788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1393</v>
      </c>
      <c r="D498" s="135" t="s">
        <v>476</v>
      </c>
      <c r="E498" s="172" t="s">
        <v>116</v>
      </c>
      <c r="F498" s="139" t="s">
        <v>2515</v>
      </c>
      <c r="G498" s="177" t="s">
        <v>2067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788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2516</v>
      </c>
      <c r="D499" s="135" t="s">
        <v>476</v>
      </c>
      <c r="E499" s="172" t="s">
        <v>580</v>
      </c>
      <c r="F499" s="139" t="s">
        <v>371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788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2517</v>
      </c>
      <c r="D500" s="135" t="s">
        <v>476</v>
      </c>
      <c r="E500" s="172" t="s">
        <v>115</v>
      </c>
      <c r="F500" s="139" t="s">
        <v>562</v>
      </c>
      <c r="G500" s="177" t="s">
        <v>2518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788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2454</v>
      </c>
      <c r="D501" s="135" t="s">
        <v>476</v>
      </c>
      <c r="E501" s="172" t="s">
        <v>115</v>
      </c>
      <c r="F501" s="139" t="s">
        <v>562</v>
      </c>
      <c r="G501" s="177" t="s">
        <v>2519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788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2447</v>
      </c>
      <c r="D502" s="135" t="s">
        <v>505</v>
      </c>
      <c r="E502" s="172" t="s">
        <v>580</v>
      </c>
      <c r="F502" s="139" t="s">
        <v>371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788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2520</v>
      </c>
      <c r="D503" s="135" t="s">
        <v>484</v>
      </c>
      <c r="E503" s="172" t="s">
        <v>537</v>
      </c>
      <c r="F503" s="139" t="s">
        <v>415</v>
      </c>
      <c r="G503" s="177" t="s">
        <v>554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788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2444</v>
      </c>
      <c r="D504" s="135" t="s">
        <v>476</v>
      </c>
      <c r="E504" s="172" t="s">
        <v>577</v>
      </c>
      <c r="F504" s="139" t="s">
        <v>645</v>
      </c>
      <c r="G504" s="177" t="s">
        <v>1948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788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2458</v>
      </c>
      <c r="D505" s="135" t="s">
        <v>484</v>
      </c>
      <c r="E505" s="172" t="s">
        <v>116</v>
      </c>
      <c r="F505" s="139" t="s">
        <v>442</v>
      </c>
      <c r="G505" s="177" t="s">
        <v>2067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788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2521</v>
      </c>
      <c r="D506" s="135" t="s">
        <v>476</v>
      </c>
      <c r="E506" s="172" t="s">
        <v>580</v>
      </c>
      <c r="F506" s="139" t="s">
        <v>371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788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2474</v>
      </c>
      <c r="D507" s="135" t="s">
        <v>484</v>
      </c>
      <c r="E507" s="172" t="s">
        <v>577</v>
      </c>
      <c r="F507" s="139" t="s">
        <v>562</v>
      </c>
      <c r="G507" s="177" t="s">
        <v>569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788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1409</v>
      </c>
      <c r="D508" s="135" t="s">
        <v>484</v>
      </c>
      <c r="E508" s="172" t="s">
        <v>217</v>
      </c>
      <c r="F508" s="139" t="s">
        <v>387</v>
      </c>
      <c r="G508" s="177" t="s">
        <v>2107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788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2522</v>
      </c>
      <c r="D509" s="135" t="s">
        <v>484</v>
      </c>
      <c r="E509" s="172" t="s">
        <v>116</v>
      </c>
      <c r="F509" s="139" t="s">
        <v>2523</v>
      </c>
      <c r="G509" s="177" t="s">
        <v>1064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788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2524</v>
      </c>
      <c r="D510" s="135" t="s">
        <v>1749</v>
      </c>
      <c r="E510" s="172" t="s">
        <v>580</v>
      </c>
      <c r="F510" s="139" t="s">
        <v>371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788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2525</v>
      </c>
      <c r="D511" s="135" t="s">
        <v>474</v>
      </c>
      <c r="E511" s="172" t="s">
        <v>577</v>
      </c>
      <c r="F511" s="139" t="s">
        <v>511</v>
      </c>
      <c r="G511" s="177" t="s">
        <v>2526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788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2527</v>
      </c>
      <c r="D512" s="135" t="s">
        <v>484</v>
      </c>
      <c r="E512" s="172" t="s">
        <v>188</v>
      </c>
      <c r="F512" s="139" t="s">
        <v>527</v>
      </c>
      <c r="G512" s="177" t="s">
        <v>2528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788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1591</v>
      </c>
      <c r="D513" s="135" t="s">
        <v>484</v>
      </c>
      <c r="E513" s="172" t="s">
        <v>537</v>
      </c>
      <c r="F513" s="139" t="s">
        <v>594</v>
      </c>
      <c r="G513" s="177" t="s">
        <v>569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788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2504</v>
      </c>
      <c r="D514" s="135" t="s">
        <v>484</v>
      </c>
      <c r="E514" s="172" t="s">
        <v>580</v>
      </c>
      <c r="F514" s="139" t="s">
        <v>371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788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2529</v>
      </c>
      <c r="D515" s="135" t="s">
        <v>476</v>
      </c>
      <c r="E515" s="172" t="s">
        <v>116</v>
      </c>
      <c r="F515" s="139" t="s">
        <v>527</v>
      </c>
      <c r="G515" s="177" t="s">
        <v>2469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788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2501</v>
      </c>
      <c r="D516" s="135" t="s">
        <v>484</v>
      </c>
      <c r="E516" s="172" t="s">
        <v>577</v>
      </c>
      <c r="F516" s="139" t="s">
        <v>511</v>
      </c>
      <c r="G516" s="177" t="s">
        <v>569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788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2530</v>
      </c>
      <c r="D517" s="135" t="s">
        <v>478</v>
      </c>
      <c r="E517" s="172" t="s">
        <v>217</v>
      </c>
      <c r="F517" s="139" t="s">
        <v>371</v>
      </c>
      <c r="G517" s="177" t="s">
        <v>2067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788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2463</v>
      </c>
      <c r="D518" s="135" t="s">
        <v>478</v>
      </c>
      <c r="E518" s="172" t="s">
        <v>116</v>
      </c>
      <c r="F518" s="139" t="s">
        <v>392</v>
      </c>
      <c r="G518" s="177" t="s">
        <v>1064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788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2531</v>
      </c>
      <c r="D519" s="135" t="s">
        <v>478</v>
      </c>
      <c r="E519" s="172" t="s">
        <v>116</v>
      </c>
      <c r="F519" s="139" t="s">
        <v>445</v>
      </c>
      <c r="G519" s="177" t="s">
        <v>2101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788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2532</v>
      </c>
      <c r="D520" s="135" t="s">
        <v>484</v>
      </c>
      <c r="E520" s="172" t="s">
        <v>577</v>
      </c>
      <c r="F520" s="139" t="s">
        <v>562</v>
      </c>
      <c r="G520" s="177" t="s">
        <v>566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788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2533</v>
      </c>
      <c r="D521" s="135" t="s">
        <v>484</v>
      </c>
      <c r="E521" s="172" t="s">
        <v>188</v>
      </c>
      <c r="F521" s="139" t="s">
        <v>511</v>
      </c>
      <c r="G521" s="177" t="s">
        <v>2534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788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2535</v>
      </c>
      <c r="D522" s="135" t="s">
        <v>476</v>
      </c>
      <c r="E522" s="172" t="s">
        <v>577</v>
      </c>
      <c r="F522" s="139" t="s">
        <v>472</v>
      </c>
      <c r="G522" s="177" t="s">
        <v>2328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788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2536</v>
      </c>
      <c r="D523" s="135" t="s">
        <v>484</v>
      </c>
      <c r="E523" s="172" t="s">
        <v>204</v>
      </c>
      <c r="F523" s="139" t="s">
        <v>645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788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940</v>
      </c>
      <c r="D524" s="135" t="s">
        <v>476</v>
      </c>
      <c r="E524" s="172" t="s">
        <v>116</v>
      </c>
      <c r="F524" s="139" t="s">
        <v>410</v>
      </c>
      <c r="G524" s="177" t="s">
        <v>2537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788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1358</v>
      </c>
      <c r="D525" s="135" t="s">
        <v>476</v>
      </c>
      <c r="E525" s="172" t="s">
        <v>204</v>
      </c>
      <c r="F525" s="139" t="s">
        <v>431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788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2488</v>
      </c>
      <c r="D526" s="135" t="s">
        <v>476</v>
      </c>
      <c r="E526" s="172" t="s">
        <v>577</v>
      </c>
      <c r="F526" s="139" t="s">
        <v>562</v>
      </c>
      <c r="G526" s="177" t="s">
        <v>629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788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2538</v>
      </c>
      <c r="D527" s="135" t="s">
        <v>476</v>
      </c>
      <c r="E527" s="172" t="s">
        <v>1132</v>
      </c>
      <c r="F527" s="139" t="s">
        <v>1004</v>
      </c>
      <c r="G527" s="177" t="s">
        <v>583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788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2539</v>
      </c>
      <c r="D528" s="135" t="s">
        <v>484</v>
      </c>
      <c r="E528" s="172" t="s">
        <v>232</v>
      </c>
      <c r="F528" s="139" t="s">
        <v>371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788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2540</v>
      </c>
      <c r="D529" s="135" t="s">
        <v>476</v>
      </c>
      <c r="E529" s="172" t="s">
        <v>115</v>
      </c>
      <c r="F529" s="139" t="s">
        <v>534</v>
      </c>
      <c r="G529" s="177" t="s">
        <v>2097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788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2541</v>
      </c>
      <c r="D530" s="135" t="s">
        <v>484</v>
      </c>
      <c r="E530" s="172" t="s">
        <v>115</v>
      </c>
      <c r="F530" s="139" t="s">
        <v>415</v>
      </c>
      <c r="G530" s="177" t="s">
        <v>642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788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2542</v>
      </c>
      <c r="D531" s="135" t="s">
        <v>484</v>
      </c>
      <c r="E531" s="172" t="s">
        <v>577</v>
      </c>
      <c r="F531" s="139" t="s">
        <v>527</v>
      </c>
      <c r="G531" s="177" t="s">
        <v>583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788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2543</v>
      </c>
      <c r="D532" s="135" t="s">
        <v>484</v>
      </c>
      <c r="E532" s="172" t="s">
        <v>204</v>
      </c>
      <c r="F532" s="139" t="s">
        <v>568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788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2544</v>
      </c>
      <c r="D533" s="135" t="s">
        <v>484</v>
      </c>
      <c r="E533" s="172" t="s">
        <v>682</v>
      </c>
      <c r="F533" s="139" t="s">
        <v>387</v>
      </c>
      <c r="G533" s="177" t="s">
        <v>2107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788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2545</v>
      </c>
      <c r="D534" s="135" t="s">
        <v>484</v>
      </c>
      <c r="E534" s="172" t="s">
        <v>188</v>
      </c>
      <c r="F534" s="139" t="s">
        <v>2546</v>
      </c>
      <c r="G534" s="177" t="s">
        <v>2097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788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2547</v>
      </c>
      <c r="D535" s="135" t="s">
        <v>476</v>
      </c>
      <c r="E535" s="172" t="s">
        <v>204</v>
      </c>
      <c r="F535" s="139" t="s">
        <v>419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788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2548</v>
      </c>
      <c r="D536" s="135" t="s">
        <v>476</v>
      </c>
      <c r="E536" s="172" t="s">
        <v>580</v>
      </c>
      <c r="F536" s="139" t="s">
        <v>371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788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2549</v>
      </c>
      <c r="D537" s="135" t="s">
        <v>476</v>
      </c>
      <c r="E537" s="172" t="s">
        <v>537</v>
      </c>
      <c r="F537" s="139" t="s">
        <v>527</v>
      </c>
      <c r="G537" s="177" t="s">
        <v>583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788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2422</v>
      </c>
      <c r="D538" s="135" t="s">
        <v>476</v>
      </c>
      <c r="E538" s="172" t="s">
        <v>116</v>
      </c>
      <c r="F538" s="139" t="s">
        <v>2462</v>
      </c>
      <c r="G538" s="177" t="s">
        <v>2067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788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2472</v>
      </c>
      <c r="D539" s="135" t="s">
        <v>476</v>
      </c>
      <c r="E539" s="172" t="s">
        <v>115</v>
      </c>
      <c r="F539" s="139" t="s">
        <v>445</v>
      </c>
      <c r="G539" s="177" t="s">
        <v>560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788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2458</v>
      </c>
      <c r="D540" s="135" t="s">
        <v>484</v>
      </c>
      <c r="E540" s="172" t="s">
        <v>115</v>
      </c>
      <c r="F540" s="139" t="s">
        <v>442</v>
      </c>
      <c r="G540" s="177" t="s">
        <v>583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788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2550</v>
      </c>
      <c r="D541" s="135" t="s">
        <v>484</v>
      </c>
      <c r="E541" s="172" t="s">
        <v>204</v>
      </c>
      <c r="F541" s="139" t="s">
        <v>511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788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2551</v>
      </c>
      <c r="D542" s="135" t="s">
        <v>484</v>
      </c>
      <c r="E542" s="172" t="s">
        <v>577</v>
      </c>
      <c r="F542" s="139" t="s">
        <v>417</v>
      </c>
      <c r="G542" s="177" t="s">
        <v>583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788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2552</v>
      </c>
      <c r="D543" s="135" t="s">
        <v>484</v>
      </c>
      <c r="E543" s="172" t="s">
        <v>577</v>
      </c>
      <c r="F543" s="139" t="s">
        <v>417</v>
      </c>
      <c r="G543" s="177" t="s">
        <v>2112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788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2553</v>
      </c>
      <c r="D544" s="135" t="s">
        <v>484</v>
      </c>
      <c r="E544" s="172" t="s">
        <v>217</v>
      </c>
      <c r="F544" s="139" t="s">
        <v>369</v>
      </c>
      <c r="G544" s="177" t="s">
        <v>2097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788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2554</v>
      </c>
      <c r="D545" s="135" t="s">
        <v>476</v>
      </c>
      <c r="E545" s="172" t="s">
        <v>537</v>
      </c>
      <c r="F545" s="139" t="s">
        <v>431</v>
      </c>
      <c r="G545" s="177" t="s">
        <v>583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788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2555</v>
      </c>
      <c r="D546" s="135" t="s">
        <v>476</v>
      </c>
      <c r="E546" s="172" t="s">
        <v>204</v>
      </c>
      <c r="F546" s="139" t="s">
        <v>417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788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2556</v>
      </c>
      <c r="D547" s="135" t="s">
        <v>484</v>
      </c>
      <c r="E547" s="172" t="s">
        <v>116</v>
      </c>
      <c r="F547" s="139" t="s">
        <v>442</v>
      </c>
      <c r="G547" s="177" t="s">
        <v>2107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788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2557</v>
      </c>
      <c r="D548" s="135" t="s">
        <v>476</v>
      </c>
      <c r="E548" s="172" t="s">
        <v>580</v>
      </c>
      <c r="F548" s="139" t="s">
        <v>371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788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1273</v>
      </c>
      <c r="D549" s="135" t="s">
        <v>484</v>
      </c>
      <c r="E549" s="172" t="s">
        <v>115</v>
      </c>
      <c r="F549" s="139" t="s">
        <v>527</v>
      </c>
      <c r="G549" s="177" t="s">
        <v>2075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788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2558</v>
      </c>
      <c r="D550" s="387" t="s">
        <v>484</v>
      </c>
      <c r="E550" s="389" t="s">
        <v>115</v>
      </c>
      <c r="F550" s="390" t="s">
        <v>431</v>
      </c>
      <c r="G550" s="391" t="s">
        <v>569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788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2503</v>
      </c>
      <c r="D551" s="376" t="s">
        <v>476</v>
      </c>
      <c r="E551" s="378" t="s">
        <v>115</v>
      </c>
      <c r="F551" s="379" t="s">
        <v>568</v>
      </c>
      <c r="G551" s="380" t="s">
        <v>2559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617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2560</v>
      </c>
      <c r="D552" s="135" t="s">
        <v>484</v>
      </c>
      <c r="E552" s="172" t="s">
        <v>577</v>
      </c>
      <c r="F552" s="139" t="s">
        <v>419</v>
      </c>
      <c r="G552" s="177" t="s">
        <v>569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617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2561</v>
      </c>
      <c r="D553" s="135" t="s">
        <v>476</v>
      </c>
      <c r="E553" s="172" t="s">
        <v>577</v>
      </c>
      <c r="F553" s="139" t="s">
        <v>562</v>
      </c>
      <c r="G553" s="177" t="s">
        <v>735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617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2562</v>
      </c>
      <c r="D554" s="135" t="s">
        <v>697</v>
      </c>
      <c r="E554" s="172" t="s">
        <v>580</v>
      </c>
      <c r="F554" s="139" t="s">
        <v>371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617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2563</v>
      </c>
      <c r="D555" s="135" t="s">
        <v>484</v>
      </c>
      <c r="E555" s="172" t="s">
        <v>537</v>
      </c>
      <c r="F555" s="139" t="s">
        <v>431</v>
      </c>
      <c r="G555" s="177" t="s">
        <v>569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617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2564</v>
      </c>
      <c r="D556" s="135" t="s">
        <v>476</v>
      </c>
      <c r="E556" s="172" t="s">
        <v>577</v>
      </c>
      <c r="F556" s="139" t="s">
        <v>562</v>
      </c>
      <c r="G556" s="177" t="s">
        <v>2565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617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2566</v>
      </c>
      <c r="D557" s="135" t="s">
        <v>484</v>
      </c>
      <c r="E557" s="172" t="s">
        <v>537</v>
      </c>
      <c r="F557" s="139" t="s">
        <v>527</v>
      </c>
      <c r="G557" s="177" t="s">
        <v>569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617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2567</v>
      </c>
      <c r="D558" s="135" t="s">
        <v>484</v>
      </c>
      <c r="E558" s="172" t="s">
        <v>577</v>
      </c>
      <c r="F558" s="139" t="s">
        <v>415</v>
      </c>
      <c r="G558" s="177" t="s">
        <v>566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617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2568</v>
      </c>
      <c r="D559" s="135" t="s">
        <v>476</v>
      </c>
      <c r="E559" s="172" t="s">
        <v>577</v>
      </c>
      <c r="F559" s="139" t="s">
        <v>511</v>
      </c>
      <c r="G559" s="177" t="s">
        <v>2569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617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2570</v>
      </c>
      <c r="D560" s="135" t="s">
        <v>476</v>
      </c>
      <c r="E560" s="172" t="s">
        <v>577</v>
      </c>
      <c r="F560" s="139" t="s">
        <v>562</v>
      </c>
      <c r="G560" s="177" t="s">
        <v>2571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617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2572</v>
      </c>
      <c r="D561" s="135" t="s">
        <v>484</v>
      </c>
      <c r="E561" s="172" t="s">
        <v>188</v>
      </c>
      <c r="F561" s="139" t="s">
        <v>2573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617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2574</v>
      </c>
      <c r="D562" s="135" t="s">
        <v>476</v>
      </c>
      <c r="E562" s="172" t="s">
        <v>204</v>
      </c>
      <c r="F562" s="139" t="s">
        <v>645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617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2575</v>
      </c>
      <c r="D563" s="135" t="s">
        <v>484</v>
      </c>
      <c r="E563" s="172" t="s">
        <v>115</v>
      </c>
      <c r="F563" s="139" t="s">
        <v>527</v>
      </c>
      <c r="G563" s="177" t="s">
        <v>566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617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2529</v>
      </c>
      <c r="D564" s="135" t="s">
        <v>484</v>
      </c>
      <c r="E564" s="172" t="s">
        <v>116</v>
      </c>
      <c r="F564" s="139" t="s">
        <v>527</v>
      </c>
      <c r="G564" s="177" t="s">
        <v>2576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617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2529</v>
      </c>
      <c r="D565" s="135" t="s">
        <v>476</v>
      </c>
      <c r="E565" s="172" t="s">
        <v>115</v>
      </c>
      <c r="F565" s="139" t="s">
        <v>527</v>
      </c>
      <c r="G565" s="177" t="s">
        <v>2577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617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940</v>
      </c>
      <c r="D566" s="135" t="s">
        <v>476</v>
      </c>
      <c r="E566" s="172" t="s">
        <v>1053</v>
      </c>
      <c r="F566" s="139" t="s">
        <v>410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617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2578</v>
      </c>
      <c r="D567" s="135" t="s">
        <v>505</v>
      </c>
      <c r="E567" s="172" t="s">
        <v>580</v>
      </c>
      <c r="F567" s="139" t="s">
        <v>371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617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2579</v>
      </c>
      <c r="D568" s="135" t="s">
        <v>481</v>
      </c>
      <c r="E568" s="172" t="s">
        <v>116</v>
      </c>
      <c r="F568" s="139" t="s">
        <v>417</v>
      </c>
      <c r="G568" s="177" t="s">
        <v>2135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617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2580</v>
      </c>
      <c r="D569" s="135" t="s">
        <v>476</v>
      </c>
      <c r="E569" s="172" t="s">
        <v>115</v>
      </c>
      <c r="F569" s="139" t="s">
        <v>2496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617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2581</v>
      </c>
      <c r="D570" s="135" t="s">
        <v>484</v>
      </c>
      <c r="E570" s="172" t="s">
        <v>116</v>
      </c>
      <c r="F570" s="139" t="s">
        <v>417</v>
      </c>
      <c r="G570" s="177" t="s">
        <v>2314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617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2582</v>
      </c>
      <c r="D571" s="233" t="s">
        <v>476</v>
      </c>
      <c r="E571" s="235" t="s">
        <v>580</v>
      </c>
      <c r="F571" s="236" t="s">
        <v>371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617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2583</v>
      </c>
      <c r="D572" s="233" t="s">
        <v>476</v>
      </c>
      <c r="E572" s="235" t="s">
        <v>580</v>
      </c>
      <c r="F572" s="236" t="s">
        <v>371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617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2434</v>
      </c>
      <c r="D573" s="233" t="s">
        <v>476</v>
      </c>
      <c r="E573" s="235" t="s">
        <v>577</v>
      </c>
      <c r="F573" s="236" t="s">
        <v>2584</v>
      </c>
      <c r="G573" s="237" t="s">
        <v>2569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617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2585</v>
      </c>
      <c r="D574" s="233" t="s">
        <v>476</v>
      </c>
      <c r="E574" s="235" t="s">
        <v>217</v>
      </c>
      <c r="F574" s="236" t="s">
        <v>387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617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2586</v>
      </c>
      <c r="D575" s="233" t="s">
        <v>474</v>
      </c>
      <c r="E575" s="235" t="s">
        <v>580</v>
      </c>
      <c r="F575" s="236" t="s">
        <v>371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617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2436</v>
      </c>
      <c r="D576" s="233" t="s">
        <v>484</v>
      </c>
      <c r="E576" s="235" t="s">
        <v>115</v>
      </c>
      <c r="F576" s="236" t="s">
        <v>417</v>
      </c>
      <c r="G576" s="237" t="s">
        <v>569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617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2587</v>
      </c>
      <c r="D577" s="233" t="s">
        <v>476</v>
      </c>
      <c r="E577" s="235" t="s">
        <v>217</v>
      </c>
      <c r="F577" s="236" t="s">
        <v>387</v>
      </c>
      <c r="G577" s="237" t="s">
        <v>2067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617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2438</v>
      </c>
      <c r="D578" s="233" t="s">
        <v>476</v>
      </c>
      <c r="E578" s="235" t="s">
        <v>192</v>
      </c>
      <c r="F578" s="236" t="s">
        <v>812</v>
      </c>
      <c r="G578" s="237" t="s">
        <v>2097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617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2501</v>
      </c>
      <c r="D579" s="233" t="s">
        <v>484</v>
      </c>
      <c r="E579" s="235" t="s">
        <v>116</v>
      </c>
      <c r="F579" s="236" t="s">
        <v>445</v>
      </c>
      <c r="G579" s="237" t="s">
        <v>2107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617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2484</v>
      </c>
      <c r="D580" s="233" t="s">
        <v>484</v>
      </c>
      <c r="E580" s="235" t="s">
        <v>115</v>
      </c>
      <c r="F580" s="236" t="s">
        <v>527</v>
      </c>
      <c r="G580" s="237" t="s">
        <v>678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617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2443</v>
      </c>
      <c r="D581" s="233" t="s">
        <v>484</v>
      </c>
      <c r="E581" s="235" t="s">
        <v>116</v>
      </c>
      <c r="F581" s="236" t="s">
        <v>527</v>
      </c>
      <c r="G581" s="237" t="s">
        <v>2067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617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2588</v>
      </c>
      <c r="D582" s="233" t="s">
        <v>484</v>
      </c>
      <c r="E582" s="235" t="s">
        <v>116</v>
      </c>
      <c r="F582" s="236" t="s">
        <v>392</v>
      </c>
      <c r="G582" s="237" t="s">
        <v>2135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617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2520</v>
      </c>
      <c r="D583" s="135" t="s">
        <v>476</v>
      </c>
      <c r="E583" s="172" t="s">
        <v>115</v>
      </c>
      <c r="F583" s="139" t="s">
        <v>548</v>
      </c>
      <c r="G583" s="177" t="s">
        <v>2589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617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1499</v>
      </c>
      <c r="D584" s="135" t="s">
        <v>484</v>
      </c>
      <c r="E584" s="172" t="s">
        <v>116</v>
      </c>
      <c r="F584" s="139" t="s">
        <v>1880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617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2590</v>
      </c>
      <c r="D585" s="135" t="s">
        <v>484</v>
      </c>
      <c r="E585" s="172" t="s">
        <v>116</v>
      </c>
      <c r="F585" s="139" t="s">
        <v>568</v>
      </c>
      <c r="G585" s="177" t="s">
        <v>2067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617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2591</v>
      </c>
      <c r="D586" s="135" t="s">
        <v>484</v>
      </c>
      <c r="E586" s="172" t="s">
        <v>537</v>
      </c>
      <c r="F586" s="139" t="s">
        <v>415</v>
      </c>
      <c r="G586" s="177" t="s">
        <v>569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617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2592</v>
      </c>
      <c r="D587" s="135" t="s">
        <v>484</v>
      </c>
      <c r="E587" s="172" t="s">
        <v>537</v>
      </c>
      <c r="F587" s="139" t="s">
        <v>527</v>
      </c>
      <c r="G587" s="177" t="s">
        <v>569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617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2593</v>
      </c>
      <c r="D588" s="135" t="s">
        <v>484</v>
      </c>
      <c r="E588" s="172" t="s">
        <v>577</v>
      </c>
      <c r="F588" s="139" t="s">
        <v>562</v>
      </c>
      <c r="G588" s="177" t="s">
        <v>583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617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2456</v>
      </c>
      <c r="D589" s="135" t="s">
        <v>476</v>
      </c>
      <c r="E589" s="172" t="s">
        <v>115</v>
      </c>
      <c r="F589" s="139" t="s">
        <v>431</v>
      </c>
      <c r="G589" s="177" t="s">
        <v>642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617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2594</v>
      </c>
      <c r="D590" s="135" t="s">
        <v>476</v>
      </c>
      <c r="E590" s="172" t="s">
        <v>204</v>
      </c>
      <c r="F590" s="139" t="s">
        <v>2297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617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2595</v>
      </c>
      <c r="D591" s="135" t="s">
        <v>484</v>
      </c>
      <c r="E591" s="172" t="s">
        <v>116</v>
      </c>
      <c r="F591" s="139" t="s">
        <v>404</v>
      </c>
      <c r="G591" s="177" t="s">
        <v>2596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617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2597</v>
      </c>
      <c r="D592" s="135" t="s">
        <v>484</v>
      </c>
      <c r="E592" s="172" t="s">
        <v>846</v>
      </c>
      <c r="F592" s="139" t="s">
        <v>387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617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2598</v>
      </c>
      <c r="D593" s="135" t="s">
        <v>491</v>
      </c>
      <c r="E593" s="172" t="s">
        <v>116</v>
      </c>
      <c r="F593" s="139" t="s">
        <v>2599</v>
      </c>
      <c r="G593" s="177" t="s">
        <v>2067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617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1393</v>
      </c>
      <c r="D594" s="135" t="s">
        <v>476</v>
      </c>
      <c r="E594" s="172" t="s">
        <v>207</v>
      </c>
      <c r="F594" s="139" t="s">
        <v>511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617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1393</v>
      </c>
      <c r="D595" s="135" t="s">
        <v>476</v>
      </c>
      <c r="E595" s="172" t="s">
        <v>577</v>
      </c>
      <c r="F595" s="139" t="s">
        <v>415</v>
      </c>
      <c r="G595" s="177" t="s">
        <v>1285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617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2600</v>
      </c>
      <c r="D596" s="135" t="s">
        <v>476</v>
      </c>
      <c r="E596" s="172" t="s">
        <v>537</v>
      </c>
      <c r="F596" s="139" t="s">
        <v>415</v>
      </c>
      <c r="G596" s="177" t="s">
        <v>560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617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2531</v>
      </c>
      <c r="D597" s="135" t="s">
        <v>476</v>
      </c>
      <c r="E597" s="172" t="s">
        <v>1053</v>
      </c>
      <c r="F597" s="139" t="s">
        <v>445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617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2486</v>
      </c>
      <c r="D598" s="135" t="s">
        <v>476</v>
      </c>
      <c r="E598" s="172" t="s">
        <v>115</v>
      </c>
      <c r="F598" s="139" t="s">
        <v>1023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617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2601</v>
      </c>
      <c r="D599" s="135" t="s">
        <v>476</v>
      </c>
      <c r="E599" s="172" t="s">
        <v>577</v>
      </c>
      <c r="F599" s="139" t="s">
        <v>562</v>
      </c>
      <c r="G599" s="177" t="s">
        <v>678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617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2538</v>
      </c>
      <c r="D600" s="135" t="s">
        <v>476</v>
      </c>
      <c r="E600" s="172" t="s">
        <v>116</v>
      </c>
      <c r="F600" s="139" t="s">
        <v>1004</v>
      </c>
      <c r="G600" s="177" t="s">
        <v>1059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617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2602</v>
      </c>
      <c r="D601" s="135" t="s">
        <v>484</v>
      </c>
      <c r="E601" s="172" t="s">
        <v>116</v>
      </c>
      <c r="F601" s="139" t="s">
        <v>592</v>
      </c>
      <c r="G601" s="177" t="s">
        <v>2107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617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2602</v>
      </c>
      <c r="D602" s="135" t="s">
        <v>484</v>
      </c>
      <c r="E602" s="172" t="s">
        <v>115</v>
      </c>
      <c r="F602" s="139" t="s">
        <v>431</v>
      </c>
      <c r="G602" s="177" t="s">
        <v>583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617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2536</v>
      </c>
      <c r="D603" s="135" t="s">
        <v>484</v>
      </c>
      <c r="E603" s="172" t="s">
        <v>682</v>
      </c>
      <c r="F603" s="139" t="s">
        <v>387</v>
      </c>
      <c r="G603" s="177" t="s">
        <v>1059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617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2603</v>
      </c>
      <c r="D604" s="135" t="s">
        <v>484</v>
      </c>
      <c r="E604" s="172" t="s">
        <v>116</v>
      </c>
      <c r="F604" s="139" t="s">
        <v>404</v>
      </c>
      <c r="G604" s="177" t="s">
        <v>2067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617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2558</v>
      </c>
      <c r="D605" s="135" t="s">
        <v>484</v>
      </c>
      <c r="E605" s="172" t="s">
        <v>577</v>
      </c>
      <c r="F605" s="139" t="s">
        <v>404</v>
      </c>
      <c r="G605" s="177" t="s">
        <v>569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617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2604</v>
      </c>
      <c r="D606" s="135" t="s">
        <v>476</v>
      </c>
      <c r="E606" s="172" t="s">
        <v>204</v>
      </c>
      <c r="F606" s="139" t="s">
        <v>419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617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2605</v>
      </c>
      <c r="D607" s="135" t="s">
        <v>476</v>
      </c>
      <c r="E607" s="172" t="s">
        <v>116</v>
      </c>
      <c r="F607" s="139" t="s">
        <v>404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617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2606</v>
      </c>
      <c r="D608" s="135" t="s">
        <v>476</v>
      </c>
      <c r="E608" s="172" t="s">
        <v>537</v>
      </c>
      <c r="F608" s="139" t="s">
        <v>415</v>
      </c>
      <c r="G608" s="177" t="s">
        <v>2607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617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2608</v>
      </c>
      <c r="D609" s="135" t="s">
        <v>484</v>
      </c>
      <c r="E609" s="172" t="s">
        <v>197</v>
      </c>
      <c r="F609" s="177" t="s">
        <v>2609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617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2610</v>
      </c>
      <c r="D610" s="135" t="s">
        <v>484</v>
      </c>
      <c r="E610" s="172" t="s">
        <v>537</v>
      </c>
      <c r="F610" s="139" t="s">
        <v>568</v>
      </c>
      <c r="G610" s="177" t="s">
        <v>569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617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2610</v>
      </c>
      <c r="D611" s="135" t="s">
        <v>484</v>
      </c>
      <c r="E611" s="172" t="s">
        <v>580</v>
      </c>
      <c r="F611" s="139" t="s">
        <v>371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617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2611</v>
      </c>
      <c r="D612" s="135" t="s">
        <v>476</v>
      </c>
      <c r="E612" s="172" t="s">
        <v>537</v>
      </c>
      <c r="F612" s="139" t="s">
        <v>472</v>
      </c>
      <c r="G612" s="177" t="s">
        <v>2612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617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2613</v>
      </c>
      <c r="D613" s="135" t="s">
        <v>476</v>
      </c>
      <c r="E613" s="172" t="s">
        <v>204</v>
      </c>
      <c r="F613" s="139" t="s">
        <v>645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617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2614</v>
      </c>
      <c r="D614" s="135" t="s">
        <v>476</v>
      </c>
      <c r="E614" s="172" t="s">
        <v>116</v>
      </c>
      <c r="F614" s="139" t="s">
        <v>410</v>
      </c>
      <c r="G614" s="177" t="s">
        <v>2117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617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2614</v>
      </c>
      <c r="D615" s="135" t="s">
        <v>476</v>
      </c>
      <c r="E615" s="172" t="s">
        <v>1053</v>
      </c>
      <c r="F615" s="139" t="s">
        <v>410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617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2615</v>
      </c>
      <c r="D616" s="135" t="s">
        <v>484</v>
      </c>
      <c r="E616" s="172" t="s">
        <v>537</v>
      </c>
      <c r="F616" s="139" t="s">
        <v>415</v>
      </c>
      <c r="G616" s="177" t="s">
        <v>569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617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2616</v>
      </c>
      <c r="D617" s="135" t="s">
        <v>476</v>
      </c>
      <c r="E617" s="172" t="s">
        <v>537</v>
      </c>
      <c r="F617" s="139" t="s">
        <v>472</v>
      </c>
      <c r="G617" s="177" t="s">
        <v>2565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617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2617</v>
      </c>
      <c r="D618" s="135" t="s">
        <v>476</v>
      </c>
      <c r="E618" s="172" t="s">
        <v>116</v>
      </c>
      <c r="F618" s="139" t="s">
        <v>1954</v>
      </c>
      <c r="G618" s="177" t="s">
        <v>2067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617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2618</v>
      </c>
      <c r="D619" s="135" t="s">
        <v>476</v>
      </c>
      <c r="E619" s="172" t="s">
        <v>580</v>
      </c>
      <c r="F619" s="139" t="s">
        <v>371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617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2619</v>
      </c>
      <c r="D620" s="135" t="s">
        <v>484</v>
      </c>
      <c r="E620" s="172" t="s">
        <v>188</v>
      </c>
      <c r="F620" s="139" t="s">
        <v>2620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617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2621</v>
      </c>
      <c r="D621" s="135" t="s">
        <v>481</v>
      </c>
      <c r="E621" s="172" t="s">
        <v>217</v>
      </c>
      <c r="F621" s="139" t="s">
        <v>371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617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2473</v>
      </c>
      <c r="D622" s="135" t="s">
        <v>476</v>
      </c>
      <c r="E622" s="172" t="s">
        <v>115</v>
      </c>
      <c r="F622" s="139" t="s">
        <v>442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617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2488</v>
      </c>
      <c r="D623" s="135" t="s">
        <v>476</v>
      </c>
      <c r="E623" s="172" t="s">
        <v>115</v>
      </c>
      <c r="F623" s="139" t="s">
        <v>442</v>
      </c>
      <c r="G623" s="177" t="s">
        <v>2165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617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2622</v>
      </c>
      <c r="D624" s="135" t="s">
        <v>474</v>
      </c>
      <c r="E624" s="172" t="s">
        <v>537</v>
      </c>
      <c r="F624" s="139" t="s">
        <v>417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617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2623</v>
      </c>
      <c r="D625" s="135" t="s">
        <v>484</v>
      </c>
      <c r="E625" s="172" t="s">
        <v>580</v>
      </c>
      <c r="F625" s="139" t="s">
        <v>371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617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2624</v>
      </c>
      <c r="D626" s="135" t="s">
        <v>484</v>
      </c>
      <c r="E626" s="172" t="s">
        <v>116</v>
      </c>
      <c r="F626" s="139" t="s">
        <v>407</v>
      </c>
      <c r="G626" s="177" t="s">
        <v>718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617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2625</v>
      </c>
      <c r="D627" s="135" t="s">
        <v>476</v>
      </c>
      <c r="E627" s="172" t="s">
        <v>577</v>
      </c>
      <c r="F627" s="139" t="s">
        <v>472</v>
      </c>
      <c r="G627" s="177" t="s">
        <v>563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617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1324</v>
      </c>
      <c r="D628" s="135" t="s">
        <v>484</v>
      </c>
      <c r="E628" s="172" t="s">
        <v>116</v>
      </c>
      <c r="F628" s="139" t="s">
        <v>400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617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2626</v>
      </c>
      <c r="D629" s="135" t="s">
        <v>476</v>
      </c>
      <c r="E629" s="172" t="s">
        <v>577</v>
      </c>
      <c r="F629" s="139" t="s">
        <v>417</v>
      </c>
      <c r="G629" s="177" t="s">
        <v>563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617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2627</v>
      </c>
      <c r="D630" s="135" t="s">
        <v>484</v>
      </c>
      <c r="E630" s="172" t="s">
        <v>116</v>
      </c>
      <c r="F630" s="139" t="s">
        <v>431</v>
      </c>
      <c r="G630" s="177" t="s">
        <v>2628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617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2493</v>
      </c>
      <c r="D631" s="135" t="s">
        <v>476</v>
      </c>
      <c r="E631" s="172" t="s">
        <v>682</v>
      </c>
      <c r="F631" s="139" t="s">
        <v>369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617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2629</v>
      </c>
      <c r="D632" s="135" t="s">
        <v>484</v>
      </c>
      <c r="E632" s="172" t="s">
        <v>116</v>
      </c>
      <c r="F632" s="139" t="s">
        <v>472</v>
      </c>
      <c r="G632" s="177" t="s">
        <v>1064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617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2630</v>
      </c>
      <c r="D633" s="135" t="s">
        <v>484</v>
      </c>
      <c r="E633" s="172" t="s">
        <v>116</v>
      </c>
      <c r="F633" s="139" t="s">
        <v>645</v>
      </c>
      <c r="G633" s="177" t="s">
        <v>1064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617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2631</v>
      </c>
      <c r="D634" s="135" t="s">
        <v>476</v>
      </c>
      <c r="E634" s="172" t="s">
        <v>116</v>
      </c>
      <c r="F634" s="139" t="s">
        <v>442</v>
      </c>
      <c r="G634" s="177" t="s">
        <v>2135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617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2505</v>
      </c>
      <c r="D635" s="135" t="s">
        <v>476</v>
      </c>
      <c r="E635" s="172" t="s">
        <v>210</v>
      </c>
      <c r="F635" s="139" t="s">
        <v>568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617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2632</v>
      </c>
      <c r="D636" s="241" t="s">
        <v>476</v>
      </c>
      <c r="E636" s="229" t="s">
        <v>188</v>
      </c>
      <c r="F636" s="243" t="s">
        <v>2633</v>
      </c>
      <c r="G636" s="230" t="s">
        <v>2097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617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2422</v>
      </c>
      <c r="D637" s="394" t="s">
        <v>476</v>
      </c>
      <c r="E637" s="396" t="s">
        <v>115</v>
      </c>
      <c r="F637" s="397" t="s">
        <v>2634</v>
      </c>
      <c r="G637" s="398" t="s">
        <v>2075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620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2635</v>
      </c>
      <c r="D638" s="122" t="s">
        <v>481</v>
      </c>
      <c r="E638" s="150" t="s">
        <v>217</v>
      </c>
      <c r="F638" s="126" t="s">
        <v>369</v>
      </c>
      <c r="G638" s="271" t="s">
        <v>489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620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2636</v>
      </c>
      <c r="D639" s="274" t="s">
        <v>484</v>
      </c>
      <c r="E639" s="276" t="s">
        <v>116</v>
      </c>
      <c r="F639" s="277" t="s">
        <v>392</v>
      </c>
      <c r="G639" s="278" t="s">
        <v>2637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620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2638</v>
      </c>
      <c r="D640" s="122" t="s">
        <v>478</v>
      </c>
      <c r="E640" s="150" t="s">
        <v>217</v>
      </c>
      <c r="F640" s="126" t="s">
        <v>371</v>
      </c>
      <c r="G640" s="271" t="s">
        <v>2067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620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2639</v>
      </c>
      <c r="D641" s="274" t="s">
        <v>474</v>
      </c>
      <c r="E641" s="276" t="s">
        <v>682</v>
      </c>
      <c r="F641" s="277" t="s">
        <v>387</v>
      </c>
      <c r="G641" s="278" t="s">
        <v>2469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620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2563</v>
      </c>
      <c r="D642" s="274" t="s">
        <v>484</v>
      </c>
      <c r="E642" s="276" t="s">
        <v>537</v>
      </c>
      <c r="F642" s="277" t="s">
        <v>562</v>
      </c>
      <c r="G642" s="278" t="s">
        <v>569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620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2640</v>
      </c>
      <c r="D643" s="274" t="s">
        <v>484</v>
      </c>
      <c r="E643" s="276" t="s">
        <v>577</v>
      </c>
      <c r="F643" s="277" t="s">
        <v>645</v>
      </c>
      <c r="G643" s="278" t="s">
        <v>583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620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2641</v>
      </c>
      <c r="D644" s="274" t="s">
        <v>476</v>
      </c>
      <c r="E644" s="276" t="s">
        <v>116</v>
      </c>
      <c r="F644" s="277" t="s">
        <v>562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620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2642</v>
      </c>
      <c r="D645" s="274" t="s">
        <v>476</v>
      </c>
      <c r="E645" s="276" t="s">
        <v>537</v>
      </c>
      <c r="F645" s="277" t="s">
        <v>472</v>
      </c>
      <c r="G645" s="278" t="s">
        <v>563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620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2643</v>
      </c>
      <c r="D646" s="274" t="s">
        <v>476</v>
      </c>
      <c r="E646" s="276" t="s">
        <v>116</v>
      </c>
      <c r="F646" s="277" t="s">
        <v>417</v>
      </c>
      <c r="G646" s="278" t="s">
        <v>2067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620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2643</v>
      </c>
      <c r="D647" s="274" t="s">
        <v>476</v>
      </c>
      <c r="E647" s="276" t="s">
        <v>115</v>
      </c>
      <c r="F647" s="277" t="s">
        <v>417</v>
      </c>
      <c r="G647" s="278" t="s">
        <v>629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620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2644</v>
      </c>
      <c r="D648" s="274" t="s">
        <v>476</v>
      </c>
      <c r="E648" s="276" t="s">
        <v>580</v>
      </c>
      <c r="F648" s="277" t="s">
        <v>371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620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2645</v>
      </c>
      <c r="D649" s="122" t="s">
        <v>476</v>
      </c>
      <c r="E649" s="150" t="s">
        <v>116</v>
      </c>
      <c r="F649" s="126" t="s">
        <v>445</v>
      </c>
      <c r="G649" s="271" t="s">
        <v>2067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620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2646</v>
      </c>
      <c r="D650" s="122" t="s">
        <v>476</v>
      </c>
      <c r="E650" s="150" t="s">
        <v>116</v>
      </c>
      <c r="F650" s="126" t="s">
        <v>410</v>
      </c>
      <c r="G650" s="271" t="s">
        <v>2107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620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2647</v>
      </c>
      <c r="D651" s="122" t="s">
        <v>484</v>
      </c>
      <c r="E651" s="150" t="s">
        <v>116</v>
      </c>
      <c r="F651" s="126" t="s">
        <v>419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620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2648</v>
      </c>
      <c r="D652" s="122" t="s">
        <v>476</v>
      </c>
      <c r="E652" s="150" t="s">
        <v>116</v>
      </c>
      <c r="F652" s="126" t="s">
        <v>511</v>
      </c>
      <c r="G652" s="271" t="s">
        <v>2067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620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2649</v>
      </c>
      <c r="D653" s="122" t="s">
        <v>474</v>
      </c>
      <c r="E653" s="150" t="s">
        <v>580</v>
      </c>
      <c r="F653" s="126" t="s">
        <v>371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620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2650</v>
      </c>
      <c r="D654" s="122" t="s">
        <v>474</v>
      </c>
      <c r="E654" s="150" t="s">
        <v>580</v>
      </c>
      <c r="F654" s="126" t="s">
        <v>371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620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2651</v>
      </c>
      <c r="D655" s="122" t="s">
        <v>484</v>
      </c>
      <c r="E655" s="150" t="s">
        <v>537</v>
      </c>
      <c r="F655" s="126" t="s">
        <v>562</v>
      </c>
      <c r="G655" s="271" t="s">
        <v>569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620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2652</v>
      </c>
      <c r="D656" s="122" t="s">
        <v>484</v>
      </c>
      <c r="E656" s="150" t="s">
        <v>116</v>
      </c>
      <c r="F656" s="126" t="s">
        <v>472</v>
      </c>
      <c r="G656" s="271" t="s">
        <v>1064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620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2653</v>
      </c>
      <c r="D657" s="122" t="s">
        <v>484</v>
      </c>
      <c r="E657" s="150" t="s">
        <v>116</v>
      </c>
      <c r="F657" s="126" t="s">
        <v>594</v>
      </c>
      <c r="G657" s="271" t="s">
        <v>2067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620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2653</v>
      </c>
      <c r="D658" s="122" t="s">
        <v>484</v>
      </c>
      <c r="E658" s="150" t="s">
        <v>115</v>
      </c>
      <c r="F658" s="126" t="s">
        <v>594</v>
      </c>
      <c r="G658" s="271" t="s">
        <v>560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620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1527</v>
      </c>
      <c r="D659" s="122" t="s">
        <v>476</v>
      </c>
      <c r="E659" s="150" t="s">
        <v>116</v>
      </c>
      <c r="F659" s="126" t="s">
        <v>511</v>
      </c>
      <c r="G659" s="271" t="s">
        <v>2135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620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1527</v>
      </c>
      <c r="D660" s="122" t="s">
        <v>476</v>
      </c>
      <c r="E660" s="150" t="s">
        <v>115</v>
      </c>
      <c r="F660" s="126" t="s">
        <v>511</v>
      </c>
      <c r="G660" s="271" t="s">
        <v>489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620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1527</v>
      </c>
      <c r="D661" s="122" t="s">
        <v>476</v>
      </c>
      <c r="E661" s="150" t="s">
        <v>577</v>
      </c>
      <c r="F661" s="126" t="s">
        <v>392</v>
      </c>
      <c r="G661" s="271" t="s">
        <v>489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620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2654</v>
      </c>
      <c r="D662" s="122" t="s">
        <v>476</v>
      </c>
      <c r="E662" s="150" t="s">
        <v>237</v>
      </c>
      <c r="F662" s="126" t="s">
        <v>387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620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2655</v>
      </c>
      <c r="D663" s="122" t="s">
        <v>484</v>
      </c>
      <c r="E663" s="150" t="s">
        <v>537</v>
      </c>
      <c r="F663" s="126" t="s">
        <v>417</v>
      </c>
      <c r="G663" s="271" t="s">
        <v>554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620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2501</v>
      </c>
      <c r="D664" s="122" t="s">
        <v>484</v>
      </c>
      <c r="E664" s="150" t="s">
        <v>116</v>
      </c>
      <c r="F664" s="126" t="s">
        <v>410</v>
      </c>
      <c r="G664" s="271" t="s">
        <v>2107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620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2501</v>
      </c>
      <c r="D665" s="122" t="s">
        <v>484</v>
      </c>
      <c r="E665" s="150" t="s">
        <v>192</v>
      </c>
      <c r="F665" s="126" t="s">
        <v>410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620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2501</v>
      </c>
      <c r="D666" s="122" t="s">
        <v>484</v>
      </c>
      <c r="E666" s="150" t="s">
        <v>182</v>
      </c>
      <c r="F666" s="126" t="s">
        <v>445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620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1493</v>
      </c>
      <c r="D667" s="122" t="s">
        <v>476</v>
      </c>
      <c r="E667" s="150" t="s">
        <v>577</v>
      </c>
      <c r="F667" s="126" t="s">
        <v>527</v>
      </c>
      <c r="G667" s="271" t="s">
        <v>2143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620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2656</v>
      </c>
      <c r="D668" s="122" t="s">
        <v>476</v>
      </c>
      <c r="E668" s="150" t="s">
        <v>577</v>
      </c>
      <c r="F668" s="126" t="s">
        <v>431</v>
      </c>
      <c r="G668" s="271" t="s">
        <v>629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620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2657</v>
      </c>
      <c r="D669" s="122" t="s">
        <v>476</v>
      </c>
      <c r="E669" s="150" t="s">
        <v>682</v>
      </c>
      <c r="F669" s="126" t="s">
        <v>369</v>
      </c>
      <c r="G669" s="271" t="s">
        <v>489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620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1499</v>
      </c>
      <c r="D670" s="122" t="s">
        <v>484</v>
      </c>
      <c r="E670" s="150" t="s">
        <v>2658</v>
      </c>
      <c r="F670" s="126" t="s">
        <v>2659</v>
      </c>
      <c r="G670" s="271" t="s">
        <v>417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620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1499</v>
      </c>
      <c r="D671" s="122" t="s">
        <v>484</v>
      </c>
      <c r="E671" s="150" t="s">
        <v>115</v>
      </c>
      <c r="F671" s="126" t="s">
        <v>1880</v>
      </c>
      <c r="G671" s="271" t="s">
        <v>629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620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2660</v>
      </c>
      <c r="D672" s="122" t="s">
        <v>476</v>
      </c>
      <c r="E672" s="150" t="s">
        <v>537</v>
      </c>
      <c r="F672" s="126" t="s">
        <v>442</v>
      </c>
      <c r="G672" s="271" t="s">
        <v>2094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620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2661</v>
      </c>
      <c r="D673" s="122" t="s">
        <v>474</v>
      </c>
      <c r="E673" s="150" t="s">
        <v>580</v>
      </c>
      <c r="F673" s="126" t="s">
        <v>371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620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2662</v>
      </c>
      <c r="D674" s="122" t="s">
        <v>484</v>
      </c>
      <c r="E674" s="150" t="s">
        <v>577</v>
      </c>
      <c r="F674" s="126" t="s">
        <v>562</v>
      </c>
      <c r="G674" s="271" t="s">
        <v>737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620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2663</v>
      </c>
      <c r="D675" s="122" t="s">
        <v>476</v>
      </c>
      <c r="E675" s="150" t="s">
        <v>577</v>
      </c>
      <c r="F675" s="126" t="s">
        <v>511</v>
      </c>
      <c r="G675" s="271" t="s">
        <v>563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620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2509</v>
      </c>
      <c r="D676" s="122" t="s">
        <v>484</v>
      </c>
      <c r="E676" s="150" t="s">
        <v>1053</v>
      </c>
      <c r="F676" s="126" t="s">
        <v>410</v>
      </c>
      <c r="G676" s="271" t="s">
        <v>597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620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2664</v>
      </c>
      <c r="D677" s="122" t="s">
        <v>484</v>
      </c>
      <c r="E677" s="150" t="s">
        <v>204</v>
      </c>
      <c r="F677" s="126" t="s">
        <v>527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620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2665</v>
      </c>
      <c r="D678" s="122" t="s">
        <v>484</v>
      </c>
      <c r="E678" s="150" t="s">
        <v>116</v>
      </c>
      <c r="F678" s="126" t="s">
        <v>2496</v>
      </c>
      <c r="G678" s="271" t="s">
        <v>1064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620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1270</v>
      </c>
      <c r="D679" s="122" t="s">
        <v>1316</v>
      </c>
      <c r="E679" s="150" t="s">
        <v>217</v>
      </c>
      <c r="F679" s="126" t="s">
        <v>369</v>
      </c>
      <c r="G679" s="271" t="s">
        <v>489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620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2666</v>
      </c>
      <c r="D680" s="122" t="s">
        <v>478</v>
      </c>
      <c r="E680" s="150" t="s">
        <v>188</v>
      </c>
      <c r="F680" s="126" t="s">
        <v>527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620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2667</v>
      </c>
      <c r="D681" s="122" t="s">
        <v>36</v>
      </c>
      <c r="E681" s="150" t="s">
        <v>116</v>
      </c>
      <c r="F681" s="126" t="s">
        <v>392</v>
      </c>
      <c r="G681" s="271" t="s">
        <v>489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620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2668</v>
      </c>
      <c r="D682" s="122" t="s">
        <v>476</v>
      </c>
      <c r="E682" s="150" t="s">
        <v>204</v>
      </c>
      <c r="F682" s="126" t="s">
        <v>568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620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2595</v>
      </c>
      <c r="D683" s="122" t="s">
        <v>484</v>
      </c>
      <c r="E683" s="150" t="s">
        <v>115</v>
      </c>
      <c r="F683" s="126" t="s">
        <v>419</v>
      </c>
      <c r="G683" s="271" t="s">
        <v>583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620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2669</v>
      </c>
      <c r="D684" s="122" t="s">
        <v>476</v>
      </c>
      <c r="E684" s="150" t="s">
        <v>116</v>
      </c>
      <c r="F684" s="126" t="s">
        <v>2319</v>
      </c>
      <c r="G684" s="271" t="s">
        <v>2067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620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2670</v>
      </c>
      <c r="D685" s="122" t="s">
        <v>474</v>
      </c>
      <c r="E685" s="150" t="s">
        <v>217</v>
      </c>
      <c r="F685" s="126" t="s">
        <v>371</v>
      </c>
      <c r="G685" s="271" t="s">
        <v>2067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620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1393</v>
      </c>
      <c r="D686" s="122" t="s">
        <v>476</v>
      </c>
      <c r="E686" s="150" t="s">
        <v>116</v>
      </c>
      <c r="F686" s="126" t="s">
        <v>2671</v>
      </c>
      <c r="G686" s="271" t="s">
        <v>2067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620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2672</v>
      </c>
      <c r="D687" s="122" t="s">
        <v>484</v>
      </c>
      <c r="E687" s="150" t="s">
        <v>116</v>
      </c>
      <c r="F687" s="126" t="s">
        <v>527</v>
      </c>
      <c r="G687" s="271" t="s">
        <v>1250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620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2673</v>
      </c>
      <c r="D688" s="122" t="s">
        <v>484</v>
      </c>
      <c r="E688" s="150" t="s">
        <v>116</v>
      </c>
      <c r="F688" s="126" t="s">
        <v>645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620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2602</v>
      </c>
      <c r="D689" s="122" t="s">
        <v>484</v>
      </c>
      <c r="E689" s="150" t="s">
        <v>115</v>
      </c>
      <c r="F689" s="126" t="s">
        <v>527</v>
      </c>
      <c r="G689" s="271" t="s">
        <v>583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620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1315</v>
      </c>
      <c r="D690" s="122" t="s">
        <v>476</v>
      </c>
      <c r="E690" s="150" t="s">
        <v>116</v>
      </c>
      <c r="F690" s="126" t="s">
        <v>562</v>
      </c>
      <c r="G690" s="271" t="s">
        <v>2107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620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2530</v>
      </c>
      <c r="D691" s="122" t="s">
        <v>478</v>
      </c>
      <c r="E691" s="150" t="s">
        <v>682</v>
      </c>
      <c r="F691" s="126" t="s">
        <v>369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620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2674</v>
      </c>
      <c r="D692" s="122" t="s">
        <v>474</v>
      </c>
      <c r="E692" s="150" t="s">
        <v>577</v>
      </c>
      <c r="F692" s="126" t="s">
        <v>392</v>
      </c>
      <c r="G692" s="271" t="s">
        <v>2097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620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2675</v>
      </c>
      <c r="D693" s="122" t="s">
        <v>481</v>
      </c>
      <c r="E693" s="150" t="s">
        <v>217</v>
      </c>
      <c r="F693" s="126" t="s">
        <v>371</v>
      </c>
      <c r="G693" s="271" t="s">
        <v>2035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620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2676</v>
      </c>
      <c r="D694" s="122" t="s">
        <v>476</v>
      </c>
      <c r="E694" s="150" t="s">
        <v>577</v>
      </c>
      <c r="F694" s="126" t="s">
        <v>527</v>
      </c>
      <c r="G694" s="271" t="s">
        <v>560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620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2677</v>
      </c>
      <c r="D695" s="122" t="s">
        <v>478</v>
      </c>
      <c r="E695" s="150" t="s">
        <v>116</v>
      </c>
      <c r="F695" s="126" t="s">
        <v>445</v>
      </c>
      <c r="G695" s="271" t="s">
        <v>2067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620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2603</v>
      </c>
      <c r="D696" s="122" t="s">
        <v>484</v>
      </c>
      <c r="E696" s="150" t="s">
        <v>115</v>
      </c>
      <c r="F696" s="126" t="s">
        <v>404</v>
      </c>
      <c r="G696" s="271" t="s">
        <v>1285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620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2678</v>
      </c>
      <c r="D697" s="122" t="s">
        <v>484</v>
      </c>
      <c r="E697" s="150" t="s">
        <v>537</v>
      </c>
      <c r="F697" s="126" t="s">
        <v>472</v>
      </c>
      <c r="G697" s="271" t="s">
        <v>554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620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2679</v>
      </c>
      <c r="D698" s="122" t="s">
        <v>481</v>
      </c>
      <c r="E698" s="150" t="s">
        <v>217</v>
      </c>
      <c r="F698" s="126" t="s">
        <v>371</v>
      </c>
      <c r="G698" s="271" t="s">
        <v>2067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620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2680</v>
      </c>
      <c r="D699" s="122" t="s">
        <v>474</v>
      </c>
      <c r="E699" s="150" t="s">
        <v>580</v>
      </c>
      <c r="F699" s="126" t="s">
        <v>371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620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2681</v>
      </c>
      <c r="D700" s="122" t="s">
        <v>476</v>
      </c>
      <c r="E700" s="150" t="s">
        <v>537</v>
      </c>
      <c r="F700" s="126" t="s">
        <v>431</v>
      </c>
      <c r="G700" s="271" t="s">
        <v>2682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620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2605</v>
      </c>
      <c r="D701" s="122" t="s">
        <v>476</v>
      </c>
      <c r="E701" s="150" t="s">
        <v>115</v>
      </c>
      <c r="F701" s="126" t="s">
        <v>404</v>
      </c>
      <c r="G701" s="271" t="s">
        <v>2683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620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2684</v>
      </c>
      <c r="D702" s="122" t="s">
        <v>481</v>
      </c>
      <c r="E702" s="150" t="s">
        <v>116</v>
      </c>
      <c r="F702" s="126" t="s">
        <v>534</v>
      </c>
      <c r="G702" s="271" t="s">
        <v>1250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620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580</v>
      </c>
      <c r="D703" s="122" t="s">
        <v>505</v>
      </c>
      <c r="E703" s="150" t="s">
        <v>580</v>
      </c>
      <c r="F703" s="126" t="s">
        <v>371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620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2685</v>
      </c>
      <c r="D704" s="122" t="s">
        <v>476</v>
      </c>
      <c r="E704" s="150" t="s">
        <v>537</v>
      </c>
      <c r="F704" s="126" t="s">
        <v>417</v>
      </c>
      <c r="G704" s="271" t="s">
        <v>642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620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2686</v>
      </c>
      <c r="D705" s="122" t="s">
        <v>474</v>
      </c>
      <c r="E705" s="150" t="s">
        <v>580</v>
      </c>
      <c r="F705" s="126" t="s">
        <v>371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620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2687</v>
      </c>
      <c r="D706" s="122" t="s">
        <v>476</v>
      </c>
      <c r="E706" s="150" t="s">
        <v>580</v>
      </c>
      <c r="F706" s="126" t="s">
        <v>371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620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2608</v>
      </c>
      <c r="D707" s="122" t="s">
        <v>484</v>
      </c>
      <c r="E707" s="150" t="s">
        <v>197</v>
      </c>
      <c r="F707" s="126" t="s">
        <v>442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620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2553</v>
      </c>
      <c r="D708" s="122" t="s">
        <v>484</v>
      </c>
      <c r="E708" s="150" t="s">
        <v>217</v>
      </c>
      <c r="F708" s="126" t="s">
        <v>371</v>
      </c>
      <c r="G708" s="271" t="s">
        <v>2067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620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2688</v>
      </c>
      <c r="D709" s="122" t="s">
        <v>484</v>
      </c>
      <c r="E709" s="150" t="s">
        <v>204</v>
      </c>
      <c r="F709" s="126" t="s">
        <v>417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620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2689</v>
      </c>
      <c r="D710" s="122" t="s">
        <v>476</v>
      </c>
      <c r="E710" s="150" t="s">
        <v>116</v>
      </c>
      <c r="F710" s="126" t="s">
        <v>419</v>
      </c>
      <c r="G710" s="271" t="s">
        <v>489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620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2690</v>
      </c>
      <c r="D711" s="122" t="s">
        <v>484</v>
      </c>
      <c r="E711" s="150" t="s">
        <v>577</v>
      </c>
      <c r="F711" s="126" t="s">
        <v>527</v>
      </c>
      <c r="G711" s="271" t="s">
        <v>583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620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2617</v>
      </c>
      <c r="D712" s="122" t="s">
        <v>476</v>
      </c>
      <c r="E712" s="150" t="s">
        <v>204</v>
      </c>
      <c r="F712" s="126" t="s">
        <v>530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620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2617</v>
      </c>
      <c r="D713" s="122" t="s">
        <v>476</v>
      </c>
      <c r="E713" s="150" t="s">
        <v>115</v>
      </c>
      <c r="F713" s="126" t="s">
        <v>1954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620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2691</v>
      </c>
      <c r="D714" s="122" t="s">
        <v>484</v>
      </c>
      <c r="E714" s="150" t="s">
        <v>537</v>
      </c>
      <c r="F714" s="126" t="s">
        <v>511</v>
      </c>
      <c r="G714" s="271" t="s">
        <v>569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620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2692</v>
      </c>
      <c r="D715" s="122" t="s">
        <v>484</v>
      </c>
      <c r="E715" s="150" t="s">
        <v>580</v>
      </c>
      <c r="F715" s="126" t="s">
        <v>371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620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2693</v>
      </c>
      <c r="D716" s="122" t="s">
        <v>474</v>
      </c>
      <c r="E716" s="150" t="s">
        <v>115</v>
      </c>
      <c r="F716" s="126" t="s">
        <v>534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620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1448</v>
      </c>
      <c r="D717" s="122" t="s">
        <v>484</v>
      </c>
      <c r="E717" s="150" t="s">
        <v>116</v>
      </c>
      <c r="F717" s="126" t="s">
        <v>442</v>
      </c>
      <c r="G717" s="271" t="s">
        <v>1250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620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1323</v>
      </c>
      <c r="D718" s="122" t="s">
        <v>484</v>
      </c>
      <c r="E718" s="150" t="s">
        <v>204</v>
      </c>
      <c r="F718" s="126" t="s">
        <v>645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620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2694</v>
      </c>
      <c r="D719" s="122" t="s">
        <v>478</v>
      </c>
      <c r="E719" s="150" t="s">
        <v>116</v>
      </c>
      <c r="F719" s="126" t="s">
        <v>445</v>
      </c>
      <c r="G719" s="271" t="s">
        <v>1064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620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2695</v>
      </c>
      <c r="D720" s="122" t="s">
        <v>476</v>
      </c>
      <c r="E720" s="150" t="s">
        <v>204</v>
      </c>
      <c r="F720" s="126" t="s">
        <v>538</v>
      </c>
      <c r="G720" s="271" t="s">
        <v>2097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620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2696</v>
      </c>
      <c r="D721" s="122" t="s">
        <v>1316</v>
      </c>
      <c r="E721" s="150" t="s">
        <v>219</v>
      </c>
      <c r="F721" s="126" t="s">
        <v>371</v>
      </c>
      <c r="G721" s="271" t="s">
        <v>2067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620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2697</v>
      </c>
      <c r="D722" s="122" t="s">
        <v>484</v>
      </c>
      <c r="E722" s="150" t="s">
        <v>116</v>
      </c>
      <c r="F722" s="126" t="s">
        <v>562</v>
      </c>
      <c r="G722" s="271" t="s">
        <v>1064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620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2698</v>
      </c>
      <c r="D723" s="122" t="s">
        <v>476</v>
      </c>
      <c r="E723" s="150" t="s">
        <v>577</v>
      </c>
      <c r="F723" s="126" t="s">
        <v>2410</v>
      </c>
      <c r="G723" s="271" t="s">
        <v>2534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620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2627</v>
      </c>
      <c r="D724" s="122" t="s">
        <v>484</v>
      </c>
      <c r="E724" s="150" t="s">
        <v>115</v>
      </c>
      <c r="F724" s="126" t="s">
        <v>431</v>
      </c>
      <c r="G724" s="271" t="s">
        <v>1059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620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2627</v>
      </c>
      <c r="D725" s="122" t="s">
        <v>484</v>
      </c>
      <c r="E725" s="150" t="s">
        <v>537</v>
      </c>
      <c r="F725" s="126" t="s">
        <v>404</v>
      </c>
      <c r="G725" s="271" t="s">
        <v>2699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620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2629</v>
      </c>
      <c r="D726" s="122" t="s">
        <v>484</v>
      </c>
      <c r="E726" s="150" t="s">
        <v>115</v>
      </c>
      <c r="F726" s="126" t="s">
        <v>472</v>
      </c>
      <c r="G726" s="271" t="s">
        <v>583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620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2700</v>
      </c>
      <c r="D727" s="122" t="s">
        <v>476</v>
      </c>
      <c r="E727" s="150" t="s">
        <v>580</v>
      </c>
      <c r="F727" s="126" t="s">
        <v>371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620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2701</v>
      </c>
      <c r="D728" s="122" t="s">
        <v>476</v>
      </c>
      <c r="E728" s="150" t="s">
        <v>116</v>
      </c>
      <c r="F728" s="126" t="s">
        <v>417</v>
      </c>
      <c r="G728" s="271" t="s">
        <v>489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620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2702</v>
      </c>
      <c r="D729" s="122" t="s">
        <v>476</v>
      </c>
      <c r="E729" s="150" t="s">
        <v>116</v>
      </c>
      <c r="F729" s="126" t="s">
        <v>431</v>
      </c>
      <c r="G729" s="271" t="s">
        <v>2067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620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2703</v>
      </c>
      <c r="D730" s="122" t="s">
        <v>476</v>
      </c>
      <c r="E730" s="150" t="s">
        <v>580</v>
      </c>
      <c r="F730" s="126" t="s">
        <v>371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620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2704</v>
      </c>
      <c r="D731" s="122" t="s">
        <v>476</v>
      </c>
      <c r="E731" s="150" t="s">
        <v>116</v>
      </c>
      <c r="F731" s="126" t="s">
        <v>472</v>
      </c>
      <c r="G731" s="271" t="s">
        <v>2101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620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2705</v>
      </c>
      <c r="D732" s="122" t="s">
        <v>476</v>
      </c>
      <c r="E732" s="150" t="s">
        <v>116</v>
      </c>
      <c r="F732" s="126" t="s">
        <v>562</v>
      </c>
      <c r="G732" s="271" t="s">
        <v>2101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620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2706</v>
      </c>
      <c r="D733" s="122" t="s">
        <v>476</v>
      </c>
      <c r="E733" s="150" t="s">
        <v>537</v>
      </c>
      <c r="F733" s="126" t="s">
        <v>527</v>
      </c>
      <c r="G733" s="271" t="s">
        <v>583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620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2707</v>
      </c>
      <c r="D734" s="122" t="s">
        <v>481</v>
      </c>
      <c r="E734" s="150" t="s">
        <v>219</v>
      </c>
      <c r="F734" s="126" t="s">
        <v>371</v>
      </c>
      <c r="G734" s="271" t="s">
        <v>2067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620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2708</v>
      </c>
      <c r="D735" s="405" t="s">
        <v>481</v>
      </c>
      <c r="E735" s="407" t="s">
        <v>116</v>
      </c>
      <c r="F735" s="408" t="s">
        <v>2319</v>
      </c>
      <c r="G735" s="409" t="s">
        <v>489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620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2709</v>
      </c>
      <c r="D736" s="122" t="s">
        <v>476</v>
      </c>
      <c r="E736" s="150" t="s">
        <v>116</v>
      </c>
      <c r="F736" s="126" t="s">
        <v>472</v>
      </c>
      <c r="G736" s="271" t="s">
        <v>489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960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2709</v>
      </c>
      <c r="D737" s="122" t="s">
        <v>476</v>
      </c>
      <c r="E737" s="150" t="s">
        <v>115</v>
      </c>
      <c r="F737" s="126" t="s">
        <v>472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960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2709</v>
      </c>
      <c r="D738" s="122" t="s">
        <v>476</v>
      </c>
      <c r="E738" s="150" t="s">
        <v>577</v>
      </c>
      <c r="F738" s="126" t="s">
        <v>2410</v>
      </c>
      <c r="G738" s="271" t="s">
        <v>2097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960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2641</v>
      </c>
      <c r="D739" s="122" t="s">
        <v>476</v>
      </c>
      <c r="E739" s="150" t="s">
        <v>115</v>
      </c>
      <c r="F739" s="126" t="s">
        <v>562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960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2641</v>
      </c>
      <c r="D740" s="122" t="s">
        <v>476</v>
      </c>
      <c r="E740" s="150" t="s">
        <v>537</v>
      </c>
      <c r="F740" s="126" t="s">
        <v>645</v>
      </c>
      <c r="G740" s="271" t="s">
        <v>583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960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2710</v>
      </c>
      <c r="D741" s="122" t="s">
        <v>484</v>
      </c>
      <c r="E741" s="150" t="s">
        <v>116</v>
      </c>
      <c r="F741" s="126" t="s">
        <v>431</v>
      </c>
      <c r="G741" s="271" t="s">
        <v>718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960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2711</v>
      </c>
      <c r="D742" s="122" t="s">
        <v>476</v>
      </c>
      <c r="E742" s="150" t="s">
        <v>192</v>
      </c>
      <c r="F742" s="126" t="s">
        <v>410</v>
      </c>
      <c r="G742" s="271" t="s">
        <v>566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960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2652</v>
      </c>
      <c r="D743" s="122" t="s">
        <v>484</v>
      </c>
      <c r="E743" s="150" t="s">
        <v>115</v>
      </c>
      <c r="F743" s="126" t="s">
        <v>472</v>
      </c>
      <c r="G743" s="271" t="s">
        <v>566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960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2712</v>
      </c>
      <c r="D744" s="122" t="s">
        <v>476</v>
      </c>
      <c r="E744" s="150" t="s">
        <v>116</v>
      </c>
      <c r="F744" s="126" t="s">
        <v>400</v>
      </c>
      <c r="G744" s="271" t="s">
        <v>486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960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2712</v>
      </c>
      <c r="D745" s="122" t="s">
        <v>476</v>
      </c>
      <c r="E745" s="150" t="s">
        <v>1132</v>
      </c>
      <c r="F745" s="126" t="s">
        <v>400</v>
      </c>
      <c r="G745" s="271" t="s">
        <v>678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960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2653</v>
      </c>
      <c r="D746" s="122" t="s">
        <v>484</v>
      </c>
      <c r="E746" s="150" t="s">
        <v>682</v>
      </c>
      <c r="F746" s="126" t="s">
        <v>485</v>
      </c>
      <c r="G746" s="271" t="s">
        <v>573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960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1527</v>
      </c>
      <c r="D747" s="122" t="s">
        <v>478</v>
      </c>
      <c r="E747" s="150" t="s">
        <v>116</v>
      </c>
      <c r="F747" s="126" t="s">
        <v>442</v>
      </c>
      <c r="G747" s="271" t="s">
        <v>489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960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2713</v>
      </c>
      <c r="D748" s="122" t="s">
        <v>484</v>
      </c>
      <c r="E748" s="150" t="s">
        <v>116</v>
      </c>
      <c r="F748" s="126" t="s">
        <v>645</v>
      </c>
      <c r="G748" s="271" t="s">
        <v>489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960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2556</v>
      </c>
      <c r="D749" s="122" t="s">
        <v>484</v>
      </c>
      <c r="E749" s="150" t="s">
        <v>115</v>
      </c>
      <c r="F749" s="126" t="s">
        <v>442</v>
      </c>
      <c r="G749" s="271" t="s">
        <v>737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960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2714</v>
      </c>
      <c r="D750" s="122" t="s">
        <v>476</v>
      </c>
      <c r="E750" s="150" t="s">
        <v>577</v>
      </c>
      <c r="F750" s="126" t="s">
        <v>442</v>
      </c>
      <c r="G750" s="271" t="s">
        <v>2715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960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2714</v>
      </c>
      <c r="D751" s="122" t="s">
        <v>476</v>
      </c>
      <c r="E751" s="150" t="s">
        <v>115</v>
      </c>
      <c r="F751" s="126" t="s">
        <v>2319</v>
      </c>
      <c r="G751" s="271" t="s">
        <v>2715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960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2714</v>
      </c>
      <c r="D752" s="122" t="s">
        <v>476</v>
      </c>
      <c r="E752" s="150" t="s">
        <v>116</v>
      </c>
      <c r="F752" s="126" t="s">
        <v>2319</v>
      </c>
      <c r="G752" s="271" t="s">
        <v>703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960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2716</v>
      </c>
      <c r="D753" s="122" t="s">
        <v>484</v>
      </c>
      <c r="E753" s="150" t="s">
        <v>116</v>
      </c>
      <c r="F753" s="126" t="s">
        <v>383</v>
      </c>
      <c r="G753" s="271" t="s">
        <v>718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960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2717</v>
      </c>
      <c r="D754" s="122" t="s">
        <v>484</v>
      </c>
      <c r="E754" s="150" t="s">
        <v>682</v>
      </c>
      <c r="F754" s="126" t="s">
        <v>485</v>
      </c>
      <c r="G754" s="271" t="s">
        <v>703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960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2718</v>
      </c>
      <c r="D755" s="122" t="s">
        <v>476</v>
      </c>
      <c r="E755" s="150" t="s">
        <v>116</v>
      </c>
      <c r="F755" s="126" t="s">
        <v>400</v>
      </c>
      <c r="G755" s="271" t="s">
        <v>743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960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2719</v>
      </c>
      <c r="D756" s="122" t="s">
        <v>484</v>
      </c>
      <c r="E756" s="150" t="s">
        <v>188</v>
      </c>
      <c r="F756" s="126" t="s">
        <v>1563</v>
      </c>
      <c r="G756" s="271" t="s">
        <v>629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960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2720</v>
      </c>
      <c r="D757" s="122" t="s">
        <v>484</v>
      </c>
      <c r="E757" s="150" t="s">
        <v>116</v>
      </c>
      <c r="F757" s="126" t="s">
        <v>511</v>
      </c>
      <c r="G757" s="271" t="s">
        <v>718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960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2721</v>
      </c>
      <c r="D758" s="122" t="s">
        <v>505</v>
      </c>
      <c r="E758" s="150" t="s">
        <v>580</v>
      </c>
      <c r="F758" s="126" t="s">
        <v>371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960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2722</v>
      </c>
      <c r="D759" s="122" t="s">
        <v>476</v>
      </c>
      <c r="E759" s="150" t="s">
        <v>116</v>
      </c>
      <c r="F759" s="126" t="s">
        <v>472</v>
      </c>
      <c r="G759" s="271" t="s">
        <v>489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960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1499</v>
      </c>
      <c r="D760" s="122" t="s">
        <v>484</v>
      </c>
      <c r="E760" s="150" t="s">
        <v>217</v>
      </c>
      <c r="F760" s="126" t="s">
        <v>371</v>
      </c>
      <c r="G760" s="271" t="s">
        <v>703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960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2723</v>
      </c>
      <c r="D761" s="122" t="s">
        <v>476</v>
      </c>
      <c r="E761" s="150" t="s">
        <v>537</v>
      </c>
      <c r="F761" s="126" t="s">
        <v>442</v>
      </c>
      <c r="G761" s="271" t="s">
        <v>1269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960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2724</v>
      </c>
      <c r="D762" s="122" t="s">
        <v>476</v>
      </c>
      <c r="E762" s="150" t="s">
        <v>577</v>
      </c>
      <c r="F762" s="126" t="s">
        <v>562</v>
      </c>
      <c r="G762" s="271" t="s">
        <v>2682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960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2725</v>
      </c>
      <c r="D763" s="122" t="s">
        <v>476</v>
      </c>
      <c r="E763" s="150" t="s">
        <v>217</v>
      </c>
      <c r="F763" s="126" t="s">
        <v>371</v>
      </c>
      <c r="G763" s="271" t="s">
        <v>573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960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2726</v>
      </c>
      <c r="D764" s="122" t="s">
        <v>476</v>
      </c>
      <c r="E764" s="150" t="s">
        <v>207</v>
      </c>
      <c r="F764" s="126" t="s">
        <v>472</v>
      </c>
      <c r="G764" s="271" t="s">
        <v>2727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960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2728</v>
      </c>
      <c r="D765" s="122" t="s">
        <v>476</v>
      </c>
      <c r="E765" s="150" t="s">
        <v>116</v>
      </c>
      <c r="F765" s="126" t="s">
        <v>445</v>
      </c>
      <c r="G765" s="271" t="s">
        <v>486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960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2728</v>
      </c>
      <c r="D766" s="122" t="s">
        <v>476</v>
      </c>
      <c r="E766" s="150" t="s">
        <v>192</v>
      </c>
      <c r="F766" s="126" t="s">
        <v>410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960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2728</v>
      </c>
      <c r="D767" s="122" t="s">
        <v>476</v>
      </c>
      <c r="E767" s="150" t="s">
        <v>217</v>
      </c>
      <c r="F767" s="126" t="s">
        <v>371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960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2728</v>
      </c>
      <c r="D768" s="122" t="s">
        <v>476</v>
      </c>
      <c r="E768" s="150" t="s">
        <v>116</v>
      </c>
      <c r="F768" s="126" t="s">
        <v>445</v>
      </c>
      <c r="G768" s="271" t="s">
        <v>573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960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2729</v>
      </c>
      <c r="D769" s="122" t="s">
        <v>476</v>
      </c>
      <c r="E769" s="150" t="s">
        <v>580</v>
      </c>
      <c r="F769" s="126" t="s">
        <v>371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960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2730</v>
      </c>
      <c r="D770" s="122" t="s">
        <v>474</v>
      </c>
      <c r="E770" s="150" t="s">
        <v>580</v>
      </c>
      <c r="F770" s="126" t="s">
        <v>371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960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2665</v>
      </c>
      <c r="D771" s="122" t="s">
        <v>484</v>
      </c>
      <c r="E771" s="150" t="s">
        <v>577</v>
      </c>
      <c r="F771" s="126" t="s">
        <v>645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960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2731</v>
      </c>
      <c r="D772" s="122" t="s">
        <v>484</v>
      </c>
      <c r="E772" s="150" t="s">
        <v>115</v>
      </c>
      <c r="F772" s="126" t="s">
        <v>2496</v>
      </c>
      <c r="G772" s="271" t="s">
        <v>2112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960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2732</v>
      </c>
      <c r="D773" s="122" t="s">
        <v>505</v>
      </c>
      <c r="E773" s="150" t="s">
        <v>580</v>
      </c>
      <c r="F773" s="126" t="s">
        <v>371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960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2733</v>
      </c>
      <c r="D774" s="122" t="s">
        <v>484</v>
      </c>
      <c r="E774" s="150" t="s">
        <v>580</v>
      </c>
      <c r="F774" s="126" t="s">
        <v>371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960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2669</v>
      </c>
      <c r="D775" s="122" t="s">
        <v>476</v>
      </c>
      <c r="E775" s="150" t="s">
        <v>115</v>
      </c>
      <c r="F775" s="126" t="s">
        <v>2319</v>
      </c>
      <c r="G775" s="271" t="s">
        <v>658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960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2734</v>
      </c>
      <c r="D776" s="122" t="s">
        <v>484</v>
      </c>
      <c r="E776" s="150" t="s">
        <v>188</v>
      </c>
      <c r="F776" s="126" t="s">
        <v>392</v>
      </c>
      <c r="G776" s="271" t="s">
        <v>737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960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2735</v>
      </c>
      <c r="D777" s="122" t="s">
        <v>484</v>
      </c>
      <c r="E777" s="150" t="s">
        <v>537</v>
      </c>
      <c r="F777" s="126" t="s">
        <v>645</v>
      </c>
      <c r="G777" s="271" t="s">
        <v>569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960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2736</v>
      </c>
      <c r="D778" s="122" t="s">
        <v>484</v>
      </c>
      <c r="E778" s="150" t="s">
        <v>116</v>
      </c>
      <c r="F778" s="126" t="s">
        <v>419</v>
      </c>
      <c r="G778" s="271" t="s">
        <v>718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960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2672</v>
      </c>
      <c r="D779" s="122" t="s">
        <v>484</v>
      </c>
      <c r="E779" s="150" t="s">
        <v>115</v>
      </c>
      <c r="F779" s="126" t="s">
        <v>527</v>
      </c>
      <c r="G779" s="271" t="s">
        <v>1269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960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2673</v>
      </c>
      <c r="D780" s="122" t="s">
        <v>484</v>
      </c>
      <c r="E780" s="150" t="s">
        <v>115</v>
      </c>
      <c r="F780" s="126" t="s">
        <v>645</v>
      </c>
      <c r="G780" s="271" t="s">
        <v>583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960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2737</v>
      </c>
      <c r="D781" s="122" t="s">
        <v>484</v>
      </c>
      <c r="E781" s="150" t="s">
        <v>116</v>
      </c>
      <c r="F781" s="126" t="s">
        <v>2514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960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1315</v>
      </c>
      <c r="D782" s="122" t="s">
        <v>476</v>
      </c>
      <c r="E782" s="150" t="s">
        <v>115</v>
      </c>
      <c r="F782" s="126" t="s">
        <v>562</v>
      </c>
      <c r="G782" s="271" t="s">
        <v>629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960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1350</v>
      </c>
      <c r="D783" s="122" t="s">
        <v>484</v>
      </c>
      <c r="E783" s="150" t="s">
        <v>116</v>
      </c>
      <c r="F783" s="126" t="s">
        <v>472</v>
      </c>
      <c r="G783" s="271" t="s">
        <v>718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960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2738</v>
      </c>
      <c r="D784" s="122" t="s">
        <v>476</v>
      </c>
      <c r="E784" s="150" t="s">
        <v>116</v>
      </c>
      <c r="F784" s="126" t="s">
        <v>527</v>
      </c>
      <c r="G784" s="271" t="s">
        <v>718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960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2679</v>
      </c>
      <c r="D785" s="122" t="s">
        <v>484</v>
      </c>
      <c r="E785" s="150" t="s">
        <v>115</v>
      </c>
      <c r="F785" s="126" t="s">
        <v>472</v>
      </c>
      <c r="G785" s="271" t="s">
        <v>678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960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2739</v>
      </c>
      <c r="D786" s="122" t="s">
        <v>505</v>
      </c>
      <c r="E786" s="150" t="s">
        <v>580</v>
      </c>
      <c r="F786" s="126" t="s">
        <v>371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960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2740</v>
      </c>
      <c r="D787" s="122" t="s">
        <v>476</v>
      </c>
      <c r="E787" s="150" t="s">
        <v>577</v>
      </c>
      <c r="F787" s="126" t="s">
        <v>419</v>
      </c>
      <c r="G787" s="271" t="s">
        <v>1269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960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2741</v>
      </c>
      <c r="D788" s="122" t="s">
        <v>481</v>
      </c>
      <c r="E788" s="150" t="s">
        <v>217</v>
      </c>
      <c r="F788" s="126" t="s">
        <v>371</v>
      </c>
      <c r="G788" s="271" t="s">
        <v>489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960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2742</v>
      </c>
      <c r="D789" s="122" t="s">
        <v>484</v>
      </c>
      <c r="E789" s="150" t="s">
        <v>115</v>
      </c>
      <c r="F789" s="126" t="s">
        <v>1098</v>
      </c>
      <c r="G789" s="271" t="s">
        <v>583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960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1351</v>
      </c>
      <c r="D790" s="122" t="s">
        <v>476</v>
      </c>
      <c r="E790" s="150" t="s">
        <v>116</v>
      </c>
      <c r="F790" s="126" t="s">
        <v>383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960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2743</v>
      </c>
      <c r="D791" s="122" t="s">
        <v>476</v>
      </c>
      <c r="E791" s="150" t="s">
        <v>537</v>
      </c>
      <c r="F791" s="126" t="s">
        <v>431</v>
      </c>
      <c r="G791" s="271" t="s">
        <v>1994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960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1448</v>
      </c>
      <c r="D792" s="122" t="s">
        <v>484</v>
      </c>
      <c r="E792" s="150" t="s">
        <v>115</v>
      </c>
      <c r="F792" s="126" t="s">
        <v>442</v>
      </c>
      <c r="G792" s="271" t="s">
        <v>583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960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2695</v>
      </c>
      <c r="D793" s="122" t="s">
        <v>476</v>
      </c>
      <c r="E793" s="150" t="s">
        <v>682</v>
      </c>
      <c r="F793" s="126" t="s">
        <v>369</v>
      </c>
      <c r="G793" s="271" t="s">
        <v>489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960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2744</v>
      </c>
      <c r="D794" s="122" t="s">
        <v>484</v>
      </c>
      <c r="E794" s="150" t="s">
        <v>577</v>
      </c>
      <c r="F794" s="126" t="s">
        <v>442</v>
      </c>
      <c r="G794" s="271" t="s">
        <v>583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960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2745</v>
      </c>
      <c r="D795" s="122" t="s">
        <v>476</v>
      </c>
      <c r="E795" s="150" t="s">
        <v>217</v>
      </c>
      <c r="F795" s="126" t="s">
        <v>371</v>
      </c>
      <c r="G795" s="271" t="s">
        <v>573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960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2745</v>
      </c>
      <c r="D796" s="122" t="s">
        <v>476</v>
      </c>
      <c r="E796" s="150" t="s">
        <v>682</v>
      </c>
      <c r="F796" s="126" t="s">
        <v>369</v>
      </c>
      <c r="G796" s="271" t="s">
        <v>573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960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2746</v>
      </c>
      <c r="D797" s="122" t="s">
        <v>476</v>
      </c>
      <c r="E797" s="150" t="s">
        <v>116</v>
      </c>
      <c r="F797" s="126" t="s">
        <v>562</v>
      </c>
      <c r="G797" s="271" t="s">
        <v>489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960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2479</v>
      </c>
      <c r="D798" s="122" t="s">
        <v>476</v>
      </c>
      <c r="E798" s="150" t="s">
        <v>197</v>
      </c>
      <c r="F798" s="126" t="s">
        <v>1004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960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2747</v>
      </c>
      <c r="D799" s="122" t="s">
        <v>1296</v>
      </c>
      <c r="E799" s="150" t="s">
        <v>197</v>
      </c>
      <c r="F799" s="126" t="s">
        <v>2015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960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2748</v>
      </c>
      <c r="D800" s="122" t="s">
        <v>481</v>
      </c>
      <c r="E800" s="150" t="s">
        <v>116</v>
      </c>
      <c r="F800" s="126" t="s">
        <v>2749</v>
      </c>
      <c r="G800" s="271" t="s">
        <v>489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960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2505</v>
      </c>
      <c r="D801" s="122" t="s">
        <v>476</v>
      </c>
      <c r="E801" s="150" t="s">
        <v>115</v>
      </c>
      <c r="F801" s="126" t="s">
        <v>2506</v>
      </c>
      <c r="G801" s="271" t="s">
        <v>2750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960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2751</v>
      </c>
      <c r="D802" s="122" t="s">
        <v>476</v>
      </c>
      <c r="E802" s="150" t="s">
        <v>116</v>
      </c>
      <c r="F802" s="126" t="s">
        <v>511</v>
      </c>
      <c r="G802" s="271" t="s">
        <v>489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960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2751</v>
      </c>
      <c r="D803" s="405" t="s">
        <v>476</v>
      </c>
      <c r="E803" s="407" t="s">
        <v>115</v>
      </c>
      <c r="F803" s="408" t="s">
        <v>511</v>
      </c>
      <c r="G803" s="409" t="s">
        <v>2165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960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2491</v>
      </c>
      <c r="D804" s="414" t="s">
        <v>476</v>
      </c>
      <c r="E804" s="416" t="s">
        <v>115</v>
      </c>
      <c r="F804" s="417" t="s">
        <v>419</v>
      </c>
      <c r="G804" s="418" t="s">
        <v>563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623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2752</v>
      </c>
      <c r="D805" s="122" t="s">
        <v>1234</v>
      </c>
      <c r="E805" s="150" t="s">
        <v>580</v>
      </c>
      <c r="F805" s="126" t="s">
        <v>371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623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2753</v>
      </c>
      <c r="D806" s="122" t="s">
        <v>484</v>
      </c>
      <c r="E806" s="150" t="s">
        <v>580</v>
      </c>
      <c r="F806" s="126" t="s">
        <v>371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623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2754</v>
      </c>
      <c r="D807" s="122" t="s">
        <v>484</v>
      </c>
      <c r="E807" s="150" t="s">
        <v>577</v>
      </c>
      <c r="F807" s="126" t="s">
        <v>562</v>
      </c>
      <c r="G807" s="271" t="s">
        <v>583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623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2755</v>
      </c>
      <c r="D808" s="122" t="s">
        <v>481</v>
      </c>
      <c r="E808" s="150" t="s">
        <v>217</v>
      </c>
      <c r="F808" s="126" t="s">
        <v>369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623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2695</v>
      </c>
      <c r="D809" s="122" t="s">
        <v>476</v>
      </c>
      <c r="E809" s="150" t="s">
        <v>217</v>
      </c>
      <c r="F809" s="126" t="s">
        <v>371</v>
      </c>
      <c r="G809" s="271" t="s">
        <v>489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623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2756</v>
      </c>
      <c r="D810" s="122" t="s">
        <v>474</v>
      </c>
      <c r="E810" s="150" t="s">
        <v>580</v>
      </c>
      <c r="F810" s="126" t="s">
        <v>371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623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2757</v>
      </c>
      <c r="D811" s="122" t="s">
        <v>376</v>
      </c>
      <c r="E811" s="150" t="s">
        <v>537</v>
      </c>
      <c r="F811" s="126" t="s">
        <v>527</v>
      </c>
      <c r="G811" s="271" t="s">
        <v>554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623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1246</v>
      </c>
      <c r="D812" s="122" t="s">
        <v>1978</v>
      </c>
      <c r="E812" s="150" t="s">
        <v>116</v>
      </c>
      <c r="F812" s="126" t="s">
        <v>594</v>
      </c>
      <c r="G812" s="271" t="s">
        <v>489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623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2758</v>
      </c>
      <c r="D813" s="122" t="s">
        <v>476</v>
      </c>
      <c r="E813" s="150" t="s">
        <v>580</v>
      </c>
      <c r="F813" s="126" t="s">
        <v>371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623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2701</v>
      </c>
      <c r="D814" s="122" t="s">
        <v>476</v>
      </c>
      <c r="E814" s="150" t="s">
        <v>115</v>
      </c>
      <c r="F814" s="126" t="s">
        <v>442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623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2759</v>
      </c>
      <c r="D815" s="122" t="s">
        <v>484</v>
      </c>
      <c r="E815" s="150" t="s">
        <v>537</v>
      </c>
      <c r="F815" s="126" t="s">
        <v>594</v>
      </c>
      <c r="G815" s="271" t="s">
        <v>554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623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2760</v>
      </c>
      <c r="D816" s="122" t="s">
        <v>474</v>
      </c>
      <c r="E816" s="150" t="s">
        <v>580</v>
      </c>
      <c r="F816" s="126" t="s">
        <v>371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623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2689</v>
      </c>
      <c r="D817" s="122" t="s">
        <v>476</v>
      </c>
      <c r="E817" s="150" t="s">
        <v>577</v>
      </c>
      <c r="F817" s="126" t="s">
        <v>419</v>
      </c>
      <c r="G817" s="271" t="s">
        <v>629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623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2761</v>
      </c>
      <c r="D818" s="122" t="s">
        <v>484</v>
      </c>
      <c r="E818" s="150" t="s">
        <v>217</v>
      </c>
      <c r="F818" s="126" t="s">
        <v>369</v>
      </c>
      <c r="G818" s="271" t="s">
        <v>489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623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2762</v>
      </c>
      <c r="D819" s="122" t="s">
        <v>484</v>
      </c>
      <c r="E819" s="150" t="s">
        <v>580</v>
      </c>
      <c r="F819" s="126" t="s">
        <v>371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623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2763</v>
      </c>
      <c r="D820" s="122" t="s">
        <v>505</v>
      </c>
      <c r="E820" s="150" t="s">
        <v>580</v>
      </c>
      <c r="F820" s="126" t="s">
        <v>371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623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1393</v>
      </c>
      <c r="D821" s="122" t="s">
        <v>476</v>
      </c>
      <c r="E821" s="150" t="s">
        <v>115</v>
      </c>
      <c r="F821" s="126" t="s">
        <v>2764</v>
      </c>
      <c r="G821" s="271" t="s">
        <v>2097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623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2716</v>
      </c>
      <c r="D822" s="122" t="s">
        <v>484</v>
      </c>
      <c r="E822" s="150" t="s">
        <v>116</v>
      </c>
      <c r="F822" s="126" t="s">
        <v>527</v>
      </c>
      <c r="G822" s="271" t="s">
        <v>489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623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2765</v>
      </c>
      <c r="D823" s="122" t="s">
        <v>484</v>
      </c>
      <c r="E823" s="150" t="s">
        <v>116</v>
      </c>
      <c r="F823" s="126" t="s">
        <v>419</v>
      </c>
      <c r="G823" s="271" t="s">
        <v>557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623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2746</v>
      </c>
      <c r="D824" s="122" t="s">
        <v>476</v>
      </c>
      <c r="E824" s="150" t="s">
        <v>115</v>
      </c>
      <c r="F824" s="126" t="s">
        <v>562</v>
      </c>
      <c r="G824" s="271" t="s">
        <v>629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623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2766</v>
      </c>
      <c r="D825" s="122" t="s">
        <v>474</v>
      </c>
      <c r="E825" s="150" t="s">
        <v>580</v>
      </c>
      <c r="F825" s="126" t="s">
        <v>371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623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495</v>
      </c>
      <c r="D826" s="122" t="s">
        <v>491</v>
      </c>
      <c r="E826" s="150" t="s">
        <v>116</v>
      </c>
      <c r="F826" s="126" t="s">
        <v>2767</v>
      </c>
      <c r="G826" s="271" t="s">
        <v>573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623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2768</v>
      </c>
      <c r="D827" s="122" t="s">
        <v>484</v>
      </c>
      <c r="E827" s="150" t="s">
        <v>217</v>
      </c>
      <c r="F827" s="126" t="s">
        <v>485</v>
      </c>
      <c r="G827" s="271" t="s">
        <v>703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623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2769</v>
      </c>
      <c r="D828" s="122" t="s">
        <v>484</v>
      </c>
      <c r="E828" s="150" t="s">
        <v>580</v>
      </c>
      <c r="F828" s="126" t="s">
        <v>371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623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2770</v>
      </c>
      <c r="D829" s="122" t="s">
        <v>476</v>
      </c>
      <c r="E829" s="150" t="s">
        <v>217</v>
      </c>
      <c r="F829" s="126" t="s">
        <v>371</v>
      </c>
      <c r="G829" s="271" t="s">
        <v>2771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623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2772</v>
      </c>
      <c r="D830" s="122" t="s">
        <v>476</v>
      </c>
      <c r="E830" s="150" t="s">
        <v>115</v>
      </c>
      <c r="F830" s="126" t="s">
        <v>415</v>
      </c>
      <c r="G830" s="271" t="s">
        <v>629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623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2722</v>
      </c>
      <c r="D831" s="122" t="s">
        <v>476</v>
      </c>
      <c r="E831" s="150" t="s">
        <v>115</v>
      </c>
      <c r="F831" s="126" t="s">
        <v>472</v>
      </c>
      <c r="G831" s="271" t="s">
        <v>2165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623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2773</v>
      </c>
      <c r="D832" s="122" t="s">
        <v>484</v>
      </c>
      <c r="E832" s="150" t="s">
        <v>217</v>
      </c>
      <c r="F832" s="126" t="s">
        <v>371</v>
      </c>
      <c r="G832" s="271" t="s">
        <v>721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623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2773</v>
      </c>
      <c r="D833" s="122" t="s">
        <v>484</v>
      </c>
      <c r="E833" s="150" t="s">
        <v>682</v>
      </c>
      <c r="F833" s="126" t="s">
        <v>369</v>
      </c>
      <c r="G833" s="271" t="s">
        <v>721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623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2774</v>
      </c>
      <c r="D834" s="122" t="s">
        <v>476</v>
      </c>
      <c r="E834" s="150" t="s">
        <v>217</v>
      </c>
      <c r="F834" s="126" t="s">
        <v>485</v>
      </c>
      <c r="G834" s="271" t="s">
        <v>703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623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1324</v>
      </c>
      <c r="D835" s="122" t="s">
        <v>484</v>
      </c>
      <c r="E835" s="150" t="s">
        <v>115</v>
      </c>
      <c r="F835" s="126" t="s">
        <v>400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623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2775</v>
      </c>
      <c r="D836" s="122" t="s">
        <v>476</v>
      </c>
      <c r="E836" s="150" t="s">
        <v>217</v>
      </c>
      <c r="F836" s="126" t="s">
        <v>485</v>
      </c>
      <c r="G836" s="271" t="s">
        <v>489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623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1276</v>
      </c>
      <c r="D837" s="122" t="s">
        <v>476</v>
      </c>
      <c r="E837" s="150" t="s">
        <v>115</v>
      </c>
      <c r="F837" s="126" t="s">
        <v>472</v>
      </c>
      <c r="G837" s="271" t="s">
        <v>563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623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2714</v>
      </c>
      <c r="D838" s="122" t="s">
        <v>476</v>
      </c>
      <c r="E838" s="150" t="s">
        <v>217</v>
      </c>
      <c r="F838" s="126" t="s">
        <v>485</v>
      </c>
      <c r="G838" s="271" t="s">
        <v>2035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623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2689</v>
      </c>
      <c r="D839" s="122" t="s">
        <v>476</v>
      </c>
      <c r="E839" s="150" t="s">
        <v>115</v>
      </c>
      <c r="F839" s="126" t="s">
        <v>562</v>
      </c>
      <c r="G839" s="271" t="s">
        <v>629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623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2776</v>
      </c>
      <c r="D840" s="122" t="s">
        <v>474</v>
      </c>
      <c r="E840" s="150" t="s">
        <v>580</v>
      </c>
      <c r="F840" s="126" t="s">
        <v>371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623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2777</v>
      </c>
      <c r="D841" s="122" t="s">
        <v>1234</v>
      </c>
      <c r="E841" s="150" t="s">
        <v>217</v>
      </c>
      <c r="F841" s="126" t="s">
        <v>371</v>
      </c>
      <c r="G841" s="271" t="s">
        <v>489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623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2778</v>
      </c>
      <c r="D842" s="122" t="s">
        <v>476</v>
      </c>
      <c r="E842" s="150" t="s">
        <v>217</v>
      </c>
      <c r="F842" s="126" t="s">
        <v>371</v>
      </c>
      <c r="G842" s="271" t="s">
        <v>721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623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2300</v>
      </c>
      <c r="F844" s="307">
        <v>3624379</v>
      </c>
      <c r="G844" s="308"/>
      <c r="I844" s="304"/>
      <c r="J844" s="360" t="s">
        <v>2060</v>
      </c>
      <c r="K844" s="309">
        <v>16783895</v>
      </c>
      <c r="L844" s="311"/>
      <c r="M844" s="311" t="s">
        <v>2301</v>
      </c>
    </row>
    <row r="845" spans="1:13" x14ac:dyDescent="0.25">
      <c r="A845" s="303"/>
      <c r="B845" s="304"/>
      <c r="C845" s="305"/>
      <c r="D845" s="304"/>
      <c r="E845" s="306" t="s">
        <v>2302</v>
      </c>
      <c r="F845" s="312">
        <v>472981.4595</v>
      </c>
      <c r="G845" s="308"/>
      <c r="I845" s="304"/>
      <c r="J845" s="361" t="s">
        <v>2303</v>
      </c>
      <c r="K845" s="313">
        <v>1584905</v>
      </c>
      <c r="M845" s="315"/>
    </row>
    <row r="848" spans="1:13" s="134" customFormat="1" ht="36.75" customHeight="1" x14ac:dyDescent="0.25">
      <c r="A848" s="644" t="s">
        <v>2779</v>
      </c>
      <c r="B848" s="644"/>
      <c r="C848" s="644"/>
      <c r="D848" s="644"/>
      <c r="E848" s="644"/>
      <c r="F848" s="644"/>
      <c r="G848" s="644"/>
      <c r="H848" s="644"/>
      <c r="I848" s="644"/>
      <c r="J848" s="644"/>
      <c r="K848" s="644"/>
      <c r="L848" s="644"/>
      <c r="M848" s="644"/>
    </row>
    <row r="849" spans="1:13" ht="18.75" customHeight="1" x14ac:dyDescent="0.25">
      <c r="A849" s="223" t="s">
        <v>2051</v>
      </c>
      <c r="B849" s="223" t="s">
        <v>2780</v>
      </c>
      <c r="C849" s="223" t="s">
        <v>2052</v>
      </c>
      <c r="D849" s="223" t="s">
        <v>2053</v>
      </c>
      <c r="E849" s="223" t="s">
        <v>2054</v>
      </c>
      <c r="F849" s="223" t="s">
        <v>2055</v>
      </c>
      <c r="G849" s="223" t="s">
        <v>2056</v>
      </c>
      <c r="H849" s="224" t="s">
        <v>2057</v>
      </c>
      <c r="I849" s="223" t="s">
        <v>2058</v>
      </c>
      <c r="J849" s="223" t="s">
        <v>2059</v>
      </c>
      <c r="K849" s="223" t="s">
        <v>2060</v>
      </c>
      <c r="L849" s="223" t="s">
        <v>2061</v>
      </c>
      <c r="M849" s="223" t="s">
        <v>2305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2781</v>
      </c>
      <c r="D850" s="135" t="s">
        <v>1960</v>
      </c>
      <c r="E850" s="172" t="s">
        <v>537</v>
      </c>
      <c r="F850" s="139" t="s">
        <v>2514</v>
      </c>
      <c r="G850" s="177" t="s">
        <v>2782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760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2783</v>
      </c>
      <c r="D851" s="135" t="s">
        <v>2784</v>
      </c>
      <c r="E851" s="172" t="s">
        <v>2785</v>
      </c>
      <c r="F851" s="139" t="s">
        <v>387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760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2786</v>
      </c>
      <c r="D852" s="135" t="s">
        <v>2787</v>
      </c>
      <c r="E852" s="172" t="s">
        <v>537</v>
      </c>
      <c r="F852" s="139" t="s">
        <v>511</v>
      </c>
      <c r="G852" s="177" t="s">
        <v>569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760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2788</v>
      </c>
      <c r="D853" s="135" t="s">
        <v>1960</v>
      </c>
      <c r="E853" s="172" t="s">
        <v>537</v>
      </c>
      <c r="F853" s="139" t="s">
        <v>404</v>
      </c>
      <c r="G853" s="177" t="s">
        <v>583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760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2789</v>
      </c>
      <c r="D854" s="135" t="s">
        <v>1960</v>
      </c>
      <c r="E854" s="172" t="s">
        <v>537</v>
      </c>
      <c r="F854" s="139" t="s">
        <v>1098</v>
      </c>
      <c r="G854" s="177" t="s">
        <v>583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760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2790</v>
      </c>
      <c r="D855" s="135" t="s">
        <v>1940</v>
      </c>
      <c r="E855" s="172" t="s">
        <v>537</v>
      </c>
      <c r="F855" s="139" t="s">
        <v>417</v>
      </c>
      <c r="G855" s="177" t="s">
        <v>554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760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2791</v>
      </c>
      <c r="D856" s="135" t="s">
        <v>2792</v>
      </c>
      <c r="E856" s="172" t="s">
        <v>228</v>
      </c>
      <c r="F856" s="139" t="s">
        <v>410</v>
      </c>
      <c r="G856" s="177" t="s">
        <v>2067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760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2793</v>
      </c>
      <c r="D857" s="135" t="s">
        <v>1940</v>
      </c>
      <c r="E857" s="172" t="s">
        <v>537</v>
      </c>
      <c r="F857" s="139" t="s">
        <v>645</v>
      </c>
      <c r="G857" s="177" t="s">
        <v>554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760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2794</v>
      </c>
      <c r="D858" s="135" t="s">
        <v>1940</v>
      </c>
      <c r="E858" s="172" t="s">
        <v>115</v>
      </c>
      <c r="F858" s="139" t="s">
        <v>562</v>
      </c>
      <c r="G858" s="177" t="s">
        <v>554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760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2795</v>
      </c>
      <c r="D859" s="135" t="s">
        <v>2792</v>
      </c>
      <c r="E859" s="172" t="s">
        <v>537</v>
      </c>
      <c r="F859" s="139" t="s">
        <v>431</v>
      </c>
      <c r="G859" s="177" t="s">
        <v>554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760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2796</v>
      </c>
      <c r="D860" s="135" t="s">
        <v>2792</v>
      </c>
      <c r="E860" s="172" t="s">
        <v>537</v>
      </c>
      <c r="F860" s="139" t="s">
        <v>527</v>
      </c>
      <c r="G860" s="177" t="s">
        <v>569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760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2797</v>
      </c>
      <c r="D861" s="135" t="s">
        <v>1940</v>
      </c>
      <c r="E861" s="172" t="s">
        <v>537</v>
      </c>
      <c r="F861" s="139" t="s">
        <v>431</v>
      </c>
      <c r="G861" s="177" t="s">
        <v>2798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760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2799</v>
      </c>
      <c r="D862" s="135" t="s">
        <v>1940</v>
      </c>
      <c r="E862" s="172" t="s">
        <v>537</v>
      </c>
      <c r="F862" s="139" t="s">
        <v>417</v>
      </c>
      <c r="G862" s="177" t="s">
        <v>569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760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2800</v>
      </c>
      <c r="D863" s="135" t="s">
        <v>2792</v>
      </c>
      <c r="E863" s="172" t="s">
        <v>537</v>
      </c>
      <c r="F863" s="139" t="s">
        <v>419</v>
      </c>
      <c r="G863" s="177" t="s">
        <v>554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760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2801</v>
      </c>
      <c r="D864" s="135" t="s">
        <v>1940</v>
      </c>
      <c r="E864" s="172" t="s">
        <v>537</v>
      </c>
      <c r="F864" s="139" t="s">
        <v>511</v>
      </c>
      <c r="G864" s="177" t="s">
        <v>554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760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2802</v>
      </c>
      <c r="D865" s="135" t="s">
        <v>1940</v>
      </c>
      <c r="E865" s="172" t="s">
        <v>537</v>
      </c>
      <c r="F865" s="139" t="s">
        <v>431</v>
      </c>
      <c r="G865" s="177" t="s">
        <v>554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760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2803</v>
      </c>
      <c r="D866" s="135" t="s">
        <v>2792</v>
      </c>
      <c r="E866" s="172" t="s">
        <v>210</v>
      </c>
      <c r="F866" s="139" t="s">
        <v>417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760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2803</v>
      </c>
      <c r="D867" s="241" t="s">
        <v>2792</v>
      </c>
      <c r="E867" s="229" t="s">
        <v>115</v>
      </c>
      <c r="F867" s="243" t="s">
        <v>417</v>
      </c>
      <c r="G867" s="230" t="s">
        <v>2510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760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2804</v>
      </c>
      <c r="D868" s="375" t="s">
        <v>1940</v>
      </c>
      <c r="E868" s="425" t="s">
        <v>537</v>
      </c>
      <c r="F868" s="426" t="s">
        <v>2805</v>
      </c>
      <c r="G868" s="427" t="s">
        <v>2526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788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2806</v>
      </c>
      <c r="D869" s="383" t="s">
        <v>1940</v>
      </c>
      <c r="E869" s="431" t="s">
        <v>537</v>
      </c>
      <c r="F869" s="432" t="s">
        <v>527</v>
      </c>
      <c r="G869" s="433" t="s">
        <v>2807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788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2791</v>
      </c>
      <c r="D870" s="385" t="s">
        <v>1940</v>
      </c>
      <c r="E870" s="437" t="s">
        <v>537</v>
      </c>
      <c r="F870" s="438" t="s">
        <v>442</v>
      </c>
      <c r="G870" s="439" t="s">
        <v>2808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788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2809</v>
      </c>
      <c r="D871" s="385" t="s">
        <v>1960</v>
      </c>
      <c r="E871" s="437" t="s">
        <v>537</v>
      </c>
      <c r="F871" s="438" t="s">
        <v>594</v>
      </c>
      <c r="G871" s="439" t="s">
        <v>1253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788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2810</v>
      </c>
      <c r="D872" s="385" t="s">
        <v>1940</v>
      </c>
      <c r="E872" s="437" t="s">
        <v>192</v>
      </c>
      <c r="F872" s="438" t="s">
        <v>2811</v>
      </c>
      <c r="G872" s="439" t="s">
        <v>569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788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2812</v>
      </c>
      <c r="D873" s="385" t="s">
        <v>1940</v>
      </c>
      <c r="E873" s="437" t="s">
        <v>188</v>
      </c>
      <c r="F873" s="438" t="s">
        <v>527</v>
      </c>
      <c r="G873" s="439" t="s">
        <v>569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788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2813</v>
      </c>
      <c r="D874" s="385" t="s">
        <v>1960</v>
      </c>
      <c r="E874" s="437" t="s">
        <v>115</v>
      </c>
      <c r="F874" s="438" t="s">
        <v>392</v>
      </c>
      <c r="G874" s="439" t="s">
        <v>629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788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2814</v>
      </c>
      <c r="D875" s="385" t="s">
        <v>1940</v>
      </c>
      <c r="E875" s="437" t="s">
        <v>115</v>
      </c>
      <c r="F875" s="438" t="s">
        <v>511</v>
      </c>
      <c r="G875" s="439" t="s">
        <v>2815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788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2816</v>
      </c>
      <c r="D876" s="385" t="s">
        <v>1940</v>
      </c>
      <c r="E876" s="437" t="s">
        <v>210</v>
      </c>
      <c r="F876" s="438" t="s">
        <v>383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788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2817</v>
      </c>
      <c r="D877" s="385" t="s">
        <v>1940</v>
      </c>
      <c r="E877" s="437" t="s">
        <v>217</v>
      </c>
      <c r="F877" s="438" t="s">
        <v>371</v>
      </c>
      <c r="G877" s="439" t="s">
        <v>2107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788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2817</v>
      </c>
      <c r="D878" s="385" t="s">
        <v>1940</v>
      </c>
      <c r="E878" s="437" t="s">
        <v>682</v>
      </c>
      <c r="F878" s="438" t="s">
        <v>369</v>
      </c>
      <c r="G878" s="439" t="s">
        <v>2107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788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2818</v>
      </c>
      <c r="D879" s="385" t="s">
        <v>1940</v>
      </c>
      <c r="E879" s="437" t="s">
        <v>537</v>
      </c>
      <c r="F879" s="438" t="s">
        <v>472</v>
      </c>
      <c r="G879" s="439" t="s">
        <v>554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788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2802</v>
      </c>
      <c r="D880" s="385" t="s">
        <v>1940</v>
      </c>
      <c r="E880" s="437" t="s">
        <v>115</v>
      </c>
      <c r="F880" s="438" t="s">
        <v>419</v>
      </c>
      <c r="G880" s="439" t="s">
        <v>2815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788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2819</v>
      </c>
      <c r="D881" s="385" t="s">
        <v>1940</v>
      </c>
      <c r="E881" s="437" t="s">
        <v>115</v>
      </c>
      <c r="F881" s="438" t="s">
        <v>594</v>
      </c>
      <c r="G881" s="439" t="s">
        <v>2526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788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2820</v>
      </c>
      <c r="D882" s="385" t="s">
        <v>1940</v>
      </c>
      <c r="E882" s="437" t="s">
        <v>115</v>
      </c>
      <c r="F882" s="438" t="s">
        <v>472</v>
      </c>
      <c r="G882" s="439" t="s">
        <v>1966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788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2821</v>
      </c>
      <c r="D883" s="385" t="s">
        <v>1940</v>
      </c>
      <c r="E883" s="437" t="s">
        <v>537</v>
      </c>
      <c r="F883" s="438" t="s">
        <v>562</v>
      </c>
      <c r="G883" s="439" t="s">
        <v>1948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788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2822</v>
      </c>
      <c r="D884" s="385" t="s">
        <v>1940</v>
      </c>
      <c r="E884" s="437" t="s">
        <v>115</v>
      </c>
      <c r="F884" s="438" t="s">
        <v>407</v>
      </c>
      <c r="G884" s="439" t="s">
        <v>554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788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2823</v>
      </c>
      <c r="D885" s="385" t="s">
        <v>2792</v>
      </c>
      <c r="E885" s="437" t="s">
        <v>188</v>
      </c>
      <c r="F885" s="438" t="s">
        <v>404</v>
      </c>
      <c r="G885" s="439" t="s">
        <v>2328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788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2824</v>
      </c>
      <c r="D886" s="385" t="s">
        <v>1940</v>
      </c>
      <c r="E886" s="437" t="s">
        <v>682</v>
      </c>
      <c r="F886" s="438" t="s">
        <v>369</v>
      </c>
      <c r="G886" s="439" t="s">
        <v>1064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788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1303</v>
      </c>
      <c r="D887" s="385" t="s">
        <v>1940</v>
      </c>
      <c r="E887" s="437" t="s">
        <v>682</v>
      </c>
      <c r="F887" s="438" t="s">
        <v>371</v>
      </c>
      <c r="G887" s="439" t="s">
        <v>2067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788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2825</v>
      </c>
      <c r="D888" s="385" t="s">
        <v>1940</v>
      </c>
      <c r="E888" s="437" t="s">
        <v>115</v>
      </c>
      <c r="F888" s="438" t="s">
        <v>417</v>
      </c>
      <c r="G888" s="439" t="s">
        <v>2826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788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2827</v>
      </c>
      <c r="D889" s="442" t="s">
        <v>1940</v>
      </c>
      <c r="E889" s="444" t="s">
        <v>210</v>
      </c>
      <c r="F889" s="445" t="s">
        <v>434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788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2828</v>
      </c>
      <c r="D890" s="450" t="s">
        <v>2829</v>
      </c>
      <c r="E890" s="452" t="s">
        <v>2785</v>
      </c>
      <c r="F890" s="453" t="s">
        <v>387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617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2830</v>
      </c>
      <c r="D891" s="459" t="s">
        <v>1960</v>
      </c>
      <c r="E891" s="461" t="s">
        <v>537</v>
      </c>
      <c r="F891" s="462" t="s">
        <v>562</v>
      </c>
      <c r="G891" s="463" t="s">
        <v>2831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617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2832</v>
      </c>
      <c r="D892" s="459" t="s">
        <v>1960</v>
      </c>
      <c r="E892" s="461" t="s">
        <v>537</v>
      </c>
      <c r="F892" s="462" t="s">
        <v>527</v>
      </c>
      <c r="G892" s="463" t="s">
        <v>583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617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2833</v>
      </c>
      <c r="D893" s="459" t="s">
        <v>1960</v>
      </c>
      <c r="E893" s="461" t="s">
        <v>577</v>
      </c>
      <c r="F893" s="462" t="s">
        <v>1851</v>
      </c>
      <c r="G893" s="463" t="s">
        <v>563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617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2788</v>
      </c>
      <c r="D894" s="459" t="s">
        <v>1960</v>
      </c>
      <c r="E894" s="461" t="s">
        <v>1132</v>
      </c>
      <c r="F894" s="462" t="s">
        <v>534</v>
      </c>
      <c r="G894" s="463" t="s">
        <v>2112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617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2834</v>
      </c>
      <c r="D895" s="459" t="s">
        <v>2792</v>
      </c>
      <c r="E895" s="461" t="s">
        <v>115</v>
      </c>
      <c r="F895" s="462" t="s">
        <v>562</v>
      </c>
      <c r="G895" s="463" t="s">
        <v>2328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617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2835</v>
      </c>
      <c r="D896" s="459" t="s">
        <v>1940</v>
      </c>
      <c r="E896" s="461" t="s">
        <v>537</v>
      </c>
      <c r="F896" s="462" t="s">
        <v>472</v>
      </c>
      <c r="G896" s="463" t="s">
        <v>1948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617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2791</v>
      </c>
      <c r="D897" s="459" t="s">
        <v>2792</v>
      </c>
      <c r="E897" s="461" t="s">
        <v>2836</v>
      </c>
      <c r="F897" s="462" t="s">
        <v>410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617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2791</v>
      </c>
      <c r="D898" s="459" t="s">
        <v>2792</v>
      </c>
      <c r="E898" s="461" t="s">
        <v>188</v>
      </c>
      <c r="F898" s="462" t="s">
        <v>410</v>
      </c>
      <c r="G898" s="463" t="s">
        <v>2837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617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2838</v>
      </c>
      <c r="D899" s="459" t="s">
        <v>2792</v>
      </c>
      <c r="E899" s="461" t="s">
        <v>115</v>
      </c>
      <c r="F899" s="462" t="s">
        <v>534</v>
      </c>
      <c r="G899" s="463" t="s">
        <v>658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617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2838</v>
      </c>
      <c r="D900" s="459" t="s">
        <v>2792</v>
      </c>
      <c r="E900" s="461" t="s">
        <v>537</v>
      </c>
      <c r="F900" s="462" t="s">
        <v>472</v>
      </c>
      <c r="G900" s="463" t="s">
        <v>658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617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2839</v>
      </c>
      <c r="D901" s="459" t="s">
        <v>1960</v>
      </c>
      <c r="E901" s="461" t="s">
        <v>537</v>
      </c>
      <c r="F901" s="462" t="s">
        <v>415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617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2789</v>
      </c>
      <c r="D902" s="450" t="s">
        <v>1960</v>
      </c>
      <c r="E902" s="452" t="s">
        <v>204</v>
      </c>
      <c r="F902" s="453" t="s">
        <v>568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617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2816</v>
      </c>
      <c r="D903" s="465" t="s">
        <v>1940</v>
      </c>
      <c r="E903" s="452" t="s">
        <v>115</v>
      </c>
      <c r="F903" s="467" t="s">
        <v>383</v>
      </c>
      <c r="G903" s="463" t="s">
        <v>554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617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2833</v>
      </c>
      <c r="D904" s="450" t="s">
        <v>1960</v>
      </c>
      <c r="E904" s="452" t="s">
        <v>537</v>
      </c>
      <c r="F904" s="453" t="s">
        <v>419</v>
      </c>
      <c r="G904" s="454" t="s">
        <v>563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617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2840</v>
      </c>
      <c r="D905" s="465" t="s">
        <v>1940</v>
      </c>
      <c r="E905" s="452" t="s">
        <v>115</v>
      </c>
      <c r="F905" s="467" t="s">
        <v>431</v>
      </c>
      <c r="G905" s="463" t="s">
        <v>650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617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2841</v>
      </c>
      <c r="D906" s="450" t="s">
        <v>1940</v>
      </c>
      <c r="E906" s="452" t="s">
        <v>537</v>
      </c>
      <c r="F906" s="453" t="s">
        <v>415</v>
      </c>
      <c r="G906" s="454" t="s">
        <v>2476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617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2833</v>
      </c>
      <c r="D907" s="450" t="s">
        <v>1960</v>
      </c>
      <c r="E907" s="452" t="s">
        <v>537</v>
      </c>
      <c r="F907" s="453" t="s">
        <v>511</v>
      </c>
      <c r="G907" s="454" t="s">
        <v>563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617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2842</v>
      </c>
      <c r="D908" s="450" t="s">
        <v>1940</v>
      </c>
      <c r="E908" s="452" t="s">
        <v>537</v>
      </c>
      <c r="F908" s="453" t="s">
        <v>562</v>
      </c>
      <c r="G908" s="454" t="s">
        <v>554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617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2843</v>
      </c>
      <c r="D909" s="450" t="s">
        <v>1940</v>
      </c>
      <c r="E909" s="452" t="s">
        <v>537</v>
      </c>
      <c r="F909" s="453" t="s">
        <v>431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617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2844</v>
      </c>
      <c r="D910" s="450" t="s">
        <v>1940</v>
      </c>
      <c r="E910" s="452" t="s">
        <v>537</v>
      </c>
      <c r="F910" s="453" t="s">
        <v>511</v>
      </c>
      <c r="G910" s="454" t="s">
        <v>569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617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2845</v>
      </c>
      <c r="D911" s="450" t="s">
        <v>1960</v>
      </c>
      <c r="E911" s="452" t="s">
        <v>115</v>
      </c>
      <c r="F911" s="453" t="s">
        <v>417</v>
      </c>
      <c r="G911" s="454" t="s">
        <v>583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617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2846</v>
      </c>
      <c r="D912" s="450" t="s">
        <v>1940</v>
      </c>
      <c r="E912" s="452" t="s">
        <v>188</v>
      </c>
      <c r="F912" s="453" t="s">
        <v>442</v>
      </c>
      <c r="G912" s="454" t="s">
        <v>554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617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2847</v>
      </c>
      <c r="D913" s="450" t="s">
        <v>1940</v>
      </c>
      <c r="E913" s="452" t="s">
        <v>537</v>
      </c>
      <c r="F913" s="453" t="s">
        <v>527</v>
      </c>
      <c r="G913" s="454" t="s">
        <v>554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617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2848</v>
      </c>
      <c r="D914" s="459" t="s">
        <v>1960</v>
      </c>
      <c r="E914" s="461" t="s">
        <v>537</v>
      </c>
      <c r="F914" s="462" t="s">
        <v>645</v>
      </c>
      <c r="G914" s="463" t="s">
        <v>554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617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2849</v>
      </c>
      <c r="D915" s="450" t="s">
        <v>1960</v>
      </c>
      <c r="E915" s="452" t="s">
        <v>115</v>
      </c>
      <c r="F915" s="453" t="s">
        <v>404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617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2850</v>
      </c>
      <c r="D916" s="450" t="s">
        <v>1940</v>
      </c>
      <c r="E916" s="452" t="s">
        <v>537</v>
      </c>
      <c r="F916" s="453" t="s">
        <v>431</v>
      </c>
      <c r="G916" s="454" t="s">
        <v>554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617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2851</v>
      </c>
      <c r="D917" s="450" t="s">
        <v>1960</v>
      </c>
      <c r="E917" s="452" t="s">
        <v>537</v>
      </c>
      <c r="F917" s="453" t="s">
        <v>431</v>
      </c>
      <c r="G917" s="454" t="s">
        <v>642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617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2841</v>
      </c>
      <c r="D918" s="470" t="s">
        <v>1940</v>
      </c>
      <c r="E918" s="472" t="s">
        <v>115</v>
      </c>
      <c r="F918" s="473" t="s">
        <v>419</v>
      </c>
      <c r="G918" s="474" t="s">
        <v>569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617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2852</v>
      </c>
      <c r="D919" s="274" t="s">
        <v>1940</v>
      </c>
      <c r="E919" s="276" t="s">
        <v>537</v>
      </c>
      <c r="F919" s="277" t="s">
        <v>527</v>
      </c>
      <c r="G919" s="278" t="s">
        <v>2453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620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2853</v>
      </c>
      <c r="D920" s="274" t="s">
        <v>1940</v>
      </c>
      <c r="E920" s="276" t="s">
        <v>682</v>
      </c>
      <c r="F920" s="277" t="s">
        <v>371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620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2854</v>
      </c>
      <c r="D921" s="274" t="s">
        <v>1960</v>
      </c>
      <c r="E921" s="276" t="s">
        <v>537</v>
      </c>
      <c r="F921" s="277" t="s">
        <v>415</v>
      </c>
      <c r="G921" s="278" t="s">
        <v>583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620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2855</v>
      </c>
      <c r="D922" s="274" t="s">
        <v>2856</v>
      </c>
      <c r="E922" s="276" t="s">
        <v>537</v>
      </c>
      <c r="F922" s="277" t="s">
        <v>415</v>
      </c>
      <c r="G922" s="278" t="s">
        <v>2084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620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2857</v>
      </c>
      <c r="D923" s="274" t="s">
        <v>1940</v>
      </c>
      <c r="E923" s="276" t="s">
        <v>537</v>
      </c>
      <c r="F923" s="277" t="s">
        <v>417</v>
      </c>
      <c r="G923" s="278" t="s">
        <v>554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620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2858</v>
      </c>
      <c r="D924" s="274" t="s">
        <v>1960</v>
      </c>
      <c r="E924" s="276" t="s">
        <v>537</v>
      </c>
      <c r="F924" s="277" t="s">
        <v>472</v>
      </c>
      <c r="G924" s="278" t="s">
        <v>583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620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2859</v>
      </c>
      <c r="D925" s="274" t="s">
        <v>1960</v>
      </c>
      <c r="E925" s="276" t="s">
        <v>115</v>
      </c>
      <c r="F925" s="277" t="s">
        <v>442</v>
      </c>
      <c r="G925" s="278" t="s">
        <v>2860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620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2861</v>
      </c>
      <c r="D926" s="274" t="s">
        <v>1940</v>
      </c>
      <c r="E926" s="276" t="s">
        <v>537</v>
      </c>
      <c r="F926" s="277" t="s">
        <v>442</v>
      </c>
      <c r="G926" s="278" t="s">
        <v>554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620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2862</v>
      </c>
      <c r="D927" s="274" t="s">
        <v>1940</v>
      </c>
      <c r="E927" s="276" t="s">
        <v>682</v>
      </c>
      <c r="F927" s="277" t="s">
        <v>387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620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2863</v>
      </c>
      <c r="D928" s="274" t="s">
        <v>1940</v>
      </c>
      <c r="E928" s="276" t="s">
        <v>537</v>
      </c>
      <c r="F928" s="277" t="s">
        <v>511</v>
      </c>
      <c r="G928" s="278" t="s">
        <v>554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620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2827</v>
      </c>
      <c r="D929" s="274" t="s">
        <v>1940</v>
      </c>
      <c r="E929" s="276" t="s">
        <v>115</v>
      </c>
      <c r="F929" s="277" t="s">
        <v>2864</v>
      </c>
      <c r="G929" s="278" t="s">
        <v>2453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620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2865</v>
      </c>
      <c r="D930" s="274" t="s">
        <v>2866</v>
      </c>
      <c r="E930" s="276" t="s">
        <v>537</v>
      </c>
      <c r="F930" s="277" t="s">
        <v>527</v>
      </c>
      <c r="G930" s="278" t="s">
        <v>566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620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2867</v>
      </c>
      <c r="D931" s="274" t="s">
        <v>1940</v>
      </c>
      <c r="E931" s="276" t="s">
        <v>188</v>
      </c>
      <c r="F931" s="277" t="s">
        <v>527</v>
      </c>
      <c r="G931" s="278" t="s">
        <v>569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960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2868</v>
      </c>
      <c r="D932" s="274" t="s">
        <v>1940</v>
      </c>
      <c r="E932" s="276" t="s">
        <v>115</v>
      </c>
      <c r="F932" s="277" t="s">
        <v>527</v>
      </c>
      <c r="G932" s="278" t="s">
        <v>2869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960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2870</v>
      </c>
      <c r="D933" s="274" t="s">
        <v>1940</v>
      </c>
      <c r="E933" s="276" t="s">
        <v>188</v>
      </c>
      <c r="F933" s="277" t="s">
        <v>2100</v>
      </c>
      <c r="G933" s="278" t="s">
        <v>2871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960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2872</v>
      </c>
      <c r="D934" s="274" t="s">
        <v>1940</v>
      </c>
      <c r="E934" s="276" t="s">
        <v>537</v>
      </c>
      <c r="F934" s="277" t="s">
        <v>562</v>
      </c>
      <c r="G934" s="278" t="s">
        <v>554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960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2873</v>
      </c>
      <c r="D935" s="274" t="s">
        <v>1940</v>
      </c>
      <c r="E935" s="276" t="s">
        <v>537</v>
      </c>
      <c r="F935" s="277" t="s">
        <v>472</v>
      </c>
      <c r="G935" s="278" t="s">
        <v>554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960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2874</v>
      </c>
      <c r="D936" s="274" t="s">
        <v>1940</v>
      </c>
      <c r="E936" s="276" t="s">
        <v>682</v>
      </c>
      <c r="F936" s="277" t="s">
        <v>369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960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1943</v>
      </c>
      <c r="D937" s="274" t="s">
        <v>1940</v>
      </c>
      <c r="E937" s="276" t="s">
        <v>537</v>
      </c>
      <c r="F937" s="277" t="s">
        <v>402</v>
      </c>
      <c r="G937" s="278" t="s">
        <v>554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960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2875</v>
      </c>
      <c r="D938" s="274" t="s">
        <v>1940</v>
      </c>
      <c r="E938" s="276" t="s">
        <v>537</v>
      </c>
      <c r="F938" s="277" t="s">
        <v>417</v>
      </c>
      <c r="G938" s="278" t="s">
        <v>554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960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2876</v>
      </c>
      <c r="D939" s="274" t="s">
        <v>1940</v>
      </c>
      <c r="E939" s="276" t="s">
        <v>537</v>
      </c>
      <c r="F939" s="277" t="s">
        <v>415</v>
      </c>
      <c r="G939" s="278" t="s">
        <v>569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960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2877</v>
      </c>
      <c r="D940" s="274" t="s">
        <v>1940</v>
      </c>
      <c r="E940" s="276" t="s">
        <v>537</v>
      </c>
      <c r="F940" s="277" t="s">
        <v>562</v>
      </c>
      <c r="G940" s="278" t="s">
        <v>554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960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2878</v>
      </c>
      <c r="D941" s="274" t="s">
        <v>376</v>
      </c>
      <c r="E941" s="276" t="s">
        <v>188</v>
      </c>
      <c r="F941" s="277" t="s">
        <v>442</v>
      </c>
      <c r="G941" s="278" t="s">
        <v>2333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960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2879</v>
      </c>
      <c r="D942" s="274" t="s">
        <v>1940</v>
      </c>
      <c r="E942" s="276" t="s">
        <v>537</v>
      </c>
      <c r="F942" s="277" t="s">
        <v>419</v>
      </c>
      <c r="G942" s="278" t="s">
        <v>554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960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2841</v>
      </c>
      <c r="D943" s="274" t="s">
        <v>1940</v>
      </c>
      <c r="E943" s="276" t="s">
        <v>192</v>
      </c>
      <c r="F943" s="277" t="s">
        <v>400</v>
      </c>
      <c r="G943" s="278" t="s">
        <v>569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960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2880</v>
      </c>
      <c r="D944" s="282" t="s">
        <v>1940</v>
      </c>
      <c r="E944" s="284" t="s">
        <v>115</v>
      </c>
      <c r="F944" s="285" t="s">
        <v>431</v>
      </c>
      <c r="G944" s="286" t="s">
        <v>554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960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2881</v>
      </c>
      <c r="D945" s="480" t="s">
        <v>1940</v>
      </c>
      <c r="E945" s="482" t="s">
        <v>537</v>
      </c>
      <c r="F945" s="483" t="s">
        <v>562</v>
      </c>
      <c r="G945" s="484" t="s">
        <v>554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623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2882</v>
      </c>
      <c r="D946" s="274" t="s">
        <v>1940</v>
      </c>
      <c r="E946" s="276" t="s">
        <v>115</v>
      </c>
      <c r="F946" s="277" t="s">
        <v>404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623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1944</v>
      </c>
      <c r="D947" s="274" t="s">
        <v>1940</v>
      </c>
      <c r="E947" s="276" t="s">
        <v>115</v>
      </c>
      <c r="F947" s="277" t="s">
        <v>562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623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2883</v>
      </c>
      <c r="D948" s="274" t="s">
        <v>1940</v>
      </c>
      <c r="E948" s="276" t="s">
        <v>115</v>
      </c>
      <c r="F948" s="277" t="s">
        <v>2884</v>
      </c>
      <c r="G948" s="278" t="s">
        <v>554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623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2885</v>
      </c>
      <c r="D949" s="274" t="s">
        <v>376</v>
      </c>
      <c r="E949" s="276" t="s">
        <v>115</v>
      </c>
      <c r="F949" s="277" t="s">
        <v>2886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623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2887</v>
      </c>
      <c r="D950" s="122" t="s">
        <v>1940</v>
      </c>
      <c r="E950" s="150" t="s">
        <v>537</v>
      </c>
      <c r="F950" s="126" t="s">
        <v>511</v>
      </c>
      <c r="G950" s="271" t="s">
        <v>554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623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2888</v>
      </c>
      <c r="D951" s="274" t="s">
        <v>1940</v>
      </c>
      <c r="E951" s="276" t="s">
        <v>537</v>
      </c>
      <c r="F951" s="277" t="s">
        <v>562</v>
      </c>
      <c r="G951" s="278" t="s">
        <v>554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623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2889</v>
      </c>
      <c r="D952" s="274" t="s">
        <v>1940</v>
      </c>
      <c r="E952" s="276" t="s">
        <v>537</v>
      </c>
      <c r="F952" s="277" t="s">
        <v>431</v>
      </c>
      <c r="G952" s="278" t="s">
        <v>554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623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2890</v>
      </c>
      <c r="D953" s="274" t="s">
        <v>1940</v>
      </c>
      <c r="E953" s="276" t="s">
        <v>580</v>
      </c>
      <c r="F953" s="277" t="s">
        <v>371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623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2891</v>
      </c>
      <c r="D954" s="274" t="s">
        <v>1940</v>
      </c>
      <c r="E954" s="276" t="s">
        <v>537</v>
      </c>
      <c r="F954" s="277" t="s">
        <v>511</v>
      </c>
      <c r="G954" s="278" t="s">
        <v>554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623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2892</v>
      </c>
      <c r="D955" s="274" t="s">
        <v>1940</v>
      </c>
      <c r="E955" s="276" t="s">
        <v>537</v>
      </c>
      <c r="F955" s="277" t="s">
        <v>562</v>
      </c>
      <c r="G955" s="278" t="s">
        <v>554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623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2893</v>
      </c>
      <c r="D956" s="274" t="s">
        <v>1940</v>
      </c>
      <c r="E956" s="276" t="s">
        <v>537</v>
      </c>
      <c r="F956" s="277" t="s">
        <v>594</v>
      </c>
      <c r="G956" s="278" t="s">
        <v>2500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623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2872</v>
      </c>
      <c r="D957" s="274" t="s">
        <v>1940</v>
      </c>
      <c r="E957" s="276" t="s">
        <v>217</v>
      </c>
      <c r="F957" s="277" t="s">
        <v>485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623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1943</v>
      </c>
      <c r="D958" s="274" t="s">
        <v>1940</v>
      </c>
      <c r="E958" s="276" t="s">
        <v>537</v>
      </c>
      <c r="F958" s="277" t="s">
        <v>527</v>
      </c>
      <c r="G958" s="278" t="s">
        <v>554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623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2891</v>
      </c>
      <c r="D959" s="274" t="s">
        <v>1940</v>
      </c>
      <c r="E959" s="276" t="s">
        <v>115</v>
      </c>
      <c r="F959" s="277" t="s">
        <v>2065</v>
      </c>
      <c r="G959" s="278" t="s">
        <v>1941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623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2300</v>
      </c>
      <c r="F961" s="307">
        <v>3624379</v>
      </c>
      <c r="G961" s="308"/>
      <c r="I961" s="304"/>
      <c r="J961" s="360" t="s">
        <v>2060</v>
      </c>
      <c r="K961" s="309">
        <v>4911822.4399999995</v>
      </c>
      <c r="L961" s="311"/>
      <c r="M961" s="311" t="s">
        <v>2301</v>
      </c>
    </row>
    <row r="962" spans="1:13" x14ac:dyDescent="0.25">
      <c r="A962" s="303"/>
      <c r="B962" s="304"/>
      <c r="C962" s="305"/>
      <c r="D962" s="304"/>
      <c r="E962" s="306" t="s">
        <v>2302</v>
      </c>
      <c r="F962" s="312">
        <v>472981.4595</v>
      </c>
      <c r="G962" s="308"/>
      <c r="I962" s="304"/>
      <c r="J962" s="361" t="s">
        <v>2303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44" t="s">
        <v>91</v>
      </c>
      <c r="B964" s="644"/>
      <c r="C964" s="644"/>
      <c r="D964" s="644"/>
      <c r="E964" s="644"/>
      <c r="F964" s="644"/>
      <c r="G964" s="644"/>
      <c r="H964" s="644"/>
      <c r="I964" s="644"/>
      <c r="J964" s="644"/>
      <c r="K964" s="644"/>
      <c r="L964" s="644"/>
      <c r="M964" s="644"/>
    </row>
    <row r="965" spans="1:13" ht="18.75" customHeight="1" x14ac:dyDescent="0.25">
      <c r="A965" s="223" t="s">
        <v>2051</v>
      </c>
      <c r="B965" s="223" t="s">
        <v>2780</v>
      </c>
      <c r="C965" s="223" t="s">
        <v>2052</v>
      </c>
      <c r="D965" s="223" t="s">
        <v>2053</v>
      </c>
      <c r="E965" s="223" t="s">
        <v>2054</v>
      </c>
      <c r="F965" s="223" t="s">
        <v>2055</v>
      </c>
      <c r="G965" s="223" t="s">
        <v>2056</v>
      </c>
      <c r="H965" s="224" t="s">
        <v>2057</v>
      </c>
      <c r="I965" s="223" t="s">
        <v>2058</v>
      </c>
      <c r="J965" s="224" t="s">
        <v>2059</v>
      </c>
      <c r="K965" s="223" t="s">
        <v>2060</v>
      </c>
      <c r="L965" s="223" t="s">
        <v>2061</v>
      </c>
      <c r="M965" s="223" t="s">
        <v>2305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2894</v>
      </c>
      <c r="D966" s="174" t="s">
        <v>1978</v>
      </c>
      <c r="E966" s="172" t="s">
        <v>223</v>
      </c>
      <c r="F966" s="177" t="s">
        <v>371</v>
      </c>
      <c r="G966" s="177" t="s">
        <v>554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608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2895</v>
      </c>
      <c r="D967" s="174" t="s">
        <v>1978</v>
      </c>
      <c r="E967" s="172" t="s">
        <v>223</v>
      </c>
      <c r="F967" s="177" t="s">
        <v>371</v>
      </c>
      <c r="G967" s="174" t="s">
        <v>2101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608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2896</v>
      </c>
      <c r="D968" s="174" t="s">
        <v>1990</v>
      </c>
      <c r="E968" s="172" t="s">
        <v>223</v>
      </c>
      <c r="F968" s="177" t="s">
        <v>371</v>
      </c>
      <c r="G968" s="177" t="s">
        <v>569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608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2897</v>
      </c>
      <c r="D969" s="174" t="s">
        <v>1988</v>
      </c>
      <c r="E969" s="172" t="s">
        <v>537</v>
      </c>
      <c r="F969" s="177" t="s">
        <v>472</v>
      </c>
      <c r="G969" s="177" t="s">
        <v>583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608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2898</v>
      </c>
      <c r="D970" s="174" t="s">
        <v>2899</v>
      </c>
      <c r="E970" s="172" t="s">
        <v>537</v>
      </c>
      <c r="F970" s="177">
        <v>3</v>
      </c>
      <c r="G970" s="177" t="s">
        <v>2900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608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2037</v>
      </c>
      <c r="D971" s="174" t="s">
        <v>1978</v>
      </c>
      <c r="E971" s="172" t="s">
        <v>116</v>
      </c>
      <c r="F971" s="177" t="s">
        <v>2901</v>
      </c>
      <c r="G971" s="177" t="s">
        <v>2902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608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2903</v>
      </c>
      <c r="D972" s="174" t="s">
        <v>1978</v>
      </c>
      <c r="E972" s="172" t="s">
        <v>116</v>
      </c>
      <c r="F972" s="177">
        <v>5</v>
      </c>
      <c r="G972" s="177" t="s">
        <v>2067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608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2904</v>
      </c>
      <c r="D973" s="174" t="s">
        <v>2039</v>
      </c>
      <c r="E973" s="172" t="s">
        <v>537</v>
      </c>
      <c r="F973" s="177">
        <v>31</v>
      </c>
      <c r="G973" s="177" t="s">
        <v>569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608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2905</v>
      </c>
      <c r="D974" s="174" t="s">
        <v>1988</v>
      </c>
      <c r="E974" s="172" t="s">
        <v>580</v>
      </c>
      <c r="F974" s="177" t="s">
        <v>371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608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1455</v>
      </c>
      <c r="D975" s="174" t="s">
        <v>1988</v>
      </c>
      <c r="E975" s="172" t="s">
        <v>116</v>
      </c>
      <c r="F975" s="177">
        <v>31</v>
      </c>
      <c r="G975" s="177" t="s">
        <v>2067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608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2906</v>
      </c>
      <c r="D976" s="174" t="s">
        <v>1988</v>
      </c>
      <c r="E976" s="172" t="s">
        <v>577</v>
      </c>
      <c r="F976" s="177">
        <v>19</v>
      </c>
      <c r="G976" s="177" t="s">
        <v>2075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608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2907</v>
      </c>
      <c r="D977" s="491" t="s">
        <v>1988</v>
      </c>
      <c r="E977" s="389" t="s">
        <v>116</v>
      </c>
      <c r="F977" s="391">
        <v>19</v>
      </c>
      <c r="G977" s="391" t="s">
        <v>569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608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2908</v>
      </c>
      <c r="D978" s="494" t="s">
        <v>1978</v>
      </c>
      <c r="E978" s="496" t="s">
        <v>537</v>
      </c>
      <c r="F978" s="497">
        <v>14</v>
      </c>
      <c r="G978" s="498" t="s">
        <v>554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760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2909</v>
      </c>
      <c r="D979" s="135" t="s">
        <v>1990</v>
      </c>
      <c r="E979" s="172" t="s">
        <v>580</v>
      </c>
      <c r="F979" s="139" t="s">
        <v>371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760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2910</v>
      </c>
      <c r="D980" s="135" t="s">
        <v>1988</v>
      </c>
      <c r="E980" s="172" t="s">
        <v>580</v>
      </c>
      <c r="F980" s="139" t="s">
        <v>371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760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2000</v>
      </c>
      <c r="D981" s="135" t="s">
        <v>1978</v>
      </c>
      <c r="E981" s="172" t="s">
        <v>116</v>
      </c>
      <c r="F981" s="139">
        <v>5</v>
      </c>
      <c r="G981" s="177" t="s">
        <v>2067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760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2911</v>
      </c>
      <c r="D982" s="503" t="s">
        <v>1988</v>
      </c>
      <c r="E982" s="505" t="s">
        <v>537</v>
      </c>
      <c r="F982" s="506">
        <v>15</v>
      </c>
      <c r="G982" s="507" t="s">
        <v>563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760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2912</v>
      </c>
      <c r="D983" s="233" t="s">
        <v>1988</v>
      </c>
      <c r="E983" s="235" t="s">
        <v>116</v>
      </c>
      <c r="F983" s="236">
        <v>12</v>
      </c>
      <c r="G983" s="237" t="s">
        <v>2067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788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2913</v>
      </c>
      <c r="D984" s="233" t="s">
        <v>1988</v>
      </c>
      <c r="E984" s="235" t="s">
        <v>116</v>
      </c>
      <c r="F984" s="236">
        <v>13</v>
      </c>
      <c r="G984" s="237" t="s">
        <v>2067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788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2914</v>
      </c>
      <c r="D985" s="135" t="s">
        <v>1978</v>
      </c>
      <c r="E985" s="172" t="s">
        <v>116</v>
      </c>
      <c r="F985" s="139">
        <v>9</v>
      </c>
      <c r="G985" s="177" t="s">
        <v>2067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788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2915</v>
      </c>
      <c r="D986" s="135" t="s">
        <v>1978</v>
      </c>
      <c r="E986" s="172" t="s">
        <v>116</v>
      </c>
      <c r="F986" s="139">
        <v>11</v>
      </c>
      <c r="G986" s="177" t="s">
        <v>2067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788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2916</v>
      </c>
      <c r="D987" s="135" t="s">
        <v>1988</v>
      </c>
      <c r="E987" s="172" t="s">
        <v>116</v>
      </c>
      <c r="F987" s="139" t="s">
        <v>2805</v>
      </c>
      <c r="G987" s="177" t="s">
        <v>2067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788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2917</v>
      </c>
      <c r="D988" s="135" t="s">
        <v>1988</v>
      </c>
      <c r="E988" s="172" t="s">
        <v>537</v>
      </c>
      <c r="F988" s="139">
        <v>12</v>
      </c>
      <c r="G988" s="177" t="s">
        <v>583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788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2918</v>
      </c>
      <c r="D989" s="135" t="s">
        <v>1988</v>
      </c>
      <c r="E989" s="172" t="s">
        <v>197</v>
      </c>
      <c r="F989" s="139" t="s">
        <v>2919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788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2920</v>
      </c>
      <c r="D990" s="135" t="s">
        <v>1988</v>
      </c>
      <c r="E990" s="172" t="s">
        <v>116</v>
      </c>
      <c r="F990" s="139">
        <v>4</v>
      </c>
      <c r="G990" s="177" t="s">
        <v>554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788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2044</v>
      </c>
      <c r="D991" s="135" t="s">
        <v>1988</v>
      </c>
      <c r="E991" s="172" t="s">
        <v>116</v>
      </c>
      <c r="F991" s="139">
        <v>13</v>
      </c>
      <c r="G991" s="177" t="s">
        <v>2067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788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2921</v>
      </c>
      <c r="D992" s="233" t="s">
        <v>1978</v>
      </c>
      <c r="E992" s="235" t="s">
        <v>217</v>
      </c>
      <c r="F992" s="236" t="s">
        <v>371</v>
      </c>
      <c r="G992" s="237" t="s">
        <v>2469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788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2922</v>
      </c>
      <c r="D993" s="233" t="s">
        <v>1988</v>
      </c>
      <c r="E993" s="235" t="s">
        <v>580</v>
      </c>
      <c r="F993" s="236" t="s">
        <v>371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788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2923</v>
      </c>
      <c r="D994" s="233" t="s">
        <v>1988</v>
      </c>
      <c r="E994" s="235" t="s">
        <v>580</v>
      </c>
      <c r="F994" s="236" t="s">
        <v>371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788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1977</v>
      </c>
      <c r="D995" s="233" t="s">
        <v>1978</v>
      </c>
      <c r="E995" s="235" t="s">
        <v>116</v>
      </c>
      <c r="F995" s="236">
        <v>13</v>
      </c>
      <c r="G995" s="237" t="s">
        <v>2067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788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2924</v>
      </c>
      <c r="D996" s="233" t="s">
        <v>2925</v>
      </c>
      <c r="E996" s="235" t="s">
        <v>537</v>
      </c>
      <c r="F996" s="236" t="s">
        <v>2410</v>
      </c>
      <c r="G996" s="237" t="s">
        <v>569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788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2926</v>
      </c>
      <c r="D997" s="233" t="s">
        <v>1988</v>
      </c>
      <c r="E997" s="235" t="s">
        <v>192</v>
      </c>
      <c r="F997" s="236">
        <v>19</v>
      </c>
      <c r="G997" s="237" t="s">
        <v>2136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788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2927</v>
      </c>
      <c r="D998" s="233" t="s">
        <v>1988</v>
      </c>
      <c r="E998" s="235" t="s">
        <v>580</v>
      </c>
      <c r="F998" s="236" t="s">
        <v>371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788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2928</v>
      </c>
      <c r="D999" s="233" t="s">
        <v>1988</v>
      </c>
      <c r="E999" s="235" t="s">
        <v>116</v>
      </c>
      <c r="F999" s="236">
        <v>15</v>
      </c>
      <c r="G999" s="237" t="s">
        <v>2067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788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626</v>
      </c>
      <c r="D1000" s="233" t="s">
        <v>1978</v>
      </c>
      <c r="E1000" s="235" t="s">
        <v>116</v>
      </c>
      <c r="F1000" s="236">
        <v>4</v>
      </c>
      <c r="G1000" s="237" t="s">
        <v>2067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788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2929</v>
      </c>
      <c r="D1001" s="233" t="s">
        <v>1990</v>
      </c>
      <c r="E1001" s="235" t="s">
        <v>537</v>
      </c>
      <c r="F1001" s="236">
        <v>19</v>
      </c>
      <c r="G1001" s="237" t="s">
        <v>629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788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2930</v>
      </c>
      <c r="D1002" s="233" t="s">
        <v>1981</v>
      </c>
      <c r="E1002" s="235" t="s">
        <v>580</v>
      </c>
      <c r="F1002" s="236" t="s">
        <v>371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788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2931</v>
      </c>
      <c r="D1003" s="233" t="s">
        <v>1988</v>
      </c>
      <c r="E1003" s="235" t="s">
        <v>116</v>
      </c>
      <c r="F1003" s="236">
        <v>10</v>
      </c>
      <c r="G1003" s="237" t="s">
        <v>560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788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2932</v>
      </c>
      <c r="D1004" s="233" t="s">
        <v>1988</v>
      </c>
      <c r="E1004" s="235" t="s">
        <v>116</v>
      </c>
      <c r="F1004" s="236">
        <v>30</v>
      </c>
      <c r="G1004" s="237" t="s">
        <v>1059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788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2933</v>
      </c>
      <c r="D1005" s="233" t="s">
        <v>1981</v>
      </c>
      <c r="E1005" s="235" t="s">
        <v>580</v>
      </c>
      <c r="F1005" s="236" t="s">
        <v>371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788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2934</v>
      </c>
      <c r="D1006" s="233" t="s">
        <v>1988</v>
      </c>
      <c r="E1006" s="235" t="s">
        <v>537</v>
      </c>
      <c r="F1006" s="236">
        <v>30</v>
      </c>
      <c r="G1006" s="237" t="s">
        <v>629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788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2935</v>
      </c>
      <c r="D1007" s="233" t="s">
        <v>1988</v>
      </c>
      <c r="E1007" s="235" t="s">
        <v>537</v>
      </c>
      <c r="F1007" s="236">
        <v>3</v>
      </c>
      <c r="G1007" s="237" t="s">
        <v>560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788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1977</v>
      </c>
      <c r="D1008" s="233" t="s">
        <v>1978</v>
      </c>
      <c r="E1008" s="235" t="s">
        <v>237</v>
      </c>
      <c r="F1008" s="236" t="s">
        <v>371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788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2908</v>
      </c>
      <c r="D1009" s="233" t="s">
        <v>1978</v>
      </c>
      <c r="E1009" s="235" t="s">
        <v>116</v>
      </c>
      <c r="F1009" s="236">
        <v>30</v>
      </c>
      <c r="G1009" s="237" t="s">
        <v>2067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788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2936</v>
      </c>
      <c r="D1010" s="135" t="s">
        <v>1988</v>
      </c>
      <c r="E1010" s="172" t="s">
        <v>580</v>
      </c>
      <c r="F1010" s="139" t="s">
        <v>371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788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2928</v>
      </c>
      <c r="D1011" s="233" t="s">
        <v>1988</v>
      </c>
      <c r="E1011" s="235" t="s">
        <v>537</v>
      </c>
      <c r="F1011" s="236">
        <v>3</v>
      </c>
      <c r="G1011" s="237" t="s">
        <v>563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788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2937</v>
      </c>
      <c r="D1012" s="512" t="s">
        <v>1978</v>
      </c>
      <c r="E1012" s="514" t="s">
        <v>116</v>
      </c>
      <c r="F1012" s="515">
        <v>5</v>
      </c>
      <c r="G1012" s="516" t="s">
        <v>2938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788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2939</v>
      </c>
      <c r="D1013" s="494" t="s">
        <v>2925</v>
      </c>
      <c r="E1013" s="496" t="s">
        <v>188</v>
      </c>
      <c r="F1013" s="497" t="s">
        <v>472</v>
      </c>
      <c r="G1013" s="498" t="s">
        <v>554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617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2940</v>
      </c>
      <c r="D1014" s="233" t="s">
        <v>1988</v>
      </c>
      <c r="E1014" s="235" t="s">
        <v>577</v>
      </c>
      <c r="F1014" s="236" t="s">
        <v>2941</v>
      </c>
      <c r="G1014" s="237" t="s">
        <v>563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617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2942</v>
      </c>
      <c r="D1015" s="233" t="s">
        <v>1988</v>
      </c>
      <c r="E1015" s="235" t="s">
        <v>537</v>
      </c>
      <c r="F1015" s="236">
        <v>14</v>
      </c>
      <c r="G1015" s="237" t="s">
        <v>629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617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2943</v>
      </c>
      <c r="D1016" s="233" t="s">
        <v>1988</v>
      </c>
      <c r="E1016" s="235" t="s">
        <v>537</v>
      </c>
      <c r="F1016" s="236">
        <v>14</v>
      </c>
      <c r="G1016" s="237" t="s">
        <v>563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617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2944</v>
      </c>
      <c r="D1017" s="233" t="s">
        <v>1981</v>
      </c>
      <c r="E1017" s="235" t="s">
        <v>537</v>
      </c>
      <c r="F1017" s="236">
        <v>14</v>
      </c>
      <c r="G1017" s="237" t="s">
        <v>1253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617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2945</v>
      </c>
      <c r="D1018" s="233" t="s">
        <v>2925</v>
      </c>
      <c r="E1018" s="235" t="s">
        <v>116</v>
      </c>
      <c r="F1018" s="236">
        <v>4</v>
      </c>
      <c r="G1018" s="237" t="s">
        <v>1340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617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2908</v>
      </c>
      <c r="D1019" s="233" t="s">
        <v>1978</v>
      </c>
      <c r="E1019" s="235" t="s">
        <v>115</v>
      </c>
      <c r="F1019" s="236" t="s">
        <v>527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617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2946</v>
      </c>
      <c r="D1020" s="233" t="s">
        <v>1981</v>
      </c>
      <c r="E1020" s="235" t="s">
        <v>580</v>
      </c>
      <c r="F1020" s="236" t="s">
        <v>371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617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2947</v>
      </c>
      <c r="D1021" s="233" t="s">
        <v>1988</v>
      </c>
      <c r="E1021" s="235" t="s">
        <v>580</v>
      </c>
      <c r="F1021" s="236" t="s">
        <v>371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617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2948</v>
      </c>
      <c r="D1022" s="233" t="s">
        <v>2949</v>
      </c>
      <c r="E1022" s="235" t="s">
        <v>580</v>
      </c>
      <c r="F1022" s="236" t="s">
        <v>371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617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2950</v>
      </c>
      <c r="D1023" s="233" t="s">
        <v>1984</v>
      </c>
      <c r="E1023" s="235" t="s">
        <v>197</v>
      </c>
      <c r="F1023" s="236" t="s">
        <v>2015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617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2951</v>
      </c>
      <c r="D1024" s="233" t="s">
        <v>1990</v>
      </c>
      <c r="E1024" s="235" t="s">
        <v>580</v>
      </c>
      <c r="F1024" s="236" t="s">
        <v>371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617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1404</v>
      </c>
      <c r="D1025" s="233" t="s">
        <v>1988</v>
      </c>
      <c r="E1025" s="235" t="s">
        <v>116</v>
      </c>
      <c r="F1025" s="236">
        <v>18</v>
      </c>
      <c r="G1025" s="237" t="s">
        <v>2067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617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2914</v>
      </c>
      <c r="D1026" s="233" t="s">
        <v>1978</v>
      </c>
      <c r="E1026" s="235" t="s">
        <v>192</v>
      </c>
      <c r="F1026" s="236" t="s">
        <v>410</v>
      </c>
      <c r="G1026" s="237" t="s">
        <v>2097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617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1933</v>
      </c>
      <c r="D1027" s="233" t="s">
        <v>1990</v>
      </c>
      <c r="E1027" s="235" t="s">
        <v>580</v>
      </c>
      <c r="F1027" s="236" t="s">
        <v>371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617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2952</v>
      </c>
      <c r="D1028" s="233" t="s">
        <v>2925</v>
      </c>
      <c r="E1028" s="235" t="s">
        <v>217</v>
      </c>
      <c r="F1028" s="236" t="s">
        <v>387</v>
      </c>
      <c r="G1028" s="237" t="s">
        <v>1250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617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2953</v>
      </c>
      <c r="D1029" s="233" t="s">
        <v>1981</v>
      </c>
      <c r="E1029" s="235" t="s">
        <v>580</v>
      </c>
      <c r="F1029" s="236" t="s">
        <v>371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617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2954</v>
      </c>
      <c r="D1030" s="233" t="s">
        <v>2925</v>
      </c>
      <c r="E1030" s="235" t="s">
        <v>217</v>
      </c>
      <c r="F1030" s="236" t="s">
        <v>371</v>
      </c>
      <c r="G1030" s="237" t="s">
        <v>489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617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2955</v>
      </c>
      <c r="D1031" s="233" t="s">
        <v>1978</v>
      </c>
      <c r="E1031" s="235" t="s">
        <v>116</v>
      </c>
      <c r="F1031" s="236">
        <v>8</v>
      </c>
      <c r="G1031" s="237" t="s">
        <v>489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617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2956</v>
      </c>
      <c r="D1032" s="233" t="s">
        <v>1981</v>
      </c>
      <c r="E1032" s="235" t="s">
        <v>580</v>
      </c>
      <c r="F1032" s="236" t="s">
        <v>371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617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2957</v>
      </c>
      <c r="D1033" s="233" t="s">
        <v>1981</v>
      </c>
      <c r="E1033" s="235" t="s">
        <v>580</v>
      </c>
      <c r="F1033" s="236" t="s">
        <v>371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617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2920</v>
      </c>
      <c r="D1034" s="233" t="s">
        <v>1988</v>
      </c>
      <c r="E1034" s="235" t="s">
        <v>115</v>
      </c>
      <c r="F1034" s="236">
        <v>4</v>
      </c>
      <c r="G1034" s="237" t="s">
        <v>563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617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2958</v>
      </c>
      <c r="D1035" s="233" t="s">
        <v>1988</v>
      </c>
      <c r="E1035" s="235" t="s">
        <v>116</v>
      </c>
      <c r="F1035" s="236" t="s">
        <v>592</v>
      </c>
      <c r="G1035" s="237" t="s">
        <v>1059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617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2044</v>
      </c>
      <c r="D1036" s="233" t="s">
        <v>1988</v>
      </c>
      <c r="E1036" s="235" t="s">
        <v>116</v>
      </c>
      <c r="F1036" s="236">
        <v>4</v>
      </c>
      <c r="G1036" s="237" t="s">
        <v>2067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617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2959</v>
      </c>
      <c r="D1037" s="512" t="s">
        <v>1981</v>
      </c>
      <c r="E1037" s="514" t="s">
        <v>116</v>
      </c>
      <c r="F1037" s="515">
        <v>5</v>
      </c>
      <c r="G1037" s="516" t="s">
        <v>2960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617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2961</v>
      </c>
      <c r="D1038" s="122" t="s">
        <v>1981</v>
      </c>
      <c r="E1038" s="150" t="s">
        <v>580</v>
      </c>
      <c r="F1038" s="126" t="s">
        <v>371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620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2962</v>
      </c>
      <c r="D1039" s="122" t="s">
        <v>1988</v>
      </c>
      <c r="E1039" s="150" t="s">
        <v>116</v>
      </c>
      <c r="F1039" s="126" t="s">
        <v>2963</v>
      </c>
      <c r="G1039" s="271" t="s">
        <v>2471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620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2964</v>
      </c>
      <c r="D1040" s="122" t="s">
        <v>2949</v>
      </c>
      <c r="E1040" s="150" t="s">
        <v>580</v>
      </c>
      <c r="F1040" s="126" t="s">
        <v>371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620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2965</v>
      </c>
      <c r="D1041" s="122" t="s">
        <v>1988</v>
      </c>
      <c r="E1041" s="150" t="s">
        <v>537</v>
      </c>
      <c r="F1041" s="126">
        <v>30</v>
      </c>
      <c r="G1041" s="271" t="s">
        <v>563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620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2966</v>
      </c>
      <c r="D1042" s="122" t="s">
        <v>862</v>
      </c>
      <c r="E1042" s="150" t="s">
        <v>580</v>
      </c>
      <c r="F1042" s="126" t="s">
        <v>371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620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2967</v>
      </c>
      <c r="D1043" s="122" t="s">
        <v>1988</v>
      </c>
      <c r="E1043" s="150" t="s">
        <v>580</v>
      </c>
      <c r="F1043" s="126" t="s">
        <v>371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620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2029</v>
      </c>
      <c r="D1044" s="122" t="s">
        <v>1978</v>
      </c>
      <c r="E1044" s="150" t="s">
        <v>116</v>
      </c>
      <c r="F1044" s="126" t="s">
        <v>383</v>
      </c>
      <c r="G1044" s="271" t="s">
        <v>489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620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2968</v>
      </c>
      <c r="D1045" s="122" t="s">
        <v>1988</v>
      </c>
      <c r="E1045" s="150" t="s">
        <v>116</v>
      </c>
      <c r="F1045" s="126">
        <v>14</v>
      </c>
      <c r="G1045" s="271" t="s">
        <v>2067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620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2968</v>
      </c>
      <c r="D1046" s="122" t="s">
        <v>1988</v>
      </c>
      <c r="E1046" s="150" t="s">
        <v>116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620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2931</v>
      </c>
      <c r="D1047" s="122" t="s">
        <v>1988</v>
      </c>
      <c r="E1047" s="150" t="s">
        <v>1132</v>
      </c>
      <c r="F1047" s="126" t="s">
        <v>407</v>
      </c>
      <c r="G1047" s="271" t="s">
        <v>563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620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2945</v>
      </c>
      <c r="D1048" s="122" t="s">
        <v>2925</v>
      </c>
      <c r="E1048" s="150" t="s">
        <v>210</v>
      </c>
      <c r="F1048" s="126" t="s">
        <v>417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620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2945</v>
      </c>
      <c r="D1049" s="122" t="s">
        <v>2925</v>
      </c>
      <c r="E1049" s="150" t="s">
        <v>115</v>
      </c>
      <c r="F1049" s="126" t="s">
        <v>417</v>
      </c>
      <c r="G1049" s="271" t="s">
        <v>2969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620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2970</v>
      </c>
      <c r="D1050" s="122" t="s">
        <v>1978</v>
      </c>
      <c r="E1050" s="150" t="s">
        <v>116</v>
      </c>
      <c r="F1050" s="126" t="s">
        <v>2971</v>
      </c>
      <c r="G1050" s="271" t="s">
        <v>489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620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2972</v>
      </c>
      <c r="D1051" s="122" t="s">
        <v>1978</v>
      </c>
      <c r="E1051" s="150" t="s">
        <v>116</v>
      </c>
      <c r="F1051" s="126">
        <v>3</v>
      </c>
      <c r="G1051" s="271" t="s">
        <v>2067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620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2972</v>
      </c>
      <c r="D1052" s="122" t="s">
        <v>1975</v>
      </c>
      <c r="E1052" s="150" t="s">
        <v>115</v>
      </c>
      <c r="F1052" s="126" t="s">
        <v>472</v>
      </c>
      <c r="G1052" s="271" t="s">
        <v>597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620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2972</v>
      </c>
      <c r="D1053" s="122" t="s">
        <v>1975</v>
      </c>
      <c r="E1053" s="150" t="s">
        <v>188</v>
      </c>
      <c r="F1053" s="126" t="s">
        <v>431</v>
      </c>
      <c r="G1053" s="271" t="s">
        <v>597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620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2973</v>
      </c>
      <c r="D1054" s="122" t="s">
        <v>2925</v>
      </c>
      <c r="E1054" s="150" t="s">
        <v>537</v>
      </c>
      <c r="F1054" s="126" t="s">
        <v>562</v>
      </c>
      <c r="G1054" s="271" t="s">
        <v>569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620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2974</v>
      </c>
      <c r="D1055" s="122" t="s">
        <v>1988</v>
      </c>
      <c r="E1055" s="150" t="s">
        <v>210</v>
      </c>
      <c r="F1055" s="126" t="s">
        <v>392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620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2975</v>
      </c>
      <c r="D1056" s="122" t="s">
        <v>862</v>
      </c>
      <c r="E1056" s="150" t="s">
        <v>580</v>
      </c>
      <c r="F1056" s="126" t="s">
        <v>371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620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2976</v>
      </c>
      <c r="D1057" s="122" t="s">
        <v>1975</v>
      </c>
      <c r="E1057" s="150" t="s">
        <v>116</v>
      </c>
      <c r="F1057" s="126" t="s">
        <v>400</v>
      </c>
      <c r="G1057" s="271" t="s">
        <v>569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620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2977</v>
      </c>
      <c r="D1058" s="122" t="s">
        <v>1990</v>
      </c>
      <c r="E1058" s="150" t="s">
        <v>580</v>
      </c>
      <c r="F1058" s="126" t="s">
        <v>371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620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2978</v>
      </c>
      <c r="D1059" s="122" t="s">
        <v>1998</v>
      </c>
      <c r="E1059" s="150" t="s">
        <v>580</v>
      </c>
      <c r="F1059" s="126" t="s">
        <v>371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620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2979</v>
      </c>
      <c r="D1060" s="122" t="s">
        <v>1988</v>
      </c>
      <c r="E1060" s="150" t="s">
        <v>116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620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2979</v>
      </c>
      <c r="D1061" s="122" t="s">
        <v>1975</v>
      </c>
      <c r="E1061" s="150" t="s">
        <v>116</v>
      </c>
      <c r="F1061" s="126" t="s">
        <v>434</v>
      </c>
      <c r="G1061" s="271" t="s">
        <v>569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620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2980</v>
      </c>
      <c r="D1062" s="122" t="s">
        <v>1990</v>
      </c>
      <c r="E1062" s="150" t="s">
        <v>580</v>
      </c>
      <c r="F1062" s="126" t="s">
        <v>371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620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2981</v>
      </c>
      <c r="D1063" s="122" t="s">
        <v>2925</v>
      </c>
      <c r="E1063" s="150" t="s">
        <v>537</v>
      </c>
      <c r="F1063" s="126" t="s">
        <v>419</v>
      </c>
      <c r="G1063" s="271" t="s">
        <v>554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620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2981</v>
      </c>
      <c r="D1064" s="122" t="s">
        <v>1975</v>
      </c>
      <c r="E1064" s="150" t="s">
        <v>537</v>
      </c>
      <c r="F1064" s="126" t="s">
        <v>645</v>
      </c>
      <c r="G1064" s="271" t="s">
        <v>554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620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2904</v>
      </c>
      <c r="D1065" s="122" t="s">
        <v>1978</v>
      </c>
      <c r="E1065" s="150" t="s">
        <v>116</v>
      </c>
      <c r="F1065" s="126">
        <v>20</v>
      </c>
      <c r="G1065" s="271" t="s">
        <v>2067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620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2982</v>
      </c>
      <c r="D1066" s="122" t="s">
        <v>1988</v>
      </c>
      <c r="E1066" s="150" t="s">
        <v>116</v>
      </c>
      <c r="F1066" s="126" t="s">
        <v>596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620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2983</v>
      </c>
      <c r="D1067" s="122" t="s">
        <v>1981</v>
      </c>
      <c r="E1067" s="150" t="s">
        <v>580</v>
      </c>
      <c r="F1067" s="126" t="s">
        <v>371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620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550</v>
      </c>
      <c r="D1068" s="122" t="s">
        <v>1978</v>
      </c>
      <c r="E1068" s="150" t="s">
        <v>116</v>
      </c>
      <c r="F1068" s="126" t="s">
        <v>1851</v>
      </c>
      <c r="G1068" s="271" t="s">
        <v>554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620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2984</v>
      </c>
      <c r="D1069" s="122" t="s">
        <v>2925</v>
      </c>
      <c r="E1069" s="150" t="s">
        <v>188</v>
      </c>
      <c r="F1069" s="126" t="s">
        <v>530</v>
      </c>
      <c r="G1069" s="271" t="s">
        <v>2985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620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1995</v>
      </c>
      <c r="D1070" s="122" t="s">
        <v>1988</v>
      </c>
      <c r="E1070" s="150" t="s">
        <v>116</v>
      </c>
      <c r="F1070" s="126" t="s">
        <v>445</v>
      </c>
      <c r="G1070" s="271" t="s">
        <v>569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620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2986</v>
      </c>
      <c r="D1071" s="122" t="s">
        <v>1988</v>
      </c>
      <c r="E1071" s="150" t="s">
        <v>537</v>
      </c>
      <c r="F1071" s="126" t="s">
        <v>2941</v>
      </c>
      <c r="G1071" s="271" t="s">
        <v>554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620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2987</v>
      </c>
      <c r="D1072" s="122" t="s">
        <v>1978</v>
      </c>
      <c r="E1072" s="150" t="s">
        <v>217</v>
      </c>
      <c r="F1072" s="126" t="s">
        <v>371</v>
      </c>
      <c r="G1072" s="271" t="s">
        <v>2135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620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2988</v>
      </c>
      <c r="D1073" s="122" t="s">
        <v>2189</v>
      </c>
      <c r="E1073" s="150" t="s">
        <v>2989</v>
      </c>
      <c r="F1073" s="126" t="s">
        <v>371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620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2990</v>
      </c>
      <c r="D1074" s="122" t="s">
        <v>1981</v>
      </c>
      <c r="E1074" s="150" t="s">
        <v>537</v>
      </c>
      <c r="F1074" s="126" t="s">
        <v>527</v>
      </c>
      <c r="G1074" s="271" t="s">
        <v>2991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620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2992</v>
      </c>
      <c r="D1075" s="122" t="s">
        <v>1981</v>
      </c>
      <c r="E1075" s="150" t="s">
        <v>580</v>
      </c>
      <c r="F1075" s="126" t="s">
        <v>371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620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2993</v>
      </c>
      <c r="D1076" s="122" t="s">
        <v>1990</v>
      </c>
      <c r="E1076" s="150" t="s">
        <v>580</v>
      </c>
      <c r="F1076" s="126" t="s">
        <v>371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620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2994</v>
      </c>
      <c r="D1077" s="122" t="s">
        <v>1998</v>
      </c>
      <c r="E1077" s="150" t="s">
        <v>580</v>
      </c>
      <c r="F1077" s="126" t="s">
        <v>371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620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2995</v>
      </c>
      <c r="D1078" s="122" t="s">
        <v>1978</v>
      </c>
      <c r="E1078" s="150" t="s">
        <v>115</v>
      </c>
      <c r="F1078" s="126" t="s">
        <v>417</v>
      </c>
      <c r="G1078" s="271" t="s">
        <v>2075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620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2996</v>
      </c>
      <c r="D1079" s="122" t="s">
        <v>1981</v>
      </c>
      <c r="E1079" s="150" t="s">
        <v>580</v>
      </c>
      <c r="F1079" s="126" t="s">
        <v>371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620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2997</v>
      </c>
      <c r="D1080" s="122" t="s">
        <v>1988</v>
      </c>
      <c r="E1080" s="150" t="s">
        <v>115</v>
      </c>
      <c r="F1080" s="126" t="s">
        <v>527</v>
      </c>
      <c r="G1080" s="271" t="s">
        <v>563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620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2998</v>
      </c>
      <c r="D1081" s="122" t="s">
        <v>2925</v>
      </c>
      <c r="E1081" s="150" t="s">
        <v>537</v>
      </c>
      <c r="F1081" s="126" t="s">
        <v>645</v>
      </c>
      <c r="G1081" s="271" t="s">
        <v>569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620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2999</v>
      </c>
      <c r="D1082" s="122" t="s">
        <v>1998</v>
      </c>
      <c r="E1082" s="150" t="s">
        <v>580</v>
      </c>
      <c r="F1082" s="126" t="s">
        <v>371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620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2912</v>
      </c>
      <c r="D1083" s="135" t="s">
        <v>1988</v>
      </c>
      <c r="E1083" s="172" t="s">
        <v>115</v>
      </c>
      <c r="F1083" s="139" t="s">
        <v>442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960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3000</v>
      </c>
      <c r="D1084" s="135" t="s">
        <v>2949</v>
      </c>
      <c r="E1084" s="172" t="s">
        <v>580</v>
      </c>
      <c r="F1084" s="139" t="s">
        <v>371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960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3001</v>
      </c>
      <c r="D1085" s="135" t="s">
        <v>1978</v>
      </c>
      <c r="E1085" s="172" t="s">
        <v>116</v>
      </c>
      <c r="F1085" s="139" t="s">
        <v>392</v>
      </c>
      <c r="G1085" s="326" t="s">
        <v>489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960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2976</v>
      </c>
      <c r="D1086" s="135" t="s">
        <v>1975</v>
      </c>
      <c r="E1086" s="172" t="s">
        <v>192</v>
      </c>
      <c r="F1086" s="139" t="s">
        <v>400</v>
      </c>
      <c r="G1086" s="326" t="s">
        <v>566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960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3002</v>
      </c>
      <c r="D1087" s="135" t="s">
        <v>1975</v>
      </c>
      <c r="E1087" s="172" t="s">
        <v>537</v>
      </c>
      <c r="F1087" s="139" t="s">
        <v>873</v>
      </c>
      <c r="G1087" s="326" t="s">
        <v>583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960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3003</v>
      </c>
      <c r="D1088" s="135" t="s">
        <v>1975</v>
      </c>
      <c r="E1088" s="172" t="s">
        <v>116</v>
      </c>
      <c r="F1088" s="139" t="s">
        <v>3004</v>
      </c>
      <c r="G1088" s="326" t="s">
        <v>569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960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3005</v>
      </c>
      <c r="D1089" s="135" t="s">
        <v>1988</v>
      </c>
      <c r="E1089" s="172" t="s">
        <v>116</v>
      </c>
      <c r="F1089" s="139" t="s">
        <v>3006</v>
      </c>
      <c r="G1089" s="326" t="s">
        <v>569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960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2982</v>
      </c>
      <c r="D1090" s="135" t="s">
        <v>1988</v>
      </c>
      <c r="E1090" s="172" t="s">
        <v>537</v>
      </c>
      <c r="F1090" s="139" t="s">
        <v>415</v>
      </c>
      <c r="G1090" s="326" t="s">
        <v>629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960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3007</v>
      </c>
      <c r="D1091" s="135" t="s">
        <v>862</v>
      </c>
      <c r="E1091" s="172" t="s">
        <v>580</v>
      </c>
      <c r="F1091" s="139" t="s">
        <v>371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960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3008</v>
      </c>
      <c r="D1092" s="135" t="s">
        <v>1975</v>
      </c>
      <c r="E1092" s="172" t="s">
        <v>192</v>
      </c>
      <c r="F1092" s="139" t="s">
        <v>434</v>
      </c>
      <c r="G1092" s="326" t="s">
        <v>1285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960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1995</v>
      </c>
      <c r="D1093" s="135" t="s">
        <v>1988</v>
      </c>
      <c r="E1093" s="172" t="s">
        <v>210</v>
      </c>
      <c r="F1093" s="139" t="s">
        <v>445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960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1995</v>
      </c>
      <c r="D1094" s="135" t="s">
        <v>1988</v>
      </c>
      <c r="E1094" s="172" t="s">
        <v>116</v>
      </c>
      <c r="F1094" s="139" t="s">
        <v>410</v>
      </c>
      <c r="G1094" s="326" t="s">
        <v>569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960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3009</v>
      </c>
      <c r="D1095" s="135" t="s">
        <v>1988</v>
      </c>
      <c r="E1095" s="172" t="s">
        <v>537</v>
      </c>
      <c r="F1095" s="139" t="s">
        <v>442</v>
      </c>
      <c r="G1095" s="326" t="s">
        <v>583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960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3009</v>
      </c>
      <c r="D1096" s="135" t="s">
        <v>1988</v>
      </c>
      <c r="E1096" s="172" t="s">
        <v>116</v>
      </c>
      <c r="F1096" s="139" t="s">
        <v>445</v>
      </c>
      <c r="G1096" s="326" t="s">
        <v>569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960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1404</v>
      </c>
      <c r="D1097" s="135" t="s">
        <v>1988</v>
      </c>
      <c r="E1097" s="172" t="s">
        <v>115</v>
      </c>
      <c r="F1097" s="139" t="s">
        <v>511</v>
      </c>
      <c r="G1097" s="326" t="s">
        <v>3010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960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2020</v>
      </c>
      <c r="D1098" s="135" t="s">
        <v>1975</v>
      </c>
      <c r="E1098" s="172" t="s">
        <v>537</v>
      </c>
      <c r="F1098" s="139" t="s">
        <v>392</v>
      </c>
      <c r="G1098" s="326" t="s">
        <v>554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960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3011</v>
      </c>
      <c r="D1099" s="135" t="s">
        <v>1975</v>
      </c>
      <c r="E1099" s="172" t="s">
        <v>537</v>
      </c>
      <c r="F1099" s="139" t="s">
        <v>442</v>
      </c>
      <c r="G1099" s="326" t="s">
        <v>569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960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3011</v>
      </c>
      <c r="D1100" s="135" t="s">
        <v>1975</v>
      </c>
      <c r="E1100" s="172" t="s">
        <v>115</v>
      </c>
      <c r="F1100" s="139" t="s">
        <v>419</v>
      </c>
      <c r="G1100" s="326" t="s">
        <v>1285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960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3012</v>
      </c>
      <c r="D1101" s="135" t="s">
        <v>1975</v>
      </c>
      <c r="E1101" s="172" t="s">
        <v>116</v>
      </c>
      <c r="F1101" s="139" t="s">
        <v>419</v>
      </c>
      <c r="G1101" s="326" t="s">
        <v>569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960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3013</v>
      </c>
      <c r="D1102" s="135" t="s">
        <v>1988</v>
      </c>
      <c r="E1102" s="172" t="s">
        <v>580</v>
      </c>
      <c r="F1102" s="139" t="s">
        <v>371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960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3014</v>
      </c>
      <c r="D1103" s="135" t="s">
        <v>2925</v>
      </c>
      <c r="E1103" s="172" t="s">
        <v>116</v>
      </c>
      <c r="F1103" s="139">
        <v>30</v>
      </c>
      <c r="G1103" s="326" t="s">
        <v>554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960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3015</v>
      </c>
      <c r="D1104" s="135" t="s">
        <v>2925</v>
      </c>
      <c r="E1104" s="172" t="s">
        <v>116</v>
      </c>
      <c r="F1104" s="139" t="s">
        <v>527</v>
      </c>
      <c r="G1104" s="326" t="s">
        <v>554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960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3015</v>
      </c>
      <c r="D1105" s="135" t="s">
        <v>1975</v>
      </c>
      <c r="E1105" s="172" t="s">
        <v>115</v>
      </c>
      <c r="F1105" s="139" t="s">
        <v>527</v>
      </c>
      <c r="G1105" s="326" t="s">
        <v>2136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960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3016</v>
      </c>
      <c r="D1106" s="135" t="s">
        <v>1998</v>
      </c>
      <c r="E1106" s="172" t="s">
        <v>580</v>
      </c>
      <c r="F1106" s="139" t="s">
        <v>371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960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3017</v>
      </c>
      <c r="D1107" s="135" t="s">
        <v>1988</v>
      </c>
      <c r="E1107" s="172" t="s">
        <v>116</v>
      </c>
      <c r="F1107" s="139" t="s">
        <v>445</v>
      </c>
      <c r="G1107" s="326" t="s">
        <v>569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960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3018</v>
      </c>
      <c r="D1108" s="387" t="s">
        <v>1978</v>
      </c>
      <c r="E1108" s="389" t="s">
        <v>116</v>
      </c>
      <c r="F1108" s="390" t="s">
        <v>417</v>
      </c>
      <c r="G1108" s="525" t="s">
        <v>489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960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3019</v>
      </c>
      <c r="D1109" s="480" t="s">
        <v>1998</v>
      </c>
      <c r="E1109" s="482" t="s">
        <v>580</v>
      </c>
      <c r="F1109" s="483" t="s">
        <v>371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623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3020</v>
      </c>
      <c r="D1110" s="274" t="s">
        <v>1998</v>
      </c>
      <c r="E1110" s="276" t="s">
        <v>580</v>
      </c>
      <c r="F1110" s="277" t="s">
        <v>371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623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3021</v>
      </c>
      <c r="D1111" s="274" t="s">
        <v>1975</v>
      </c>
      <c r="E1111" s="276" t="s">
        <v>116</v>
      </c>
      <c r="F1111" s="277" t="s">
        <v>530</v>
      </c>
      <c r="G1111" s="278" t="s">
        <v>569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623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3022</v>
      </c>
      <c r="D1112" s="274" t="s">
        <v>1990</v>
      </c>
      <c r="E1112" s="276" t="s">
        <v>580</v>
      </c>
      <c r="F1112" s="277" t="s">
        <v>371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623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3023</v>
      </c>
      <c r="D1113" s="274" t="s">
        <v>1975</v>
      </c>
      <c r="E1113" s="276" t="s">
        <v>537</v>
      </c>
      <c r="F1113" s="277" t="s">
        <v>472</v>
      </c>
      <c r="G1113" s="278" t="s">
        <v>569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623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3024</v>
      </c>
      <c r="D1114" s="274" t="s">
        <v>2949</v>
      </c>
      <c r="E1114" s="276" t="s">
        <v>580</v>
      </c>
      <c r="F1114" s="277" t="s">
        <v>371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623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2041</v>
      </c>
      <c r="D1115" s="274" t="s">
        <v>1988</v>
      </c>
      <c r="E1115" s="276" t="s">
        <v>116</v>
      </c>
      <c r="F1115" s="277" t="s">
        <v>417</v>
      </c>
      <c r="G1115" s="278" t="s">
        <v>569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623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3025</v>
      </c>
      <c r="D1116" s="274" t="s">
        <v>1975</v>
      </c>
      <c r="E1116" s="276" t="s">
        <v>116</v>
      </c>
      <c r="F1116" s="277" t="s">
        <v>594</v>
      </c>
      <c r="G1116" s="278" t="s">
        <v>554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623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3026</v>
      </c>
      <c r="D1117" s="274" t="s">
        <v>1975</v>
      </c>
      <c r="E1117" s="276" t="s">
        <v>537</v>
      </c>
      <c r="F1117" s="277" t="s">
        <v>562</v>
      </c>
      <c r="G1117" s="278" t="s">
        <v>554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623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3027</v>
      </c>
      <c r="D1118" s="274" t="s">
        <v>1975</v>
      </c>
      <c r="E1118" s="276" t="s">
        <v>537</v>
      </c>
      <c r="F1118" s="277" t="s">
        <v>527</v>
      </c>
      <c r="G1118" s="278" t="s">
        <v>569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623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3028</v>
      </c>
      <c r="D1119" s="274" t="s">
        <v>1988</v>
      </c>
      <c r="E1119" s="276" t="s">
        <v>217</v>
      </c>
      <c r="F1119" s="277" t="s">
        <v>369</v>
      </c>
      <c r="G1119" s="278" t="s">
        <v>489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623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3029</v>
      </c>
      <c r="D1120" s="274" t="s">
        <v>1975</v>
      </c>
      <c r="E1120" s="276" t="s">
        <v>580</v>
      </c>
      <c r="F1120" s="277" t="s">
        <v>371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623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2912</v>
      </c>
      <c r="D1121" s="274" t="s">
        <v>1988</v>
      </c>
      <c r="E1121" s="276" t="s">
        <v>217</v>
      </c>
      <c r="F1121" s="277" t="s">
        <v>371</v>
      </c>
      <c r="G1121" s="278" t="s">
        <v>489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623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3030</v>
      </c>
      <c r="D1122" s="274" t="s">
        <v>2949</v>
      </c>
      <c r="E1122" s="276" t="s">
        <v>580</v>
      </c>
      <c r="F1122" s="277" t="s">
        <v>371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623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1974</v>
      </c>
      <c r="D1123" s="274" t="s">
        <v>1975</v>
      </c>
      <c r="E1123" s="276" t="s">
        <v>116</v>
      </c>
      <c r="F1123" s="277" t="s">
        <v>431</v>
      </c>
      <c r="G1123" s="278" t="s">
        <v>554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623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2004</v>
      </c>
      <c r="D1124" s="274" t="s">
        <v>1975</v>
      </c>
      <c r="E1124" s="276" t="s">
        <v>116</v>
      </c>
      <c r="F1124" s="277" t="s">
        <v>392</v>
      </c>
      <c r="G1124" s="278" t="s">
        <v>554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623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3031</v>
      </c>
      <c r="D1125" s="274" t="s">
        <v>1981</v>
      </c>
      <c r="E1125" s="276" t="s">
        <v>580</v>
      </c>
      <c r="F1125" s="277" t="s">
        <v>371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623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3032</v>
      </c>
      <c r="D1126" s="274" t="s">
        <v>1988</v>
      </c>
      <c r="E1126" s="276" t="s">
        <v>192</v>
      </c>
      <c r="F1126" s="277" t="s">
        <v>392</v>
      </c>
      <c r="G1126" s="278" t="s">
        <v>563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623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3033</v>
      </c>
      <c r="D1127" s="274" t="s">
        <v>1990</v>
      </c>
      <c r="E1127" s="276" t="s">
        <v>537</v>
      </c>
      <c r="F1127" s="277" t="s">
        <v>404</v>
      </c>
      <c r="G1127" s="278" t="s">
        <v>560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623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3034</v>
      </c>
      <c r="D1128" s="274" t="s">
        <v>1988</v>
      </c>
      <c r="E1128" s="276" t="s">
        <v>217</v>
      </c>
      <c r="F1128" s="277" t="s">
        <v>485</v>
      </c>
      <c r="G1128" s="278" t="s">
        <v>489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623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3035</v>
      </c>
      <c r="D1129" s="274" t="s">
        <v>1988</v>
      </c>
      <c r="E1129" s="276" t="s">
        <v>537</v>
      </c>
      <c r="F1129" s="277" t="s">
        <v>415</v>
      </c>
      <c r="G1129" s="278" t="s">
        <v>566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623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3036</v>
      </c>
      <c r="D1130" s="274" t="s">
        <v>1981</v>
      </c>
      <c r="E1130" s="276" t="s">
        <v>580</v>
      </c>
      <c r="F1130" s="277" t="s">
        <v>371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623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3037</v>
      </c>
      <c r="D1131" s="274" t="s">
        <v>1975</v>
      </c>
      <c r="E1131" s="276" t="s">
        <v>188</v>
      </c>
      <c r="F1131" s="277" t="s">
        <v>431</v>
      </c>
      <c r="G1131" s="278" t="s">
        <v>597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623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3009</v>
      </c>
      <c r="D1132" s="274" t="s">
        <v>1988</v>
      </c>
      <c r="E1132" s="276" t="s">
        <v>210</v>
      </c>
      <c r="F1132" s="277" t="s">
        <v>445</v>
      </c>
      <c r="G1132" s="278" t="s">
        <v>569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623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3038</v>
      </c>
      <c r="D1133" s="274" t="s">
        <v>1975</v>
      </c>
      <c r="E1133" s="276" t="s">
        <v>197</v>
      </c>
      <c r="F1133" s="277" t="s">
        <v>812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623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2958</v>
      </c>
      <c r="D1134" s="274" t="s">
        <v>1975</v>
      </c>
      <c r="E1134" s="276" t="s">
        <v>116</v>
      </c>
      <c r="F1134" s="277" t="s">
        <v>431</v>
      </c>
      <c r="G1134" s="278" t="s">
        <v>569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623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3039</v>
      </c>
      <c r="D1135" s="274" t="s">
        <v>1998</v>
      </c>
      <c r="E1135" s="276" t="s">
        <v>580</v>
      </c>
      <c r="F1135" s="277" t="s">
        <v>371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623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3018</v>
      </c>
      <c r="D1136" s="274" t="s">
        <v>1990</v>
      </c>
      <c r="E1136" s="276" t="s">
        <v>537</v>
      </c>
      <c r="F1136" s="277" t="s">
        <v>562</v>
      </c>
      <c r="G1136" s="278" t="s">
        <v>1285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623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3040</v>
      </c>
      <c r="D1137" s="274" t="s">
        <v>1988</v>
      </c>
      <c r="E1137" s="276" t="s">
        <v>537</v>
      </c>
      <c r="F1137" s="277" t="s">
        <v>645</v>
      </c>
      <c r="G1137" s="278" t="s">
        <v>560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623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3041</v>
      </c>
      <c r="D1138" s="274" t="s">
        <v>1978</v>
      </c>
      <c r="E1138" s="276" t="s">
        <v>192</v>
      </c>
      <c r="F1138" s="277" t="s">
        <v>1642</v>
      </c>
      <c r="G1138" s="278" t="s">
        <v>563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623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2920</v>
      </c>
      <c r="D1139" s="274" t="s">
        <v>1988</v>
      </c>
      <c r="E1139" s="276" t="s">
        <v>580</v>
      </c>
      <c r="F1139" s="277" t="s">
        <v>371</v>
      </c>
      <c r="G1139" s="278" t="s">
        <v>563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623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2042</v>
      </c>
      <c r="D1140" s="291" t="s">
        <v>1978</v>
      </c>
      <c r="E1140" s="293" t="s">
        <v>116</v>
      </c>
      <c r="F1140" s="294" t="s">
        <v>1023</v>
      </c>
      <c r="G1140" s="295" t="s">
        <v>489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623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2300</v>
      </c>
      <c r="F1142" s="307">
        <v>3624379</v>
      </c>
      <c r="G1142" s="308"/>
      <c r="I1142" s="304"/>
      <c r="J1142" s="360" t="s">
        <v>2060</v>
      </c>
      <c r="K1142" s="309">
        <v>4581906</v>
      </c>
      <c r="L1142" s="310"/>
      <c r="M1142" s="311" t="s">
        <v>2301</v>
      </c>
    </row>
    <row r="1143" spans="1:13" x14ac:dyDescent="0.25">
      <c r="A1143" s="303"/>
      <c r="B1143" s="304"/>
      <c r="C1143" s="305"/>
      <c r="D1143" s="304"/>
      <c r="E1143" s="306" t="s">
        <v>2302</v>
      </c>
      <c r="F1143" s="312">
        <v>472981.4595</v>
      </c>
      <c r="G1143" s="308"/>
      <c r="I1143" s="304"/>
      <c r="J1143" s="361" t="s">
        <v>2303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45" t="s">
        <v>1015</v>
      </c>
      <c r="B1145" s="645"/>
      <c r="C1145" s="645"/>
      <c r="D1145" s="645"/>
      <c r="E1145" s="645"/>
      <c r="F1145" s="645"/>
      <c r="G1145" s="645"/>
      <c r="H1145" s="645"/>
      <c r="I1145" s="645"/>
      <c r="J1145" s="645"/>
      <c r="K1145" s="645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2051</v>
      </c>
      <c r="B1147" s="542" t="s">
        <v>2780</v>
      </c>
      <c r="C1147" s="542" t="s">
        <v>2052</v>
      </c>
      <c r="D1147" s="542" t="s">
        <v>2053</v>
      </c>
      <c r="E1147" s="542" t="s">
        <v>2054</v>
      </c>
      <c r="F1147" s="542" t="s">
        <v>2055</v>
      </c>
      <c r="G1147" s="542" t="s">
        <v>2056</v>
      </c>
      <c r="H1147" s="543" t="s">
        <v>2057</v>
      </c>
      <c r="I1147" s="542" t="s">
        <v>2058</v>
      </c>
      <c r="J1147" s="542"/>
      <c r="K1147" s="542" t="s">
        <v>3042</v>
      </c>
      <c r="L1147" s="542" t="s">
        <v>0</v>
      </c>
      <c r="M1147" s="542" t="s">
        <v>2305</v>
      </c>
    </row>
    <row r="1148" spans="1:13" x14ac:dyDescent="0.25">
      <c r="A1148" s="135">
        <v>1</v>
      </c>
      <c r="B1148" s="135">
        <v>35766</v>
      </c>
      <c r="C1148" s="137" t="s">
        <v>3043</v>
      </c>
      <c r="D1148" s="135" t="s">
        <v>491</v>
      </c>
      <c r="E1148" s="137" t="s">
        <v>116</v>
      </c>
      <c r="F1148" s="139" t="s">
        <v>592</v>
      </c>
      <c r="G1148" s="544" t="s">
        <v>2067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3044</v>
      </c>
      <c r="D1149" s="135" t="s">
        <v>491</v>
      </c>
      <c r="E1149" s="137" t="s">
        <v>116</v>
      </c>
      <c r="F1149" s="139" t="s">
        <v>3045</v>
      </c>
      <c r="G1149" s="544" t="s">
        <v>2067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3044</v>
      </c>
      <c r="D1150" s="135" t="s">
        <v>491</v>
      </c>
      <c r="E1150" s="137" t="s">
        <v>116</v>
      </c>
      <c r="F1150" s="139" t="s">
        <v>472</v>
      </c>
      <c r="G1150" s="544" t="s">
        <v>2067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3046</v>
      </c>
      <c r="D1151" s="135" t="s">
        <v>491</v>
      </c>
      <c r="E1151" s="137" t="s">
        <v>116</v>
      </c>
      <c r="F1151" s="139" t="s">
        <v>3047</v>
      </c>
      <c r="G1151" s="544" t="s">
        <v>2067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2182</v>
      </c>
      <c r="D1152" s="233" t="s">
        <v>1978</v>
      </c>
      <c r="E1152" s="235" t="s">
        <v>116</v>
      </c>
      <c r="F1152" s="233">
        <v>13</v>
      </c>
      <c r="G1152" s="356" t="s">
        <v>2067</v>
      </c>
      <c r="H1152" s="238">
        <v>41492</v>
      </c>
      <c r="I1152" s="233">
        <v>1</v>
      </c>
      <c r="J1152" s="547">
        <v>5274</v>
      </c>
      <c r="K1152" s="355" t="s">
        <v>1570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3048</v>
      </c>
      <c r="D1153" s="233" t="s">
        <v>1984</v>
      </c>
      <c r="E1153" s="235" t="s">
        <v>580</v>
      </c>
      <c r="F1153" s="236" t="s">
        <v>371</v>
      </c>
      <c r="G1153" s="356"/>
      <c r="H1153" s="238">
        <v>41554</v>
      </c>
      <c r="I1153" s="233">
        <v>1</v>
      </c>
      <c r="J1153" s="547">
        <v>25800</v>
      </c>
      <c r="K1153" s="355" t="s">
        <v>1570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1415</v>
      </c>
      <c r="D1154" s="549" t="s">
        <v>491</v>
      </c>
      <c r="E1154" s="550" t="s">
        <v>116</v>
      </c>
      <c r="F1154" s="551">
        <v>41618</v>
      </c>
      <c r="G1154" s="552" t="s">
        <v>442</v>
      </c>
      <c r="H1154" s="553" t="s">
        <v>718</v>
      </c>
      <c r="I1154" s="554">
        <v>1</v>
      </c>
      <c r="J1154" s="555">
        <v>5274</v>
      </c>
      <c r="K1154" s="555" t="s">
        <v>1018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2047</v>
      </c>
      <c r="D1155" s="549" t="s">
        <v>491</v>
      </c>
      <c r="E1155" s="550" t="s">
        <v>116</v>
      </c>
      <c r="F1155" s="551">
        <v>41618</v>
      </c>
      <c r="G1155" s="552" t="s">
        <v>442</v>
      </c>
      <c r="H1155" s="553" t="s">
        <v>489</v>
      </c>
      <c r="I1155" s="554">
        <v>1</v>
      </c>
      <c r="J1155" s="555">
        <v>5274</v>
      </c>
      <c r="K1155" s="555" t="s">
        <v>1018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2329</v>
      </c>
      <c r="D1156" s="557" t="s">
        <v>1014</v>
      </c>
      <c r="E1156" s="165" t="s">
        <v>192</v>
      </c>
      <c r="F1156" s="558">
        <v>41621</v>
      </c>
      <c r="G1156" s="559" t="s">
        <v>2330</v>
      </c>
      <c r="H1156" s="560" t="s">
        <v>1017</v>
      </c>
      <c r="I1156" s="561">
        <v>12</v>
      </c>
      <c r="J1156" s="210">
        <v>57960</v>
      </c>
      <c r="K1156" s="210" t="s">
        <v>1018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495</v>
      </c>
      <c r="D1157" s="557" t="s">
        <v>491</v>
      </c>
      <c r="E1157" s="165" t="s">
        <v>192</v>
      </c>
      <c r="F1157" s="558">
        <v>41663</v>
      </c>
      <c r="G1157" s="559" t="s">
        <v>410</v>
      </c>
      <c r="H1157" s="560" t="s">
        <v>1017</v>
      </c>
      <c r="I1157" s="561">
        <v>1</v>
      </c>
      <c r="J1157" s="210">
        <v>57960</v>
      </c>
      <c r="K1157" s="210" t="s">
        <v>1018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3049</v>
      </c>
      <c r="D1158" s="564" t="s">
        <v>1014</v>
      </c>
      <c r="E1158" s="565" t="s">
        <v>188</v>
      </c>
      <c r="F1158" s="558">
        <v>41596</v>
      </c>
      <c r="G1158" s="559" t="s">
        <v>3050</v>
      </c>
      <c r="H1158" s="560"/>
      <c r="I1158" s="561">
        <v>3</v>
      </c>
      <c r="J1158" s="566">
        <v>42601</v>
      </c>
      <c r="K1158" s="210" t="s">
        <v>1018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3049</v>
      </c>
      <c r="D1159" s="564" t="s">
        <v>1014</v>
      </c>
      <c r="E1159" s="565" t="s">
        <v>115</v>
      </c>
      <c r="F1159" s="558">
        <v>41596</v>
      </c>
      <c r="G1159" s="559" t="s">
        <v>538</v>
      </c>
      <c r="H1159" s="560"/>
      <c r="I1159" s="561">
        <v>1</v>
      </c>
      <c r="J1159" s="566">
        <v>33370</v>
      </c>
      <c r="K1159" s="210" t="s">
        <v>1018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2015-01-23T22:03:34Z</dcterms:modified>
</cp:coreProperties>
</file>