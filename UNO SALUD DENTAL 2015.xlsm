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"/>
    </mc:Choice>
  </mc:AlternateContent>
  <bookViews>
    <workbookView xWindow="0" yWindow="0" windowWidth="19320" windowHeight="7905" tabRatio="739"/>
  </bookViews>
  <sheets>
    <sheet name="COYANCURA" sheetId="24" r:id="rId1"/>
    <sheet name="ESTACION CENTRAL" sheetId="15" r:id="rId2"/>
    <sheet name="LA CONCEPCION" sheetId="25" r:id="rId3"/>
    <sheet name="LA FLORIDA" sheetId="16" r:id="rId4"/>
    <sheet name="MAIPU" sheetId="17" r:id="rId5"/>
    <sheet name="MONEDA" sheetId="18" r:id="rId6"/>
    <sheet name="PUERTO MONTT" sheetId="21" r:id="rId7"/>
    <sheet name="SAN BERNARDO" sheetId="20" r:id="rId8"/>
    <sheet name="SANTA LUCIA" sheetId="19" r:id="rId9"/>
    <sheet name="PLANILLA" sheetId="11" r:id="rId10"/>
    <sheet name="FACTURACION" sheetId="3" r:id="rId11"/>
    <sheet name="ARANCEL" sheetId="9" r:id="rId12"/>
    <sheet name="DATOS" sheetId="1" r:id="rId13"/>
    <sheet name="2014" sheetId="22" r:id="rId14"/>
    <sheet name="2013" sheetId="23" r:id="rId15"/>
  </sheets>
  <functionGroups builtInGroupCount="18"/>
  <definedNames>
    <definedName name="_xlnm._FilterDatabase" localSheetId="11" hidden="1">ARANCEL!$A$1:$F$1</definedName>
    <definedName name="_xlnm._FilterDatabase" localSheetId="0" hidden="1">COYANCURA!$A$10:$M$10</definedName>
    <definedName name="_xlnm._FilterDatabase" localSheetId="12" hidden="1">DATOS!$A$1:$N$1</definedName>
    <definedName name="_xlnm._FilterDatabase" localSheetId="1" hidden="1">'ESTACION CENTRAL'!$A$10:$M$10</definedName>
    <definedName name="_xlnm._FilterDatabase" localSheetId="10" hidden="1">FACTURACION!$A$1:$J$1</definedName>
    <definedName name="_xlnm._FilterDatabase" localSheetId="2" hidden="1">'LA CONCEPCION'!$A$10:$M$10</definedName>
    <definedName name="_xlnm._FilterDatabase" localSheetId="3" hidden="1">'LA FLORIDA'!$A$10:$M$10</definedName>
    <definedName name="_xlnm._FilterDatabase" localSheetId="4" hidden="1">MAIPU!$A$10:$M$10</definedName>
    <definedName name="_xlnm._FilterDatabase" localSheetId="5" hidden="1">MONEDA!$A$10:$M$10</definedName>
    <definedName name="_xlnm._FilterDatabase" localSheetId="9" hidden="1">PLANILLA!$A$10:$M$10</definedName>
    <definedName name="_xlnm._FilterDatabase" localSheetId="6" hidden="1">'PUERTO MONTT'!$A$10:$M$10</definedName>
    <definedName name="_xlnm._FilterDatabase" localSheetId="7" hidden="1">'SAN BERNARDO'!$A$10:$M$10</definedName>
    <definedName name="_xlnm._FilterDatabase" localSheetId="8" hidden="1">'SANTA LUCIA'!$A$10:$M$10</definedName>
    <definedName name="Z_2FF84F20_24FA_470A_90D6_CC6F37C0C571_.wvu.Cols" localSheetId="13" hidden="1">'2014'!$H:$H</definedName>
    <definedName name="Z_2FF84F20_24FA_470A_90D6_CC6F37C0C571_.wvu.Rows" localSheetId="13" hidden="1">'2014'!$1:$28</definedName>
    <definedName name="Z_7EB163C9_2CE5_4CD2_B65D_C0E61B2AC316_.wvu.Cols" localSheetId="13" hidden="1">'2014'!$H:$H</definedName>
    <definedName name="Z_7EB163C9_2CE5_4CD2_B65D_C0E61B2AC316_.wvu.Rows" localSheetId="13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9" i="15" l="1"/>
  <c r="J39" i="15"/>
  <c r="K38" i="15"/>
  <c r="J38" i="15"/>
  <c r="J37" i="15"/>
  <c r="K37" i="15" s="1"/>
  <c r="K36" i="15"/>
  <c r="J35" i="15"/>
  <c r="K35" i="15" s="1"/>
  <c r="K33" i="19"/>
  <c r="J33" i="19"/>
  <c r="K32" i="19"/>
  <c r="J32" i="19"/>
  <c r="K57" i="21"/>
  <c r="J57" i="21"/>
  <c r="K56" i="21"/>
  <c r="J56" i="21"/>
  <c r="K55" i="21"/>
  <c r="J55" i="21"/>
  <c r="J54" i="21"/>
  <c r="K54" i="21" s="1"/>
  <c r="J53" i="21"/>
  <c r="K53" i="21" s="1"/>
  <c r="J52" i="21"/>
  <c r="K52" i="21" s="1"/>
  <c r="J51" i="21"/>
  <c r="K51" i="21" s="1"/>
  <c r="J50" i="21"/>
  <c r="K50" i="21" s="1"/>
  <c r="J49" i="21"/>
  <c r="K49" i="21" s="1"/>
  <c r="J48" i="21"/>
  <c r="K48" i="21" s="1"/>
  <c r="J47" i="21"/>
  <c r="K47" i="21" s="1"/>
  <c r="K25" i="18"/>
  <c r="J25" i="18"/>
  <c r="K24" i="18"/>
  <c r="J24" i="18"/>
  <c r="J46" i="17"/>
  <c r="K46" i="17" s="1"/>
  <c r="J45" i="17"/>
  <c r="K45" i="17" s="1"/>
  <c r="J44" i="17"/>
  <c r="K44" i="17" s="1"/>
  <c r="K29" i="16"/>
  <c r="J29" i="16"/>
  <c r="K28" i="16"/>
  <c r="J28" i="16"/>
  <c r="K27" i="16"/>
  <c r="J27" i="16"/>
  <c r="K48" i="17" l="1"/>
  <c r="J48" i="17"/>
  <c r="K47" i="17"/>
  <c r="J47" i="17"/>
  <c r="J23" i="18" l="1"/>
  <c r="K23" i="18" s="1"/>
  <c r="J22" i="18"/>
  <c r="K22" i="18" s="1"/>
  <c r="J34" i="15"/>
  <c r="K34" i="15" s="1"/>
  <c r="J33" i="15"/>
  <c r="K33" i="15" s="1"/>
  <c r="J32" i="15"/>
  <c r="K32" i="15" s="1"/>
  <c r="J25" i="19" l="1"/>
  <c r="K25" i="19" s="1"/>
  <c r="J26" i="19"/>
  <c r="K26" i="19" s="1"/>
  <c r="J27" i="19"/>
  <c r="K27" i="19" s="1"/>
  <c r="J28" i="19"/>
  <c r="K28" i="19" s="1"/>
  <c r="J29" i="19"/>
  <c r="K29" i="19" s="1"/>
  <c r="J21" i="19"/>
  <c r="K21" i="19" s="1"/>
  <c r="J22" i="19"/>
  <c r="K22" i="19" s="1"/>
  <c r="J23" i="19"/>
  <c r="K23" i="19" s="1"/>
  <c r="J24" i="19"/>
  <c r="K24" i="19" s="1"/>
  <c r="J30" i="19"/>
  <c r="K30" i="19" s="1"/>
  <c r="J36" i="21"/>
  <c r="K36" i="21" s="1"/>
  <c r="J37" i="21"/>
  <c r="K37" i="21" s="1"/>
  <c r="J38" i="21"/>
  <c r="K38" i="21" s="1"/>
  <c r="J39" i="21"/>
  <c r="K39" i="21" s="1"/>
  <c r="J40" i="21"/>
  <c r="K40" i="21" s="1"/>
  <c r="J41" i="21"/>
  <c r="K41" i="21" s="1"/>
  <c r="J35" i="21"/>
  <c r="K35" i="21" s="1"/>
  <c r="K42" i="21"/>
  <c r="K43" i="21"/>
  <c r="J44" i="21"/>
  <c r="K44" i="21" s="1"/>
  <c r="J30" i="21"/>
  <c r="K30" i="21" s="1"/>
  <c r="J31" i="21"/>
  <c r="K31" i="21" s="1"/>
  <c r="J32" i="21"/>
  <c r="K32" i="21" s="1"/>
  <c r="J33" i="21"/>
  <c r="K33" i="21" s="1"/>
  <c r="J25" i="21"/>
  <c r="K25" i="21" s="1"/>
  <c r="J26" i="21"/>
  <c r="K26" i="21" s="1"/>
  <c r="J27" i="21"/>
  <c r="K27" i="21" s="1"/>
  <c r="J28" i="21"/>
  <c r="K28" i="21" s="1"/>
  <c r="J19" i="21"/>
  <c r="K19" i="21" s="1"/>
  <c r="J20" i="21"/>
  <c r="K20" i="21" s="1"/>
  <c r="J21" i="21"/>
  <c r="K21" i="21" s="1"/>
  <c r="J22" i="21"/>
  <c r="K22" i="21" s="1"/>
  <c r="J23" i="21"/>
  <c r="K23" i="21" s="1"/>
  <c r="J24" i="21"/>
  <c r="K24" i="21" s="1"/>
  <c r="J38" i="17"/>
  <c r="K38" i="17" s="1"/>
  <c r="J39" i="17"/>
  <c r="K39" i="17" s="1"/>
  <c r="J40" i="17"/>
  <c r="K40" i="17" s="1"/>
  <c r="J41" i="17"/>
  <c r="K41" i="17" s="1"/>
  <c r="J34" i="17"/>
  <c r="K34" i="17" s="1"/>
  <c r="J35" i="17"/>
  <c r="K35" i="17" s="1"/>
  <c r="J36" i="17"/>
  <c r="K36" i="17" s="1"/>
  <c r="J29" i="17"/>
  <c r="K29" i="17" s="1"/>
  <c r="J30" i="17"/>
  <c r="K30" i="17" s="1"/>
  <c r="J31" i="17"/>
  <c r="K31" i="17" s="1"/>
  <c r="J32" i="17"/>
  <c r="K32" i="17" s="1"/>
  <c r="J33" i="17"/>
  <c r="K33" i="17" s="1"/>
  <c r="J21" i="17"/>
  <c r="K21" i="17" s="1"/>
  <c r="J22" i="17"/>
  <c r="K22" i="17" s="1"/>
  <c r="J23" i="17"/>
  <c r="K23" i="17" s="1"/>
  <c r="J24" i="17"/>
  <c r="K24" i="17" s="1"/>
  <c r="J25" i="17"/>
  <c r="K25" i="17" s="1"/>
  <c r="J26" i="17"/>
  <c r="K26" i="17" s="1"/>
  <c r="J27" i="17"/>
  <c r="K27" i="17" s="1"/>
  <c r="J28" i="17"/>
  <c r="K28" i="17" s="1"/>
  <c r="J37" i="17"/>
  <c r="K37" i="17" s="1"/>
  <c r="J42" i="17"/>
  <c r="K42" i="17" s="1"/>
  <c r="J43" i="17"/>
  <c r="K43" i="17" s="1"/>
  <c r="J20" i="16"/>
  <c r="K20" i="16" s="1"/>
  <c r="J21" i="16"/>
  <c r="K21" i="16" s="1"/>
  <c r="J22" i="16"/>
  <c r="K22" i="16" s="1"/>
  <c r="J23" i="16"/>
  <c r="K23" i="16" s="1"/>
  <c r="J24" i="16"/>
  <c r="K24" i="16" s="1"/>
  <c r="J25" i="16"/>
  <c r="K25" i="16" s="1"/>
  <c r="K17" i="25"/>
  <c r="J17" i="25"/>
  <c r="K16" i="25"/>
  <c r="J16" i="25"/>
  <c r="K15" i="25"/>
  <c r="J15" i="25"/>
  <c r="K14" i="25"/>
  <c r="J14" i="25"/>
  <c r="K13" i="25"/>
  <c r="J13" i="25"/>
  <c r="J12" i="25"/>
  <c r="K12" i="25" s="1"/>
  <c r="J11" i="25"/>
  <c r="K11" i="25" s="1"/>
  <c r="I8" i="25"/>
  <c r="C8" i="25"/>
  <c r="I7" i="25"/>
  <c r="C7" i="25"/>
  <c r="I6" i="25"/>
  <c r="C6" i="25"/>
  <c r="I5" i="25"/>
  <c r="C5" i="25"/>
  <c r="I4" i="25"/>
  <c r="C4" i="25"/>
  <c r="I3" i="25"/>
  <c r="C3" i="25"/>
  <c r="J26" i="15"/>
  <c r="K26" i="15" s="1"/>
  <c r="J27" i="15"/>
  <c r="K27" i="15" s="1"/>
  <c r="J28" i="15"/>
  <c r="K28" i="15" s="1"/>
  <c r="J29" i="15"/>
  <c r="K29" i="15" s="1"/>
  <c r="J21" i="15"/>
  <c r="K21" i="15" s="1"/>
  <c r="J22" i="15"/>
  <c r="K22" i="15" s="1"/>
  <c r="J23" i="15"/>
  <c r="K23" i="15" s="1"/>
  <c r="J24" i="15"/>
  <c r="K24" i="15" s="1"/>
  <c r="J17" i="15"/>
  <c r="K17" i="15" s="1"/>
  <c r="J18" i="15"/>
  <c r="K18" i="15" s="1"/>
  <c r="J19" i="15"/>
  <c r="K19" i="15" s="1"/>
  <c r="J20" i="15"/>
  <c r="K20" i="15" s="1"/>
  <c r="J25" i="15"/>
  <c r="K25" i="15" s="1"/>
  <c r="C3" i="24"/>
  <c r="K17" i="24"/>
  <c r="J17" i="24"/>
  <c r="K16" i="24"/>
  <c r="J16" i="24"/>
  <c r="K15" i="24"/>
  <c r="J15" i="24"/>
  <c r="K14" i="24"/>
  <c r="J14" i="24"/>
  <c r="K13" i="24"/>
  <c r="J13" i="24"/>
  <c r="K12" i="24"/>
  <c r="J11" i="24"/>
  <c r="K11" i="24" s="1"/>
  <c r="I8" i="24"/>
  <c r="C8" i="24"/>
  <c r="I7" i="24"/>
  <c r="C7" i="24"/>
  <c r="I6" i="24"/>
  <c r="C6" i="24"/>
  <c r="I5" i="24"/>
  <c r="C5" i="24"/>
  <c r="I4" i="24"/>
  <c r="C4" i="24"/>
  <c r="I3" i="24"/>
  <c r="K13" i="18" l="1"/>
  <c r="K12" i="18"/>
  <c r="K11" i="18"/>
  <c r="K14" i="19" l="1"/>
  <c r="K13" i="19"/>
  <c r="K12" i="19"/>
  <c r="K11" i="19"/>
  <c r="K13" i="16" l="1"/>
  <c r="K12" i="16"/>
  <c r="K11" i="16"/>
  <c r="J46" i="21" l="1"/>
  <c r="K46" i="21" s="1"/>
  <c r="J45" i="21"/>
  <c r="K45" i="21" s="1"/>
  <c r="J34" i="21"/>
  <c r="K34" i="21" s="1"/>
  <c r="J12" i="21"/>
  <c r="K12" i="21" s="1"/>
  <c r="J29" i="21"/>
  <c r="K29" i="21" s="1"/>
  <c r="J18" i="21"/>
  <c r="K18" i="21" s="1"/>
  <c r="J17" i="21"/>
  <c r="K17" i="21" s="1"/>
  <c r="J16" i="21"/>
  <c r="K16" i="21" s="1"/>
  <c r="J15" i="21"/>
  <c r="K15" i="21" s="1"/>
  <c r="J14" i="21"/>
  <c r="K14" i="21" s="1"/>
  <c r="J13" i="21"/>
  <c r="K13" i="21" s="1"/>
  <c r="J11" i="21"/>
  <c r="K11" i="21" s="1"/>
  <c r="I8" i="21"/>
  <c r="C8" i="21"/>
  <c r="I7" i="21"/>
  <c r="C7" i="21"/>
  <c r="I6" i="21"/>
  <c r="C6" i="21"/>
  <c r="I5" i="21"/>
  <c r="C5" i="21"/>
  <c r="I4" i="21"/>
  <c r="C4" i="21"/>
  <c r="I3" i="21"/>
  <c r="C3" i="21"/>
  <c r="K17" i="20"/>
  <c r="J17" i="20"/>
  <c r="J15" i="20"/>
  <c r="K15" i="20" s="1"/>
  <c r="J14" i="20"/>
  <c r="K14" i="20" s="1"/>
  <c r="J13" i="20"/>
  <c r="K13" i="20" s="1"/>
  <c r="J12" i="20"/>
  <c r="K12" i="20" s="1"/>
  <c r="J11" i="20"/>
  <c r="K11" i="20" s="1"/>
  <c r="I8" i="20"/>
  <c r="C8" i="20"/>
  <c r="I7" i="20"/>
  <c r="C7" i="20"/>
  <c r="I6" i="20"/>
  <c r="C6" i="20"/>
  <c r="I5" i="20"/>
  <c r="C5" i="20"/>
  <c r="I4" i="20"/>
  <c r="C4" i="20"/>
  <c r="I3" i="20"/>
  <c r="C3" i="20"/>
  <c r="J31" i="19" l="1"/>
  <c r="K31" i="19" s="1"/>
  <c r="J20" i="19"/>
  <c r="K20" i="19" s="1"/>
  <c r="J19" i="19"/>
  <c r="K19" i="19" s="1"/>
  <c r="J18" i="19"/>
  <c r="K18" i="19" s="1"/>
  <c r="J17" i="19"/>
  <c r="K17" i="19" s="1"/>
  <c r="J16" i="19"/>
  <c r="K16" i="19" s="1"/>
  <c r="J15" i="19"/>
  <c r="K15" i="19" s="1"/>
  <c r="I8" i="19"/>
  <c r="C8" i="19"/>
  <c r="I7" i="19"/>
  <c r="C7" i="19"/>
  <c r="I6" i="19"/>
  <c r="C6" i="19"/>
  <c r="I5" i="19"/>
  <c r="C5" i="19"/>
  <c r="I4" i="19"/>
  <c r="C4" i="19"/>
  <c r="I3" i="19"/>
  <c r="C3" i="19"/>
  <c r="K21" i="18"/>
  <c r="K20" i="18"/>
  <c r="J19" i="18"/>
  <c r="K19" i="18" s="1"/>
  <c r="J18" i="18"/>
  <c r="K18" i="18" s="1"/>
  <c r="J17" i="18"/>
  <c r="K17" i="18" s="1"/>
  <c r="J16" i="18"/>
  <c r="K16" i="18" s="1"/>
  <c r="J15" i="18"/>
  <c r="K15" i="18" s="1"/>
  <c r="J14" i="18"/>
  <c r="K14" i="18" s="1"/>
  <c r="I8" i="18"/>
  <c r="C8" i="18"/>
  <c r="I7" i="18"/>
  <c r="C7" i="18"/>
  <c r="I6" i="18"/>
  <c r="C6" i="18"/>
  <c r="I5" i="18"/>
  <c r="C5" i="18"/>
  <c r="I4" i="18"/>
  <c r="C4" i="18"/>
  <c r="I3" i="18"/>
  <c r="C3" i="18"/>
  <c r="J18" i="17"/>
  <c r="K18" i="17" s="1"/>
  <c r="K17" i="17"/>
  <c r="J16" i="17"/>
  <c r="K16" i="17" s="1"/>
  <c r="K13" i="11"/>
  <c r="J20" i="17" l="1"/>
  <c r="K20" i="17" s="1"/>
  <c r="J19" i="17"/>
  <c r="K19" i="17" s="1"/>
  <c r="J15" i="17"/>
  <c r="K15" i="17" s="1"/>
  <c r="J14" i="17"/>
  <c r="K14" i="17" s="1"/>
  <c r="J13" i="17"/>
  <c r="K13" i="17" s="1"/>
  <c r="J12" i="17"/>
  <c r="K12" i="17" s="1"/>
  <c r="J11" i="17"/>
  <c r="K11" i="17" s="1"/>
  <c r="I8" i="17"/>
  <c r="C8" i="17"/>
  <c r="I7" i="17"/>
  <c r="C7" i="17"/>
  <c r="I6" i="17"/>
  <c r="C6" i="17"/>
  <c r="I5" i="17"/>
  <c r="C5" i="17"/>
  <c r="I4" i="17"/>
  <c r="C4" i="17"/>
  <c r="I3" i="17"/>
  <c r="C3" i="17"/>
  <c r="J26" i="16" l="1"/>
  <c r="K26" i="16" s="1"/>
  <c r="J19" i="16"/>
  <c r="K19" i="16" s="1"/>
  <c r="J18" i="16"/>
  <c r="K18" i="16" s="1"/>
  <c r="J17" i="16"/>
  <c r="K17" i="16" s="1"/>
  <c r="J16" i="16"/>
  <c r="K16" i="16" s="1"/>
  <c r="J15" i="16"/>
  <c r="K15" i="16" s="1"/>
  <c r="J14" i="16"/>
  <c r="K14" i="16" s="1"/>
  <c r="I8" i="16"/>
  <c r="C8" i="16"/>
  <c r="I7" i="16"/>
  <c r="C7" i="16"/>
  <c r="I6" i="16"/>
  <c r="C6" i="16"/>
  <c r="I5" i="16"/>
  <c r="C5" i="16"/>
  <c r="I4" i="16"/>
  <c r="C4" i="16"/>
  <c r="I3" i="16"/>
  <c r="C3" i="16"/>
  <c r="J31" i="15"/>
  <c r="K31" i="15" s="1"/>
  <c r="J30" i="15"/>
  <c r="K30" i="15" s="1"/>
  <c r="J16" i="15"/>
  <c r="K16" i="15" s="1"/>
  <c r="J15" i="15"/>
  <c r="K15" i="15" s="1"/>
  <c r="J14" i="15"/>
  <c r="K14" i="15" s="1"/>
  <c r="J13" i="15"/>
  <c r="K13" i="15" s="1"/>
  <c r="J12" i="15"/>
  <c r="K12" i="15" s="1"/>
  <c r="J11" i="15"/>
  <c r="K11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12" i="11" l="1"/>
  <c r="K12" i="11" s="1"/>
  <c r="J13" i="11"/>
  <c r="J11" i="11"/>
  <c r="K11" i="11" s="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comments1.xml><?xml version="1.0" encoding="utf-8"?>
<comments xmlns="http://schemas.openxmlformats.org/spreadsheetml/2006/main">
  <authors>
    <author>Abel</author>
  </authors>
  <commentList>
    <comment ref="G592" authorId="0" shapeId="0">
      <text>
        <r>
          <rPr>
            <b/>
            <sz val="9"/>
            <color indexed="81"/>
            <rFont val="Tahoma"/>
            <family val="2"/>
          </rPr>
          <t>Abel:</t>
        </r>
        <r>
          <rPr>
            <sz val="9"/>
            <color indexed="81"/>
            <rFont val="Tahoma"/>
            <family val="2"/>
          </rPr>
          <t xml:space="preserve">
EN ENERO LLEGO REPETICION PERO DE ARCADA INFERIOR (NO SE COBRO EN EL DENTURE)</t>
        </r>
      </text>
    </comment>
  </commentList>
</comments>
</file>

<file path=xl/sharedStrings.xml><?xml version="1.0" encoding="utf-8"?>
<sst xmlns="http://schemas.openxmlformats.org/spreadsheetml/2006/main" count="18554" uniqueCount="3188">
  <si>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</si>
  <si>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</si>
  <si>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</si>
  <si>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</si>
  <si>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</si>
  <si>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</si>
  <si>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</si>
  <si>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</si>
  <si>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</si>
  <si>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</si>
  <si>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</si>
  <si>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</si>
  <si>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</si>
  <si>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</si>
  <si>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</si>
  <si>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</si>
  <si>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</si>
  <si>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</si>
  <si>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</si>
  <si>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</si>
  <si>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</si>
  <si>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</si>
  <si>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</si>
  <si>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</si>
  <si>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</si>
  <si>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</si>
  <si>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</si>
  <si>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</si>
  <si>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</si>
  <si>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</si>
  <si>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</si>
  <si>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</si>
  <si>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</si>
  <si>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</si>
  <si>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</si>
  <si>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</si>
  <si>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</si>
  <si>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</si>
  <si>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</si>
  <si>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</si>
  <si>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</si>
  <si>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</si>
  <si>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</si>
  <si>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</si>
  <si>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</si>
  <si>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</si>
  <si>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</si>
  <si>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</si>
  <si>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</si>
  <si>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</si>
  <si>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</si>
  <si>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</si>
  <si>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</si>
  <si>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</si>
  <si>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</si>
  <si>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</si>
  <si>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</si>
  <si>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</si>
  <si>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</si>
  <si>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</si>
  <si>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</si>
  <si>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</si>
  <si>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</si>
  <si>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</si>
  <si>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</si>
  <si>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</si>
  <si>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</si>
  <si>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</si>
  <si>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</si>
  <si>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</si>
  <si>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</si>
  <si>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</si>
  <si>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</si>
  <si>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</si>
  <si>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</si>
  <si>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</si>
  <si>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</si>
  <si>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</si>
  <si>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</si>
  <si>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</si>
  <si>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</si>
  <si>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</si>
  <si>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</si>
  <si>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</si>
  <si>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</si>
  <si>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</si>
  <si>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</si>
  <si>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</si>
  <si>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</si>
  <si>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</si>
  <si>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</si>
  <si>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</si>
  <si>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</si>
  <si>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</si>
  <si>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</si>
  <si>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</si>
  <si>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</si>
  <si>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</si>
  <si>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</si>
  <si>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</si>
  <si>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</si>
  <si>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</si>
  <si>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</si>
  <si>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</si>
  <si>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</si>
  <si>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</si>
  <si>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</si>
  <si>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</si>
  <si>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</si>
  <si>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</si>
  <si>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</si>
  <si>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</si>
  <si>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</si>
  <si>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</si>
  <si>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</si>
  <si>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</si>
  <si>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</si>
  <si>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</si>
  <si>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</si>
  <si>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</si>
  <si>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</si>
  <si>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</si>
  <si>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</si>
  <si>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</si>
  <si>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</si>
  <si>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</si>
  <si>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</si>
  <si>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</si>
  <si>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</si>
  <si>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</si>
  <si>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</si>
  <si>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</si>
  <si>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</si>
  <si>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</si>
  <si>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</si>
  <si>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</si>
  <si>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</si>
  <si>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</si>
  <si>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</si>
  <si>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</si>
  <si>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</si>
  <si>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</si>
  <si>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</si>
  <si>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</si>
  <si>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</si>
  <si>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</si>
  <si>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</si>
  <si>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</si>
  <si>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</si>
  <si>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</si>
  <si>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</si>
  <si>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</si>
  <si>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</si>
  <si>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</si>
  <si>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</si>
  <si>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</si>
  <si>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</si>
  <si>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</si>
  <si>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</si>
  <si>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</si>
  <si>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</si>
  <si>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</si>
  <si>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</si>
  <si>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</si>
  <si>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</si>
  <si>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</si>
  <si>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</si>
  <si>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</si>
  <si>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</si>
  <si>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</si>
  <si>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</si>
  <si>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</si>
  <si>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</si>
  <si>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</si>
  <si>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</si>
  <si>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</si>
  <si>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</si>
  <si>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</si>
  <si>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</si>
  <si>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</si>
  <si>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</si>
  <si>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</si>
  <si>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</si>
  <si>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</si>
  <si>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</si>
  <si>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</si>
  <si>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</si>
  <si>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</si>
  <si>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</si>
  <si>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</si>
  <si>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</si>
  <si>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</si>
  <si>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</si>
  <si>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</si>
  <si>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</si>
  <si>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</si>
  <si>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</si>
  <si>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</si>
  <si>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</si>
  <si>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</si>
  <si>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</si>
  <si>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</si>
  <si>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</si>
  <si>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</si>
  <si>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</si>
  <si>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</si>
  <si>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</si>
  <si>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</si>
  <si>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</si>
  <si>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</si>
  <si>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</si>
  <si>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</si>
  <si>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</si>
  <si>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</si>
  <si>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</si>
  <si>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</si>
  <si>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</si>
  <si>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</si>
  <si>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</si>
  <si>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</si>
  <si>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</si>
  <si>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</si>
  <si>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</si>
  <si>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</si>
  <si>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</si>
  <si>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</si>
  <si>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</si>
  <si>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</si>
  <si>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</si>
  <si>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</si>
  <si>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</si>
  <si>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</si>
  <si>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</si>
  <si>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</si>
  <si>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</si>
  <si>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</si>
  <si>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</si>
  <si>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</si>
  <si>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</si>
  <si>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</si>
  <si>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</si>
  <si>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</si>
  <si>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</si>
  <si>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</si>
  <si>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</si>
  <si>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</si>
  <si>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</si>
  <si>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</si>
  <si>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</si>
  <si>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</si>
  <si>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</si>
  <si>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</si>
  <si>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</si>
  <si>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</si>
  <si>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</si>
  <si>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</si>
  <si>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</si>
  <si>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</si>
  <si>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</si>
  <si>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</si>
  <si>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</si>
  <si>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</si>
  <si>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</si>
  <si>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</si>
  <si>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</si>
  <si>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</si>
  <si>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</si>
  <si>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</si>
  <si>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</si>
  <si>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</si>
  <si>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</si>
  <si>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</si>
  <si>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</si>
  <si>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</si>
  <si>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</si>
  <si>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</si>
  <si>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</si>
  <si>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</si>
  <si>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</si>
  <si>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</si>
  <si>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</si>
  <si>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</si>
  <si>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</si>
  <si>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</si>
  <si>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</si>
  <si>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</si>
  <si>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</si>
  <si>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</si>
  <si>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</si>
  <si>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</si>
  <si>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</si>
  <si>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</si>
  <si>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</si>
  <si>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</si>
  <si>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</si>
  <si>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</si>
  <si>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</si>
  <si>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</si>
  <si>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</si>
  <si>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</si>
  <si>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</si>
  <si>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</si>
  <si>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</si>
  <si>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</si>
  <si>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</si>
  <si>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</si>
  <si>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</si>
  <si>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</si>
  <si>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</si>
  <si>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</si>
  <si>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</si>
  <si>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</si>
  <si>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</si>
  <si>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</si>
  <si>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</si>
  <si>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</si>
  <si>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</si>
  <si>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</si>
  <si>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</si>
  <si>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</si>
  <si>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</si>
  <si>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</si>
  <si>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</si>
  <si>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</si>
  <si>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</si>
  <si>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</si>
  <si>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</si>
  <si>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</si>
  <si>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</si>
  <si>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</si>
  <si>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</si>
  <si>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</si>
  <si>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</si>
  <si>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</si>
  <si>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</si>
  <si>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</si>
  <si>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</si>
  <si>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</si>
  <si>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</si>
  <si>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</si>
  <si>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</si>
  <si>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</si>
  <si>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</si>
  <si>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</si>
  <si>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</si>
  <si>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</si>
  <si>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</si>
  <si>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</si>
  <si>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</si>
  <si>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</si>
  <si>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</si>
  <si>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</si>
  <si>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</si>
  <si>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</si>
  <si>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</si>
  <si>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</si>
  <si>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</si>
  <si>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</si>
  <si>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</si>
  <si>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</si>
  <si>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</si>
  <si>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</si>
  <si>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</si>
  <si>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</si>
  <si>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</si>
  <si>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</si>
  <si>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</si>
  <si>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</si>
  <si>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</si>
  <si>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</si>
  <si>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</si>
  <si>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</si>
  <si>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</si>
  <si>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</si>
  <si>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</si>
  <si>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</si>
  <si>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</si>
  <si>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</si>
  <si>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</si>
  <si>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</si>
  <si>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</si>
  <si>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</si>
  <si>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</si>
  <si>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</si>
  <si>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</si>
  <si>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</si>
  <si>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</si>
  <si>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</si>
  <si>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</si>
  <si>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</si>
  <si>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</si>
  <si>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</si>
  <si>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</si>
  <si>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</si>
  <si>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</si>
  <si>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</si>
  <si>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</si>
  <si>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</si>
  <si>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</si>
  <si>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</si>
  <si>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</si>
  <si>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</si>
  <si>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</si>
  <si>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</si>
  <si>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</si>
  <si>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</si>
  <si>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</si>
  <si>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</si>
  <si>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</si>
  <si>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</si>
  <si>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</si>
  <si>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</si>
  <si>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</si>
  <si>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</si>
  <si>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</si>
  <si>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</si>
  <si>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</si>
  <si>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</si>
  <si>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</si>
  <si>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</si>
  <si>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</si>
  <si>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</si>
  <si>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</si>
  <si>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</si>
  <si>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</si>
  <si>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</si>
  <si>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</si>
  <si>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</si>
  <si>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</si>
  <si>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</si>
  <si>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</si>
  <si>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</si>
  <si>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</si>
  <si>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</si>
  <si>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</si>
  <si>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</si>
  <si>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</si>
  <si>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</si>
  <si>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</si>
  <si>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</si>
  <si>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</si>
  <si>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</si>
  <si>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</si>
  <si>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</si>
  <si>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</si>
  <si>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</si>
  <si>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</si>
  <si>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</si>
  <si>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</si>
  <si>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</si>
  <si>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</si>
  <si>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</si>
  <si>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</si>
  <si>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</si>
  <si>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DIAZ ROSA</t>
  </si>
  <si>
    <t>ARAYA RICARDO</t>
  </si>
  <si>
    <t>CASTILLO</t>
  </si>
  <si>
    <t>MUÑOZ NELSON</t>
  </si>
  <si>
    <t>BASE (ESTRUCTURA) / ARTICULACION BASE</t>
  </si>
  <si>
    <t>CARDENAS VERONICA</t>
  </si>
  <si>
    <t>REYES MARIA</t>
  </si>
  <si>
    <t>VIZCARRA EVELYN</t>
  </si>
  <si>
    <t>80587 / 83539</t>
  </si>
  <si>
    <t>SAAVEDRA ALEJANDRA</t>
  </si>
  <si>
    <t>VILLA MYRIAM</t>
  </si>
  <si>
    <t>CIFUENTE JAIL</t>
  </si>
  <si>
    <t>ROMERO ADA</t>
  </si>
  <si>
    <t>MUÑOZ MARIA SOLEDAD</t>
  </si>
  <si>
    <t>ARANEDA SANDRA</t>
  </si>
  <si>
    <t>DOMINGUEZ JUAN</t>
  </si>
  <si>
    <t>NOVOA PATRICIA</t>
  </si>
  <si>
    <t>ARELLANO JORGE</t>
  </si>
  <si>
    <t>3</t>
  </si>
  <si>
    <t>GONZALEZ ERIKA</t>
  </si>
  <si>
    <t>GOMEZ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</si>
  <si>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</si>
  <si>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</si>
  <si>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</si>
  <si>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</si>
  <si>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</si>
  <si>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</si>
  <si>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</si>
  <si>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</si>
  <si>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</si>
  <si>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</si>
  <si>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</si>
  <si>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</si>
  <si>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</si>
  <si>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</si>
  <si>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</si>
  <si>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</si>
  <si>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</si>
  <si>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</si>
  <si>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</si>
  <si>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</si>
  <si>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</si>
  <si>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</si>
  <si>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</si>
  <si>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</si>
  <si>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</si>
  <si>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</si>
  <si>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</si>
  <si>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</si>
  <si>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</si>
  <si>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</si>
  <si>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</si>
  <si>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</si>
  <si>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</si>
  <si>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</si>
  <si>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</si>
  <si>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</si>
  <si>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</si>
  <si>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</si>
  <si>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</si>
  <si>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</si>
  <si>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</si>
  <si>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</si>
  <si>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</si>
  <si>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</si>
  <si>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VASQUEZ EUGENIA</t>
  </si>
  <si>
    <t>TRIVIÑO JAIME</t>
  </si>
  <si>
    <t>GONZALEZ</t>
  </si>
  <si>
    <t xml:space="preserve">SUP </t>
  </si>
  <si>
    <t>PINEDA MAURICIO</t>
  </si>
  <si>
    <t>WRILE ROSALVA</t>
  </si>
  <si>
    <t>ALBORNOZ MARCOS</t>
  </si>
  <si>
    <t>WEBER</t>
  </si>
  <si>
    <t>30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</si>
  <si>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</si>
  <si>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</si>
  <si>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</si>
  <si>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</si>
  <si>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</si>
  <si>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</si>
  <si>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</si>
  <si>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</si>
  <si>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</si>
  <si>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</si>
  <si>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</si>
  <si>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</si>
  <si>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</si>
  <si>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</si>
  <si>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</si>
  <si>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</si>
  <si>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CANALES PATRICIO</t>
  </si>
  <si>
    <t>EGGERS</t>
  </si>
  <si>
    <t>3-14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</si>
  <si>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</si>
  <si>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</si>
  <si>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</si>
  <si>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</si>
  <si>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</si>
  <si>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</si>
  <si>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</si>
  <si>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</si>
  <si>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</si>
  <si>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</si>
  <si>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</si>
  <si>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</si>
  <si>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</si>
  <si>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</si>
  <si>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</si>
  <si>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</si>
  <si>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</si>
  <si>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</si>
  <si>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</si>
  <si>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</si>
  <si>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</si>
  <si>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</si>
  <si>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</si>
  <si>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</si>
  <si>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</si>
  <si>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</si>
  <si>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</si>
  <si>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</si>
  <si>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</si>
  <si>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</si>
  <si>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</si>
  <si>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</si>
  <si>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</si>
  <si>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</si>
  <si>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</si>
  <si>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</si>
  <si>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</si>
  <si>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</si>
  <si>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</si>
  <si>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</si>
  <si>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</si>
  <si>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</si>
  <si>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</si>
  <si>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</si>
  <si>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</si>
  <si>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</si>
  <si>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</si>
  <si>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</si>
  <si>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</si>
  <si>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</si>
  <si>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</si>
  <si>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</si>
  <si>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</si>
  <si>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</si>
  <si>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</si>
  <si>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</si>
  <si>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</si>
  <si>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</si>
  <si>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</si>
  <si>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</si>
  <si>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</si>
  <si>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</si>
  <si>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</si>
  <si>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</si>
  <si>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</si>
  <si>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</si>
  <si>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</si>
  <si>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</si>
  <si>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</si>
  <si>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</si>
  <si>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</si>
  <si>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</si>
  <si>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</si>
  <si>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</si>
  <si>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</si>
  <si>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</si>
  <si>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</si>
  <si>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</si>
  <si>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</si>
  <si>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</si>
  <si>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</si>
  <si>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</si>
  <si>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</si>
  <si>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</si>
  <si>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</si>
  <si>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</si>
  <si>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</si>
  <si>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</si>
  <si>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</si>
  <si>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</si>
  <si>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</si>
  <si>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</si>
  <si>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</si>
  <si>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</si>
  <si>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</si>
  <si>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</si>
  <si>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</si>
  <si>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</si>
  <si>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</si>
  <si>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</si>
  <si>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</si>
  <si>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</si>
  <si>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</si>
  <si>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</si>
  <si>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</si>
  <si>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</si>
  <si>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</si>
  <si>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</si>
  <si>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</si>
  <si>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</si>
  <si>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</si>
  <si>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</si>
  <si>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</si>
  <si>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</si>
  <si>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</si>
  <si>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</si>
  <si>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</si>
  <si>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</si>
  <si>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</si>
  <si>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</si>
  <si>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</si>
  <si>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</si>
  <si>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</si>
  <si>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</si>
  <si>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</si>
  <si>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</si>
  <si>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</si>
  <si>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</si>
  <si>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</si>
  <si>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</si>
  <si>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</si>
  <si>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</si>
  <si>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</si>
  <si>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</si>
  <si>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</si>
  <si>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</si>
  <si>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</si>
  <si>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</si>
  <si>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</si>
  <si>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</si>
  <si>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</si>
  <si>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</si>
  <si>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</si>
  <si>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</si>
  <si>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</si>
  <si>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</si>
  <si>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</si>
  <si>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</si>
  <si>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</si>
  <si>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</si>
  <si>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</si>
  <si>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</si>
  <si>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</si>
  <si>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</si>
  <si>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</si>
  <si>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</si>
  <si>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</si>
  <si>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</si>
  <si>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</si>
  <si>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</si>
  <si>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</si>
  <si>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</si>
  <si>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</si>
  <si>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</si>
  <si>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</si>
  <si>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</si>
  <si>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</si>
  <si>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</si>
  <si>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</si>
  <si>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</si>
  <si>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</si>
  <si>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</si>
  <si>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</si>
  <si>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</si>
  <si>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</si>
  <si>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</si>
  <si>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</si>
  <si>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</si>
  <si>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</si>
  <si>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</si>
  <si>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</si>
  <si>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</si>
  <si>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</si>
  <si>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</si>
  <si>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</si>
  <si>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</si>
  <si>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</si>
  <si>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</si>
  <si>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</si>
  <si>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</si>
  <si>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</si>
  <si>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</si>
  <si>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</si>
  <si>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</si>
  <si>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</si>
  <si>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</si>
  <si>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</si>
  <si>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</si>
  <si>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</si>
  <si>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</si>
  <si>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</si>
  <si>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</si>
  <si>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</si>
  <si>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</si>
  <si>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</si>
  <si>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</si>
  <si>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</si>
  <si>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</si>
  <si>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</si>
  <si>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</si>
  <si>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</si>
  <si>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</si>
  <si>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</si>
  <si>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</si>
  <si>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</si>
  <si>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</si>
  <si>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</si>
  <si>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</si>
  <si>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</si>
  <si>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</si>
  <si>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</si>
  <si>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</si>
  <si>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</si>
  <si>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</si>
  <si>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</si>
  <si>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</si>
  <si>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</si>
  <si>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</si>
  <si>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</si>
  <si>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</si>
  <si>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</si>
  <si>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</si>
  <si>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</si>
  <si>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</si>
  <si>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</si>
  <si>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</si>
  <si>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</si>
  <si>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</si>
  <si>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</si>
  <si>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</si>
  <si>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</si>
  <si>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</si>
  <si>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</si>
  <si>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</si>
  <si>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</si>
  <si>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</si>
  <si>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</si>
  <si>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</si>
  <si>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</si>
  <si>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</si>
  <si>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</si>
  <si>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</si>
  <si>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</si>
  <si>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</si>
  <si>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</si>
  <si>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</si>
  <si>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</si>
  <si>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</si>
  <si>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</si>
  <si>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</si>
  <si>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</si>
  <si>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</si>
  <si>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</si>
  <si>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</si>
  <si>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</si>
  <si>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</si>
  <si>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</si>
  <si>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</si>
  <si>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</si>
  <si>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</si>
  <si>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</si>
  <si>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</si>
  <si>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</si>
  <si>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</si>
  <si>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</si>
  <si>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</si>
  <si>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</si>
  <si>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</si>
  <si>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</si>
  <si>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</si>
  <si>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</si>
  <si>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</si>
  <si>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</si>
  <si>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</si>
  <si>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</si>
  <si>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</si>
  <si>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</si>
  <si>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</si>
  <si>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</si>
  <si>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</si>
  <si>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</si>
  <si>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</si>
  <si>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</si>
  <si>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</si>
  <si>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</si>
  <si>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</si>
  <si>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</si>
  <si>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</si>
  <si>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</si>
  <si>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</si>
  <si>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</si>
  <si>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</si>
  <si>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</si>
  <si>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</si>
  <si>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</si>
  <si>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</si>
  <si>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</si>
  <si>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</si>
  <si>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</si>
  <si>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</si>
  <si>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</si>
  <si>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</si>
  <si>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</si>
  <si>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</si>
  <si>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</si>
  <si>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</si>
  <si>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</si>
  <si>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</si>
  <si>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</si>
  <si>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</si>
  <si>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</si>
  <si>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</si>
  <si>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</si>
  <si>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</si>
  <si>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</si>
  <si>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</si>
  <si>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</si>
  <si>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</si>
  <si>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</si>
  <si>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</si>
  <si>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</si>
  <si>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</si>
  <si>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</si>
  <si>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</si>
  <si>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</si>
  <si>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</si>
  <si>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</si>
  <si>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</si>
  <si>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</si>
  <si>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</si>
  <si>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</si>
  <si>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</si>
  <si>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</si>
  <si>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</si>
  <si>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</si>
  <si>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</si>
  <si>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</si>
  <si>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</si>
  <si>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</si>
  <si>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</si>
  <si>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</si>
  <si>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</si>
  <si>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</si>
  <si>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</si>
  <si>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</si>
  <si>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</si>
  <si>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</si>
  <si>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</si>
  <si>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</si>
  <si>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</si>
  <si>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</si>
  <si>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</si>
  <si>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</si>
  <si>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</si>
  <si>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</si>
  <si>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</si>
  <si>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</si>
  <si>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</si>
  <si>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</si>
  <si>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</si>
  <si>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</si>
  <si>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</si>
  <si>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</si>
  <si>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</si>
  <si>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</si>
  <si>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</si>
  <si>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</si>
  <si>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</si>
  <si>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</si>
  <si>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</si>
  <si>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</si>
  <si>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</si>
  <si>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</si>
  <si>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</si>
  <si>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</si>
  <si>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</si>
  <si>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</si>
  <si>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</si>
  <si>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</si>
  <si>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</si>
  <si>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</si>
  <si>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</si>
  <si>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</si>
  <si>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</si>
  <si>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</si>
  <si>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</si>
  <si>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</si>
  <si>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</si>
  <si>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</si>
  <si>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</si>
  <si>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</si>
  <si>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</si>
  <si>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</si>
  <si>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</si>
  <si>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</si>
  <si>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</si>
  <si>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</si>
  <si>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</si>
  <si>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</si>
  <si>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</si>
  <si>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</si>
  <si>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</si>
  <si>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</si>
  <si>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</si>
  <si>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</si>
  <si>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</si>
  <si>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</si>
  <si>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</si>
  <si>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</si>
  <si>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</si>
  <si>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</si>
  <si>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</si>
  <si>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</si>
  <si>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</si>
  <si>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</si>
  <si>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</si>
  <si>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</si>
  <si>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</si>
  <si>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</si>
  <si>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</si>
  <si>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</si>
  <si>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</si>
  <si>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</si>
  <si>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</si>
  <si>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</si>
  <si>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</si>
  <si>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</si>
  <si>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</si>
  <si>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</si>
  <si>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</si>
  <si>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</si>
  <si>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</si>
  <si>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</si>
  <si>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</si>
  <si>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</si>
  <si>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</si>
  <si>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</si>
  <si>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</si>
  <si>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</si>
  <si>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</si>
  <si>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</si>
  <si>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</si>
  <si>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</si>
  <si>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</si>
  <si>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</si>
  <si>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</si>
  <si>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</si>
  <si>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</si>
  <si>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</si>
  <si>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</si>
  <si>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</si>
  <si>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</si>
  <si>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</si>
  <si>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</si>
  <si>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</si>
  <si>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</si>
  <si>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</si>
  <si>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</si>
  <si>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</si>
  <si>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</si>
  <si>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</si>
  <si>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</si>
  <si>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</si>
  <si>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</si>
  <si>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</si>
  <si>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</si>
  <si>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</si>
  <si>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</si>
  <si>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</si>
  <si>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</si>
  <si>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</si>
  <si>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</si>
  <si>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</si>
  <si>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</si>
  <si>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</si>
  <si>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</si>
  <si>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</si>
  <si>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</si>
  <si>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</si>
  <si>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</si>
  <si>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</si>
  <si>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</si>
  <si>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</si>
  <si>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</si>
  <si>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</si>
  <si>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</si>
  <si>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</si>
  <si>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</si>
  <si>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</si>
  <si>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</si>
  <si>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</si>
  <si>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</si>
  <si>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</si>
  <si>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</si>
  <si>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</si>
  <si>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</si>
  <si>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</si>
  <si>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</si>
  <si>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</si>
  <si>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</si>
  <si>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</si>
  <si>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</si>
  <si>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</si>
  <si>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</si>
  <si>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</si>
  <si>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</si>
  <si>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</si>
  <si>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</si>
  <si>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</si>
  <si>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</si>
  <si>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</si>
  <si>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</si>
  <si>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</si>
  <si>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</si>
  <si>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</si>
  <si>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</si>
  <si>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</si>
  <si>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</si>
  <si>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</si>
  <si>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</si>
  <si>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</si>
  <si>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</si>
  <si>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</si>
  <si>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</si>
  <si>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</si>
  <si>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</si>
  <si>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</si>
  <si>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</si>
  <si>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</si>
  <si>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</si>
  <si>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</si>
  <si>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</si>
  <si>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</si>
  <si>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</si>
  <si>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</si>
  <si>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</si>
  <si>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</si>
  <si>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</si>
  <si>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</si>
  <si>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</si>
  <si>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</si>
  <si>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</si>
  <si>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</si>
  <si>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</si>
  <si>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</si>
  <si>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</si>
  <si>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</si>
  <si>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</si>
  <si>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</si>
  <si>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</si>
  <si>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</si>
  <si>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</si>
  <si>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</si>
  <si>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</si>
  <si>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</si>
  <si>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</si>
  <si>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</si>
  <si>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</si>
  <si>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</si>
  <si>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</si>
  <si>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</si>
  <si>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</si>
  <si>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</si>
  <si>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</si>
  <si>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</si>
  <si>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</si>
  <si>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</si>
  <si>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</si>
  <si>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</si>
  <si>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</si>
  <si>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</si>
  <si>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</si>
  <si>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</si>
  <si>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</si>
  <si>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</si>
  <si>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</si>
  <si>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</si>
  <si>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</si>
  <si>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</si>
  <si>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</si>
  <si>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</si>
  <si>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</si>
  <si>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</si>
  <si>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</si>
  <si>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</si>
  <si>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</si>
  <si>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</si>
  <si>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</si>
  <si>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</si>
  <si>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</si>
  <si>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</si>
  <si>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</si>
  <si>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</si>
  <si>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</si>
  <si>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</si>
  <si>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</si>
  <si>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</si>
  <si>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</si>
  <si>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</si>
  <si>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</si>
  <si>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</si>
  <si>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</si>
  <si>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</si>
  <si>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</si>
  <si>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</si>
  <si>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</si>
  <si>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</si>
  <si>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</si>
  <si>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</si>
  <si>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</si>
  <si>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</si>
  <si>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</si>
  <si>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</si>
  <si>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</si>
  <si>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</si>
  <si>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</si>
  <si>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</si>
  <si>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</si>
  <si>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</si>
  <si>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</si>
  <si>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</si>
  <si>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</si>
  <si>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</si>
  <si>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</si>
  <si>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</si>
  <si>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</si>
  <si>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</si>
  <si>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</si>
  <si>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</si>
  <si>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</si>
  <si>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</si>
  <si>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</si>
  <si>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</si>
  <si>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</si>
  <si>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</si>
  <si>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</si>
  <si>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</si>
  <si>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</si>
  <si>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</si>
  <si>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</si>
  <si>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</si>
  <si>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</si>
  <si>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</si>
  <si>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</si>
  <si>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</si>
  <si>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</si>
  <si>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</si>
  <si>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</si>
  <si>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</si>
  <si>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</si>
  <si>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</si>
  <si>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</si>
  <si>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</si>
  <si>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</si>
  <si>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</si>
  <si>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</si>
  <si>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</si>
  <si>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</si>
  <si>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</si>
  <si>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</si>
  <si>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</si>
  <si>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</si>
  <si>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</si>
  <si>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</si>
  <si>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</si>
  <si>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</si>
  <si>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</si>
  <si>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</si>
  <si>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</si>
  <si>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</si>
  <si>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</si>
  <si>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</si>
  <si>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</si>
  <si>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</si>
  <si>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</si>
  <si>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</si>
  <si>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</si>
  <si>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</si>
  <si>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</si>
  <si>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</si>
  <si>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</si>
  <si>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</si>
  <si>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</si>
  <si>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</si>
  <si>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</si>
  <si>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</si>
  <si>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</si>
  <si>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</si>
  <si>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</si>
  <si>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</si>
  <si>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</si>
  <si>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</si>
  <si>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</si>
  <si>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</si>
  <si>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</si>
  <si>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</si>
  <si>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</si>
  <si>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</si>
  <si>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</si>
  <si>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</si>
  <si>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</si>
  <si>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</si>
  <si>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</si>
  <si>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</si>
  <si>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</si>
  <si>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</si>
  <si>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</si>
  <si>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</si>
  <si>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</si>
  <si>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</si>
  <si>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</si>
  <si>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</si>
  <si>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</si>
  <si>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</si>
  <si>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</si>
  <si>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</si>
  <si>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</si>
  <si>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</si>
  <si>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</si>
  <si>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</si>
  <si>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</si>
  <si>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</si>
  <si>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</si>
  <si>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</si>
  <si>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</si>
  <si>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</si>
  <si>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</si>
  <si>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</si>
  <si>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</si>
  <si>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</si>
  <si>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</si>
  <si>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</si>
  <si>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</si>
  <si>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</si>
  <si>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</si>
  <si>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</si>
  <si>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</si>
  <si>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</si>
  <si>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</si>
  <si>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</si>
  <si>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</si>
  <si>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</si>
  <si>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</si>
  <si>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</si>
  <si>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</si>
  <si>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</si>
  <si>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</si>
  <si>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</si>
  <si>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</si>
  <si>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</si>
  <si>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</si>
  <si>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</si>
  <si>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</si>
  <si>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</si>
  <si>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</si>
  <si>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</si>
  <si>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</si>
  <si>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</si>
  <si>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</si>
  <si>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</si>
  <si>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</si>
  <si>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</si>
  <si>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</si>
  <si>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</si>
  <si>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</si>
  <si>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</si>
  <si>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</si>
  <si>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</si>
  <si>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</si>
  <si>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</si>
  <si>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</si>
  <si>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</si>
  <si>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</si>
  <si>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</si>
  <si>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</si>
  <si>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</si>
  <si>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</si>
  <si>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</si>
  <si>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</si>
  <si>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</si>
  <si>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</si>
  <si>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</si>
  <si>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</si>
  <si>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</si>
  <si>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</si>
  <si>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</si>
  <si>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</si>
  <si>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</si>
  <si>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</si>
  <si>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</si>
  <si>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</si>
  <si>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</si>
  <si>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</si>
  <si>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</si>
  <si>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</si>
  <si>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</si>
  <si>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</si>
  <si>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</si>
  <si>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</si>
  <si>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</si>
  <si>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</si>
  <si>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</si>
  <si>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</si>
  <si>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</si>
  <si>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</si>
  <si>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</si>
  <si>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</si>
  <si>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</si>
  <si>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</si>
  <si>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</si>
  <si>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</si>
  <si>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</si>
  <si>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</si>
  <si>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</si>
  <si>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</si>
  <si>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</si>
  <si>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</si>
  <si>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</si>
  <si>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</si>
  <si>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</si>
  <si>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</si>
  <si>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</si>
  <si>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</si>
  <si>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</si>
  <si>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</si>
  <si>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</si>
  <si>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</si>
  <si>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</si>
  <si>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</si>
  <si>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</si>
  <si>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</si>
  <si>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</si>
  <si>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</si>
  <si>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</si>
  <si>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</si>
  <si>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</si>
  <si>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</si>
  <si>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</si>
  <si>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</si>
  <si>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</si>
  <si>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</si>
  <si>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</si>
  <si>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</si>
  <si>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</si>
  <si>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</si>
  <si>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</si>
  <si>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</si>
  <si>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</si>
  <si>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</si>
  <si>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</si>
  <si>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</si>
  <si>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</si>
  <si>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</si>
  <si>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</si>
  <si>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</si>
  <si>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</si>
  <si>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</si>
  <si>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</si>
  <si>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</si>
  <si>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</si>
  <si>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</si>
  <si>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</si>
  <si>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</si>
  <si>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</si>
  <si>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</si>
  <si>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</si>
  <si>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</si>
  <si>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</si>
  <si>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</si>
  <si>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</si>
  <si>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</si>
  <si>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</si>
  <si>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</si>
  <si>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</si>
  <si>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</si>
  <si>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</si>
  <si>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</si>
  <si>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</si>
  <si>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</si>
  <si>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</si>
  <si>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</si>
  <si>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</si>
  <si>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</si>
  <si>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</si>
  <si>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</si>
  <si>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</si>
  <si>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</si>
  <si>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</si>
  <si>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</si>
  <si>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</si>
  <si>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</si>
  <si>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</si>
  <si>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</si>
  <si>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</si>
  <si>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</si>
  <si>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</si>
  <si>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</si>
  <si>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</si>
  <si>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</si>
  <si>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</si>
  <si>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</si>
  <si>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</si>
  <si>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</si>
  <si>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</si>
  <si>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</si>
  <si>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</si>
  <si>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</si>
  <si>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</si>
  <si>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</si>
  <si>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</si>
  <si>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</si>
  <si>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</si>
  <si>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</si>
  <si>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</si>
  <si>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</si>
  <si>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</si>
  <si>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</si>
  <si>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</si>
  <si>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</si>
  <si>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</si>
  <si>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</si>
  <si>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</si>
  <si>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</si>
  <si>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</si>
  <si>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</si>
  <si>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</si>
  <si>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</si>
  <si>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</si>
  <si>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</si>
  <si>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</si>
  <si>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</si>
  <si>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</si>
  <si>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</si>
  <si>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</si>
  <si>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</si>
  <si>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</si>
  <si>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</si>
  <si>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</si>
  <si>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</si>
  <si>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</si>
  <si>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</si>
  <si>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</si>
  <si>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</si>
  <si>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</si>
  <si>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</si>
  <si>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</si>
  <si>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</si>
  <si>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</si>
  <si>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</si>
  <si>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</si>
  <si>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</si>
  <si>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</si>
  <si>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</si>
  <si>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</si>
  <si>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</si>
  <si>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</si>
  <si>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</si>
  <si>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</si>
  <si>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</si>
  <si>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</si>
  <si>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</si>
  <si>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</si>
  <si>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</si>
  <si>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</si>
  <si>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</si>
  <si>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</si>
  <si>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</si>
  <si>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</si>
  <si>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</si>
  <si>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</si>
  <si>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</si>
  <si>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</si>
  <si>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</si>
  <si>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</si>
  <si>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</si>
  <si>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</si>
  <si>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</si>
  <si>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</si>
  <si>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</si>
  <si>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</si>
  <si>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</si>
  <si>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</si>
  <si>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</si>
  <si>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</si>
  <si>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</si>
  <si>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</si>
  <si>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</si>
  <si>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</si>
  <si>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</si>
  <si>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</si>
  <si>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</si>
  <si>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</si>
  <si>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</si>
  <si>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</si>
  <si>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</si>
  <si>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</si>
  <si>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</si>
  <si>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</si>
  <si>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</si>
  <si>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</si>
  <si>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</si>
  <si>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</si>
  <si>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</si>
  <si>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</si>
  <si>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</si>
  <si>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</si>
  <si>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</si>
  <si>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</si>
  <si>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</si>
  <si>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</si>
  <si>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</si>
  <si>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</si>
  <si>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</si>
  <si>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</si>
  <si>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</si>
  <si>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</si>
  <si>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</si>
  <si>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</si>
  <si>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</si>
  <si>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</si>
  <si>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</si>
  <si>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</si>
  <si>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</si>
  <si>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</si>
  <si>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</si>
  <si>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</si>
  <si>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</si>
  <si>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</si>
  <si>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</si>
  <si>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</si>
  <si>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</si>
  <si>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</si>
  <si>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</si>
  <si>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</si>
  <si>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</si>
  <si>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</si>
  <si>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</si>
  <si>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</si>
  <si>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</si>
  <si>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</si>
  <si>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</si>
  <si>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</si>
  <si>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</si>
  <si>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</si>
  <si>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</si>
  <si>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</si>
  <si>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</si>
  <si>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</si>
  <si>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</si>
  <si>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</si>
  <si>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</si>
  <si>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</si>
  <si>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</si>
  <si>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</si>
  <si>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</si>
  <si>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</si>
  <si>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</si>
  <si>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</si>
  <si>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</si>
  <si>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</si>
  <si>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</si>
  <si>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</si>
  <si>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</si>
  <si>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</si>
  <si>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</si>
  <si>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</si>
  <si>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</si>
  <si>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</si>
  <si>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</si>
  <si>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</si>
  <si>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</si>
  <si>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</si>
  <si>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</si>
  <si>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</si>
  <si>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</si>
  <si>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</si>
  <si>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</si>
  <si>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</si>
  <si>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</si>
  <si>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</si>
  <si>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</si>
  <si>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</si>
  <si>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</si>
  <si>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</si>
  <si>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</si>
  <si>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</si>
  <si>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</si>
  <si>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</si>
  <si>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</si>
  <si>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</si>
  <si>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</si>
  <si>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</si>
  <si>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</si>
  <si>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</si>
  <si>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</si>
  <si>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</si>
  <si>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</si>
  <si>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</si>
  <si>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</si>
  <si>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</si>
  <si>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</si>
  <si>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</si>
  <si>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</si>
  <si>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</si>
  <si>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</si>
  <si>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</si>
  <si>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</si>
  <si>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</si>
  <si>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</si>
  <si>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</si>
  <si>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</si>
  <si>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</si>
  <si>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</si>
  <si>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</si>
  <si>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</si>
  <si>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</si>
  <si>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</si>
  <si>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</si>
  <si>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</si>
  <si>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</si>
  <si>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</si>
  <si>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</si>
  <si>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</si>
  <si>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</si>
  <si>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</si>
  <si>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</si>
  <si>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</si>
  <si>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</si>
  <si>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</si>
  <si>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</si>
  <si>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</si>
  <si>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</si>
  <si>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</si>
  <si>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</si>
  <si>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</si>
  <si>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</si>
  <si>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</si>
  <si>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</si>
  <si>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</si>
  <si>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</si>
  <si>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</si>
  <si>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</si>
  <si>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</si>
  <si>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</si>
  <si>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</si>
  <si>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</si>
  <si>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</si>
  <si>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</si>
  <si>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</si>
  <si>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</si>
  <si>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</si>
  <si>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</si>
  <si>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</si>
  <si>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</si>
  <si>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</si>
  <si>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</si>
  <si>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</si>
  <si>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</si>
  <si>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</si>
  <si>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</si>
  <si>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</si>
  <si>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</si>
  <si>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</si>
  <si>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</si>
  <si>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</si>
  <si>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</si>
  <si>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</si>
  <si>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</si>
  <si>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</si>
  <si>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</si>
  <si>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</si>
  <si>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</si>
  <si>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</si>
  <si>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</si>
  <si>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</si>
  <si>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</si>
  <si>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</si>
  <si>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</si>
  <si>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</si>
  <si>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</si>
  <si>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</si>
  <si>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</si>
  <si>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</si>
  <si>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</si>
  <si>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</si>
  <si>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</si>
  <si>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</si>
  <si>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</si>
  <si>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</si>
  <si>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</si>
  <si>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</si>
  <si>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</si>
  <si>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</si>
  <si>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</si>
  <si>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</si>
  <si>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</si>
  <si>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</si>
  <si>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</si>
  <si>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</si>
  <si>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</si>
  <si>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</si>
  <si>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</si>
  <si>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</si>
  <si>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</si>
  <si>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</si>
  <si>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</si>
  <si>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</si>
  <si>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</si>
  <si>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</si>
  <si>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</si>
  <si>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</si>
  <si>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</si>
  <si>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</si>
  <si>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</si>
  <si>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</si>
  <si>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</si>
  <si>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</si>
  <si>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</si>
  <si>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</si>
  <si>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</si>
  <si>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</si>
  <si>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</si>
  <si>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</si>
  <si>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</si>
  <si>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</si>
  <si>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</si>
  <si>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</si>
  <si>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</si>
  <si>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</si>
  <si>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</si>
  <si>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</si>
  <si>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</si>
  <si>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</si>
  <si>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</si>
  <si>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</si>
  <si>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</si>
  <si>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</si>
  <si>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</si>
  <si>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</si>
  <si>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</si>
  <si>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</si>
  <si>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</si>
  <si>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</si>
  <si>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</si>
  <si>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</si>
  <si>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</si>
  <si>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</si>
  <si>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</si>
  <si>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</si>
  <si>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</si>
  <si>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</si>
  <si>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</si>
  <si>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</si>
  <si>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</si>
  <si>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</si>
  <si>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</si>
  <si>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</si>
  <si>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</si>
  <si>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</si>
  <si>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</si>
  <si>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</si>
  <si>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</si>
  <si>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</si>
  <si>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</si>
  <si>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</si>
  <si>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</si>
  <si>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</si>
  <si>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</si>
  <si>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</si>
  <si>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</si>
  <si>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</si>
  <si>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</si>
  <si>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</si>
  <si>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</si>
  <si>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</si>
  <si>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</si>
  <si>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</si>
  <si>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</si>
  <si>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</si>
  <si>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</si>
  <si>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</si>
  <si>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</si>
  <si>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</si>
  <si>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</si>
  <si>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</si>
  <si>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</si>
  <si>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</si>
  <si>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</si>
  <si>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</si>
  <si>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</si>
  <si>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</si>
  <si>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</si>
  <si>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</si>
  <si>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</si>
  <si>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</si>
  <si>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</si>
  <si>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</si>
  <si>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</si>
  <si>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</si>
  <si>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</si>
  <si>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</si>
  <si>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</si>
  <si>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</si>
  <si>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</si>
  <si>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</si>
  <si>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</si>
  <si>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</si>
  <si>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</si>
  <si>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</si>
  <si>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</si>
  <si>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</si>
  <si>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</si>
  <si>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</si>
  <si>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</si>
  <si>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</si>
  <si>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</si>
  <si>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</si>
  <si>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</si>
  <si>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</si>
  <si>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</si>
  <si>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</si>
  <si>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</si>
  <si>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</si>
  <si>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</si>
  <si>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</si>
  <si>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</si>
  <si>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</si>
  <si>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</si>
  <si>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</si>
  <si>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</si>
  <si>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</si>
  <si>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</si>
  <si>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</si>
  <si>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</si>
  <si>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</si>
  <si>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</si>
  <si>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</si>
  <si>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</si>
  <si>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</si>
  <si>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</si>
  <si>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</si>
  <si>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</si>
  <si>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</si>
  <si>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</si>
  <si>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</si>
  <si>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</si>
  <si>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</si>
  <si>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</si>
  <si>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</si>
  <si>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</si>
  <si>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</si>
  <si>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</si>
  <si>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</si>
  <si>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</si>
  <si>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</si>
  <si>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</si>
  <si>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</si>
  <si>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</si>
  <si>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</si>
  <si>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</si>
  <si>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</si>
  <si>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</si>
  <si>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</si>
  <si>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</si>
  <si>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</si>
  <si>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</si>
  <si>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</si>
  <si>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</si>
  <si>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</si>
  <si>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</si>
  <si>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</si>
  <si>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</si>
  <si>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</si>
  <si>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</si>
  <si>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</si>
  <si>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</si>
  <si>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</si>
  <si>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</si>
  <si>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</si>
  <si>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</si>
  <si>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</si>
  <si>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</si>
  <si>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</si>
  <si>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</si>
  <si>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</si>
  <si>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</si>
  <si>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</si>
  <si>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</si>
  <si>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</si>
  <si>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</si>
  <si>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</si>
  <si>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</si>
  <si>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</si>
  <si>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</si>
  <si>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</si>
  <si>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</si>
  <si>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</si>
  <si>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</si>
  <si>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</si>
  <si>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</si>
  <si>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</si>
  <si>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</si>
  <si>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</si>
  <si>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</si>
  <si>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</si>
  <si>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</si>
  <si>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</si>
  <si>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</si>
  <si>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</si>
  <si>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</si>
  <si>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</si>
  <si>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</si>
  <si>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</si>
  <si>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</si>
  <si>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</si>
  <si>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</si>
  <si>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</si>
  <si>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</si>
  <si>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</si>
  <si>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</si>
  <si>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</si>
  <si>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</si>
  <si>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</si>
  <si>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</si>
  <si>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</si>
  <si>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</si>
  <si>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</si>
  <si>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</si>
  <si>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</si>
  <si>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</si>
  <si>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</si>
  <si>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</si>
  <si>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</si>
  <si>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</si>
  <si>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</si>
  <si>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</si>
  <si>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</si>
  <si>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</si>
  <si>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</si>
  <si>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</si>
  <si>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</si>
  <si>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</si>
  <si>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</si>
  <si>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</si>
  <si>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</si>
  <si>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</si>
  <si>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</si>
  <si>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</si>
  <si>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</si>
  <si>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</si>
  <si>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</si>
  <si>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</si>
  <si>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</si>
  <si>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</si>
  <si>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</si>
  <si>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</si>
  <si>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</si>
  <si>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</si>
  <si>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</si>
  <si>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</si>
  <si>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</si>
  <si>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</si>
  <si>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</si>
  <si>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</si>
  <si>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</si>
  <si>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</si>
  <si>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</si>
  <si>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</si>
  <si>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</si>
  <si>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</si>
  <si>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</si>
  <si>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</si>
  <si>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</si>
  <si>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</si>
  <si>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</si>
  <si>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</si>
  <si>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</si>
  <si>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</si>
  <si>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</si>
  <si>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</si>
  <si>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</si>
  <si>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</si>
  <si>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</si>
  <si>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</si>
  <si>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</si>
  <si>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</si>
  <si>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</si>
  <si>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</si>
  <si>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</si>
  <si>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</si>
  <si>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</si>
  <si>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</si>
  <si>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</si>
  <si>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</si>
  <si>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</si>
  <si>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</si>
  <si>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</si>
  <si>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</si>
  <si>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</si>
  <si>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</si>
  <si>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</si>
  <si>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</si>
  <si>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</si>
  <si>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</si>
  <si>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</si>
  <si>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</si>
  <si>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</si>
  <si>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</si>
  <si>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</si>
  <si>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</si>
  <si>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</si>
  <si>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</si>
  <si>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</si>
  <si>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</si>
  <si>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</si>
  <si>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</si>
  <si>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</si>
  <si>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</si>
  <si>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</si>
  <si>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</si>
  <si>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</si>
  <si>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</si>
  <si>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</si>
  <si>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</si>
  <si>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</si>
  <si>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</si>
  <si>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</si>
  <si>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</si>
  <si>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</si>
  <si>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</si>
  <si>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</si>
  <si>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</si>
  <si>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</si>
  <si>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</si>
  <si>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</si>
  <si>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</si>
  <si>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</si>
  <si>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</si>
  <si>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</si>
  <si>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</si>
  <si>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</si>
  <si>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</si>
  <si>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</si>
  <si>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</si>
  <si>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</si>
  <si>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</si>
  <si>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</si>
  <si>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</si>
  <si>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</si>
  <si>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</si>
  <si>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</si>
  <si>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</si>
  <si>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</si>
  <si>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</si>
  <si>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</si>
  <si>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</si>
  <si>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</si>
  <si>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</si>
  <si>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</si>
  <si>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</si>
  <si>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</si>
  <si>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</si>
  <si>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</si>
  <si>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</si>
  <si>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</si>
  <si>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</si>
  <si>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</si>
  <si>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</si>
  <si>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</si>
  <si>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</si>
  <si>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</si>
  <si>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</si>
  <si>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</si>
  <si>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</si>
  <si>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</si>
  <si>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</si>
  <si>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</si>
  <si>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</si>
  <si>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</si>
  <si>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</si>
  <si>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</si>
  <si>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</si>
  <si>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</si>
  <si>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</si>
  <si>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</si>
  <si>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</si>
  <si>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</si>
  <si>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</si>
  <si>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</si>
  <si>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</si>
  <si>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</si>
  <si>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</si>
  <si>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</si>
  <si>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</si>
  <si>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</si>
  <si>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</si>
  <si>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</si>
  <si>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</si>
  <si>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</si>
  <si>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</si>
  <si>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</si>
  <si>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</si>
  <si>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</si>
  <si>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</si>
  <si>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</si>
  <si>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</si>
  <si>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</si>
  <si>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</si>
  <si>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</si>
  <si>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</si>
  <si>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</si>
  <si>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</si>
  <si>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</si>
  <si>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</si>
  <si>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</si>
  <si>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</si>
  <si>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</si>
  <si>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</si>
  <si>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</si>
  <si>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</si>
  <si>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</si>
  <si>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</si>
  <si>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</si>
  <si>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</si>
  <si>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</si>
  <si>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</si>
  <si>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</si>
  <si>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</si>
  <si>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</si>
  <si>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</si>
  <si>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</si>
  <si>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</si>
  <si>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</si>
  <si>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</si>
  <si>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</si>
  <si>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</si>
  <si>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</si>
  <si>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</si>
  <si>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</si>
  <si>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</si>
  <si>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</si>
  <si>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</si>
  <si>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</si>
  <si>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</si>
  <si>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</si>
  <si>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</si>
  <si>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</si>
  <si>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</si>
  <si>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</si>
  <si>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</si>
  <si>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</si>
  <si>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</si>
  <si>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</si>
  <si>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</si>
  <si>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</si>
  <si>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</si>
  <si>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</si>
  <si>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</si>
  <si>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</si>
  <si>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</si>
  <si>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</si>
  <si>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</si>
  <si>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</si>
  <si>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</si>
  <si>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</si>
  <si>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</si>
  <si>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</si>
  <si>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</si>
  <si>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</si>
  <si>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</si>
  <si>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</si>
  <si>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</si>
  <si>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</si>
  <si>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</si>
  <si>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</si>
  <si>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</si>
  <si>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</si>
  <si>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</si>
  <si>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</si>
  <si>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</si>
  <si>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</si>
  <si>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</si>
  <si>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</si>
  <si>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</si>
  <si>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</si>
  <si>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</si>
  <si>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</si>
  <si>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</si>
  <si>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</si>
  <si>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</si>
  <si>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</si>
  <si>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</si>
  <si>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</si>
  <si>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</si>
  <si>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</si>
  <si>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</si>
  <si>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</si>
  <si>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</si>
  <si>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</si>
  <si>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</si>
  <si>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</si>
  <si>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</si>
  <si>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</si>
  <si>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</si>
  <si>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</si>
  <si>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</si>
  <si>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</si>
  <si>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</si>
  <si>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</si>
  <si>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</si>
  <si>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</si>
  <si>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</si>
  <si>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</si>
  <si>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</si>
  <si>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</si>
  <si>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</si>
  <si>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</si>
  <si>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</si>
  <si>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</si>
  <si>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</si>
  <si>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</si>
  <si>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</si>
  <si>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</si>
  <si>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</si>
  <si>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</si>
  <si>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</si>
  <si>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</si>
  <si>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</si>
  <si>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</si>
  <si>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</si>
  <si>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</si>
  <si>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</si>
  <si>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</si>
  <si>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</si>
  <si>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</si>
  <si>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</si>
  <si>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</si>
  <si>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</si>
  <si>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</si>
  <si>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</si>
  <si>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</si>
  <si>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</si>
  <si>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</si>
  <si>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</si>
  <si>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</si>
  <si>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</si>
  <si>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</si>
  <si>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</si>
  <si>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</si>
  <si>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</si>
  <si>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</si>
  <si>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</si>
  <si>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</si>
  <si>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</si>
  <si>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</si>
  <si>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</si>
  <si>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</si>
  <si>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</si>
  <si>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</si>
  <si>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</si>
  <si>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</si>
  <si>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</si>
  <si>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</si>
  <si>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</si>
  <si>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</si>
  <si>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</si>
  <si>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</si>
  <si>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</si>
  <si>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</si>
  <si>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</si>
  <si>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</si>
  <si>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</si>
  <si>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</si>
  <si>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</si>
  <si>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</si>
  <si>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</si>
  <si>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</si>
  <si>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</si>
  <si>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</si>
  <si>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</si>
  <si>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</si>
  <si>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</si>
  <si>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</si>
  <si>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</si>
  <si>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</si>
  <si>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</si>
  <si>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</si>
  <si>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</si>
  <si>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</si>
  <si>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</si>
  <si>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</si>
  <si>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</si>
  <si>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</si>
  <si>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</si>
  <si>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</si>
  <si>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</si>
  <si>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</si>
  <si>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</si>
  <si>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</si>
  <si>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</si>
  <si>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</si>
  <si>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</si>
  <si>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</si>
  <si>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</si>
  <si>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</si>
  <si>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</si>
  <si>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</si>
  <si>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</si>
  <si>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</si>
  <si>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</si>
  <si>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</si>
  <si>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</si>
  <si>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</si>
  <si>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</si>
  <si>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</si>
  <si>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</si>
  <si>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</si>
  <si>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</si>
  <si>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</si>
  <si>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</si>
  <si>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</si>
  <si>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</si>
  <si>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</si>
  <si>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</si>
  <si>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</si>
  <si>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</si>
  <si>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</si>
  <si>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</si>
  <si>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</si>
  <si>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</si>
  <si>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</si>
  <si>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</si>
  <si>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</si>
  <si>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</si>
  <si>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</si>
  <si>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</si>
  <si>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</si>
  <si>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</si>
  <si>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</si>
  <si>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</si>
  <si>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</si>
  <si>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</si>
  <si>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</si>
  <si>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</si>
  <si>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</si>
  <si>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</si>
  <si>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</si>
  <si>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</si>
  <si>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</si>
  <si>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</si>
  <si>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</si>
  <si>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</si>
  <si>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</si>
  <si>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</si>
  <si>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</si>
  <si>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</si>
  <si>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</si>
  <si>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</si>
  <si>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</si>
  <si>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</si>
  <si>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</si>
  <si>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</si>
  <si>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</si>
  <si>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</si>
  <si>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</si>
  <si>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</si>
  <si>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</si>
  <si>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</si>
  <si>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</si>
  <si>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</si>
  <si>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</si>
  <si>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</si>
  <si>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</si>
  <si>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</si>
  <si>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</si>
  <si>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</si>
  <si>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</si>
  <si>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</si>
  <si>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</si>
  <si>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</si>
  <si>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</si>
  <si>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</si>
  <si>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</si>
  <si>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</si>
  <si>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</si>
  <si>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</si>
  <si>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</si>
  <si>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</si>
  <si>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</si>
  <si>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</si>
  <si>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</si>
  <si>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</si>
  <si>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</si>
  <si>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</si>
  <si>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</si>
  <si>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</si>
  <si>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</si>
  <si>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</si>
  <si>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</si>
  <si>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</si>
  <si>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</si>
  <si>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</si>
  <si>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</si>
  <si>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</si>
  <si>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</si>
  <si>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</si>
  <si>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</si>
  <si>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</si>
  <si>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</si>
  <si>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</si>
  <si>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</si>
  <si>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</si>
  <si>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</si>
  <si>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</si>
  <si>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</si>
  <si>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</si>
  <si>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</si>
  <si>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</si>
  <si>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</si>
  <si>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</si>
  <si>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</si>
  <si>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</si>
  <si>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</si>
  <si>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</si>
  <si>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</si>
  <si>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</si>
  <si>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</si>
  <si>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</si>
  <si>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</si>
  <si>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</si>
  <si>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</si>
  <si>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</si>
  <si>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</si>
  <si>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</si>
  <si>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</si>
  <si>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</si>
  <si>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</si>
  <si>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</si>
  <si>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</si>
  <si>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</si>
  <si>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</si>
  <si>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</si>
  <si>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</si>
  <si>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</si>
  <si>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</si>
  <si>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</si>
  <si>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</si>
  <si>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</si>
  <si>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</si>
  <si>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</si>
  <si>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</si>
  <si>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</si>
  <si>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</si>
  <si>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</si>
  <si>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</si>
  <si>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</si>
  <si>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</si>
  <si>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</si>
  <si>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</si>
  <si>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</si>
  <si>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</si>
  <si>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</si>
  <si>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</si>
  <si>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</si>
  <si>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</si>
  <si>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</si>
  <si>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</si>
  <si>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</si>
  <si>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</si>
  <si>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</si>
  <si>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</si>
  <si>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</si>
  <si>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</si>
  <si>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</si>
  <si>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</si>
  <si>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</si>
  <si>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</si>
  <si>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</si>
  <si>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</si>
  <si>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</si>
  <si>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</si>
  <si>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</si>
  <si>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</si>
  <si>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</si>
  <si>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</si>
  <si>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</si>
  <si>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</si>
  <si>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</si>
  <si>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</si>
  <si>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</si>
  <si>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</si>
  <si>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</si>
  <si>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</si>
  <si>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</si>
  <si>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</si>
  <si>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</si>
  <si>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</si>
  <si>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</si>
  <si>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</si>
  <si>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</si>
  <si>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</si>
  <si>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</si>
  <si>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</si>
  <si>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</si>
  <si>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</si>
  <si>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</si>
  <si>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</si>
  <si>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</si>
  <si>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</si>
  <si>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</si>
  <si>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</si>
  <si>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</si>
  <si>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</si>
  <si>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</si>
  <si>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</si>
  <si>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</si>
  <si>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</si>
  <si>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</si>
  <si>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</si>
  <si>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</si>
  <si>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</si>
  <si>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</si>
  <si>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</si>
  <si>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</si>
  <si>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</si>
  <si>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</si>
  <si>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</si>
  <si>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</si>
  <si>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</si>
  <si>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</si>
  <si>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</si>
  <si>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</si>
  <si>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</si>
  <si>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</si>
  <si>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</si>
  <si>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</si>
  <si>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</si>
  <si>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</si>
  <si>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</si>
  <si>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</si>
  <si>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</si>
  <si>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</si>
  <si>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</si>
  <si>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</si>
  <si>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</si>
  <si>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</si>
  <si>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</si>
  <si>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</si>
  <si>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</si>
  <si>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</si>
  <si>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</si>
  <si>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</si>
  <si>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</si>
  <si>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</si>
  <si>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</si>
  <si>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</si>
  <si>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</si>
  <si>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</si>
  <si>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</si>
  <si>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</si>
  <si>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</si>
  <si>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</si>
  <si>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</si>
  <si>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</si>
  <si>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</si>
  <si>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</si>
  <si>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</si>
  <si>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</si>
  <si>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</si>
  <si>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</si>
  <si>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</si>
  <si>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</si>
  <si>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</si>
  <si>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</si>
  <si>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</si>
  <si>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</si>
  <si>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</si>
  <si>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</si>
  <si>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</si>
  <si>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</si>
  <si>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</si>
  <si>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</si>
  <si>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</si>
  <si>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</si>
  <si>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</si>
  <si>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</si>
  <si>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</si>
  <si>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</si>
  <si>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</si>
  <si>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</si>
  <si>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</si>
  <si>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</si>
  <si>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</si>
  <si>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</si>
  <si>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</si>
  <si>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</si>
  <si>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</si>
  <si>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</si>
  <si>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</si>
  <si>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</si>
  <si>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</si>
  <si>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</si>
  <si>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</si>
  <si>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</si>
  <si>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</si>
  <si>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</si>
  <si>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</si>
  <si>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</si>
  <si>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</si>
  <si>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</si>
  <si>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</si>
  <si>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</si>
  <si>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</si>
  <si>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</si>
  <si>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</si>
  <si>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</si>
  <si>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</si>
  <si>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</si>
  <si>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</si>
  <si>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</si>
  <si>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</si>
  <si>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</si>
  <si>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</si>
  <si>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</si>
  <si>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</si>
  <si>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</si>
  <si>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</si>
  <si>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</si>
  <si>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</si>
  <si>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</si>
  <si>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</si>
  <si>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</si>
  <si>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</si>
  <si>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</si>
  <si>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</si>
  <si>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</si>
  <si>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</si>
  <si>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</si>
  <si>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</si>
  <si>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</si>
  <si>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</si>
  <si>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</si>
  <si>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</si>
  <si>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</si>
  <si>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</si>
  <si>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</si>
  <si>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</si>
  <si>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</si>
  <si>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</si>
  <si>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</si>
  <si>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</si>
  <si>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</si>
  <si>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</si>
  <si>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</si>
  <si>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</si>
  <si>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</si>
  <si>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</si>
  <si>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</si>
  <si>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</si>
  <si>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</si>
  <si>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</si>
  <si>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</si>
  <si>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</si>
  <si>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</si>
  <si>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</si>
  <si>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</si>
  <si>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</si>
  <si>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</si>
  <si>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</si>
  <si>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</si>
  <si>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</si>
  <si>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</si>
  <si>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</si>
  <si>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</si>
  <si>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</si>
  <si>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</si>
  <si>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</si>
  <si>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</si>
  <si>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</si>
  <si>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</si>
  <si>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</si>
  <si>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</si>
  <si>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</si>
  <si>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</si>
  <si>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</si>
  <si>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</si>
  <si>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</si>
  <si>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</si>
  <si>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</si>
  <si>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</si>
  <si>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</si>
  <si>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</si>
  <si>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</si>
  <si>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</si>
  <si>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</si>
  <si>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</si>
  <si>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</si>
  <si>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</si>
  <si>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</si>
  <si>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</si>
  <si>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</si>
  <si>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</si>
  <si>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</si>
  <si>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</si>
  <si>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</si>
  <si>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</si>
  <si>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</si>
  <si>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</si>
  <si>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</si>
  <si>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</si>
  <si>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</si>
  <si>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</si>
  <si>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</si>
  <si>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</si>
  <si>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</si>
  <si>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</si>
  <si>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</si>
  <si>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</si>
  <si>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</si>
  <si>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</si>
  <si>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</si>
  <si>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</si>
  <si>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</si>
  <si>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</si>
  <si>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</si>
  <si>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</si>
  <si>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</si>
  <si>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</si>
  <si>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</si>
  <si>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</si>
  <si>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</si>
  <si>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</si>
  <si>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</si>
  <si>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</si>
  <si>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</si>
  <si>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</si>
  <si>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</si>
  <si>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</si>
  <si>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</si>
  <si>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</si>
  <si>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</si>
  <si>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</si>
  <si>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</si>
  <si>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</si>
  <si>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</si>
  <si>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</si>
  <si>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</si>
  <si>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</si>
  <si>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</si>
  <si>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</si>
  <si>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</si>
  <si>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</si>
  <si>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</si>
  <si>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</si>
  <si>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</si>
  <si>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</si>
  <si>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</si>
  <si>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</si>
  <si>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</si>
  <si>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</si>
  <si>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</si>
  <si>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</si>
  <si>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</si>
  <si>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</si>
  <si>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</si>
  <si>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</si>
  <si>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</si>
  <si>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</si>
  <si>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</si>
  <si>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</si>
  <si>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</si>
  <si>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</si>
  <si>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</si>
  <si>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</si>
  <si>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</si>
  <si>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</si>
  <si>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</si>
  <si>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</si>
  <si>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</si>
  <si>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</si>
  <si>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</si>
  <si>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</si>
  <si>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</si>
  <si>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</si>
  <si>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</si>
  <si>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</si>
  <si>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</si>
  <si>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</si>
  <si>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</si>
  <si>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</si>
  <si>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</si>
  <si>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</si>
  <si>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</si>
  <si>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</si>
  <si>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</si>
  <si>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</si>
  <si>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</si>
  <si>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</si>
  <si>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</si>
  <si>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</si>
  <si>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</si>
  <si>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</si>
  <si>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</si>
  <si>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</si>
  <si>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</si>
  <si>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</si>
  <si>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</si>
  <si>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</si>
  <si>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</si>
  <si>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</si>
  <si>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</si>
  <si>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</si>
  <si>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</si>
  <si>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</si>
  <si>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</si>
  <si>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</si>
  <si>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</si>
  <si>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</si>
  <si>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</si>
  <si>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</si>
  <si>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</si>
  <si>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</si>
  <si>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</si>
  <si>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</si>
  <si>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</si>
  <si>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</si>
  <si>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</si>
  <si>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</si>
  <si>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</si>
  <si>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</si>
  <si>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</si>
  <si>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</si>
  <si>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</si>
  <si>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</si>
  <si>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</si>
  <si>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</si>
  <si>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</si>
  <si>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</si>
  <si>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</si>
  <si>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</si>
  <si>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</si>
  <si>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</si>
  <si>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</si>
  <si>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</si>
  <si>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</si>
  <si>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</si>
  <si>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</si>
  <si>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</si>
  <si>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</si>
  <si>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</si>
  <si>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</si>
  <si>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</si>
  <si>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</si>
  <si>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</si>
  <si>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</si>
  <si>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</si>
  <si>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</si>
  <si>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</si>
  <si>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</si>
  <si>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</si>
  <si>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</si>
  <si>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</si>
  <si>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</si>
  <si>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</si>
  <si>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</si>
  <si>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</si>
  <si>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</si>
  <si>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</si>
  <si>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</si>
  <si>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</si>
  <si>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</si>
  <si>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</si>
  <si>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</si>
  <si>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</si>
  <si>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</si>
  <si>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</si>
  <si>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</si>
  <si>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</si>
  <si>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</si>
  <si>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</si>
  <si>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</si>
  <si>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</si>
  <si>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</si>
  <si>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</si>
  <si>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</si>
  <si>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</si>
  <si>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</si>
  <si>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</si>
  <si>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</si>
  <si>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</si>
  <si>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</si>
  <si>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</si>
  <si>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</si>
  <si>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</si>
  <si>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</si>
  <si>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</si>
  <si>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</si>
  <si>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</si>
  <si>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</si>
  <si>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</si>
  <si>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</si>
  <si>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</si>
  <si>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</si>
  <si>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</si>
  <si>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</si>
  <si>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</si>
  <si>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</si>
  <si>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</si>
  <si>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</si>
  <si>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</si>
  <si>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</si>
  <si>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</si>
  <si>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</si>
  <si>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</si>
  <si>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</si>
  <si>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</si>
  <si>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</si>
  <si>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</si>
  <si>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</si>
  <si>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</si>
  <si>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</si>
  <si>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</si>
  <si>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</si>
  <si>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</si>
  <si>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</si>
  <si>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</si>
  <si>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</si>
  <si>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</si>
  <si>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</si>
  <si>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</si>
  <si>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</si>
  <si>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</si>
  <si>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</si>
  <si>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</si>
  <si>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</si>
  <si>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</si>
  <si>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</si>
  <si>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</si>
  <si>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</si>
  <si>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</si>
  <si>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</si>
  <si>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</si>
  <si>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</si>
  <si>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</si>
  <si>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</si>
  <si>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</si>
  <si>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</si>
  <si>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</si>
  <si>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</si>
  <si>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</si>
  <si>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</si>
  <si>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</si>
  <si>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</si>
  <si>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</si>
  <si>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</si>
  <si>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</si>
  <si>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</si>
  <si>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</si>
  <si>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</si>
  <si>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</si>
  <si>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</si>
  <si>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</si>
  <si>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</si>
  <si>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</si>
  <si>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</si>
  <si>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</si>
  <si>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</si>
  <si>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</si>
  <si>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</si>
  <si>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</si>
  <si>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</si>
  <si>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</si>
  <si>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</si>
  <si>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</si>
  <si>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</si>
  <si>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</si>
  <si>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</si>
  <si>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</si>
  <si>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</si>
  <si>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</si>
  <si>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</si>
  <si>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</si>
  <si>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</si>
  <si>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</si>
  <si>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</si>
  <si>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</si>
  <si>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</si>
  <si>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</si>
  <si>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</si>
  <si>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</si>
  <si>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</si>
  <si>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</si>
  <si>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</si>
  <si>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</si>
  <si>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</si>
  <si>
    <t>SOTO MARIA ISABEL</t>
  </si>
  <si>
    <t>SI ES AD-MODUM, por lo que envian</t>
  </si>
  <si>
    <t>JARAMILLO INGRID</t>
  </si>
  <si>
    <t>la protesis se hizo aca pero pidio agregar dientes faltantes</t>
  </si>
  <si>
    <t>CUBILLOS ELIZABETH</t>
  </si>
  <si>
    <t>CONTRERAS MARIA</t>
  </si>
  <si>
    <t>PLACA DE ALTURA</t>
  </si>
  <si>
    <t>DIAZ JORGE</t>
  </si>
  <si>
    <t>6-8</t>
  </si>
  <si>
    <t>hcieron apoyos provisorios pero no los cobraron en denture</t>
  </si>
  <si>
    <t>CARRASCO HUMBERTO</t>
  </si>
  <si>
    <t>KAPUSTIN SOLEDAD</t>
  </si>
  <si>
    <t>HERNANDEZ CLAUDIA</t>
  </si>
  <si>
    <t>JORQUERA SANTIAGO</t>
  </si>
  <si>
    <t>MUGORENI SANDRA</t>
  </si>
  <si>
    <t>GONZALEZ MARIA VICTORIA</t>
  </si>
  <si>
    <t>LINGO YANET</t>
  </si>
  <si>
    <t>ESCARATE FREDDY</t>
  </si>
  <si>
    <t>MORALES IVAN</t>
  </si>
  <si>
    <t>VERA MIRIAM</t>
  </si>
  <si>
    <t>OYARZUN MARIA</t>
  </si>
  <si>
    <t>URREO CECILIA</t>
  </si>
  <si>
    <t>ZAVALA SANDRA</t>
  </si>
  <si>
    <t>GARCES MIGUEL</t>
  </si>
  <si>
    <t>VERA JOHANA</t>
  </si>
  <si>
    <t>GARAI</t>
  </si>
  <si>
    <t>En octubre del 2014  hizo protesis acrilicas SUP/INF Ahora es con base</t>
  </si>
  <si>
    <t>MANCILLA EDELMIRA(O)</t>
  </si>
  <si>
    <t>VALDIVIA MICHELLE</t>
  </si>
  <si>
    <t>SAAVEDRA JUANA</t>
  </si>
  <si>
    <t>MENESES ISIDORA</t>
  </si>
  <si>
    <t>GONZALEZ PABLO</t>
  </si>
  <si>
    <t>PEREIRA MARTA</t>
  </si>
  <si>
    <t>MARCHESE MARIANO</t>
  </si>
  <si>
    <t>PAINEPIL FERNANDA</t>
  </si>
  <si>
    <t>82256/86167/88732</t>
  </si>
  <si>
    <t>REYES JUDITH</t>
  </si>
  <si>
    <t>BALLADARES MARIA</t>
  </si>
  <si>
    <t>en septiembre 2014 hizo protesis inferior pero sin base</t>
  </si>
  <si>
    <t>ARIAS FERNANDO</t>
  </si>
  <si>
    <t>VALLES JAIME</t>
  </si>
  <si>
    <t>VALDEZ MARGOT</t>
  </si>
  <si>
    <t>QUINTANA CARLOS</t>
  </si>
  <si>
    <t>TALLAR NAIN</t>
  </si>
  <si>
    <t>PEREDO MARCELINO</t>
  </si>
  <si>
    <t>NO SE ENCUENTRA REGISTRO DE LA BASE, pero para la articualaicon se enviaron 2 bases</t>
  </si>
  <si>
    <t>IRARRAZABAL SERGIO</t>
  </si>
  <si>
    <t>en sept-2014 hizo protesis acrilicoas SUP/INF ahora pidio placas alturas SUP/INF Y BASE METALICA pza inf</t>
  </si>
  <si>
    <t>PEREZ CARMEN</t>
  </si>
  <si>
    <t>MILLAPI CELINA</t>
  </si>
  <si>
    <t>87557/89719</t>
  </si>
  <si>
    <t>ALVARADO SERGIO</t>
  </si>
  <si>
    <t>MARTINEZ IVANNA</t>
  </si>
  <si>
    <t>ESTAMPADO PLASTICO</t>
  </si>
  <si>
    <t>SCHOETTGE VERONICA</t>
  </si>
  <si>
    <t>BERTILA ROSA</t>
  </si>
  <si>
    <t xml:space="preserve">QUINTANA FABIOLA </t>
  </si>
  <si>
    <t>SEDANO EUSEBIO</t>
  </si>
  <si>
    <t>DELGADO EVARISTO</t>
  </si>
  <si>
    <t xml:space="preserve">ARGEL SILVANA </t>
  </si>
  <si>
    <t>HENRIQUEZ SERGIO</t>
  </si>
  <si>
    <t>OLAVARRIA TERESA</t>
  </si>
  <si>
    <t>ADRIANO CRISTINA</t>
  </si>
  <si>
    <t>NATAYA RUIZ</t>
  </si>
  <si>
    <t>BOBADILLA CARLOS</t>
  </si>
  <si>
    <t>VIKENT HALLBARB</t>
  </si>
  <si>
    <t>CARO HORACIO</t>
  </si>
  <si>
    <t>ERNST ALEJANDRO</t>
  </si>
  <si>
    <t>HERMOSILLA RODRIGO</t>
  </si>
  <si>
    <t>LOPEZ BEATRIZ</t>
  </si>
  <si>
    <t>MARDES AFRODITA</t>
  </si>
  <si>
    <t>GUIA QUIRURGICA DIENTES TRANSPARENTES</t>
  </si>
  <si>
    <t>IBACETA MARIO</t>
  </si>
  <si>
    <t>RAIMILLA MARCELO</t>
  </si>
  <si>
    <t>NAVARRO SEBASTIAN</t>
  </si>
  <si>
    <t>CARDENAS DANIELA</t>
  </si>
  <si>
    <t>CALISTO JUAN</t>
  </si>
  <si>
    <t>83871/89398</t>
  </si>
  <si>
    <t>OLAVARRA ZUÑIGA PILAR</t>
  </si>
  <si>
    <t>VEGA LUIS</t>
  </si>
  <si>
    <t>MANSILLA MIRTA</t>
  </si>
  <si>
    <t>CAMUS FABIOLA</t>
  </si>
  <si>
    <t>28-29-30</t>
  </si>
  <si>
    <t>antes en denture paciente LEMUS FABIOLA</t>
  </si>
  <si>
    <t>70731 / 74838 / 73326</t>
  </si>
  <si>
    <t>ORTEGA ROSITA</t>
  </si>
  <si>
    <t>GUZMAN SILVIA</t>
  </si>
  <si>
    <t>NAVAS CARLOS</t>
  </si>
  <si>
    <t>CEA RUT</t>
  </si>
  <si>
    <t>en agosto del 2014 hay una vasquez eugenia que hizo protesis acrilica inferior pero con el dr MILLA</t>
  </si>
  <si>
    <t>BELTRAN FLOR</t>
  </si>
  <si>
    <t>MOENA ULISES</t>
  </si>
  <si>
    <t>PULGAR DAHIANA</t>
  </si>
  <si>
    <t>VARGAS ANA ANDREA</t>
  </si>
  <si>
    <t>ERICES JUANA</t>
  </si>
  <si>
    <t>RIFO FRANCISCA</t>
  </si>
  <si>
    <t>CARILLA EMPRESS CAD</t>
  </si>
  <si>
    <t>CONTRERAS JHONATHAN</t>
  </si>
  <si>
    <t>EN AGOSTO 2014 HIZO PROTESIS ACRILICA PERO SIN BASR</t>
  </si>
  <si>
    <t>GACITUA SERGIO</t>
  </si>
  <si>
    <t>60299/62584/64920/67166 / 81566/85262/87929/89021</t>
  </si>
  <si>
    <t>CACERES JUANA</t>
  </si>
  <si>
    <t>MIRANDA ELIZABETH</t>
  </si>
  <si>
    <t>PORCELANA HECHA 2 VECES EN NOVIEMBRE DEL 2014</t>
  </si>
  <si>
    <t>ALLENDES JOSE</t>
  </si>
  <si>
    <t>VASQUEZ ALISON</t>
  </si>
  <si>
    <t>ALDASME DAYANA</t>
  </si>
  <si>
    <t>GONZALEZ KARINA</t>
  </si>
  <si>
    <t>ROJAS DANIEL</t>
  </si>
  <si>
    <t>MARTINEZ CESAR</t>
  </si>
  <si>
    <t>SALAS PATRICIA</t>
  </si>
  <si>
    <t>LOPEZ JULIA</t>
  </si>
  <si>
    <t>80059 / 83910/89395</t>
  </si>
  <si>
    <t>QUIROZ PATRICIA</t>
  </si>
  <si>
    <t>FERNANDEZ MARTA</t>
  </si>
  <si>
    <t>ESPINOZA ELIZABETH</t>
  </si>
  <si>
    <t>CIFUENTES JALIL</t>
  </si>
  <si>
    <t>MORAGA GABRIEL</t>
  </si>
  <si>
    <t>ULLOA YOCELYN</t>
  </si>
  <si>
    <t>MARQUEZ FELIX</t>
  </si>
  <si>
    <t>ASENCIO MARIA</t>
  </si>
  <si>
    <t>URIBE NORMA</t>
  </si>
  <si>
    <t>ROMERO FRANCISCO</t>
  </si>
  <si>
    <t>CASQUETE CEMENTADO</t>
  </si>
  <si>
    <t>CELISTO MENDEZ</t>
  </si>
  <si>
    <t>PEÑA MARIA</t>
  </si>
  <si>
    <t>GUTIERREZ RAMON</t>
  </si>
  <si>
    <t xml:space="preserve">RIVERA JORGE </t>
  </si>
  <si>
    <t>NIETO LILIANA</t>
  </si>
  <si>
    <t>FUENTES SEBASTIAN</t>
  </si>
  <si>
    <t>SALAS ISMAEL</t>
  </si>
  <si>
    <t>TRINCADO NORMA</t>
  </si>
  <si>
    <t>ARANCIBIA JUAN</t>
  </si>
  <si>
    <t>DOLDER (TERM)</t>
  </si>
  <si>
    <t>2015-ENERO</t>
  </si>
  <si>
    <t xml:space="preserve">PLANILLA DE TRABAJOS TERMINADOS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</si>
</sst>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7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rgb="FFC80F0A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Arial Black"/>
      <family val="2"/>
    </font>
  </fonts>
  <fills count="4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6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7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7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7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7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7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17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17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left" vertical="center" wrapText="1"/>
    </xf>
    <xf numFmtId="0" fontId="17" fillId="1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5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6" fillId="5" borderId="1" xfId="0" applyNumberFormat="1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7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left" vertical="center" wrapText="1"/>
    </xf>
    <xf numFmtId="42" fontId="6" fillId="16" borderId="1" xfId="0" applyNumberFormat="1" applyFont="1" applyFill="1" applyBorder="1" applyAlignment="1">
      <alignment vertical="center"/>
    </xf>
    <xf numFmtId="0" fontId="13" fillId="17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12" fillId="19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0" fillId="20" borderId="1" xfId="0" applyNumberFormat="1" applyFont="1" applyFill="1" applyBorder="1" applyAlignment="1">
      <alignment horizontal="center"/>
    </xf>
    <xf numFmtId="42" fontId="21" fillId="11" borderId="1" xfId="0" applyNumberFormat="1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5" fillId="20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23" fillId="23" borderId="1" xfId="0" applyNumberFormat="1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left" vertical="center"/>
    </xf>
    <xf numFmtId="42" fontId="21" fillId="20" borderId="1" xfId="0" applyNumberFormat="1" applyFont="1" applyFill="1" applyBorder="1" applyAlignment="1">
      <alignment horizontal="center"/>
    </xf>
    <xf numFmtId="0" fontId="23" fillId="23" borderId="1" xfId="0" applyFont="1" applyFill="1" applyBorder="1" applyAlignment="1">
      <alignment horizontal="center" vertical="center"/>
    </xf>
    <xf numFmtId="165" fontId="23" fillId="23" borderId="1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left" vertical="center"/>
    </xf>
    <xf numFmtId="0" fontId="23" fillId="23" borderId="1" xfId="0" applyFont="1" applyFill="1" applyBorder="1"/>
    <xf numFmtId="1" fontId="23" fillId="23" borderId="1" xfId="0" applyNumberFormat="1" applyFont="1" applyFill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2" fillId="19" borderId="0" xfId="1" applyFont="1" applyFill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 vertical="center"/>
    </xf>
    <xf numFmtId="166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6" fillId="0" borderId="1" xfId="0" applyNumberFormat="1" applyFont="1" applyBorder="1" applyAlignment="1">
      <alignment horizontal="center" vertical="center"/>
    </xf>
    <xf numFmtId="1" fontId="27" fillId="24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/>
    <xf numFmtId="0" fontId="28" fillId="24" borderId="1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 applyAlignment="1" applyProtection="1">
      <alignment horizontal="left" vertical="center"/>
      <protection locked="0"/>
    </xf>
    <xf numFmtId="42" fontId="28" fillId="20" borderId="1" xfId="0" applyNumberFormat="1" applyFont="1" applyFill="1" applyBorder="1" applyAlignment="1">
      <alignment horizontal="center"/>
    </xf>
    <xf numFmtId="42" fontId="29" fillId="11" borderId="1" xfId="0" applyNumberFormat="1" applyFont="1" applyFill="1" applyBorder="1" applyAlignment="1">
      <alignment horizontal="center"/>
    </xf>
    <xf numFmtId="49" fontId="25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2" fillId="24" borderId="1" xfId="1" applyFont="1" applyFill="1" applyBorder="1" applyAlignment="1" applyProtection="1">
      <alignment horizontal="center" vertical="center"/>
      <protection locked="0"/>
    </xf>
    <xf numFmtId="166" fontId="32" fillId="24" borderId="1" xfId="1" applyNumberFormat="1" applyFont="1" applyFill="1" applyBorder="1" applyAlignment="1" applyProtection="1">
      <alignment horizontal="center" vertical="center"/>
      <protection locked="0"/>
    </xf>
    <xf numFmtId="0" fontId="32" fillId="24" borderId="1" xfId="1" applyFont="1" applyFill="1" applyBorder="1" applyAlignment="1" applyProtection="1">
      <alignment horizontal="left" vertical="center"/>
      <protection locked="0"/>
    </xf>
    <xf numFmtId="0" fontId="32" fillId="25" borderId="1" xfId="1" applyFont="1" applyFill="1" applyBorder="1" applyAlignment="1" applyProtection="1">
      <alignment horizontal="left" vertical="center"/>
      <protection locked="0"/>
    </xf>
    <xf numFmtId="49" fontId="32" fillId="24" borderId="1" xfId="1" applyNumberFormat="1" applyFont="1" applyFill="1" applyBorder="1" applyAlignment="1" applyProtection="1">
      <alignment horizontal="center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1" fontId="32" fillId="24" borderId="1" xfId="1" applyNumberFormat="1" applyFont="1" applyFill="1" applyBorder="1" applyAlignment="1" applyProtection="1">
      <alignment horizontal="center" vertical="center"/>
      <protection locked="0"/>
    </xf>
    <xf numFmtId="167" fontId="34" fillId="26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1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2" fillId="0" borderId="0" xfId="1" applyFont="1" applyAlignment="1" applyProtection="1">
      <alignment vertical="center"/>
      <protection locked="0"/>
    </xf>
    <xf numFmtId="0" fontId="36" fillId="24" borderId="1" xfId="1" applyFont="1" applyFill="1" applyBorder="1" applyAlignment="1" applyProtection="1">
      <alignment horizontal="center" vertical="center"/>
      <protection locked="0"/>
    </xf>
    <xf numFmtId="166" fontId="36" fillId="24" borderId="1" xfId="1" applyNumberFormat="1" applyFont="1" applyFill="1" applyBorder="1" applyAlignment="1" applyProtection="1">
      <alignment horizontal="center" vertical="center"/>
      <protection locked="0"/>
    </xf>
    <xf numFmtId="0" fontId="36" fillId="24" borderId="1" xfId="1" applyFont="1" applyFill="1" applyBorder="1" applyAlignment="1" applyProtection="1">
      <alignment horizontal="left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1" fontId="36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26" borderId="2" xfId="3" applyNumberFormat="1" applyFont="1" applyFill="1" applyBorder="1" applyAlignment="1" applyProtection="1">
      <alignment horizontal="center" vertical="center"/>
      <protection locked="0"/>
    </xf>
    <xf numFmtId="0" fontId="37" fillId="0" borderId="0" xfId="1" applyFont="1" applyBorder="1" applyProtection="1">
      <protection locked="0"/>
    </xf>
    <xf numFmtId="0" fontId="37" fillId="0" borderId="0" xfId="1" applyFont="1" applyProtection="1">
      <protection locked="0"/>
    </xf>
    <xf numFmtId="0" fontId="36" fillId="0" borderId="0" xfId="1" applyFont="1" applyAlignment="1" applyProtection="1">
      <alignment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8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9" fillId="24" borderId="1" xfId="1" applyFont="1" applyFill="1" applyBorder="1" applyAlignment="1" applyProtection="1">
      <alignment horizontal="center" vertical="center"/>
      <protection locked="0"/>
    </xf>
    <xf numFmtId="166" fontId="39" fillId="24" borderId="1" xfId="1" applyNumberFormat="1" applyFont="1" applyFill="1" applyBorder="1" applyAlignment="1" applyProtection="1">
      <alignment horizontal="center" vertical="center"/>
      <protection locked="0"/>
    </xf>
    <xf numFmtId="0" fontId="39" fillId="24" borderId="1" xfId="1" applyFont="1" applyFill="1" applyBorder="1" applyAlignment="1" applyProtection="1">
      <alignment horizontal="left" vertical="center"/>
      <protection locked="0"/>
    </xf>
    <xf numFmtId="0" fontId="39" fillId="25" borderId="1" xfId="1" applyFont="1" applyFill="1" applyBorder="1" applyAlignment="1" applyProtection="1">
      <alignment horizontal="left" vertical="center"/>
      <protection locked="0"/>
    </xf>
    <xf numFmtId="49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34" fillId="25" borderId="1" xfId="1" applyNumberFormat="1" applyFont="1" applyFill="1" applyBorder="1" applyAlignment="1" applyProtection="1">
      <alignment horizontal="center" vertical="center"/>
      <protection locked="0"/>
    </xf>
    <xf numFmtId="1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40" fillId="24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2" fillId="24" borderId="0" xfId="1" applyFont="1" applyFill="1" applyBorder="1" applyAlignment="1" applyProtection="1">
      <alignment horizontal="center" vertical="center"/>
      <protection locked="0"/>
    </xf>
    <xf numFmtId="49" fontId="32" fillId="24" borderId="0" xfId="1" applyNumberFormat="1" applyFont="1" applyFill="1" applyBorder="1" applyAlignment="1" applyProtection="1">
      <alignment horizontal="center" vertical="center"/>
      <protection locked="0"/>
    </xf>
    <xf numFmtId="0" fontId="32" fillId="24" borderId="0" xfId="1" applyFont="1" applyFill="1" applyBorder="1" applyAlignment="1" applyProtection="1">
      <alignment horizontal="left" vertical="center"/>
      <protection locked="0"/>
    </xf>
    <xf numFmtId="166" fontId="32" fillId="24" borderId="0" xfId="1" applyNumberFormat="1" applyFont="1" applyFill="1" applyBorder="1" applyAlignment="1" applyProtection="1">
      <alignment horizontal="center" vertical="center"/>
      <protection locked="0"/>
    </xf>
    <xf numFmtId="168" fontId="32" fillId="24" borderId="0" xfId="1" applyNumberFormat="1" applyFont="1" applyFill="1" applyBorder="1" applyAlignment="1" applyProtection="1">
      <alignment vertical="center"/>
      <protection locked="0"/>
    </xf>
    <xf numFmtId="49" fontId="36" fillId="24" borderId="1" xfId="3" applyNumberFormat="1" applyFont="1" applyFill="1" applyBorder="1" applyAlignment="1" applyProtection="1">
      <alignment horizontal="center" vertical="center"/>
      <protection locked="0"/>
    </xf>
    <xf numFmtId="49" fontId="41" fillId="24" borderId="3" xfId="3" applyNumberFormat="1" applyFont="1" applyFill="1" applyBorder="1" applyAlignment="1" applyProtection="1">
      <alignment vertical="center" wrapText="1"/>
      <protection locked="0"/>
    </xf>
    <xf numFmtId="167" fontId="42" fillId="0" borderId="3" xfId="3" applyNumberFormat="1" applyFont="1" applyBorder="1" applyAlignment="1" applyProtection="1">
      <alignment vertical="center"/>
      <protection locked="0"/>
    </xf>
    <xf numFmtId="0" fontId="32" fillId="5" borderId="1" xfId="1" applyFont="1" applyFill="1" applyBorder="1" applyAlignment="1" applyProtection="1">
      <alignment horizontal="left" vertical="center"/>
      <protection locked="0"/>
    </xf>
    <xf numFmtId="0" fontId="43" fillId="24" borderId="1" xfId="1" applyFont="1" applyFill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vertical="center"/>
      <protection locked="0"/>
    </xf>
    <xf numFmtId="167" fontId="35" fillId="7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vertical="center" wrapText="1"/>
      <protection locked="0"/>
    </xf>
    <xf numFmtId="167" fontId="36" fillId="26" borderId="2" xfId="3" applyNumberFormat="1" applyFont="1" applyFill="1" applyBorder="1" applyAlignment="1" applyProtection="1">
      <alignment horizontal="center" vertical="center"/>
      <protection locked="0"/>
    </xf>
    <xf numFmtId="0" fontId="35" fillId="24" borderId="1" xfId="1" applyFont="1" applyFill="1" applyBorder="1" applyAlignment="1" applyProtection="1">
      <alignment horizontal="left" vertical="center"/>
      <protection locked="0"/>
    </xf>
    <xf numFmtId="49" fontId="36" fillId="0" borderId="3" xfId="3" applyNumberFormat="1" applyFont="1" applyFill="1" applyBorder="1" applyAlignment="1" applyProtection="1">
      <alignment vertical="center" wrapText="1"/>
      <protection locked="0"/>
    </xf>
    <xf numFmtId="0" fontId="35" fillId="24" borderId="1" xfId="1" applyFont="1" applyFill="1" applyBorder="1" applyAlignment="1" applyProtection="1">
      <alignment horizontal="center" vertical="center"/>
      <protection locked="0"/>
    </xf>
    <xf numFmtId="166" fontId="35" fillId="24" borderId="1" xfId="1" applyNumberFormat="1" applyFont="1" applyFill="1" applyBorder="1" applyAlignment="1" applyProtection="1">
      <alignment horizontal="center" vertical="center"/>
      <protection locked="0"/>
    </xf>
    <xf numFmtId="0" fontId="35" fillId="25" borderId="1" xfId="1" applyFont="1" applyFill="1" applyBorder="1" applyAlignment="1" applyProtection="1">
      <alignment horizontal="left" vertical="center"/>
      <protection locked="0"/>
    </xf>
    <xf numFmtId="49" fontId="35" fillId="24" borderId="1" xfId="1" applyNumberFormat="1" applyFont="1" applyFill="1" applyBorder="1" applyAlignment="1" applyProtection="1">
      <alignment horizontal="center" vertical="center"/>
      <protection locked="0"/>
    </xf>
    <xf numFmtId="49" fontId="35" fillId="25" borderId="1" xfId="1" applyNumberFormat="1" applyFont="1" applyFill="1" applyBorder="1" applyAlignment="1" applyProtection="1">
      <alignment horizontal="center" vertical="center"/>
      <protection locked="0"/>
    </xf>
    <xf numFmtId="1" fontId="35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4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2" fillId="5" borderId="0" xfId="1" applyFont="1" applyFill="1" applyAlignment="1" applyProtection="1">
      <alignment vertical="center"/>
      <protection locked="0"/>
    </xf>
    <xf numFmtId="49" fontId="45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1" xfId="3" applyNumberFormat="1" applyFont="1" applyBorder="1" applyAlignment="1" applyProtection="1">
      <alignment vertical="center"/>
      <protection locked="0"/>
    </xf>
    <xf numFmtId="49" fontId="4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0" fontId="47" fillId="0" borderId="0" xfId="1" applyFont="1" applyBorder="1" applyProtection="1">
      <protection locked="0"/>
    </xf>
    <xf numFmtId="0" fontId="47" fillId="0" borderId="0" xfId="1" applyFont="1" applyProtection="1">
      <protection locked="0"/>
    </xf>
    <xf numFmtId="0" fontId="39" fillId="0" borderId="0" xfId="1" applyFont="1" applyAlignment="1" applyProtection="1">
      <alignment vertical="center"/>
      <protection locked="0"/>
    </xf>
    <xf numFmtId="49" fontId="48" fillId="24" borderId="3" xfId="3" applyNumberFormat="1" applyFont="1" applyFill="1" applyBorder="1" applyAlignment="1" applyProtection="1">
      <alignment vertical="center" wrapText="1"/>
      <protection locked="0"/>
    </xf>
    <xf numFmtId="167" fontId="44" fillId="0" borderId="3" xfId="3" applyNumberFormat="1" applyFont="1" applyBorder="1" applyAlignment="1" applyProtection="1">
      <alignment vertical="center"/>
      <protection locked="0"/>
    </xf>
    <xf numFmtId="49" fontId="42" fillId="24" borderId="3" xfId="3" applyNumberFormat="1" applyFont="1" applyFill="1" applyBorder="1" applyAlignment="1" applyProtection="1">
      <alignment vertical="center" wrapText="1"/>
      <protection locked="0"/>
    </xf>
    <xf numFmtId="0" fontId="45" fillId="24" borderId="3" xfId="3" applyNumberFormat="1" applyFont="1" applyFill="1" applyBorder="1" applyAlignment="1" applyProtection="1">
      <alignment horizontal="left" vertical="center" wrapText="1"/>
      <protection locked="0"/>
    </xf>
    <xf numFmtId="0" fontId="44" fillId="0" borderId="3" xfId="3" applyNumberFormat="1" applyFont="1" applyBorder="1" applyAlignment="1" applyProtection="1">
      <alignment vertical="center"/>
      <protection locked="0"/>
    </xf>
    <xf numFmtId="0" fontId="36" fillId="5" borderId="1" xfId="1" applyFont="1" applyFill="1" applyBorder="1" applyAlignment="1" applyProtection="1">
      <alignment horizontal="left" vertical="center"/>
      <protection locked="0"/>
    </xf>
    <xf numFmtId="0" fontId="49" fillId="25" borderId="1" xfId="1" applyFont="1" applyFill="1" applyBorder="1" applyAlignment="1" applyProtection="1">
      <alignment horizontal="left" vertical="center"/>
      <protection locked="0"/>
    </xf>
    <xf numFmtId="49" fontId="36" fillId="5" borderId="3" xfId="3" applyNumberFormat="1" applyFont="1" applyFill="1" applyBorder="1" applyAlignment="1" applyProtection="1">
      <alignment vertical="center" wrapText="1"/>
      <protection locked="0"/>
    </xf>
    <xf numFmtId="0" fontId="36" fillId="5" borderId="1" xfId="1" applyFont="1" applyFill="1" applyBorder="1" applyAlignment="1" applyProtection="1">
      <alignment horizontal="center" vertical="center"/>
      <protection locked="0"/>
    </xf>
    <xf numFmtId="166" fontId="36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1" applyNumberFormat="1" applyFont="1" applyFill="1" applyBorder="1" applyAlignment="1" applyProtection="1">
      <alignment horizontal="center" vertical="center"/>
      <protection locked="0"/>
    </xf>
    <xf numFmtId="1" fontId="36" fillId="5" borderId="1" xfId="1" applyNumberFormat="1" applyFont="1" applyFill="1" applyBorder="1" applyAlignment="1" applyProtection="1">
      <alignment horizontal="center" vertical="center"/>
      <protection locked="0"/>
    </xf>
    <xf numFmtId="0" fontId="50" fillId="0" borderId="0" xfId="1" applyFont="1" applyBorder="1" applyProtection="1">
      <protection locked="0"/>
    </xf>
    <xf numFmtId="167" fontId="34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/>
      <protection locked="0"/>
    </xf>
    <xf numFmtId="167" fontId="34" fillId="28" borderId="2" xfId="3" applyNumberFormat="1" applyFont="1" applyFill="1" applyBorder="1" applyAlignment="1" applyProtection="1">
      <alignment horizontal="center" vertical="center"/>
      <protection locked="0"/>
    </xf>
    <xf numFmtId="167" fontId="34" fillId="5" borderId="2" xfId="3" applyNumberFormat="1" applyFont="1" applyFill="1" applyBorder="1" applyAlignment="1" applyProtection="1">
      <alignment horizontal="center" vertical="center"/>
      <protection locked="0"/>
    </xf>
    <xf numFmtId="49" fontId="42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6" xfId="3" applyNumberFormat="1" applyFont="1" applyFill="1" applyBorder="1" applyAlignment="1" applyProtection="1">
      <alignment vertical="center" wrapText="1"/>
      <protection locked="0"/>
    </xf>
    <xf numFmtId="0" fontId="35" fillId="0" borderId="1" xfId="1" applyFont="1" applyFill="1" applyBorder="1" applyAlignment="1" applyProtection="1">
      <alignment horizontal="left" vertical="center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49" fontId="42" fillId="24" borderId="9" xfId="3" applyNumberFormat="1" applyFont="1" applyFill="1" applyBorder="1" applyAlignment="1" applyProtection="1">
      <alignment vertical="center" wrapText="1"/>
      <protection locked="0"/>
    </xf>
    <xf numFmtId="167" fontId="34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5" fillId="0" borderId="0" xfId="1" applyFont="1" applyAlignment="1" applyProtection="1">
      <alignment vertical="center"/>
      <protection locked="0"/>
    </xf>
    <xf numFmtId="0" fontId="1" fillId="0" borderId="0" xfId="1"/>
    <xf numFmtId="0" fontId="55" fillId="0" borderId="0" xfId="1" applyFont="1" applyAlignment="1" applyProtection="1">
      <alignment horizontal="center" vertical="center"/>
      <protection locked="0"/>
    </xf>
    <xf numFmtId="0" fontId="57" fillId="30" borderId="1" xfId="1" applyFont="1" applyFill="1" applyBorder="1" applyAlignment="1" applyProtection="1">
      <alignment horizontal="center" vertical="center"/>
      <protection locked="0"/>
    </xf>
    <xf numFmtId="0" fontId="57" fillId="30" borderId="2" xfId="1" applyFont="1" applyFill="1" applyBorder="1" applyAlignment="1" applyProtection="1">
      <alignment horizontal="center" vertical="center"/>
      <protection locked="0"/>
    </xf>
    <xf numFmtId="170" fontId="35" fillId="24" borderId="1" xfId="3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0" xfId="1" applyFont="1" applyFill="1" applyAlignment="1" applyProtection="1">
      <alignment vertical="center"/>
      <protection locked="0"/>
    </xf>
    <xf numFmtId="0" fontId="35" fillId="24" borderId="11" xfId="1" applyFont="1" applyFill="1" applyBorder="1" applyAlignment="1" applyProtection="1">
      <alignment horizontal="center" vertical="center"/>
      <protection locked="0"/>
    </xf>
    <xf numFmtId="0" fontId="35" fillId="24" borderId="11" xfId="1" applyFont="1" applyFill="1" applyBorder="1" applyAlignment="1" applyProtection="1">
      <alignment horizontal="left" vertical="center"/>
      <protection locked="0"/>
    </xf>
    <xf numFmtId="49" fontId="35" fillId="24" borderId="11" xfId="1" applyNumberFormat="1" applyFont="1" applyFill="1" applyBorder="1" applyAlignment="1" applyProtection="1">
      <alignment horizontal="center" vertical="center"/>
      <protection locked="0"/>
    </xf>
    <xf numFmtId="166" fontId="35" fillId="24" borderId="11" xfId="1" applyNumberFormat="1" applyFont="1" applyFill="1" applyBorder="1" applyAlignment="1" applyProtection="1">
      <alignment horizontal="center" vertical="center"/>
      <protection locked="0"/>
    </xf>
    <xf numFmtId="170" fontId="35" fillId="24" borderId="11" xfId="3" applyNumberFormat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left" vertical="center"/>
      <protection locked="0"/>
    </xf>
    <xf numFmtId="0" fontId="35" fillId="24" borderId="5" xfId="1" applyFont="1" applyFill="1" applyBorder="1" applyAlignment="1" applyProtection="1">
      <alignment horizontal="left" vertical="center"/>
      <protection locked="0"/>
    </xf>
    <xf numFmtId="49" fontId="36" fillId="24" borderId="5" xfId="1" applyNumberFormat="1" applyFont="1" applyFill="1" applyBorder="1" applyAlignment="1" applyProtection="1">
      <alignment horizontal="center" vertical="center"/>
      <protection locked="0"/>
    </xf>
    <xf numFmtId="49" fontId="35" fillId="24" borderId="5" xfId="1" applyNumberFormat="1" applyFont="1" applyFill="1" applyBorder="1" applyAlignment="1" applyProtection="1">
      <alignment horizontal="center" vertical="center"/>
      <protection locked="0"/>
    </xf>
    <xf numFmtId="166" fontId="36" fillId="24" borderId="5" xfId="1" applyNumberFormat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0" xfId="1" applyFont="1" applyFill="1" applyAlignment="1" applyProtection="1">
      <alignment vertical="center"/>
      <protection locked="0"/>
    </xf>
    <xf numFmtId="0" fontId="36" fillId="24" borderId="11" xfId="1" applyFont="1" applyFill="1" applyBorder="1" applyAlignment="1" applyProtection="1">
      <alignment horizontal="center" vertical="center"/>
      <protection locked="0"/>
    </xf>
    <xf numFmtId="0" fontId="36" fillId="24" borderId="11" xfId="1" applyFont="1" applyFill="1" applyBorder="1" applyAlignment="1" applyProtection="1">
      <alignment horizontal="left" vertical="center"/>
      <protection locked="0"/>
    </xf>
    <xf numFmtId="49" fontId="36" fillId="24" borderId="11" xfId="1" applyNumberFormat="1" applyFont="1" applyFill="1" applyBorder="1" applyAlignment="1" applyProtection="1">
      <alignment horizontal="center" vertical="center"/>
      <protection locked="0"/>
    </xf>
    <xf numFmtId="166" fontId="36" fillId="24" borderId="11" xfId="1" applyNumberFormat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left" vertical="center"/>
      <protection locked="0"/>
    </xf>
    <xf numFmtId="0" fontId="35" fillId="24" borderId="12" xfId="1" applyFont="1" applyFill="1" applyBorder="1" applyAlignment="1" applyProtection="1">
      <alignment horizontal="left" vertical="center"/>
      <protection locked="0"/>
    </xf>
    <xf numFmtId="49" fontId="36" fillId="24" borderId="12" xfId="1" applyNumberFormat="1" applyFont="1" applyFill="1" applyBorder="1" applyAlignment="1" applyProtection="1">
      <alignment horizontal="center" vertical="center"/>
      <protection locked="0"/>
    </xf>
    <xf numFmtId="49" fontId="35" fillId="24" borderId="12" xfId="1" applyNumberFormat="1" applyFont="1" applyFill="1" applyBorder="1" applyAlignment="1" applyProtection="1">
      <alignment horizontal="center" vertical="center"/>
      <protection locked="0"/>
    </xf>
    <xf numFmtId="166" fontId="36" fillId="24" borderId="12" xfId="1" applyNumberFormat="1" applyFont="1" applyFill="1" applyBorder="1" applyAlignment="1" applyProtection="1">
      <alignment horizontal="center" vertical="center"/>
      <protection locked="0"/>
    </xf>
    <xf numFmtId="170" fontId="35" fillId="24" borderId="12" xfId="3" applyNumberFormat="1" applyFont="1" applyFill="1" applyBorder="1" applyAlignment="1" applyProtection="1">
      <alignment horizontal="center" vertical="center"/>
      <protection locked="0"/>
    </xf>
    <xf numFmtId="0" fontId="32" fillId="32" borderId="1" xfId="1" applyFont="1" applyFill="1" applyBorder="1" applyAlignment="1" applyProtection="1">
      <alignment horizontal="center" vertical="center"/>
      <protection locked="0"/>
    </xf>
    <xf numFmtId="0" fontId="32" fillId="32" borderId="13" xfId="1" applyFont="1" applyFill="1" applyBorder="1" applyAlignment="1" applyProtection="1">
      <alignment horizontal="center" vertical="center"/>
      <protection locked="0"/>
    </xf>
    <xf numFmtId="0" fontId="36" fillId="24" borderId="13" xfId="1" applyFont="1" applyFill="1" applyBorder="1" applyAlignment="1" applyProtection="1">
      <alignment horizontal="left" vertical="center"/>
      <protection locked="0"/>
    </xf>
    <xf numFmtId="0" fontId="36" fillId="24" borderId="13" xfId="1" applyFont="1" applyFill="1" applyBorder="1" applyAlignment="1" applyProtection="1">
      <alignment horizontal="center" vertical="center"/>
      <protection locked="0"/>
    </xf>
    <xf numFmtId="0" fontId="35" fillId="24" borderId="13" xfId="1" applyFont="1" applyFill="1" applyBorder="1" applyAlignment="1" applyProtection="1">
      <alignment horizontal="left" vertical="center"/>
      <protection locked="0"/>
    </xf>
    <xf numFmtId="49" fontId="36" fillId="24" borderId="13" xfId="1" applyNumberFormat="1" applyFont="1" applyFill="1" applyBorder="1" applyAlignment="1" applyProtection="1">
      <alignment horizontal="center" vertical="center"/>
      <protection locked="0"/>
    </xf>
    <xf numFmtId="49" fontId="35" fillId="24" borderId="13" xfId="1" applyNumberFormat="1" applyFont="1" applyFill="1" applyBorder="1" applyAlignment="1" applyProtection="1">
      <alignment horizontal="center" vertical="center"/>
      <protection locked="0"/>
    </xf>
    <xf numFmtId="166" fontId="36" fillId="24" borderId="13" xfId="1" applyNumberFormat="1" applyFont="1" applyFill="1" applyBorder="1" applyAlignment="1" applyProtection="1">
      <alignment horizontal="center" vertical="center"/>
      <protection locked="0"/>
    </xf>
    <xf numFmtId="170" fontId="35" fillId="24" borderId="13" xfId="3" applyNumberFormat="1" applyFont="1" applyFill="1" applyBorder="1" applyAlignment="1" applyProtection="1">
      <alignment horizontal="center" vertical="center"/>
      <protection locked="0"/>
    </xf>
    <xf numFmtId="0" fontId="35" fillId="31" borderId="13" xfId="1" applyFont="1" applyFill="1" applyBorder="1" applyAlignment="1" applyProtection="1">
      <alignment horizontal="left" vertical="center"/>
      <protection locked="0"/>
    </xf>
    <xf numFmtId="0" fontId="32" fillId="24" borderId="14" xfId="1" applyFont="1" applyFill="1" applyBorder="1" applyAlignment="1" applyProtection="1">
      <alignment horizontal="center" vertical="center"/>
      <protection locked="0"/>
    </xf>
    <xf numFmtId="0" fontId="32" fillId="24" borderId="14" xfId="1" applyFont="1" applyFill="1" applyBorder="1" applyAlignment="1" applyProtection="1">
      <alignment horizontal="left" vertical="center"/>
      <protection locked="0"/>
    </xf>
    <xf numFmtId="0" fontId="39" fillId="24" borderId="14" xfId="1" applyFont="1" applyFill="1" applyBorder="1" applyAlignment="1" applyProtection="1">
      <alignment horizontal="left" vertical="center"/>
      <protection locked="0"/>
    </xf>
    <xf numFmtId="49" fontId="32" fillId="24" borderId="14" xfId="1" applyNumberFormat="1" applyFont="1" applyFill="1" applyBorder="1" applyAlignment="1" applyProtection="1">
      <alignment horizontal="center" vertical="center"/>
      <protection locked="0"/>
    </xf>
    <xf numFmtId="49" fontId="58" fillId="6" borderId="14" xfId="1" applyNumberFormat="1" applyFont="1" applyFill="1" applyBorder="1" applyAlignment="1" applyProtection="1">
      <alignment horizontal="center" vertical="center"/>
      <protection locked="0"/>
    </xf>
    <xf numFmtId="166" fontId="32" fillId="24" borderId="14" xfId="1" applyNumberFormat="1" applyFont="1" applyFill="1" applyBorder="1" applyAlignment="1" applyProtection="1">
      <alignment horizontal="center" vertical="center"/>
      <protection locked="0"/>
    </xf>
    <xf numFmtId="170" fontId="39" fillId="33" borderId="14" xfId="3" applyNumberFormat="1" applyFont="1" applyFill="1" applyBorder="1" applyAlignment="1" applyProtection="1">
      <alignment horizontal="center" vertical="center"/>
      <protection locked="0"/>
    </xf>
    <xf numFmtId="170" fontId="39" fillId="12" borderId="14" xfId="3" applyNumberFormat="1" applyFont="1" applyFill="1" applyBorder="1" applyAlignment="1" applyProtection="1">
      <alignment horizontal="center" vertical="center"/>
      <protection locked="0"/>
    </xf>
    <xf numFmtId="170" fontId="39" fillId="31" borderId="1" xfId="3" applyNumberFormat="1" applyFont="1" applyFill="1" applyBorder="1" applyAlignment="1" applyProtection="1">
      <alignment horizontal="center" vertical="center"/>
      <protection locked="0"/>
    </xf>
    <xf numFmtId="49" fontId="58" fillId="6" borderId="1" xfId="1" applyNumberFormat="1" applyFont="1" applyFill="1" applyBorder="1" applyAlignment="1" applyProtection="1">
      <alignment horizontal="center" vertical="center"/>
      <protection locked="0"/>
    </xf>
    <xf numFmtId="170" fontId="39" fillId="33" borderId="1" xfId="3" applyNumberFormat="1" applyFont="1" applyFill="1" applyBorder="1" applyAlignment="1" applyProtection="1">
      <alignment horizontal="center" vertical="center"/>
      <protection locked="0"/>
    </xf>
    <xf numFmtId="170" fontId="39" fillId="12" borderId="1" xfId="3" applyNumberFormat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left" vertical="center"/>
      <protection locked="0"/>
    </xf>
    <xf numFmtId="0" fontId="39" fillId="24" borderId="5" xfId="1" applyFont="1" applyFill="1" applyBorder="1" applyAlignment="1" applyProtection="1">
      <alignment horizontal="left" vertical="center"/>
      <protection locked="0"/>
    </xf>
    <xf numFmtId="49" fontId="32" fillId="24" borderId="5" xfId="1" applyNumberFormat="1" applyFont="1" applyFill="1" applyBorder="1" applyAlignment="1" applyProtection="1">
      <alignment horizontal="center" vertical="center"/>
      <protection locked="0"/>
    </xf>
    <xf numFmtId="49" fontId="58" fillId="6" borderId="5" xfId="1" applyNumberFormat="1" applyFont="1" applyFill="1" applyBorder="1" applyAlignment="1" applyProtection="1">
      <alignment horizontal="center" vertical="center"/>
      <protection locked="0"/>
    </xf>
    <xf numFmtId="166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3" borderId="5" xfId="3" applyNumberFormat="1" applyFont="1" applyFill="1" applyBorder="1" applyAlignment="1" applyProtection="1">
      <alignment horizontal="center" vertical="center"/>
      <protection locked="0"/>
    </xf>
    <xf numFmtId="170" fontId="39" fillId="12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left" vertical="center"/>
      <protection locked="0"/>
    </xf>
    <xf numFmtId="0" fontId="39" fillId="24" borderId="6" xfId="1" applyFont="1" applyFill="1" applyBorder="1" applyAlignment="1" applyProtection="1">
      <alignment horizontal="left" vertical="center"/>
      <protection locked="0"/>
    </xf>
    <xf numFmtId="49" fontId="32" fillId="24" borderId="6" xfId="1" applyNumberFormat="1" applyFont="1" applyFill="1" applyBorder="1" applyAlignment="1" applyProtection="1">
      <alignment horizontal="center" vertical="center"/>
      <protection locked="0"/>
    </xf>
    <xf numFmtId="49" fontId="58" fillId="6" borderId="6" xfId="1" applyNumberFormat="1" applyFont="1" applyFill="1" applyBorder="1" applyAlignment="1" applyProtection="1">
      <alignment horizontal="center" vertical="center"/>
      <protection locked="0"/>
    </xf>
    <xf numFmtId="166" fontId="32" fillId="24" borderId="6" xfId="1" applyNumberFormat="1" applyFont="1" applyFill="1" applyBorder="1" applyAlignment="1" applyProtection="1">
      <alignment horizontal="center" vertical="center"/>
      <protection locked="0"/>
    </xf>
    <xf numFmtId="170" fontId="39" fillId="33" borderId="6" xfId="3" applyNumberFormat="1" applyFont="1" applyFill="1" applyBorder="1" applyAlignment="1" applyProtection="1">
      <alignment horizontal="center" vertical="center"/>
      <protection locked="0"/>
    </xf>
    <xf numFmtId="170" fontId="39" fillId="12" borderId="6" xfId="3" applyNumberFormat="1" applyFont="1" applyFill="1" applyBorder="1" applyAlignment="1" applyProtection="1">
      <alignment horizontal="center" vertical="center"/>
      <protection locked="0"/>
    </xf>
    <xf numFmtId="0" fontId="32" fillId="24" borderId="15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left" vertical="center"/>
      <protection locked="0"/>
    </xf>
    <xf numFmtId="0" fontId="39" fillId="24" borderId="16" xfId="1" applyFont="1" applyFill="1" applyBorder="1" applyAlignment="1" applyProtection="1">
      <alignment horizontal="left" vertical="center"/>
      <protection locked="0"/>
    </xf>
    <xf numFmtId="49" fontId="32" fillId="24" borderId="16" xfId="1" applyNumberFormat="1" applyFont="1" applyFill="1" applyBorder="1" applyAlignment="1" applyProtection="1">
      <alignment horizontal="center" vertical="center"/>
      <protection locked="0"/>
    </xf>
    <xf numFmtId="49" fontId="58" fillId="6" borderId="16" xfId="1" applyNumberFormat="1" applyFont="1" applyFill="1" applyBorder="1" applyAlignment="1" applyProtection="1">
      <alignment horizontal="center" vertical="center"/>
      <protection locked="0"/>
    </xf>
    <xf numFmtId="166" fontId="32" fillId="24" borderId="16" xfId="1" applyNumberFormat="1" applyFont="1" applyFill="1" applyBorder="1" applyAlignment="1" applyProtection="1">
      <alignment horizontal="center" vertical="center"/>
      <protection locked="0"/>
    </xf>
    <xf numFmtId="170" fontId="39" fillId="33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center" vertical="center"/>
      <protection locked="0"/>
    </xf>
    <xf numFmtId="170" fontId="39" fillId="31" borderId="15" xfId="3" applyNumberFormat="1" applyFont="1" applyFill="1" applyBorder="1" applyAlignment="1" applyProtection="1">
      <alignment horizontal="center" vertical="center"/>
      <protection locked="0"/>
    </xf>
    <xf numFmtId="1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1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59" fillId="0" borderId="0" xfId="1" applyFont="1" applyBorder="1" applyAlignment="1" applyProtection="1">
      <alignment horizontal="center" vertical="center"/>
      <protection locked="0"/>
    </xf>
    <xf numFmtId="0" fontId="59" fillId="0" borderId="0" xfId="1" applyFont="1" applyBorder="1" applyAlignment="1" applyProtection="1">
      <alignment vertical="center"/>
      <protection locked="0"/>
    </xf>
    <xf numFmtId="0" fontId="59" fillId="0" borderId="0" xfId="1" applyFont="1" applyFill="1" applyBorder="1" applyAlignment="1" applyProtection="1">
      <alignment vertical="center"/>
      <protection locked="0"/>
    </xf>
    <xf numFmtId="0" fontId="60" fillId="34" borderId="1" xfId="1" applyFont="1" applyFill="1" applyBorder="1" applyAlignment="1" applyProtection="1">
      <alignment horizontal="right" vertical="center"/>
    </xf>
    <xf numFmtId="167" fontId="61" fillId="3" borderId="1" xfId="1" applyNumberFormat="1" applyFont="1" applyFill="1" applyBorder="1" applyAlignment="1" applyProtection="1">
      <alignment vertical="center"/>
      <protection locked="0"/>
    </xf>
    <xf numFmtId="49" fontId="59" fillId="0" borderId="0" xfId="1" applyNumberFormat="1" applyFont="1" applyBorder="1" applyAlignment="1" applyProtection="1">
      <alignment vertical="center"/>
      <protection locked="0"/>
    </xf>
    <xf numFmtId="170" fontId="39" fillId="0" borderId="1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center" vertical="center"/>
      <protection locked="0"/>
    </xf>
    <xf numFmtId="167" fontId="62" fillId="34" borderId="1" xfId="1" applyNumberFormat="1" applyFont="1" applyFill="1" applyBorder="1" applyAlignment="1" applyProtection="1">
      <alignment vertical="center"/>
    </xf>
    <xf numFmtId="170" fontId="39" fillId="5" borderId="1" xfId="1" applyNumberFormat="1" applyFont="1" applyFill="1" applyBorder="1" applyAlignment="1" applyProtection="1">
      <alignment vertical="center"/>
      <protection locked="0"/>
    </xf>
    <xf numFmtId="170" fontId="39" fillId="5" borderId="0" xfId="1" applyNumberFormat="1" applyFont="1" applyFill="1" applyBorder="1" applyAlignment="1" applyProtection="1">
      <alignment vertical="center"/>
      <protection locked="0"/>
    </xf>
    <xf numFmtId="170" fontId="59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7" fillId="35" borderId="1" xfId="1" applyFont="1" applyFill="1" applyBorder="1" applyAlignment="1" applyProtection="1">
      <alignment horizontal="center" vertical="center"/>
      <protection locked="0"/>
    </xf>
    <xf numFmtId="0" fontId="57" fillId="35" borderId="2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left" vertical="center"/>
      <protection locked="0"/>
    </xf>
    <xf numFmtId="49" fontId="63" fillId="36" borderId="5" xfId="1" applyNumberFormat="1" applyFont="1" applyFill="1" applyBorder="1" applyAlignment="1" applyProtection="1">
      <alignment horizontal="center" vertical="center"/>
      <protection locked="0"/>
    </xf>
    <xf numFmtId="166" fontId="63" fillId="36" borderId="5" xfId="1" applyNumberFormat="1" applyFont="1" applyFill="1" applyBorder="1" applyAlignment="1" applyProtection="1">
      <alignment horizontal="center" vertical="center"/>
      <protection locked="0"/>
    </xf>
    <xf numFmtId="170" fontId="63" fillId="36" borderId="5" xfId="3" applyNumberFormat="1" applyFont="1" applyFill="1" applyBorder="1" applyAlignment="1" applyProtection="1">
      <alignment horizontal="left" vertical="center"/>
      <protection locked="0"/>
    </xf>
    <xf numFmtId="170" fontId="63" fillId="31" borderId="1" xfId="3" applyNumberFormat="1" applyFont="1" applyFill="1" applyBorder="1" applyAlignment="1" applyProtection="1">
      <alignment horizontal="left" vertical="center"/>
      <protection locked="0"/>
    </xf>
    <xf numFmtId="49" fontId="63" fillId="36" borderId="1" xfId="3" applyNumberFormat="1" applyFont="1" applyFill="1" applyBorder="1" applyAlignment="1" applyProtection="1">
      <alignment horizontal="center" vertical="center" wrapText="1"/>
      <protection locked="0"/>
    </xf>
    <xf numFmtId="49" fontId="35" fillId="6" borderId="1" xfId="1" applyNumberFormat="1" applyFont="1" applyFill="1" applyBorder="1" applyAlignment="1" applyProtection="1">
      <alignment horizontal="center" vertical="center"/>
      <protection locked="0"/>
    </xf>
    <xf numFmtId="170" fontId="35" fillId="37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12" xfId="1" applyFont="1" applyFill="1" applyBorder="1" applyAlignment="1" applyProtection="1">
      <alignment horizontal="center" vertical="center"/>
      <protection locked="0"/>
    </xf>
    <xf numFmtId="0" fontId="36" fillId="37" borderId="12" xfId="1" applyFont="1" applyFill="1" applyBorder="1" applyAlignment="1" applyProtection="1">
      <alignment horizontal="left" vertical="center"/>
      <protection locked="0"/>
    </xf>
    <xf numFmtId="49" fontId="35" fillId="6" borderId="12" xfId="1" applyNumberFormat="1" applyFont="1" applyFill="1" applyBorder="1" applyAlignment="1" applyProtection="1">
      <alignment horizontal="center" vertical="center"/>
      <protection locked="0"/>
    </xf>
    <xf numFmtId="170" fontId="35" fillId="37" borderId="12" xfId="3" applyNumberFormat="1" applyFont="1" applyFill="1" applyBorder="1" applyAlignment="1" applyProtection="1">
      <alignment horizontal="left" vertical="center"/>
      <protection locked="0"/>
    </xf>
    <xf numFmtId="0" fontId="36" fillId="37" borderId="1" xfId="1" applyFont="1" applyFill="1" applyBorder="1" applyAlignment="1" applyProtection="1">
      <alignment horizontal="center" vertical="center"/>
      <protection locked="0"/>
    </xf>
    <xf numFmtId="0" fontId="36" fillId="37" borderId="5" xfId="1" applyFont="1" applyFill="1" applyBorder="1" applyAlignment="1" applyProtection="1">
      <alignment horizontal="center" vertical="center"/>
      <protection locked="0"/>
    </xf>
    <xf numFmtId="0" fontId="36" fillId="37" borderId="1" xfId="1" applyFont="1" applyFill="1" applyBorder="1" applyAlignment="1" applyProtection="1">
      <alignment horizontal="left" vertical="center"/>
      <protection locked="0"/>
    </xf>
    <xf numFmtId="0" fontId="35" fillId="37" borderId="1" xfId="1" applyFont="1" applyFill="1" applyBorder="1" applyAlignment="1" applyProtection="1">
      <alignment horizontal="left" vertical="center"/>
      <protection locked="0"/>
    </xf>
    <xf numFmtId="49" fontId="36" fillId="37" borderId="1" xfId="1" applyNumberFormat="1" applyFont="1" applyFill="1" applyBorder="1" applyAlignment="1" applyProtection="1">
      <alignment horizontal="center" vertical="center"/>
      <protection locked="0"/>
    </xf>
    <xf numFmtId="49" fontId="35" fillId="37" borderId="1" xfId="1" applyNumberFormat="1" applyFont="1" applyFill="1" applyBorder="1" applyAlignment="1" applyProtection="1">
      <alignment horizontal="center" vertical="center"/>
      <protection locked="0"/>
    </xf>
    <xf numFmtId="166" fontId="36" fillId="37" borderId="1" xfId="1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5" xfId="1" applyFont="1" applyFill="1" applyBorder="1" applyAlignment="1" applyProtection="1">
      <alignment horizontal="left" vertical="center"/>
      <protection locked="0"/>
    </xf>
    <xf numFmtId="0" fontId="35" fillId="37" borderId="5" xfId="1" applyFont="1" applyFill="1" applyBorder="1" applyAlignment="1" applyProtection="1">
      <alignment horizontal="left" vertical="center"/>
      <protection locked="0"/>
    </xf>
    <xf numFmtId="49" fontId="36" fillId="37" borderId="5" xfId="1" applyNumberFormat="1" applyFont="1" applyFill="1" applyBorder="1" applyAlignment="1" applyProtection="1">
      <alignment horizontal="center" vertical="center"/>
      <protection locked="0"/>
    </xf>
    <xf numFmtId="49" fontId="35" fillId="37" borderId="5" xfId="1" applyNumberFormat="1" applyFont="1" applyFill="1" applyBorder="1" applyAlignment="1" applyProtection="1">
      <alignment horizontal="center" vertical="center"/>
      <protection locked="0"/>
    </xf>
    <xf numFmtId="166" fontId="36" fillId="37" borderId="5" xfId="1" applyNumberFormat="1" applyFont="1" applyFill="1" applyBorder="1" applyAlignment="1" applyProtection="1">
      <alignment horizontal="center" vertical="center"/>
      <protection locked="0"/>
    </xf>
    <xf numFmtId="170" fontId="35" fillId="37" borderId="5" xfId="3" applyNumberFormat="1" applyFont="1" applyFill="1" applyBorder="1" applyAlignment="1" applyProtection="1">
      <alignment horizontal="left" vertical="center"/>
      <protection locked="0"/>
    </xf>
    <xf numFmtId="0" fontId="36" fillId="37" borderId="17" xfId="1" applyFont="1" applyFill="1" applyBorder="1" applyAlignment="1" applyProtection="1">
      <alignment horizontal="center" vertical="center"/>
      <protection locked="0"/>
    </xf>
    <xf numFmtId="0" fontId="36" fillId="37" borderId="17" xfId="1" applyFont="1" applyFill="1" applyBorder="1" applyAlignment="1" applyProtection="1">
      <alignment horizontal="left" vertical="center"/>
      <protection locked="0"/>
    </xf>
    <xf numFmtId="0" fontId="35" fillId="37" borderId="17" xfId="1" applyFont="1" applyFill="1" applyBorder="1" applyAlignment="1" applyProtection="1">
      <alignment horizontal="left" vertical="center"/>
      <protection locked="0"/>
    </xf>
    <xf numFmtId="49" fontId="36" fillId="37" borderId="17" xfId="1" applyNumberFormat="1" applyFont="1" applyFill="1" applyBorder="1" applyAlignment="1" applyProtection="1">
      <alignment horizontal="center" vertical="center"/>
      <protection locked="0"/>
    </xf>
    <xf numFmtId="49" fontId="35" fillId="37" borderId="17" xfId="1" applyNumberFormat="1" applyFont="1" applyFill="1" applyBorder="1" applyAlignment="1" applyProtection="1">
      <alignment horizontal="center" vertical="center"/>
      <protection locked="0"/>
    </xf>
    <xf numFmtId="166" fontId="36" fillId="37" borderId="17" xfId="1" applyNumberFormat="1" applyFont="1" applyFill="1" applyBorder="1" applyAlignment="1" applyProtection="1">
      <alignment horizontal="center" vertical="center"/>
      <protection locked="0"/>
    </xf>
    <xf numFmtId="170" fontId="35" fillId="37" borderId="17" xfId="3" applyNumberFormat="1" applyFont="1" applyFill="1" applyBorder="1" applyAlignment="1" applyProtection="1">
      <alignment horizontal="left" vertical="center"/>
      <protection locked="0"/>
    </xf>
    <xf numFmtId="0" fontId="35" fillId="31" borderId="17" xfId="1" applyFont="1" applyFill="1" applyBorder="1" applyAlignment="1" applyProtection="1">
      <alignment horizontal="left" vertical="center"/>
      <protection locked="0"/>
    </xf>
    <xf numFmtId="170" fontId="39" fillId="38" borderId="5" xfId="3" applyNumberFormat="1" applyFont="1" applyFill="1" applyBorder="1" applyAlignment="1" applyProtection="1">
      <alignment horizontal="left" vertical="center"/>
      <protection locked="0"/>
    </xf>
    <xf numFmtId="170" fontId="35" fillId="12" borderId="5" xfId="3" applyNumberFormat="1" applyFont="1" applyFill="1" applyBorder="1" applyAlignment="1" applyProtection="1">
      <alignment horizontal="left" vertical="center"/>
      <protection locked="0"/>
    </xf>
    <xf numFmtId="49" fontId="35" fillId="6" borderId="5" xfId="1" applyNumberFormat="1" applyFont="1" applyFill="1" applyBorder="1" applyAlignment="1" applyProtection="1">
      <alignment horizontal="center" vertical="center"/>
      <protection locked="0"/>
    </xf>
    <xf numFmtId="170" fontId="35" fillId="38" borderId="5" xfId="3" applyNumberFormat="1" applyFont="1" applyFill="1" applyBorder="1" applyAlignment="1" applyProtection="1">
      <alignment horizontal="left" vertical="center"/>
      <protection locked="0"/>
    </xf>
    <xf numFmtId="170" fontId="39" fillId="12" borderId="5" xfId="3" applyNumberFormat="1" applyFont="1" applyFill="1" applyBorder="1" applyAlignment="1" applyProtection="1">
      <alignment horizontal="left" vertical="center"/>
      <protection locked="0"/>
    </xf>
    <xf numFmtId="170" fontId="39" fillId="31" borderId="1" xfId="3" applyNumberFormat="1" applyFont="1" applyFill="1" applyBorder="1" applyAlignment="1" applyProtection="1">
      <alignment horizontal="left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  <xf numFmtId="170" fontId="59" fillId="0" borderId="0" xfId="1" applyNumberFormat="1" applyFont="1" applyBorder="1" applyAlignment="1" applyProtection="1">
      <alignment horizontal="left" vertical="center"/>
      <protection locked="0"/>
    </xf>
    <xf numFmtId="170" fontId="35" fillId="24" borderId="1" xfId="3" applyNumberFormat="1" applyFont="1" applyFill="1" applyBorder="1" applyAlignment="1" applyProtection="1">
      <alignment horizontal="left" vertical="center"/>
      <protection locked="0"/>
    </xf>
    <xf numFmtId="170" fontId="35" fillId="24" borderId="11" xfId="3" applyNumberFormat="1" applyFont="1" applyFill="1" applyBorder="1" applyAlignment="1" applyProtection="1">
      <alignment horizontal="left" vertical="center"/>
      <protection locked="0"/>
    </xf>
    <xf numFmtId="0" fontId="36" fillId="7" borderId="5" xfId="1" applyFont="1" applyFill="1" applyBorder="1" applyAlignment="1" applyProtection="1">
      <alignment horizontal="center" vertical="center"/>
      <protection locked="0"/>
    </xf>
    <xf numFmtId="0" fontId="36" fillId="7" borderId="1" xfId="1" applyFont="1" applyFill="1" applyBorder="1" applyAlignment="1" applyProtection="1">
      <alignment horizontal="center" vertical="center"/>
      <protection locked="0"/>
    </xf>
    <xf numFmtId="0" fontId="36" fillId="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left" vertical="center"/>
      <protection locked="0"/>
    </xf>
    <xf numFmtId="0" fontId="35" fillId="37" borderId="11" xfId="1" applyFont="1" applyFill="1" applyBorder="1" applyAlignment="1" applyProtection="1">
      <alignment horizontal="left" vertical="center"/>
      <protection locked="0"/>
    </xf>
    <xf numFmtId="49" fontId="36" fillId="37" borderId="11" xfId="1" applyNumberFormat="1" applyFont="1" applyFill="1" applyBorder="1" applyAlignment="1" applyProtection="1">
      <alignment horizontal="center" vertical="center"/>
      <protection locked="0"/>
    </xf>
    <xf numFmtId="49" fontId="35" fillId="37" borderId="11" xfId="1" applyNumberFormat="1" applyFont="1" applyFill="1" applyBorder="1" applyAlignment="1" applyProtection="1">
      <alignment horizontal="center" vertical="center"/>
      <protection locked="0"/>
    </xf>
    <xf numFmtId="166" fontId="36" fillId="37" borderId="11" xfId="1" applyNumberFormat="1" applyFont="1" applyFill="1" applyBorder="1" applyAlignment="1" applyProtection="1">
      <alignment horizontal="center" vertical="center"/>
      <protection locked="0"/>
    </xf>
    <xf numFmtId="170" fontId="35" fillId="37" borderId="11" xfId="3" applyNumberFormat="1" applyFont="1" applyFill="1" applyBorder="1" applyAlignment="1" applyProtection="1">
      <alignment horizontal="left" vertical="center"/>
      <protection locked="0"/>
    </xf>
    <xf numFmtId="0" fontId="32" fillId="39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left" vertical="center"/>
      <protection locked="0"/>
    </xf>
    <xf numFmtId="0" fontId="35" fillId="24" borderId="18" xfId="1" applyFont="1" applyFill="1" applyBorder="1" applyAlignment="1" applyProtection="1">
      <alignment horizontal="left" vertical="center"/>
      <protection locked="0"/>
    </xf>
    <xf numFmtId="49" fontId="36" fillId="24" borderId="18" xfId="1" applyNumberFormat="1" applyFont="1" applyFill="1" applyBorder="1" applyAlignment="1" applyProtection="1">
      <alignment horizontal="center" vertical="center"/>
      <protection locked="0"/>
    </xf>
    <xf numFmtId="49" fontId="35" fillId="24" borderId="18" xfId="1" applyNumberFormat="1" applyFont="1" applyFill="1" applyBorder="1" applyAlignment="1" applyProtection="1">
      <alignment horizontal="center" vertical="center"/>
      <protection locked="0"/>
    </xf>
    <xf numFmtId="166" fontId="36" fillId="24" borderId="18" xfId="1" applyNumberFormat="1" applyFont="1" applyFill="1" applyBorder="1" applyAlignment="1" applyProtection="1">
      <alignment horizontal="center" vertical="center"/>
      <protection locked="0"/>
    </xf>
    <xf numFmtId="170" fontId="35" fillId="24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center" vertical="center"/>
      <protection locked="0"/>
    </xf>
    <xf numFmtId="0" fontId="32" fillId="39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left" vertical="center"/>
      <protection locked="0"/>
    </xf>
    <xf numFmtId="0" fontId="35" fillId="24" borderId="3" xfId="1" applyFont="1" applyFill="1" applyBorder="1" applyAlignment="1" applyProtection="1">
      <alignment horizontal="left" vertical="center"/>
      <protection locked="0"/>
    </xf>
    <xf numFmtId="49" fontId="36" fillId="24" borderId="3" xfId="1" applyNumberFormat="1" applyFont="1" applyFill="1" applyBorder="1" applyAlignment="1" applyProtection="1">
      <alignment horizontal="center" vertical="center"/>
      <protection locked="0"/>
    </xf>
    <xf numFmtId="49" fontId="35" fillId="24" borderId="3" xfId="1" applyNumberFormat="1" applyFont="1" applyFill="1" applyBorder="1" applyAlignment="1" applyProtection="1">
      <alignment horizontal="center" vertical="center"/>
      <protection locked="0"/>
    </xf>
    <xf numFmtId="166" fontId="36" fillId="24" borderId="3" xfId="1" applyNumberFormat="1" applyFont="1" applyFill="1" applyBorder="1" applyAlignment="1" applyProtection="1">
      <alignment horizontal="center" vertical="center"/>
      <protection locked="0"/>
    </xf>
    <xf numFmtId="170" fontId="35" fillId="24" borderId="3" xfId="3" applyNumberFormat="1" applyFont="1" applyFill="1" applyBorder="1" applyAlignment="1" applyProtection="1">
      <alignment horizontal="left" vertical="center"/>
      <protection locked="0"/>
    </xf>
    <xf numFmtId="0" fontId="32" fillId="24" borderId="18" xfId="1" applyFont="1" applyFill="1" applyBorder="1" applyAlignment="1" applyProtection="1">
      <alignment horizontal="center" vertical="center"/>
      <protection locked="0"/>
    </xf>
    <xf numFmtId="0" fontId="32" fillId="24" borderId="18" xfId="1" applyFont="1" applyFill="1" applyBorder="1" applyAlignment="1" applyProtection="1">
      <alignment horizontal="left" vertical="center"/>
      <protection locked="0"/>
    </xf>
    <xf numFmtId="0" fontId="39" fillId="24" borderId="18" xfId="1" applyFont="1" applyFill="1" applyBorder="1" applyAlignment="1" applyProtection="1">
      <alignment horizontal="left" vertical="center"/>
      <protection locked="0"/>
    </xf>
    <xf numFmtId="49" fontId="32" fillId="24" borderId="18" xfId="1" applyNumberFormat="1" applyFont="1" applyFill="1" applyBorder="1" applyAlignment="1" applyProtection="1">
      <alignment horizontal="center" vertical="center"/>
      <protection locked="0"/>
    </xf>
    <xf numFmtId="49" fontId="58" fillId="6" borderId="18" xfId="1" applyNumberFormat="1" applyFont="1" applyFill="1" applyBorder="1" applyAlignment="1" applyProtection="1">
      <alignment horizontal="center" vertical="center"/>
      <protection locked="0"/>
    </xf>
    <xf numFmtId="166" fontId="32" fillId="24" borderId="18" xfId="1" applyNumberFormat="1" applyFont="1" applyFill="1" applyBorder="1" applyAlignment="1" applyProtection="1">
      <alignment horizontal="center" vertical="center"/>
      <protection locked="0"/>
    </xf>
    <xf numFmtId="170" fontId="39" fillId="38" borderId="18" xfId="3" applyNumberFormat="1" applyFont="1" applyFill="1" applyBorder="1" applyAlignment="1" applyProtection="1">
      <alignment horizontal="left" vertical="center"/>
      <protection locked="0"/>
    </xf>
    <xf numFmtId="170" fontId="39" fillId="12" borderId="18" xfId="3" applyNumberFormat="1" applyFont="1" applyFill="1" applyBorder="1" applyAlignment="1" applyProtection="1">
      <alignment horizontal="left" vertical="center"/>
      <protection locked="0"/>
    </xf>
    <xf numFmtId="170" fontId="39" fillId="38" borderId="1" xfId="3" applyNumberFormat="1" applyFont="1" applyFill="1" applyBorder="1" applyAlignment="1" applyProtection="1">
      <alignment horizontal="left" vertical="center"/>
      <protection locked="0"/>
    </xf>
    <xf numFmtId="170" fontId="39" fillId="12" borderId="1" xfId="3" applyNumberFormat="1" applyFont="1" applyFill="1" applyBorder="1" applyAlignment="1" applyProtection="1">
      <alignment horizontal="left" vertical="center"/>
      <protection locked="0"/>
    </xf>
    <xf numFmtId="0" fontId="34" fillId="0" borderId="0" xfId="1" applyFont="1" applyAlignment="1" applyProtection="1">
      <alignment vertical="center"/>
      <protection locked="0"/>
    </xf>
    <xf numFmtId="0" fontId="32" fillId="24" borderId="3" xfId="1" applyFont="1" applyFill="1" applyBorder="1" applyAlignment="1" applyProtection="1">
      <alignment horizontal="center" vertical="center"/>
      <protection locked="0"/>
    </xf>
    <xf numFmtId="0" fontId="32" fillId="24" borderId="3" xfId="1" applyFont="1" applyFill="1" applyBorder="1" applyAlignment="1" applyProtection="1">
      <alignment horizontal="left" vertical="center"/>
      <protection locked="0"/>
    </xf>
    <xf numFmtId="0" fontId="39" fillId="24" borderId="3" xfId="1" applyFont="1" applyFill="1" applyBorder="1" applyAlignment="1" applyProtection="1">
      <alignment horizontal="left" vertical="center"/>
      <protection locked="0"/>
    </xf>
    <xf numFmtId="49" fontId="32" fillId="24" borderId="3" xfId="1" applyNumberFormat="1" applyFont="1" applyFill="1" applyBorder="1" applyAlignment="1" applyProtection="1">
      <alignment horizontal="center" vertical="center"/>
      <protection locked="0"/>
    </xf>
    <xf numFmtId="49" fontId="58" fillId="6" borderId="3" xfId="1" applyNumberFormat="1" applyFont="1" applyFill="1" applyBorder="1" applyAlignment="1" applyProtection="1">
      <alignment horizontal="center" vertical="center"/>
      <protection locked="0"/>
    </xf>
    <xf numFmtId="166" fontId="32" fillId="24" borderId="3" xfId="1" applyNumberFormat="1" applyFont="1" applyFill="1" applyBorder="1" applyAlignment="1" applyProtection="1">
      <alignment horizontal="center" vertical="center"/>
      <protection locked="0"/>
    </xf>
    <xf numFmtId="170" fontId="39" fillId="38" borderId="3" xfId="3" applyNumberFormat="1" applyFont="1" applyFill="1" applyBorder="1" applyAlignment="1" applyProtection="1">
      <alignment horizontal="left" vertical="center"/>
      <protection locked="0"/>
    </xf>
    <xf numFmtId="170" fontId="39" fillId="12" borderId="3" xfId="3" applyNumberFormat="1" applyFont="1" applyFill="1" applyBorder="1" applyAlignment="1" applyProtection="1">
      <alignment horizontal="left" vertical="center"/>
      <protection locked="0"/>
    </xf>
    <xf numFmtId="170" fontId="39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left" vertical="center"/>
      <protection locked="0"/>
    </xf>
    <xf numFmtId="0" fontId="39" fillId="24" borderId="19" xfId="1" applyFont="1" applyFill="1" applyBorder="1" applyAlignment="1" applyProtection="1">
      <alignment horizontal="left" vertical="center"/>
      <protection locked="0"/>
    </xf>
    <xf numFmtId="49" fontId="32" fillId="24" borderId="19" xfId="1" applyNumberFormat="1" applyFont="1" applyFill="1" applyBorder="1" applyAlignment="1" applyProtection="1">
      <alignment horizontal="center" vertical="center"/>
      <protection locked="0"/>
    </xf>
    <xf numFmtId="49" fontId="58" fillId="6" borderId="19" xfId="1" applyNumberFormat="1" applyFont="1" applyFill="1" applyBorder="1" applyAlignment="1" applyProtection="1">
      <alignment horizontal="center" vertical="center"/>
      <protection locked="0"/>
    </xf>
    <xf numFmtId="166" fontId="32" fillId="24" borderId="19" xfId="1" applyNumberFormat="1" applyFont="1" applyFill="1" applyBorder="1" applyAlignment="1" applyProtection="1">
      <alignment horizontal="center" vertical="center"/>
      <protection locked="0"/>
    </xf>
    <xf numFmtId="170" fontId="39" fillId="38" borderId="19" xfId="3" applyNumberFormat="1" applyFont="1" applyFill="1" applyBorder="1" applyAlignment="1" applyProtection="1">
      <alignment horizontal="left" vertical="center"/>
      <protection locked="0"/>
    </xf>
    <xf numFmtId="170" fontId="39" fillId="12" borderId="19" xfId="3" applyNumberFormat="1" applyFont="1" applyFill="1" applyBorder="1" applyAlignment="1" applyProtection="1">
      <alignment horizontal="left" vertical="center"/>
      <protection locked="0"/>
    </xf>
    <xf numFmtId="170" fontId="39" fillId="31" borderId="19" xfId="3" applyNumberFormat="1" applyFont="1" applyFill="1" applyBorder="1" applyAlignment="1" applyProtection="1">
      <alignment horizontal="center" vertical="center"/>
      <protection locked="0"/>
    </xf>
    <xf numFmtId="0" fontId="35" fillId="31" borderId="11" xfId="1" applyFont="1" applyFill="1" applyBorder="1" applyAlignment="1" applyProtection="1">
      <alignment horizontal="center"/>
      <protection locked="0"/>
    </xf>
    <xf numFmtId="0" fontId="32" fillId="39" borderId="18" xfId="1" applyFont="1" applyFill="1" applyBorder="1" applyAlignment="1" applyProtection="1">
      <alignment horizontal="left" vertical="center"/>
      <protection locked="0"/>
    </xf>
    <xf numFmtId="0" fontId="39" fillId="39" borderId="18" xfId="1" applyFont="1" applyFill="1" applyBorder="1" applyAlignment="1" applyProtection="1">
      <alignment horizontal="left" vertical="center"/>
      <protection locked="0"/>
    </xf>
    <xf numFmtId="49" fontId="32" fillId="39" borderId="18" xfId="1" applyNumberFormat="1" applyFont="1" applyFill="1" applyBorder="1" applyAlignment="1" applyProtection="1">
      <alignment horizontal="center" vertical="center"/>
      <protection locked="0"/>
    </xf>
    <xf numFmtId="49" fontId="58" fillId="39" borderId="18" xfId="1" applyNumberFormat="1" applyFont="1" applyFill="1" applyBorder="1" applyAlignment="1" applyProtection="1">
      <alignment horizontal="center" vertical="center"/>
      <protection locked="0"/>
    </xf>
    <xf numFmtId="166" fontId="32" fillId="39" borderId="18" xfId="1" applyNumberFormat="1" applyFont="1" applyFill="1" applyBorder="1" applyAlignment="1" applyProtection="1">
      <alignment horizontal="center" vertical="center"/>
      <protection locked="0"/>
    </xf>
    <xf numFmtId="170" fontId="39" fillId="39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left" vertical="center"/>
      <protection locked="0"/>
    </xf>
    <xf numFmtId="0" fontId="39" fillId="39" borderId="5" xfId="1" applyFont="1" applyFill="1" applyBorder="1" applyAlignment="1" applyProtection="1">
      <alignment horizontal="left" vertical="center"/>
      <protection locked="0"/>
    </xf>
    <xf numFmtId="49" fontId="32" fillId="39" borderId="5" xfId="1" applyNumberFormat="1" applyFont="1" applyFill="1" applyBorder="1" applyAlignment="1" applyProtection="1">
      <alignment horizontal="center" vertical="center"/>
      <protection locked="0"/>
    </xf>
    <xf numFmtId="49" fontId="58" fillId="39" borderId="5" xfId="1" applyNumberFormat="1" applyFont="1" applyFill="1" applyBorder="1" applyAlignment="1" applyProtection="1">
      <alignment horizontal="center" vertical="center"/>
      <protection locked="0"/>
    </xf>
    <xf numFmtId="166" fontId="32" fillId="39" borderId="5" xfId="1" applyNumberFormat="1" applyFont="1" applyFill="1" applyBorder="1" applyAlignment="1" applyProtection="1">
      <alignment horizontal="center" vertical="center"/>
      <protection locked="0"/>
    </xf>
    <xf numFmtId="170" fontId="39" fillId="39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left" vertical="center"/>
      <protection locked="0"/>
    </xf>
    <xf numFmtId="0" fontId="39" fillId="39" borderId="1" xfId="1" applyFont="1" applyFill="1" applyBorder="1" applyAlignment="1" applyProtection="1">
      <alignment horizontal="left" vertical="center"/>
      <protection locked="0"/>
    </xf>
    <xf numFmtId="49" fontId="32" fillId="39" borderId="1" xfId="1" applyNumberFormat="1" applyFont="1" applyFill="1" applyBorder="1" applyAlignment="1" applyProtection="1">
      <alignment horizontal="center" vertical="center"/>
      <protection locked="0"/>
    </xf>
    <xf numFmtId="49" fontId="58" fillId="39" borderId="1" xfId="1" applyNumberFormat="1" applyFont="1" applyFill="1" applyBorder="1" applyAlignment="1" applyProtection="1">
      <alignment horizontal="center" vertical="center"/>
      <protection locked="0"/>
    </xf>
    <xf numFmtId="166" fontId="32" fillId="39" borderId="1" xfId="1" applyNumberFormat="1" applyFont="1" applyFill="1" applyBorder="1" applyAlignment="1" applyProtection="1">
      <alignment horizontal="center" vertical="center"/>
      <protection locked="0"/>
    </xf>
    <xf numFmtId="170" fontId="39" fillId="39" borderId="1" xfId="3" applyNumberFormat="1" applyFont="1" applyFill="1" applyBorder="1" applyAlignment="1" applyProtection="1">
      <alignment horizontal="left" vertical="center"/>
      <protection locked="0"/>
    </xf>
    <xf numFmtId="0" fontId="32" fillId="39" borderId="15" xfId="1" applyFont="1" applyFill="1" applyBorder="1" applyAlignment="1" applyProtection="1">
      <alignment horizontal="center" vertical="center"/>
      <protection locked="0"/>
    </xf>
    <xf numFmtId="0" fontId="32" fillId="39" borderId="15" xfId="1" applyFont="1" applyFill="1" applyBorder="1" applyAlignment="1" applyProtection="1">
      <alignment horizontal="left" vertical="center"/>
      <protection locked="0"/>
    </xf>
    <xf numFmtId="0" fontId="39" fillId="39" borderId="15" xfId="1" applyFont="1" applyFill="1" applyBorder="1" applyAlignment="1" applyProtection="1">
      <alignment horizontal="left" vertical="center"/>
      <protection locked="0"/>
    </xf>
    <xf numFmtId="49" fontId="32" fillId="39" borderId="15" xfId="1" applyNumberFormat="1" applyFont="1" applyFill="1" applyBorder="1" applyAlignment="1" applyProtection="1">
      <alignment horizontal="center" vertical="center"/>
      <protection locked="0"/>
    </xf>
    <xf numFmtId="49" fontId="58" fillId="39" borderId="15" xfId="1" applyNumberFormat="1" applyFont="1" applyFill="1" applyBorder="1" applyAlignment="1" applyProtection="1">
      <alignment horizontal="center" vertical="center"/>
      <protection locked="0"/>
    </xf>
    <xf numFmtId="166" fontId="32" fillId="39" borderId="15" xfId="1" applyNumberFormat="1" applyFont="1" applyFill="1" applyBorder="1" applyAlignment="1" applyProtection="1">
      <alignment horizontal="center" vertical="center"/>
      <protection locked="0"/>
    </xf>
    <xf numFmtId="170" fontId="39" fillId="39" borderId="15" xfId="3" applyNumberFormat="1" applyFont="1" applyFill="1" applyBorder="1" applyAlignment="1" applyProtection="1">
      <alignment horizontal="left" vertical="center"/>
      <protection locked="0"/>
    </xf>
    <xf numFmtId="0" fontId="39" fillId="31" borderId="1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left" vertical="center"/>
      <protection locked="0"/>
    </xf>
    <xf numFmtId="0" fontId="39" fillId="40" borderId="5" xfId="1" applyFont="1" applyFill="1" applyBorder="1" applyAlignment="1" applyProtection="1">
      <alignment horizontal="left" vertical="center"/>
      <protection locked="0"/>
    </xf>
    <xf numFmtId="49" fontId="32" fillId="40" borderId="5" xfId="1" applyNumberFormat="1" applyFont="1" applyFill="1" applyBorder="1" applyAlignment="1" applyProtection="1">
      <alignment horizontal="center" vertical="center"/>
      <protection locked="0"/>
    </xf>
    <xf numFmtId="49" fontId="58" fillId="40" borderId="5" xfId="1" applyNumberFormat="1" applyFont="1" applyFill="1" applyBorder="1" applyAlignment="1" applyProtection="1">
      <alignment horizontal="center" vertical="center"/>
      <protection locked="0"/>
    </xf>
    <xf numFmtId="166" fontId="32" fillId="40" borderId="5" xfId="1" applyNumberFormat="1" applyFont="1" applyFill="1" applyBorder="1" applyAlignment="1" applyProtection="1">
      <alignment horizontal="center" vertical="center"/>
      <protection locked="0"/>
    </xf>
    <xf numFmtId="170" fontId="39" fillId="40" borderId="1" xfId="3" applyNumberFormat="1" applyFont="1" applyFill="1" applyBorder="1" applyAlignment="1" applyProtection="1">
      <alignment horizontal="left" vertical="center"/>
      <protection locked="0"/>
    </xf>
    <xf numFmtId="170" fontId="39" fillId="40" borderId="5" xfId="3" applyNumberFormat="1" applyFont="1" applyFill="1" applyBorder="1" applyAlignment="1" applyProtection="1">
      <alignment horizontal="left" vertical="center"/>
      <protection locked="0"/>
    </xf>
    <xf numFmtId="0" fontId="32" fillId="40" borderId="0" xfId="1" applyFont="1" applyFill="1" applyAlignment="1" applyProtection="1">
      <alignment vertical="center"/>
      <protection locked="0"/>
    </xf>
    <xf numFmtId="0" fontId="32" fillId="40" borderId="1" xfId="1" applyFont="1" applyFill="1" applyBorder="1" applyAlignment="1" applyProtection="1">
      <alignment horizontal="center" vertical="center"/>
      <protection locked="0"/>
    </xf>
    <xf numFmtId="0" fontId="32" fillId="40" borderId="1" xfId="1" applyFont="1" applyFill="1" applyBorder="1" applyAlignment="1" applyProtection="1">
      <alignment horizontal="left" vertical="center"/>
      <protection locked="0"/>
    </xf>
    <xf numFmtId="0" fontId="39" fillId="40" borderId="1" xfId="1" applyFont="1" applyFill="1" applyBorder="1" applyAlignment="1" applyProtection="1">
      <alignment horizontal="left" vertical="center"/>
      <protection locked="0"/>
    </xf>
    <xf numFmtId="49" fontId="32" fillId="40" borderId="1" xfId="1" applyNumberFormat="1" applyFont="1" applyFill="1" applyBorder="1" applyAlignment="1" applyProtection="1">
      <alignment horizontal="center" vertical="center"/>
      <protection locked="0"/>
    </xf>
    <xf numFmtId="49" fontId="58" fillId="40" borderId="1" xfId="1" applyNumberFormat="1" applyFont="1" applyFill="1" applyBorder="1" applyAlignment="1" applyProtection="1">
      <alignment horizontal="center" vertical="center"/>
      <protection locked="0"/>
    </xf>
    <xf numFmtId="166" fontId="32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left" vertical="center"/>
      <protection locked="0"/>
    </xf>
    <xf numFmtId="49" fontId="64" fillId="40" borderId="1" xfId="1" applyNumberFormat="1" applyFont="1" applyFill="1" applyBorder="1" applyAlignment="1" applyProtection="1">
      <alignment horizontal="center" vertical="center"/>
      <protection locked="0"/>
    </xf>
    <xf numFmtId="166" fontId="64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0" xfId="1" applyFont="1" applyFill="1" applyAlignment="1" applyProtection="1">
      <alignment vertical="center"/>
      <protection locked="0"/>
    </xf>
    <xf numFmtId="0" fontId="32" fillId="40" borderId="17" xfId="1" applyFont="1" applyFill="1" applyBorder="1" applyAlignment="1" applyProtection="1">
      <alignment horizontal="center" vertical="center"/>
      <protection locked="0"/>
    </xf>
    <xf numFmtId="0" fontId="32" fillId="40" borderId="17" xfId="1" applyFont="1" applyFill="1" applyBorder="1" applyAlignment="1" applyProtection="1">
      <alignment horizontal="left" vertical="center"/>
      <protection locked="0"/>
    </xf>
    <xf numFmtId="0" fontId="39" fillId="40" borderId="17" xfId="1" applyFont="1" applyFill="1" applyBorder="1" applyAlignment="1" applyProtection="1">
      <alignment horizontal="left" vertical="center"/>
      <protection locked="0"/>
    </xf>
    <xf numFmtId="49" fontId="32" fillId="40" borderId="17" xfId="1" applyNumberFormat="1" applyFont="1" applyFill="1" applyBorder="1" applyAlignment="1" applyProtection="1">
      <alignment horizontal="center" vertical="center"/>
      <protection locked="0"/>
    </xf>
    <xf numFmtId="49" fontId="58" fillId="40" borderId="17" xfId="1" applyNumberFormat="1" applyFont="1" applyFill="1" applyBorder="1" applyAlignment="1" applyProtection="1">
      <alignment horizontal="center" vertical="center"/>
      <protection locked="0"/>
    </xf>
    <xf numFmtId="166" fontId="32" fillId="40" borderId="17" xfId="1" applyNumberFormat="1" applyFont="1" applyFill="1" applyBorder="1" applyAlignment="1" applyProtection="1">
      <alignment horizontal="center" vertical="center"/>
      <protection locked="0"/>
    </xf>
    <xf numFmtId="170" fontId="39" fillId="40" borderId="17" xfId="3" applyNumberFormat="1" applyFont="1" applyFill="1" applyBorder="1" applyAlignment="1" applyProtection="1">
      <alignment horizontal="left" vertical="center"/>
      <protection locked="0"/>
    </xf>
    <xf numFmtId="0" fontId="39" fillId="31" borderId="17" xfId="1" applyFont="1" applyFill="1" applyBorder="1" applyAlignment="1" applyProtection="1">
      <alignment horizontal="center" vertical="center"/>
      <protection locked="0"/>
    </xf>
    <xf numFmtId="170" fontId="39" fillId="38" borderId="6" xfId="3" applyNumberFormat="1" applyFont="1" applyFill="1" applyBorder="1" applyAlignment="1" applyProtection="1">
      <alignment horizontal="left" vertical="center"/>
      <protection locked="0"/>
    </xf>
    <xf numFmtId="170" fontId="39" fillId="12" borderId="6" xfId="3" applyNumberFormat="1" applyFont="1" applyFill="1" applyBorder="1" applyAlignment="1" applyProtection="1">
      <alignment horizontal="left" vertical="center"/>
      <protection locked="0"/>
    </xf>
    <xf numFmtId="0" fontId="32" fillId="24" borderId="20" xfId="1" applyFont="1" applyFill="1" applyBorder="1" applyAlignment="1" applyProtection="1">
      <alignment horizontal="center" vertical="center"/>
      <protection locked="0"/>
    </xf>
    <xf numFmtId="0" fontId="32" fillId="24" borderId="20" xfId="1" applyFont="1" applyFill="1" applyBorder="1" applyAlignment="1" applyProtection="1">
      <alignment horizontal="left" vertical="center"/>
      <protection locked="0"/>
    </xf>
    <xf numFmtId="0" fontId="39" fillId="24" borderId="20" xfId="1" applyFont="1" applyFill="1" applyBorder="1" applyAlignment="1" applyProtection="1">
      <alignment horizontal="left" vertical="center"/>
      <protection locked="0"/>
    </xf>
    <xf numFmtId="49" fontId="32" fillId="24" borderId="20" xfId="1" applyNumberFormat="1" applyFont="1" applyFill="1" applyBorder="1" applyAlignment="1" applyProtection="1">
      <alignment horizontal="center" vertical="center"/>
      <protection locked="0"/>
    </xf>
    <xf numFmtId="49" fontId="58" fillId="6" borderId="20" xfId="1" applyNumberFormat="1" applyFont="1" applyFill="1" applyBorder="1" applyAlignment="1" applyProtection="1">
      <alignment horizontal="center" vertical="center"/>
      <protection locked="0"/>
    </xf>
    <xf numFmtId="166" fontId="32" fillId="24" borderId="20" xfId="1" applyNumberFormat="1" applyFont="1" applyFill="1" applyBorder="1" applyAlignment="1" applyProtection="1">
      <alignment horizontal="center" vertical="center"/>
      <protection locked="0"/>
    </xf>
    <xf numFmtId="170" fontId="39" fillId="38" borderId="20" xfId="3" applyNumberFormat="1" applyFont="1" applyFill="1" applyBorder="1" applyAlignment="1" applyProtection="1">
      <alignment horizontal="left" vertical="center"/>
      <protection locked="0"/>
    </xf>
    <xf numFmtId="170" fontId="39" fillId="12" borderId="20" xfId="3" applyNumberFormat="1" applyFont="1" applyFill="1" applyBorder="1" applyAlignment="1" applyProtection="1">
      <alignment horizontal="left" vertical="center"/>
      <protection locked="0"/>
    </xf>
    <xf numFmtId="170" fontId="39" fillId="31" borderId="20" xfId="3" applyNumberFormat="1" applyFont="1" applyFill="1" applyBorder="1" applyAlignment="1" applyProtection="1">
      <alignment horizontal="center" vertical="center"/>
      <protection locked="0"/>
    </xf>
    <xf numFmtId="170" fontId="39" fillId="5" borderId="0" xfId="1" applyNumberFormat="1" applyFont="1" applyFill="1" applyBorder="1" applyAlignment="1" applyProtection="1">
      <alignment horizontal="center" vertical="center"/>
      <protection locked="0"/>
    </xf>
    <xf numFmtId="171" fontId="35" fillId="24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3" xfId="1" applyFont="1" applyFill="1" applyBorder="1" applyAlignment="1" applyProtection="1">
      <alignment horizontal="center" vertical="center"/>
      <protection locked="0"/>
    </xf>
    <xf numFmtId="166" fontId="35" fillId="24" borderId="3" xfId="1" applyNumberFormat="1" applyFont="1" applyFill="1" applyBorder="1" applyAlignment="1" applyProtection="1">
      <alignment horizontal="center" vertical="center"/>
      <protection locked="0"/>
    </xf>
    <xf numFmtId="171" fontId="35" fillId="24" borderId="3" xfId="3" applyNumberFormat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left" vertical="center"/>
      <protection locked="0"/>
    </xf>
    <xf numFmtId="0" fontId="35" fillId="24" borderId="20" xfId="1" applyFont="1" applyFill="1" applyBorder="1" applyAlignment="1" applyProtection="1">
      <alignment horizontal="left" vertical="center"/>
      <protection locked="0"/>
    </xf>
    <xf numFmtId="49" fontId="36" fillId="24" borderId="20" xfId="1" applyNumberFormat="1" applyFont="1" applyFill="1" applyBorder="1" applyAlignment="1" applyProtection="1">
      <alignment horizontal="center" vertical="center"/>
      <protection locked="0"/>
    </xf>
    <xf numFmtId="49" fontId="35" fillId="24" borderId="20" xfId="1" applyNumberFormat="1" applyFont="1" applyFill="1" applyBorder="1" applyAlignment="1" applyProtection="1">
      <alignment horizontal="center" vertical="center"/>
      <protection locked="0"/>
    </xf>
    <xf numFmtId="166" fontId="36" fillId="24" borderId="20" xfId="1" applyNumberFormat="1" applyFont="1" applyFill="1" applyBorder="1" applyAlignment="1" applyProtection="1">
      <alignment horizontal="center" vertical="center"/>
      <protection locked="0"/>
    </xf>
    <xf numFmtId="171" fontId="35" fillId="24" borderId="20" xfId="3" applyNumberFormat="1" applyFont="1" applyFill="1" applyBorder="1" applyAlignment="1" applyProtection="1">
      <alignment horizontal="center" vertical="center"/>
      <protection locked="0"/>
    </xf>
    <xf numFmtId="170" fontId="35" fillId="24" borderId="20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left" vertical="center"/>
      <protection locked="0"/>
    </xf>
    <xf numFmtId="0" fontId="35" fillId="24" borderId="15" xfId="1" applyFont="1" applyFill="1" applyBorder="1" applyAlignment="1" applyProtection="1">
      <alignment horizontal="left" vertical="center"/>
      <protection locked="0"/>
    </xf>
    <xf numFmtId="49" fontId="36" fillId="24" borderId="15" xfId="1" applyNumberFormat="1" applyFont="1" applyFill="1" applyBorder="1" applyAlignment="1" applyProtection="1">
      <alignment horizontal="center" vertical="center"/>
      <protection locked="0"/>
    </xf>
    <xf numFmtId="49" fontId="35" fillId="24" borderId="15" xfId="1" applyNumberFormat="1" applyFont="1" applyFill="1" applyBorder="1" applyAlignment="1" applyProtection="1">
      <alignment horizontal="center" vertical="center"/>
      <protection locked="0"/>
    </xf>
    <xf numFmtId="166" fontId="36" fillId="24" borderId="15" xfId="1" applyNumberFormat="1" applyFont="1" applyFill="1" applyBorder="1" applyAlignment="1" applyProtection="1">
      <alignment horizontal="center" vertical="center"/>
      <protection locked="0"/>
    </xf>
    <xf numFmtId="171" fontId="35" fillId="24" borderId="15" xfId="3" applyNumberFormat="1" applyFont="1" applyFill="1" applyBorder="1" applyAlignment="1" applyProtection="1">
      <alignment horizontal="center" vertical="center"/>
      <protection locked="0"/>
    </xf>
    <xf numFmtId="170" fontId="35" fillId="24" borderId="15" xfId="3" applyNumberFormat="1" applyFont="1" applyFill="1" applyBorder="1" applyAlignment="1" applyProtection="1">
      <alignment horizontal="left" vertical="center"/>
      <protection locked="0"/>
    </xf>
    <xf numFmtId="171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left" vertical="center"/>
      <protection locked="0"/>
    </xf>
    <xf numFmtId="0" fontId="35" fillId="24" borderId="6" xfId="1" applyFont="1" applyFill="1" applyBorder="1" applyAlignment="1" applyProtection="1">
      <alignment horizontal="left" vertical="center"/>
      <protection locked="0"/>
    </xf>
    <xf numFmtId="49" fontId="36" fillId="24" borderId="6" xfId="1" applyNumberFormat="1" applyFont="1" applyFill="1" applyBorder="1" applyAlignment="1" applyProtection="1">
      <alignment horizontal="center" vertical="center"/>
      <protection locked="0"/>
    </xf>
    <xf numFmtId="49" fontId="35" fillId="24" borderId="6" xfId="1" applyNumberFormat="1" applyFont="1" applyFill="1" applyBorder="1" applyAlignment="1" applyProtection="1">
      <alignment horizontal="center" vertical="center"/>
      <protection locked="0"/>
    </xf>
    <xf numFmtId="166" fontId="36" fillId="24" borderId="6" xfId="1" applyNumberFormat="1" applyFont="1" applyFill="1" applyBorder="1" applyAlignment="1" applyProtection="1">
      <alignment horizontal="center" vertical="center"/>
      <protection locked="0"/>
    </xf>
    <xf numFmtId="171" fontId="35" fillId="24" borderId="6" xfId="3" applyNumberFormat="1" applyFont="1" applyFill="1" applyBorder="1" applyAlignment="1" applyProtection="1">
      <alignment horizontal="center" vertical="center"/>
      <protection locked="0"/>
    </xf>
    <xf numFmtId="170" fontId="35" fillId="24" borderId="6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left" vertical="center"/>
      <protection locked="0"/>
    </xf>
    <xf numFmtId="171" fontId="39" fillId="38" borderId="1" xfId="3" applyNumberFormat="1" applyFont="1" applyFill="1" applyBorder="1" applyAlignment="1" applyProtection="1">
      <alignment horizontal="center" vertical="center"/>
      <protection locked="0"/>
    </xf>
    <xf numFmtId="0" fontId="64" fillId="24" borderId="5" xfId="1" applyFont="1" applyFill="1" applyBorder="1" applyAlignment="1" applyProtection="1">
      <alignment horizontal="center" vertical="center"/>
      <protection locked="0"/>
    </xf>
    <xf numFmtId="171" fontId="35" fillId="38" borderId="1" xfId="3" applyNumberFormat="1" applyFont="1" applyFill="1" applyBorder="1" applyAlignment="1" applyProtection="1">
      <alignment horizontal="center" vertical="center"/>
      <protection locked="0"/>
    </xf>
    <xf numFmtId="170" fontId="35" fillId="12" borderId="1" xfId="3" applyNumberFormat="1" applyFont="1" applyFill="1" applyBorder="1" applyAlignment="1" applyProtection="1">
      <alignment horizontal="left" vertical="center"/>
      <protection locked="0"/>
    </xf>
    <xf numFmtId="49" fontId="35" fillId="6" borderId="3" xfId="1" applyNumberFormat="1" applyFont="1" applyFill="1" applyBorder="1" applyAlignment="1" applyProtection="1">
      <alignment horizontal="center" vertical="center"/>
      <protection locked="0"/>
    </xf>
    <xf numFmtId="171" fontId="35" fillId="38" borderId="3" xfId="3" applyNumberFormat="1" applyFont="1" applyFill="1" applyBorder="1" applyAlignment="1" applyProtection="1">
      <alignment horizontal="center" vertical="center"/>
      <protection locked="0"/>
    </xf>
    <xf numFmtId="170" fontId="35" fillId="12" borderId="3" xfId="3" applyNumberFormat="1" applyFont="1" applyFill="1" applyBorder="1" applyAlignment="1" applyProtection="1">
      <alignment horizontal="left" vertical="center"/>
      <protection locked="0"/>
    </xf>
    <xf numFmtId="170" fontId="35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21" xfId="1" applyFont="1" applyFill="1" applyBorder="1" applyAlignment="1" applyProtection="1">
      <alignment horizontal="center" vertical="center"/>
      <protection locked="0"/>
    </xf>
    <xf numFmtId="171" fontId="39" fillId="38" borderId="20" xfId="3" applyNumberFormat="1" applyFont="1" applyFill="1" applyBorder="1" applyAlignment="1" applyProtection="1">
      <alignment horizontal="center" vertical="center"/>
      <protection locked="0"/>
    </xf>
    <xf numFmtId="170" fontId="39" fillId="31" borderId="20" xfId="3" applyNumberFormat="1" applyFont="1" applyFill="1" applyBorder="1" applyAlignment="1" applyProtection="1">
      <alignment horizontal="left" vertical="center"/>
      <protection locked="0"/>
    </xf>
    <xf numFmtId="0" fontId="32" fillId="24" borderId="22" xfId="1" applyFont="1" applyFill="1" applyBorder="1" applyAlignment="1" applyProtection="1">
      <alignment horizontal="center" vertical="center"/>
      <protection locked="0"/>
    </xf>
    <xf numFmtId="171" fontId="39" fillId="38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4" fillId="24" borderId="23" xfId="1" applyFont="1" applyFill="1" applyBorder="1" applyAlignment="1" applyProtection="1">
      <alignment horizontal="center" vertical="center"/>
      <protection locked="0"/>
    </xf>
    <xf numFmtId="0" fontId="32" fillId="24" borderId="24" xfId="1" applyFont="1" applyFill="1" applyBorder="1" applyAlignment="1" applyProtection="1">
      <alignment horizontal="center" vertical="center"/>
      <protection locked="0"/>
    </xf>
    <xf numFmtId="171" fontId="39" fillId="38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left" vertical="center"/>
      <protection locked="0"/>
    </xf>
    <xf numFmtId="170" fontId="39" fillId="31" borderId="15" xfId="3" applyNumberFormat="1" applyFont="1" applyFill="1" applyBorder="1" applyAlignment="1" applyProtection="1">
      <alignment horizontal="left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57" fillId="29" borderId="1" xfId="1" applyFont="1" applyFill="1" applyBorder="1" applyAlignment="1" applyProtection="1">
      <alignment horizontal="center" vertical="center"/>
      <protection locked="0"/>
    </xf>
    <xf numFmtId="0" fontId="57" fillId="29" borderId="2" xfId="1" applyFont="1" applyFill="1" applyBorder="1" applyAlignment="1" applyProtection="1">
      <alignment horizontal="center" vertical="center"/>
      <protection locked="0"/>
    </xf>
    <xf numFmtId="49" fontId="36" fillId="31" borderId="1" xfId="1" applyNumberFormat="1" applyFont="1" applyFill="1" applyBorder="1" applyAlignment="1" applyProtection="1">
      <alignment horizontal="center" vertical="center"/>
      <protection locked="0"/>
    </xf>
    <xf numFmtId="170" fontId="36" fillId="24" borderId="1" xfId="3" applyNumberFormat="1" applyFont="1" applyFill="1" applyBorder="1" applyAlignment="1" applyProtection="1">
      <alignment horizontal="left" vertical="center"/>
      <protection locked="0"/>
    </xf>
    <xf numFmtId="170" fontId="36" fillId="24" borderId="1" xfId="3" applyNumberFormat="1" applyFont="1" applyFill="1" applyBorder="1" applyAlignment="1" applyProtection="1">
      <alignment horizontal="center" vertical="center"/>
      <protection locked="0"/>
    </xf>
    <xf numFmtId="171" fontId="35" fillId="38" borderId="5" xfId="3" applyNumberFormat="1" applyFont="1" applyFill="1" applyBorder="1" applyAlignment="1" applyProtection="1">
      <alignment horizontal="center" vertical="center"/>
      <protection locked="0"/>
    </xf>
    <xf numFmtId="49" fontId="36" fillId="24" borderId="5" xfId="3" applyNumberFormat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left" vertical="center"/>
      <protection locked="0"/>
    </xf>
    <xf numFmtId="166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1" fontId="32" fillId="0" borderId="1" xfId="1" applyNumberFormat="1" applyFont="1" applyFill="1" applyBorder="1" applyAlignment="1" applyProtection="1">
      <alignment horizontal="center" vertical="center"/>
      <protection locked="0"/>
    </xf>
    <xf numFmtId="167" fontId="34" fillId="0" borderId="2" xfId="3" applyNumberFormat="1" applyFont="1" applyFill="1" applyBorder="1" applyAlignment="1" applyProtection="1">
      <alignment horizontal="center" vertical="center"/>
      <protection locked="0"/>
    </xf>
    <xf numFmtId="49" fontId="35" fillId="0" borderId="1" xfId="3" applyNumberFormat="1" applyFont="1" applyFill="1" applyBorder="1" applyAlignment="1" applyProtection="1">
      <alignment vertical="center" wrapText="1"/>
      <protection locked="0"/>
    </xf>
    <xf numFmtId="0" fontId="32" fillId="5" borderId="1" xfId="1" applyFont="1" applyFill="1" applyBorder="1" applyAlignment="1" applyProtection="1">
      <alignment horizontal="center" vertical="center"/>
      <protection locked="0"/>
    </xf>
    <xf numFmtId="166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1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3" applyNumberFormat="1" applyFont="1" applyFill="1" applyBorder="1" applyAlignment="1" applyProtection="1">
      <alignment vertical="center" wrapText="1"/>
      <protection locked="0"/>
    </xf>
    <xf numFmtId="167" fontId="36" fillId="5" borderId="1" xfId="3" applyNumberFormat="1" applyFont="1" applyFill="1" applyBorder="1" applyAlignment="1" applyProtection="1">
      <alignment vertical="center"/>
      <protection locked="0"/>
    </xf>
    <xf numFmtId="0" fontId="34" fillId="5" borderId="1" xfId="1" applyFont="1" applyFill="1" applyBorder="1" applyAlignment="1" applyProtection="1">
      <alignment horizontal="center" vertical="center"/>
      <protection locked="0"/>
    </xf>
    <xf numFmtId="0" fontId="34" fillId="5" borderId="1" xfId="1" applyFont="1" applyFill="1" applyBorder="1" applyAlignment="1" applyProtection="1">
      <alignment horizontal="left" vertical="center"/>
      <protection locked="0"/>
    </xf>
    <xf numFmtId="167" fontId="34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3" applyNumberFormat="1" applyFont="1" applyFill="1" applyBorder="1" applyAlignment="1" applyProtection="1">
      <alignment vertical="center" wrapText="1"/>
      <protection locked="0"/>
    </xf>
    <xf numFmtId="167" fontId="34" fillId="5" borderId="1" xfId="3" applyNumberFormat="1" applyFont="1" applyFill="1" applyBorder="1" applyAlignment="1" applyProtection="1">
      <alignment vertical="center"/>
      <protection locked="0"/>
    </xf>
    <xf numFmtId="0" fontId="66" fillId="0" borderId="0" xfId="1" applyFont="1" applyBorder="1" applyProtection="1">
      <protection locked="0"/>
    </xf>
    <xf numFmtId="0" fontId="66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0" fillId="5" borderId="1" xfId="0" applyNumberFormat="1" applyFont="1" applyFill="1" applyBorder="1" applyAlignment="1">
      <alignment horizontal="center"/>
    </xf>
    <xf numFmtId="42" fontId="21" fillId="5" borderId="1" xfId="0" applyNumberFormat="1" applyFont="1" applyFill="1" applyBorder="1" applyAlignment="1">
      <alignment horizontal="center"/>
    </xf>
    <xf numFmtId="0" fontId="67" fillId="0" borderId="1" xfId="0" applyFont="1" applyBorder="1" applyAlignment="1">
      <alignment horizontal="left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32" fillId="24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fill" vertical="center" wrapText="1"/>
    </xf>
    <xf numFmtId="0" fontId="34" fillId="0" borderId="1" xfId="0" applyFont="1" applyFill="1" applyBorder="1" applyAlignment="1" applyProtection="1">
      <alignment horizontal="center" vertical="center"/>
      <protection locked="0"/>
    </xf>
    <xf numFmtId="166" fontId="32" fillId="0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/>
    </xf>
    <xf numFmtId="0" fontId="70" fillId="0" borderId="1" xfId="0" applyFont="1" applyBorder="1" applyAlignment="1">
      <alignment horizontal="center" vertical="center"/>
    </xf>
    <xf numFmtId="165" fontId="70" fillId="0" borderId="1" xfId="0" applyNumberFormat="1" applyFont="1" applyBorder="1" applyAlignment="1">
      <alignment horizontal="center" vertical="center"/>
    </xf>
    <xf numFmtId="0" fontId="70" fillId="0" borderId="1" xfId="0" applyFont="1" applyBorder="1" applyAlignment="1">
      <alignment horizontal="left" vertical="center"/>
    </xf>
    <xf numFmtId="16" fontId="23" fillId="23" borderId="1" xfId="0" applyNumberFormat="1" applyFont="1" applyFill="1" applyBorder="1" applyAlignment="1">
      <alignment horizontal="center" vertical="center"/>
    </xf>
    <xf numFmtId="49" fontId="71" fillId="23" borderId="1" xfId="0" applyNumberFormat="1" applyFont="1" applyFill="1" applyBorder="1" applyAlignment="1">
      <alignment horizontal="center" vertical="center"/>
    </xf>
    <xf numFmtId="0" fontId="73" fillId="0" borderId="0" xfId="0" applyFont="1"/>
    <xf numFmtId="0" fontId="13" fillId="17" borderId="5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 wrapText="1"/>
    </xf>
    <xf numFmtId="0" fontId="12" fillId="19" borderId="0" xfId="1" applyFont="1" applyFill="1" applyAlignment="1" applyProtection="1">
      <alignment horizontal="left" vertical="center"/>
      <protection locked="0"/>
    </xf>
    <xf numFmtId="0" fontId="19" fillId="4" borderId="0" xfId="1" applyFont="1" applyFill="1" applyBorder="1" applyAlignment="1" applyProtection="1">
      <alignment horizontal="left" vertical="center"/>
      <protection locked="0"/>
    </xf>
    <xf numFmtId="0" fontId="11" fillId="22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0" fontId="74" fillId="41" borderId="25" xfId="0" applyFont="1" applyFill="1" applyBorder="1" applyAlignment="1">
      <alignment horizontal="center" vertical="center"/>
    </xf>
    <xf numFmtId="0" fontId="74" fillId="41" borderId="26" xfId="0" applyFont="1" applyFill="1" applyBorder="1" applyAlignment="1">
      <alignment horizontal="center" vertical="center"/>
    </xf>
    <xf numFmtId="0" fontId="74" fillId="41" borderId="27" xfId="0" applyFont="1" applyFill="1" applyBorder="1" applyAlignment="1">
      <alignment horizontal="center" vertical="center"/>
    </xf>
    <xf numFmtId="0" fontId="72" fillId="41" borderId="0" xfId="0" applyFont="1" applyFill="1" applyAlignment="1">
      <alignment horizontal="center"/>
    </xf>
    <xf numFmtId="49" fontId="45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8" xfId="3" applyNumberFormat="1" applyFont="1" applyFill="1" applyBorder="1" applyAlignment="1" applyProtection="1">
      <alignment horizontal="center" vertical="center" wrapText="1"/>
      <protection locked="0"/>
    </xf>
    <xf numFmtId="167" fontId="44" fillId="0" borderId="3" xfId="3" applyNumberFormat="1" applyFont="1" applyBorder="1" applyAlignment="1" applyProtection="1">
      <alignment horizontal="center" vertical="center"/>
      <protection locked="0"/>
    </xf>
    <xf numFmtId="167" fontId="44" fillId="0" borderId="6" xfId="3" applyNumberFormat="1" applyFont="1" applyBorder="1" applyAlignment="1" applyProtection="1">
      <alignment horizontal="center" vertical="center"/>
      <protection locked="0"/>
    </xf>
    <xf numFmtId="167" fontId="44" fillId="0" borderId="5" xfId="3" applyNumberFormat="1" applyFont="1" applyBorder="1" applyAlignment="1" applyProtection="1">
      <alignment horizontal="center" vertical="center"/>
      <protection locked="0"/>
    </xf>
    <xf numFmtId="49" fontId="48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167" fontId="35" fillId="0" borderId="5" xfId="3" applyNumberFormat="1" applyFont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53" fillId="0" borderId="3" xfId="3" applyNumberFormat="1" applyFont="1" applyBorder="1" applyAlignment="1" applyProtection="1">
      <alignment horizontal="center" vertical="center"/>
      <protection locked="0"/>
    </xf>
    <xf numFmtId="167" fontId="53" fillId="0" borderId="6" xfId="3" applyNumberFormat="1" applyFont="1" applyBorder="1" applyAlignment="1" applyProtection="1">
      <alignment horizontal="center" vertical="center"/>
      <protection locked="0"/>
    </xf>
    <xf numFmtId="167" fontId="53" fillId="0" borderId="5" xfId="3" applyNumberFormat="1" applyFont="1" applyBorder="1" applyAlignment="1" applyProtection="1">
      <alignment horizontal="center" vertical="center"/>
      <protection locked="0"/>
    </xf>
    <xf numFmtId="49" fontId="44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49" fontId="42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8" xfId="3" applyNumberFormat="1" applyFont="1" applyFill="1" applyBorder="1" applyAlignment="1" applyProtection="1">
      <alignment horizontal="center" vertical="center" wrapText="1"/>
      <protection locked="0"/>
    </xf>
    <xf numFmtId="167" fontId="34" fillId="26" borderId="3" xfId="3" applyNumberFormat="1" applyFont="1" applyFill="1" applyBorder="1" applyAlignment="1" applyProtection="1">
      <alignment horizontal="center" vertical="center"/>
      <protection locked="0"/>
    </xf>
    <xf numFmtId="167" fontId="34" fillId="26" borderId="5" xfId="3" applyNumberFormat="1" applyFont="1" applyFill="1" applyBorder="1" applyAlignment="1" applyProtection="1">
      <alignment horizontal="center" vertical="center"/>
      <protection locked="0"/>
    </xf>
    <xf numFmtId="167" fontId="48" fillId="0" borderId="3" xfId="3" applyNumberFormat="1" applyFont="1" applyBorder="1" applyAlignment="1" applyProtection="1">
      <alignment horizontal="center" vertical="center"/>
      <protection locked="0"/>
    </xf>
    <xf numFmtId="167" fontId="48" fillId="0" borderId="6" xfId="3" applyNumberFormat="1" applyFont="1" applyBorder="1" applyAlignment="1" applyProtection="1">
      <alignment horizontal="center" vertical="center"/>
      <protection locked="0"/>
    </xf>
    <xf numFmtId="167" fontId="48" fillId="0" borderId="5" xfId="3" applyNumberFormat="1" applyFont="1" applyBorder="1" applyAlignment="1" applyProtection="1">
      <alignment horizontal="center" vertical="center"/>
      <protection locked="0"/>
    </xf>
    <xf numFmtId="167" fontId="35" fillId="0" borderId="6" xfId="3" applyNumberFormat="1" applyFont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0" fontId="56" fillId="29" borderId="10" xfId="1" applyFont="1" applyFill="1" applyBorder="1" applyAlignment="1" applyProtection="1">
      <alignment horizontal="center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blanlot@unosalud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13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omments" Target="../comments1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B0F0"/>
  </sheetPr>
  <dimension ref="A1:M35"/>
  <sheetViews>
    <sheetView tabSelected="1" zoomScale="90" zoomScaleNormal="90" workbookViewId="0">
      <pane ySplit="10" topLeftCell="A11" activePane="bottomLeft" state="frozen"/>
      <selection activeCell="C16" sqref="C16"/>
      <selection pane="bottomLeft" activeCell="L16" sqref="L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13" ht="27" x14ac:dyDescent="0.5">
      <c r="A2" s="595" t="s">
        <v>7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13" ht="12.75" hidden="1" customHeight="1" outlineLevel="1" x14ac:dyDescent="0.25">
      <c r="A3" s="591" t="s">
        <v>158</v>
      </c>
      <c r="B3" s="591"/>
      <c r="C3" s="95" t="str">
        <f>IFERROR(VLOOKUP($A$2,DATOS!$A$2:$N$14,2,FALSE),"SUCURSAL NO ENCONTRADA")</f>
        <v>SOC. PRESTADORA DE SERVICIOS ODONTOLÓGICOS UNO SALUD LTDA.</v>
      </c>
      <c r="H3" s="575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91" t="s">
        <v>159</v>
      </c>
      <c r="B4" s="591"/>
      <c r="C4" s="95" t="str">
        <f>IFERROR(VLOOKUP($A$2,DATOS!$A$2:$N$14,3,FALSE),"SUCURSAL NO ENCONTRADA")</f>
        <v>76.110.234-6</v>
      </c>
      <c r="H4" s="575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91" t="s">
        <v>160</v>
      </c>
      <c r="B5" s="591"/>
      <c r="C5" s="95" t="str">
        <f>IFERROR(VLOOKUP($A$2,DATOS!$A$2:$N$14,4,FALSE),"SUCURSAL NO ENCONTRADA")</f>
        <v>COYANCURA 2229 - PROVIDENCIA</v>
      </c>
      <c r="H5" s="575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91" t="s">
        <v>161</v>
      </c>
      <c r="B6" s="591"/>
      <c r="C6" s="95" t="str">
        <f>IFERROR(VLOOKUP($A$2,DATOS!$A$2:$N$14,5,FALSE),"SUCURSAL NO ENCONTRADA")</f>
        <v>CENTROS MÉDICOS DE ATENCIÓN AMBULATORIA</v>
      </c>
      <c r="H6" s="575" t="s">
        <v>167</v>
      </c>
      <c r="I6" s="95" t="str">
        <f>IFERROR(VLOOKUP($A$2,DATOS!$A$2:$N$14,11,FALSE),"SUCURSAL NO ENCONTRADA")</f>
        <v>PATRICIA CIFUENTES
GRACIELA PAVEZ</v>
      </c>
    </row>
    <row r="7" spans="1:13" ht="12.75" hidden="1" customHeight="1" outlineLevel="1" x14ac:dyDescent="0.25">
      <c r="A7" s="591" t="s">
        <v>162</v>
      </c>
      <c r="B7" s="591"/>
      <c r="C7" s="95" t="str">
        <f>IFERROR(VLOOKUP($A$2,DATOS!$A$2:$N$14,6,FALSE),"SUCURSAL NO ENCONTRADA")</f>
        <v>UNO SALUD DENTAL LTDA.</v>
      </c>
      <c r="H7" s="575" t="s">
        <v>164</v>
      </c>
      <c r="I7" s="95" t="str">
        <f>IFERROR(VLOOKUP($A$2,DATOS!$A$2:$N$14,12,FALSE),"SUCURSAL NO ENCONTRADA")</f>
        <v>pcifuentes@unosalud.cl</v>
      </c>
    </row>
    <row r="8" spans="1:13" ht="14.25" hidden="1" customHeight="1" outlineLevel="1" x14ac:dyDescent="0.25">
      <c r="A8" s="592" t="s">
        <v>165</v>
      </c>
      <c r="B8" s="59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163</v>
      </c>
      <c r="I8" s="95" t="str">
        <f>IFERROR(VLOOKUP($A$2,DATOS!$A$2:$N$14,13,FALSE),"SUCURSAL NO ENCONTRADA")</f>
        <v>22 7638923
22 7638924</v>
      </c>
    </row>
    <row r="9" spans="1:13" s="588" customFormat="1" ht="24.75" customHeight="1" collapsed="1" x14ac:dyDescent="0.35">
      <c r="A9" s="596" t="s">
        <v>3187</v>
      </c>
      <c r="B9" s="597"/>
      <c r="C9" s="597"/>
      <c r="D9" s="597"/>
      <c r="E9" s="597"/>
      <c r="F9" s="597"/>
      <c r="G9" s="597"/>
      <c r="H9" s="597"/>
      <c r="I9" s="597"/>
      <c r="J9" s="597"/>
      <c r="K9" s="598"/>
      <c r="L9" s="599"/>
      <c r="M9" s="599"/>
    </row>
    <row r="10" spans="1:13" ht="24.75" customHeight="1" collapsed="1" x14ac:dyDescent="0.25">
      <c r="A10" s="589" t="s">
        <v>96</v>
      </c>
      <c r="B10" s="589" t="s">
        <v>97</v>
      </c>
      <c r="C10" s="590" t="s">
        <v>101</v>
      </c>
      <c r="D10" s="589" t="s">
        <v>98</v>
      </c>
      <c r="E10" s="589" t="s">
        <v>99</v>
      </c>
      <c r="F10" s="589" t="s">
        <v>100</v>
      </c>
      <c r="G10" s="589" t="s">
        <v>103</v>
      </c>
      <c r="H10" s="589" t="s">
        <v>102</v>
      </c>
      <c r="I10" s="589" t="s">
        <v>108</v>
      </c>
      <c r="J10" s="590" t="s">
        <v>104</v>
      </c>
      <c r="K10" s="590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898056</v>
      </c>
      <c r="C11" s="94">
        <v>42021</v>
      </c>
      <c r="D11" s="92" t="s">
        <v>3052</v>
      </c>
      <c r="E11" s="91" t="s">
        <v>590</v>
      </c>
      <c r="F11" s="92" t="s">
        <v>846</v>
      </c>
      <c r="G11" s="9"/>
      <c r="H11" s="12" t="s">
        <v>369</v>
      </c>
      <c r="I11" s="120">
        <v>1</v>
      </c>
      <c r="J11" s="87">
        <f>IF(F11="","",VLOOKUP(F11,ARANCEL!$E$2:$F$123,2,FALSE))</f>
        <v>334719</v>
      </c>
      <c r="K11" s="88">
        <f t="shared" ref="K11:K17" si="0">IF(I11=0,"",J11*I11)</f>
        <v>334719</v>
      </c>
      <c r="L11" s="587" t="s">
        <v>3186</v>
      </c>
      <c r="M11" s="93" t="s">
        <v>3053</v>
      </c>
    </row>
    <row r="12" spans="1:13" x14ac:dyDescent="0.25">
      <c r="A12" s="91">
        <v>2</v>
      </c>
      <c r="B12" s="91">
        <v>90062</v>
      </c>
      <c r="C12" s="94">
        <v>42023</v>
      </c>
      <c r="D12" s="92" t="s">
        <v>621</v>
      </c>
      <c r="E12" s="91" t="s">
        <v>590</v>
      </c>
      <c r="F12" s="92" t="s">
        <v>624</v>
      </c>
      <c r="G12" s="9"/>
      <c r="H12" s="12" t="s">
        <v>371</v>
      </c>
      <c r="I12" s="120">
        <v>5</v>
      </c>
      <c r="J12" s="87">
        <v>45147</v>
      </c>
      <c r="K12" s="88">
        <f t="shared" si="0"/>
        <v>225735</v>
      </c>
      <c r="L12" s="587" t="s">
        <v>3186</v>
      </c>
      <c r="M12" s="93"/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93" t="s">
        <v>366</v>
      </c>
      <c r="B20" s="593"/>
      <c r="C20" s="593"/>
      <c r="D20" s="593"/>
      <c r="E20" s="593"/>
      <c r="F20" s="593"/>
      <c r="G20" s="593"/>
      <c r="H20" s="593"/>
      <c r="I20" s="593"/>
      <c r="J20" s="593"/>
      <c r="K20" s="593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/>
      <c r="B22" s="115"/>
      <c r="C22" s="110"/>
      <c r="D22" s="116"/>
      <c r="E22" s="115"/>
      <c r="F22" s="116"/>
      <c r="G22" s="111"/>
      <c r="H22" s="576"/>
      <c r="I22" s="113"/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M85"/>
  <sheetViews>
    <sheetView zoomScale="85" zoomScaleNormal="85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0.1406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13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13" ht="27" x14ac:dyDescent="0.5">
      <c r="A2" s="595" t="s">
        <v>21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13" ht="12.75" hidden="1" customHeight="1" outlineLevel="1" x14ac:dyDescent="0.25">
      <c r="A3" s="591" t="s">
        <v>158</v>
      </c>
      <c r="B3" s="591"/>
      <c r="C3" s="95" t="str">
        <f>IFERROR(VLOOKUP($A$2,DATOS!$A$2:$N$14,2,FALSE),"SUCURSAL NO ENCONTRADA")</f>
        <v xml:space="preserve">SOC. ODONTOLÓGICA UNO SALUD ESTACIÓN CENTRAL LTDA. </v>
      </c>
      <c r="H3" s="98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91" t="s">
        <v>159</v>
      </c>
      <c r="B4" s="591"/>
      <c r="C4" s="95" t="str">
        <f>IFERROR(VLOOKUP($A$2,DATOS!$A$2:$N$14,3,FALSE),"SUCURSAL NO ENCONTRADA")</f>
        <v>76.244.474-7</v>
      </c>
      <c r="H4" s="9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91" t="s">
        <v>160</v>
      </c>
      <c r="B5" s="591"/>
      <c r="C5" s="95" t="str">
        <f>IFERROR(VLOOKUP($A$2,DATOS!$A$2:$N$14,4,FALSE),"SUCURSAL NO ENCONTRADA")</f>
        <v xml:space="preserve">PASEO ARAUCO ESTACIÓN SAN FRANCISCO DE BORJA 122 LOCAL S-122 A </v>
      </c>
      <c r="H5" s="98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91" t="s">
        <v>161</v>
      </c>
      <c r="B6" s="591"/>
      <c r="C6" s="95" t="str">
        <f>IFERROR(VLOOKUP($A$2,DATOS!$A$2:$N$14,5,FALSE),"SUCURSAL NO ENCONTRADA")</f>
        <v>CENTROS MÉDICOS DE ATENCIÓN AMBULATORIA</v>
      </c>
      <c r="H6" s="98" t="s">
        <v>167</v>
      </c>
      <c r="I6" s="95" t="str">
        <f>IFERROR(VLOOKUP($A$2,DATOS!$A$2:$N$14,11,FALSE),"SUCURSAL NO ENCONTRADA")</f>
        <v>JAVIER JARPA
DIANA GUZMAN</v>
      </c>
    </row>
    <row r="7" spans="1:13" ht="12.75" hidden="1" customHeight="1" outlineLevel="1" x14ac:dyDescent="0.25">
      <c r="A7" s="591" t="s">
        <v>162</v>
      </c>
      <c r="B7" s="591"/>
      <c r="C7" s="95" t="str">
        <f>IFERROR(VLOOKUP($A$2,DATOS!$A$2:$N$14,6,FALSE),"SUCURSAL NO ENCONTRADA")</f>
        <v>UNO SALUD ESTACIÓN CENTRAL LTDA.</v>
      </c>
      <c r="H7" s="98" t="s">
        <v>164</v>
      </c>
      <c r="I7" s="95" t="str">
        <f>IFERROR(VLOOKUP($A$2,DATOS!$A$2:$N$14,12,FALSE),"SUCURSAL NO ENCONTRADA")</f>
        <v>jjarpa@unosalud.cl</v>
      </c>
    </row>
    <row r="8" spans="1:13" ht="14.25" hidden="1" customHeight="1" outlineLevel="1" x14ac:dyDescent="0.25">
      <c r="A8" s="592" t="s">
        <v>165</v>
      </c>
      <c r="B8" s="59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98" t="s">
        <v>163</v>
      </c>
      <c r="I8" s="95" t="str">
        <f>IFERROR(VLOOKUP($A$2,DATOS!$A$2:$N$14,13,FALSE),"SUCURSAL NO ENCONTRADA")</f>
        <v>22 7638941
22 7638942</v>
      </c>
    </row>
    <row r="9" spans="1:13" s="588" customFormat="1" ht="24.75" customHeight="1" collapsed="1" x14ac:dyDescent="0.35">
      <c r="A9" s="596" t="s">
        <v>3187</v>
      </c>
      <c r="B9" s="597"/>
      <c r="C9" s="597"/>
      <c r="D9" s="597"/>
      <c r="E9" s="597"/>
      <c r="F9" s="597"/>
      <c r="G9" s="597"/>
      <c r="H9" s="597"/>
      <c r="I9" s="597"/>
      <c r="J9" s="597"/>
      <c r="K9" s="598"/>
      <c r="L9" s="599"/>
      <c r="M9" s="59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85889</v>
      </c>
      <c r="C11" s="94">
        <v>42010</v>
      </c>
      <c r="D11" s="92" t="s">
        <v>437</v>
      </c>
      <c r="E11" s="91" t="s">
        <v>389</v>
      </c>
      <c r="F11" s="92" t="s">
        <v>357</v>
      </c>
      <c r="G11" s="9"/>
      <c r="H11" s="12" t="s">
        <v>371</v>
      </c>
      <c r="I11" s="120">
        <v>1</v>
      </c>
      <c r="J11" s="87">
        <f>IF(F11="","",VLOOKUP(F11,ARANCEL!$E$2:$F$123,2,FALSE))</f>
        <v>25800.249999999996</v>
      </c>
      <c r="K11" s="88">
        <f t="shared" ref="K11:K31" si="0">IF(I11=0,"",J11*I11)</f>
        <v>25800.249999999996</v>
      </c>
      <c r="L11" s="587" t="s">
        <v>3186</v>
      </c>
      <c r="M11" s="93"/>
    </row>
    <row r="12" spans="1:13" x14ac:dyDescent="0.25">
      <c r="A12" s="91">
        <v>2</v>
      </c>
      <c r="B12" s="91">
        <v>85299</v>
      </c>
      <c r="C12" s="94">
        <v>42004</v>
      </c>
      <c r="D12" s="92" t="s">
        <v>403</v>
      </c>
      <c r="E12" s="91" t="s">
        <v>389</v>
      </c>
      <c r="F12" s="92" t="s">
        <v>115</v>
      </c>
      <c r="G12" s="9"/>
      <c r="H12" s="12" t="s">
        <v>404</v>
      </c>
      <c r="I12" s="120">
        <v>1</v>
      </c>
      <c r="J12" s="87">
        <f>IF(F12="","",VLOOKUP(F12,ARANCEL!$E$2:$F$123,2,FALSE))</f>
        <v>33370.239999999998</v>
      </c>
      <c r="K12" s="88">
        <f t="shared" si="0"/>
        <v>33370.239999999998</v>
      </c>
      <c r="L12" s="587" t="s">
        <v>3186</v>
      </c>
      <c r="M12" s="93"/>
    </row>
    <row r="13" spans="1:13" x14ac:dyDescent="0.25">
      <c r="A13" s="91">
        <v>3</v>
      </c>
      <c r="B13" s="91">
        <v>87187</v>
      </c>
      <c r="C13" s="94">
        <v>42013</v>
      </c>
      <c r="D13" s="92" t="s">
        <v>3054</v>
      </c>
      <c r="E13" s="91" t="s">
        <v>381</v>
      </c>
      <c r="F13" s="92" t="s">
        <v>217</v>
      </c>
      <c r="G13" s="9"/>
      <c r="H13" s="12" t="s">
        <v>371</v>
      </c>
      <c r="I13" s="120">
        <v>1</v>
      </c>
      <c r="J13" s="87">
        <f>IF(F13="","",VLOOKUP(F13,ARANCEL!$E$2:$F$123,2,FALSE))</f>
        <v>44597.287499999999</v>
      </c>
      <c r="K13" s="88">
        <f t="shared" si="0"/>
        <v>44597.287499999999</v>
      </c>
      <c r="L13" s="587" t="s">
        <v>3186</v>
      </c>
      <c r="M13" s="93"/>
    </row>
    <row r="14" spans="1:13" x14ac:dyDescent="0.25">
      <c r="A14" s="91">
        <v>4</v>
      </c>
      <c r="B14" s="102">
        <v>87204</v>
      </c>
      <c r="C14" s="103">
        <v>42013</v>
      </c>
      <c r="D14" s="104" t="s">
        <v>850</v>
      </c>
      <c r="E14" s="102" t="s">
        <v>381</v>
      </c>
      <c r="F14" s="104" t="s">
        <v>237</v>
      </c>
      <c r="G14" s="105"/>
      <c r="H14" s="99" t="s">
        <v>371</v>
      </c>
      <c r="I14" s="106">
        <v>1</v>
      </c>
      <c r="J14" s="87">
        <f>IF(F14="","",VLOOKUP(F14,ARANCEL!$E$2:$F$123,2,FALSE))</f>
        <v>10400.599999999999</v>
      </c>
      <c r="K14" s="101">
        <f t="shared" si="0"/>
        <v>10400.599999999999</v>
      </c>
      <c r="L14" s="587" t="s">
        <v>3186</v>
      </c>
      <c r="M14" s="100" t="s">
        <v>3055</v>
      </c>
    </row>
    <row r="15" spans="1:13" x14ac:dyDescent="0.25">
      <c r="A15" s="91">
        <v>5</v>
      </c>
      <c r="B15" s="102">
        <v>86973</v>
      </c>
      <c r="C15" s="103">
        <v>42013</v>
      </c>
      <c r="D15" s="104" t="s">
        <v>406</v>
      </c>
      <c r="E15" s="102" t="s">
        <v>389</v>
      </c>
      <c r="F15" s="104" t="s">
        <v>116</v>
      </c>
      <c r="G15" s="105"/>
      <c r="H15" s="99" t="s">
        <v>2963</v>
      </c>
      <c r="I15" s="106">
        <v>2</v>
      </c>
      <c r="J15" s="87">
        <f>IF(F15="","",VLOOKUP(F15,ARANCEL!$E$2:$F$123,2,FALSE))</f>
        <v>5274.3600000000006</v>
      </c>
      <c r="K15" s="101">
        <f t="shared" si="0"/>
        <v>10548.720000000001</v>
      </c>
      <c r="L15" s="587" t="s">
        <v>3186</v>
      </c>
      <c r="M15" s="100"/>
    </row>
    <row r="16" spans="1:13" x14ac:dyDescent="0.25">
      <c r="A16" s="91">
        <v>6</v>
      </c>
      <c r="B16" s="102">
        <v>86546</v>
      </c>
      <c r="C16" s="103">
        <v>42013</v>
      </c>
      <c r="D16" s="104" t="s">
        <v>406</v>
      </c>
      <c r="E16" s="102" t="s">
        <v>389</v>
      </c>
      <c r="F16" s="104" t="s">
        <v>115</v>
      </c>
      <c r="G16" s="105"/>
      <c r="H16" s="99" t="s">
        <v>407</v>
      </c>
      <c r="I16" s="106">
        <v>1</v>
      </c>
      <c r="J16" s="87">
        <f>IF(F16="","",VLOOKUP(F16,ARANCEL!$E$2:$F$123,2,FALSE))</f>
        <v>33370.239999999998</v>
      </c>
      <c r="K16" s="101">
        <f t="shared" si="0"/>
        <v>33370.239999999998</v>
      </c>
      <c r="L16" s="587" t="s">
        <v>3186</v>
      </c>
      <c r="M16" s="100"/>
    </row>
    <row r="17" spans="1:13" x14ac:dyDescent="0.25">
      <c r="A17" s="102">
        <v>7</v>
      </c>
      <c r="B17" s="102">
        <v>85854</v>
      </c>
      <c r="C17" s="103">
        <v>42012</v>
      </c>
      <c r="D17" s="104" t="s">
        <v>3056</v>
      </c>
      <c r="E17" s="102" t="s">
        <v>478</v>
      </c>
      <c r="F17" s="104" t="s">
        <v>116</v>
      </c>
      <c r="G17" s="105"/>
      <c r="H17" s="99" t="s">
        <v>442</v>
      </c>
      <c r="I17" s="106">
        <v>1</v>
      </c>
      <c r="J17" s="87">
        <f>IF(F17="","",VLOOKUP(F17,ARANCEL!$E$2:$F$123,2,FALSE))</f>
        <v>5274.3600000000006</v>
      </c>
      <c r="K17" s="101">
        <f t="shared" si="0"/>
        <v>5274.3600000000006</v>
      </c>
      <c r="L17" s="587" t="s">
        <v>3186</v>
      </c>
      <c r="M17" s="100"/>
    </row>
    <row r="18" spans="1:13" x14ac:dyDescent="0.25">
      <c r="A18" s="102">
        <v>8</v>
      </c>
      <c r="B18" s="102">
        <v>87619</v>
      </c>
      <c r="C18" s="103">
        <v>42016</v>
      </c>
      <c r="D18" s="104" t="s">
        <v>3056</v>
      </c>
      <c r="E18" s="102" t="s">
        <v>478</v>
      </c>
      <c r="F18" s="104" t="s">
        <v>116</v>
      </c>
      <c r="G18" s="105"/>
      <c r="H18" s="99" t="s">
        <v>1023</v>
      </c>
      <c r="I18" s="106">
        <v>3</v>
      </c>
      <c r="J18" s="87">
        <f>IF(F18="","",VLOOKUP(F18,ARANCEL!$E$2:$F$123,2,FALSE))</f>
        <v>5274.3600000000006</v>
      </c>
      <c r="K18" s="101">
        <f t="shared" si="0"/>
        <v>15823.080000000002</v>
      </c>
      <c r="L18" s="587" t="s">
        <v>3186</v>
      </c>
      <c r="M18" s="100"/>
    </row>
    <row r="19" spans="1:13" x14ac:dyDescent="0.25">
      <c r="A19" s="102">
        <v>9</v>
      </c>
      <c r="B19" s="102">
        <v>88306</v>
      </c>
      <c r="C19" s="103">
        <v>42018</v>
      </c>
      <c r="D19" s="104" t="s">
        <v>3059</v>
      </c>
      <c r="E19" s="102" t="s">
        <v>478</v>
      </c>
      <c r="F19" s="104" t="s">
        <v>116</v>
      </c>
      <c r="G19" s="105"/>
      <c r="H19" s="99" t="s">
        <v>534</v>
      </c>
      <c r="I19" s="106">
        <v>1</v>
      </c>
      <c r="J19" s="87">
        <f>IF(F19="","",VLOOKUP(F19,ARANCEL!$E$2:$F$123,2,FALSE))</f>
        <v>5274.3600000000006</v>
      </c>
      <c r="K19" s="101">
        <f t="shared" si="0"/>
        <v>5274.3600000000006</v>
      </c>
      <c r="L19" s="587" t="s">
        <v>3186</v>
      </c>
      <c r="M19" s="100"/>
    </row>
    <row r="20" spans="1:13" x14ac:dyDescent="0.25">
      <c r="A20" s="102">
        <v>10</v>
      </c>
      <c r="B20" s="102">
        <v>88306</v>
      </c>
      <c r="C20" s="103">
        <v>42018</v>
      </c>
      <c r="D20" s="104" t="s">
        <v>3059</v>
      </c>
      <c r="E20" s="102" t="s">
        <v>478</v>
      </c>
      <c r="F20" s="104" t="s">
        <v>175</v>
      </c>
      <c r="G20" s="105"/>
      <c r="H20" s="99" t="s">
        <v>3060</v>
      </c>
      <c r="I20" s="106">
        <v>2</v>
      </c>
      <c r="J20" s="87">
        <f>IF(F20="","",VLOOKUP(F20,ARANCEL!$E$2:$F$123,2,FALSE))</f>
        <v>5274.3600000000006</v>
      </c>
      <c r="K20" s="101">
        <f t="shared" si="0"/>
        <v>10548.720000000001</v>
      </c>
      <c r="L20" s="587" t="s">
        <v>3186</v>
      </c>
      <c r="M20" s="577" t="s">
        <v>3061</v>
      </c>
    </row>
    <row r="21" spans="1:13" x14ac:dyDescent="0.25">
      <c r="A21" s="102">
        <v>11</v>
      </c>
      <c r="B21" s="102">
        <v>88482</v>
      </c>
      <c r="C21" s="103">
        <v>42018</v>
      </c>
      <c r="D21" s="104" t="s">
        <v>3062</v>
      </c>
      <c r="E21" s="102" t="s">
        <v>478</v>
      </c>
      <c r="F21" s="104" t="s">
        <v>219</v>
      </c>
      <c r="G21" s="105"/>
      <c r="H21" s="99" t="s">
        <v>371</v>
      </c>
      <c r="I21" s="106">
        <v>1</v>
      </c>
      <c r="J21" s="87">
        <f>IF(F21="","",VLOOKUP(F21,ARANCEL!$E$2:$F$123,2,FALSE))</f>
        <v>22299.074999999997</v>
      </c>
      <c r="K21" s="101">
        <f t="shared" si="0"/>
        <v>22299.074999999997</v>
      </c>
      <c r="L21" s="587" t="s">
        <v>3186</v>
      </c>
      <c r="M21" s="100"/>
    </row>
    <row r="22" spans="1:13" x14ac:dyDescent="0.25">
      <c r="A22" s="102">
        <v>12</v>
      </c>
      <c r="B22" s="102">
        <v>88687</v>
      </c>
      <c r="C22" s="103">
        <v>42019</v>
      </c>
      <c r="D22" s="104" t="s">
        <v>408</v>
      </c>
      <c r="E22" s="102" t="s">
        <v>381</v>
      </c>
      <c r="F22" s="104" t="s">
        <v>192</v>
      </c>
      <c r="G22" s="105"/>
      <c r="H22" s="99" t="s">
        <v>410</v>
      </c>
      <c r="I22" s="106">
        <v>1</v>
      </c>
      <c r="J22" s="87">
        <f>IF(F22="","",VLOOKUP(F22,ARANCEL!$E$2:$F$123,2,FALSE))</f>
        <v>57959.999999999993</v>
      </c>
      <c r="K22" s="101">
        <f t="shared" si="0"/>
        <v>57959.999999999993</v>
      </c>
      <c r="L22" s="587" t="s">
        <v>3186</v>
      </c>
      <c r="M22" s="100"/>
    </row>
    <row r="23" spans="1:13" x14ac:dyDescent="0.25">
      <c r="A23" s="102">
        <v>13</v>
      </c>
      <c r="B23" s="102">
        <v>88859</v>
      </c>
      <c r="C23" s="103">
        <v>42019</v>
      </c>
      <c r="D23" s="104" t="s">
        <v>405</v>
      </c>
      <c r="E23" s="102" t="s">
        <v>381</v>
      </c>
      <c r="F23" s="104" t="s">
        <v>355</v>
      </c>
      <c r="G23" s="105"/>
      <c r="H23" s="99" t="s">
        <v>371</v>
      </c>
      <c r="I23" s="106">
        <v>1</v>
      </c>
      <c r="J23" s="87">
        <f>IF(F23="","",VLOOKUP(F23,ARANCEL!$E$2:$F$123,2,FALSE))</f>
        <v>55057.687499999993</v>
      </c>
      <c r="K23" s="101">
        <f t="shared" si="0"/>
        <v>55057.687499999993</v>
      </c>
      <c r="L23" s="587" t="s">
        <v>3186</v>
      </c>
      <c r="M23" s="100"/>
    </row>
    <row r="24" spans="1:13" x14ac:dyDescent="0.25">
      <c r="A24" s="102">
        <v>14</v>
      </c>
      <c r="B24" s="102">
        <v>88912</v>
      </c>
      <c r="C24" s="103">
        <v>42026</v>
      </c>
      <c r="D24" s="104" t="s">
        <v>406</v>
      </c>
      <c r="E24" s="102" t="s">
        <v>389</v>
      </c>
      <c r="F24" s="104" t="s">
        <v>116</v>
      </c>
      <c r="G24" s="105"/>
      <c r="H24" s="99" t="s">
        <v>445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587" t="s">
        <v>3186</v>
      </c>
      <c r="M24" s="100"/>
    </row>
    <row r="25" spans="1:13" x14ac:dyDescent="0.25">
      <c r="A25" s="102">
        <v>15</v>
      </c>
      <c r="B25" s="102">
        <v>89336</v>
      </c>
      <c r="C25" s="103">
        <v>42023</v>
      </c>
      <c r="D25" s="104" t="s">
        <v>3062</v>
      </c>
      <c r="E25" s="102" t="s">
        <v>478</v>
      </c>
      <c r="F25" s="104" t="s">
        <v>116</v>
      </c>
      <c r="G25" s="105"/>
      <c r="H25" s="99" t="s">
        <v>812</v>
      </c>
      <c r="I25" s="106">
        <v>3</v>
      </c>
      <c r="J25" s="87">
        <f>IF(F25="","",VLOOKUP(F25,ARANCEL!$E$2:$F$123,2,FALSE))</f>
        <v>5274.3600000000006</v>
      </c>
      <c r="K25" s="101">
        <f t="shared" si="0"/>
        <v>15823.080000000002</v>
      </c>
      <c r="L25" s="587" t="s">
        <v>3186</v>
      </c>
      <c r="M25" s="100"/>
    </row>
    <row r="26" spans="1:13" x14ac:dyDescent="0.25">
      <c r="A26" s="102">
        <v>16</v>
      </c>
      <c r="B26" s="102">
        <v>89820</v>
      </c>
      <c r="C26" s="103">
        <v>42024</v>
      </c>
      <c r="D26" s="104" t="s">
        <v>3156</v>
      </c>
      <c r="E26" s="102" t="s">
        <v>381</v>
      </c>
      <c r="F26" s="104" t="s">
        <v>116</v>
      </c>
      <c r="G26" s="105"/>
      <c r="H26" s="99" t="s">
        <v>442</v>
      </c>
      <c r="I26" s="106">
        <v>1</v>
      </c>
      <c r="J26" s="87">
        <f>IF(F26="","",VLOOKUP(F26,ARANCEL!$E$2:$F$123,2,FALSE))</f>
        <v>5274.3600000000006</v>
      </c>
      <c r="K26" s="101">
        <f t="shared" si="0"/>
        <v>5274.3600000000006</v>
      </c>
      <c r="L26" s="587" t="s">
        <v>3186</v>
      </c>
      <c r="M26" s="100"/>
    </row>
    <row r="27" spans="1:13" x14ac:dyDescent="0.25">
      <c r="A27" s="102">
        <v>17</v>
      </c>
      <c r="B27" s="102">
        <v>89820</v>
      </c>
      <c r="C27" s="103">
        <v>42024</v>
      </c>
      <c r="D27" s="104" t="s">
        <v>3156</v>
      </c>
      <c r="E27" s="102" t="s">
        <v>381</v>
      </c>
      <c r="F27" s="104" t="s">
        <v>210</v>
      </c>
      <c r="G27" s="105"/>
      <c r="H27" s="99" t="s">
        <v>442</v>
      </c>
      <c r="I27" s="106">
        <v>1</v>
      </c>
      <c r="J27" s="87">
        <f>IF(F27="","",VLOOKUP(F27,ARANCEL!$E$2:$F$123,2,FALSE))</f>
        <v>14098.999999999998</v>
      </c>
      <c r="K27" s="101">
        <f t="shared" si="0"/>
        <v>14098.999999999998</v>
      </c>
      <c r="L27" s="587" t="s">
        <v>3186</v>
      </c>
      <c r="M27" s="100"/>
    </row>
    <row r="28" spans="1:13" x14ac:dyDescent="0.25">
      <c r="A28" s="102">
        <v>18</v>
      </c>
      <c r="B28" s="102">
        <v>90325</v>
      </c>
      <c r="C28" s="103">
        <v>42025</v>
      </c>
      <c r="D28" s="104" t="s">
        <v>3157</v>
      </c>
      <c r="E28" s="102" t="s">
        <v>381</v>
      </c>
      <c r="F28" s="104" t="s">
        <v>537</v>
      </c>
      <c r="G28" s="105"/>
      <c r="H28" s="99" t="s">
        <v>527</v>
      </c>
      <c r="I28" s="106">
        <v>1</v>
      </c>
      <c r="J28" s="87">
        <f>IF(F28="","",VLOOKUP(F28,ARANCEL!$E$2:$F$123,2,FALSE))</f>
        <v>30428.999999999996</v>
      </c>
      <c r="K28" s="101">
        <f t="shared" si="0"/>
        <v>30428.999999999996</v>
      </c>
      <c r="L28" s="587" t="s">
        <v>3186</v>
      </c>
      <c r="M28" s="100"/>
    </row>
    <row r="29" spans="1:13" x14ac:dyDescent="0.25">
      <c r="A29" s="102">
        <v>19</v>
      </c>
      <c r="B29" s="102">
        <v>90138</v>
      </c>
      <c r="C29" s="103">
        <v>42024</v>
      </c>
      <c r="D29" s="104" t="s">
        <v>3158</v>
      </c>
      <c r="E29" s="102" t="s">
        <v>478</v>
      </c>
      <c r="F29" s="104" t="s">
        <v>116</v>
      </c>
      <c r="G29" s="105"/>
      <c r="H29" s="99" t="s">
        <v>1783</v>
      </c>
      <c r="I29" s="106">
        <v>3</v>
      </c>
      <c r="J29" s="87">
        <f>IF(F29="","",VLOOKUP(F29,ARANCEL!$E$2:$F$123,2,FALSE))</f>
        <v>5274.3600000000006</v>
      </c>
      <c r="K29" s="101">
        <f t="shared" si="0"/>
        <v>15823.080000000002</v>
      </c>
      <c r="L29" s="587" t="s">
        <v>3186</v>
      </c>
      <c r="M29" s="100"/>
    </row>
    <row r="30" spans="1:13" x14ac:dyDescent="0.25">
      <c r="A30" s="102">
        <v>20</v>
      </c>
      <c r="B30" s="102">
        <v>90969</v>
      </c>
      <c r="C30" s="103">
        <v>42026</v>
      </c>
      <c r="D30" s="104" t="s">
        <v>3180</v>
      </c>
      <c r="E30" s="102" t="s">
        <v>389</v>
      </c>
      <c r="F30" s="104" t="s">
        <v>537</v>
      </c>
      <c r="G30" s="105"/>
      <c r="H30" s="99" t="s">
        <v>562</v>
      </c>
      <c r="I30" s="106">
        <v>1</v>
      </c>
      <c r="J30" s="87">
        <f>IF(F30="","",VLOOKUP(F30,ARANCEL!$E$2:$F$123,2,FALSE))</f>
        <v>30428.999999999996</v>
      </c>
      <c r="K30" s="101">
        <f t="shared" si="0"/>
        <v>30428.999999999996</v>
      </c>
      <c r="L30" s="587" t="s">
        <v>3186</v>
      </c>
      <c r="M30" s="100"/>
    </row>
    <row r="31" spans="1:13" x14ac:dyDescent="0.25">
      <c r="A31" s="102">
        <v>21</v>
      </c>
      <c r="B31" s="102">
        <v>90931</v>
      </c>
      <c r="C31" s="103">
        <v>42026</v>
      </c>
      <c r="D31" s="104" t="s">
        <v>3180</v>
      </c>
      <c r="E31" s="102" t="s">
        <v>389</v>
      </c>
      <c r="F31" s="104" t="s">
        <v>116</v>
      </c>
      <c r="G31" s="105"/>
      <c r="H31" s="99" t="s">
        <v>1880</v>
      </c>
      <c r="I31" s="106">
        <v>4</v>
      </c>
      <c r="J31" s="87">
        <f>IF(F31="","",VLOOKUP(F31,ARANCEL!$E$2:$F$123,2,FALSE))</f>
        <v>5274.3600000000006</v>
      </c>
      <c r="K31" s="101">
        <f t="shared" si="0"/>
        <v>21097.440000000002</v>
      </c>
      <c r="L31" s="587" t="s">
        <v>3186</v>
      </c>
      <c r="M31" s="100"/>
    </row>
    <row r="32" spans="1:13" x14ac:dyDescent="0.25">
      <c r="A32" s="102">
        <v>22</v>
      </c>
      <c r="B32" s="102">
        <v>90410</v>
      </c>
      <c r="C32" s="103">
        <v>42026</v>
      </c>
      <c r="D32" s="104" t="s">
        <v>3182</v>
      </c>
      <c r="E32" s="102" t="s">
        <v>381</v>
      </c>
      <c r="F32" s="104" t="s">
        <v>116</v>
      </c>
      <c r="G32" s="105"/>
      <c r="H32" s="99" t="s">
        <v>812</v>
      </c>
      <c r="I32" s="106">
        <v>3</v>
      </c>
      <c r="J32" s="87">
        <f>IF(F32="","",VLOOKUP(F32,ARANCEL!$E$2:$F$123,2,FALSE))</f>
        <v>5274.3600000000006</v>
      </c>
      <c r="K32" s="101">
        <f t="shared" ref="K32:K35" si="1">IF(I32=0,"",J32*I32)</f>
        <v>15823.080000000002</v>
      </c>
      <c r="L32" s="587" t="s">
        <v>3186</v>
      </c>
      <c r="M32" s="100"/>
    </row>
    <row r="33" spans="1:13" x14ac:dyDescent="0.25">
      <c r="A33" s="102">
        <v>24</v>
      </c>
      <c r="B33" s="102">
        <v>90698</v>
      </c>
      <c r="C33" s="103">
        <v>42025</v>
      </c>
      <c r="D33" s="104" t="s">
        <v>900</v>
      </c>
      <c r="E33" s="102" t="s">
        <v>381</v>
      </c>
      <c r="F33" s="104" t="s">
        <v>115</v>
      </c>
      <c r="G33" s="105"/>
      <c r="H33" s="99" t="s">
        <v>419</v>
      </c>
      <c r="I33" s="106">
        <v>1</v>
      </c>
      <c r="J33" s="87">
        <f>IF(F33="","",VLOOKUP(F33,ARANCEL!$E$2:$F$123,2,FALSE))</f>
        <v>33370.239999999998</v>
      </c>
      <c r="K33" s="101">
        <f t="shared" si="1"/>
        <v>33370.239999999998</v>
      </c>
      <c r="L33" s="587" t="s">
        <v>3186</v>
      </c>
      <c r="M33" s="100"/>
    </row>
    <row r="34" spans="1:13" x14ac:dyDescent="0.25">
      <c r="A34" s="102">
        <v>25</v>
      </c>
      <c r="B34" s="102">
        <v>90712</v>
      </c>
      <c r="C34" s="103">
        <v>42026</v>
      </c>
      <c r="D34" s="104" t="s">
        <v>3184</v>
      </c>
      <c r="E34" s="102" t="s">
        <v>381</v>
      </c>
      <c r="F34" s="92" t="s">
        <v>217</v>
      </c>
      <c r="G34" s="105"/>
      <c r="H34" s="99" t="s">
        <v>371</v>
      </c>
      <c r="I34" s="106">
        <v>1</v>
      </c>
      <c r="J34" s="87">
        <f>IF(F34="","",VLOOKUP(F34,ARANCEL!$E$2:$F$123,2,FALSE))</f>
        <v>44597.287499999999</v>
      </c>
      <c r="K34" s="101">
        <f t="shared" si="1"/>
        <v>44597.287499999999</v>
      </c>
      <c r="L34" s="587" t="s">
        <v>3186</v>
      </c>
      <c r="M34" s="100"/>
    </row>
    <row r="35" spans="1:13" x14ac:dyDescent="0.25">
      <c r="A35" s="102">
        <v>26</v>
      </c>
      <c r="B35" s="102">
        <v>91145</v>
      </c>
      <c r="C35" s="103">
        <v>42026</v>
      </c>
      <c r="D35" s="104" t="s">
        <v>635</v>
      </c>
      <c r="E35" s="102" t="s">
        <v>381</v>
      </c>
      <c r="F35" s="92" t="s">
        <v>217</v>
      </c>
      <c r="G35" s="105"/>
      <c r="H35" s="99" t="s">
        <v>371</v>
      </c>
      <c r="I35" s="106">
        <v>1</v>
      </c>
      <c r="J35" s="87">
        <f>IF(F35="","",VLOOKUP(F35,ARANCEL!$E$2:$F$123,2,FALSE))</f>
        <v>44597.287499999999</v>
      </c>
      <c r="K35" s="101">
        <f t="shared" si="1"/>
        <v>44597.287499999999</v>
      </c>
      <c r="L35" s="587" t="s">
        <v>3186</v>
      </c>
      <c r="M35" s="100"/>
    </row>
    <row r="36" spans="1:13" x14ac:dyDescent="0.25">
      <c r="A36" s="102">
        <v>25</v>
      </c>
      <c r="B36" s="102">
        <v>91145</v>
      </c>
      <c r="C36" s="103">
        <v>42026</v>
      </c>
      <c r="D36" s="104" t="s">
        <v>635</v>
      </c>
      <c r="E36" s="102" t="s">
        <v>381</v>
      </c>
      <c r="F36" s="104" t="s">
        <v>3185</v>
      </c>
      <c r="G36" s="105"/>
      <c r="H36" s="99" t="s">
        <v>371</v>
      </c>
      <c r="I36" s="106">
        <v>1</v>
      </c>
      <c r="J36" s="87">
        <v>111520</v>
      </c>
      <c r="K36" s="101">
        <f t="shared" ref="K36:K37" si="2">IF(I36=0,"",J36*I36)</f>
        <v>111520</v>
      </c>
      <c r="L36" s="587" t="s">
        <v>3186</v>
      </c>
      <c r="M36" s="100"/>
    </row>
    <row r="37" spans="1:13" x14ac:dyDescent="0.25">
      <c r="A37" s="102">
        <v>26</v>
      </c>
      <c r="B37" s="102">
        <v>91122</v>
      </c>
      <c r="C37" s="103">
        <v>42026</v>
      </c>
      <c r="D37" s="104" t="s">
        <v>3063</v>
      </c>
      <c r="E37" s="102" t="s">
        <v>381</v>
      </c>
      <c r="F37" s="92" t="s">
        <v>217</v>
      </c>
      <c r="G37" s="105"/>
      <c r="H37" s="99" t="s">
        <v>371</v>
      </c>
      <c r="I37" s="106">
        <v>1</v>
      </c>
      <c r="J37" s="87">
        <f>IF(F37="","",VLOOKUP(F37,ARANCEL!$E$2:$F$123,2,FALSE))</f>
        <v>44597.287499999999</v>
      </c>
      <c r="K37" s="101">
        <f t="shared" si="2"/>
        <v>44597.287499999999</v>
      </c>
      <c r="L37" s="587" t="s">
        <v>3186</v>
      </c>
      <c r="M37" s="100"/>
    </row>
    <row r="38" spans="1:13" x14ac:dyDescent="0.25">
      <c r="A38" s="102">
        <v>26</v>
      </c>
      <c r="B38" s="102"/>
      <c r="C38" s="103"/>
      <c r="D38" s="104"/>
      <c r="E38" s="102"/>
      <c r="F38" s="104"/>
      <c r="G38" s="105"/>
      <c r="H38" s="99"/>
      <c r="I38" s="106"/>
      <c r="J38" s="87" t="str">
        <f>IF(F38="","",VLOOKUP(F38,ARANCEL!$E$2:$F$123,2,FALSE))</f>
        <v/>
      </c>
      <c r="K38" s="101" t="str">
        <f t="shared" ref="K38" si="3">IF(I38=0,"",J38*I38)</f>
        <v/>
      </c>
      <c r="L38" s="99"/>
      <c r="M38" s="100"/>
    </row>
    <row r="39" spans="1:13" x14ac:dyDescent="0.25">
      <c r="A39" s="102">
        <v>27</v>
      </c>
      <c r="B39" s="102"/>
      <c r="C39" s="103"/>
      <c r="D39" s="104"/>
      <c r="E39" s="102"/>
      <c r="F39" s="104"/>
      <c r="G39" s="105"/>
      <c r="H39" s="99"/>
      <c r="I39" s="106"/>
      <c r="J39" s="87" t="str">
        <f>IF(F39="","",VLOOKUP(F39,ARANCEL!$E$2:$F$123,2,FALSE))</f>
        <v/>
      </c>
      <c r="K39" s="101" t="str">
        <f t="shared" ref="K39" si="4">IF(I39=0,"",J39*I39)</f>
        <v/>
      </c>
      <c r="L39" s="99"/>
      <c r="M39" s="100"/>
    </row>
    <row r="42" spans="1:13" ht="20.25" customHeight="1" x14ac:dyDescent="0.25">
      <c r="A42" s="593" t="s">
        <v>366</v>
      </c>
      <c r="B42" s="593"/>
      <c r="C42" s="593"/>
      <c r="D42" s="593"/>
      <c r="E42" s="593"/>
      <c r="F42" s="593"/>
      <c r="G42" s="593"/>
      <c r="H42" s="593"/>
      <c r="I42" s="593"/>
      <c r="J42" s="593"/>
      <c r="K42" s="593"/>
    </row>
    <row r="43" spans="1:13" ht="24" x14ac:dyDescent="0.25">
      <c r="A43" s="89" t="s">
        <v>96</v>
      </c>
      <c r="B43" s="89" t="s">
        <v>97</v>
      </c>
      <c r="C43" s="90" t="s">
        <v>101</v>
      </c>
      <c r="D43" s="89" t="s">
        <v>98</v>
      </c>
      <c r="E43" s="89" t="s">
        <v>99</v>
      </c>
      <c r="F43" s="89" t="s">
        <v>100</v>
      </c>
      <c r="G43" s="89" t="s">
        <v>103</v>
      </c>
      <c r="H43" s="89" t="s">
        <v>102</v>
      </c>
      <c r="I43" s="89" t="s">
        <v>108</v>
      </c>
      <c r="J43" s="90" t="s">
        <v>104</v>
      </c>
      <c r="K43" s="90" t="s">
        <v>105</v>
      </c>
      <c r="L43" s="90" t="s">
        <v>168</v>
      </c>
      <c r="M43" s="90" t="s">
        <v>106</v>
      </c>
    </row>
    <row r="44" spans="1:13" x14ac:dyDescent="0.25">
      <c r="A44" s="109"/>
      <c r="B44" s="115" t="s">
        <v>374</v>
      </c>
      <c r="C44" s="110">
        <v>41807</v>
      </c>
      <c r="D44" s="116" t="s">
        <v>375</v>
      </c>
      <c r="E44" s="115" t="s">
        <v>376</v>
      </c>
      <c r="F44" s="116" t="s">
        <v>377</v>
      </c>
      <c r="G44" s="111" t="s">
        <v>371</v>
      </c>
      <c r="H44" s="576" t="s">
        <v>371</v>
      </c>
      <c r="I44" s="113">
        <v>1</v>
      </c>
      <c r="J44" s="117"/>
      <c r="K44" s="118"/>
      <c r="L44" s="112"/>
      <c r="M44" s="93"/>
    </row>
    <row r="45" spans="1:13" ht="24" x14ac:dyDescent="0.25">
      <c r="A45" s="114"/>
      <c r="B45" s="115">
        <v>33393</v>
      </c>
      <c r="C45" s="110">
        <v>41828</v>
      </c>
      <c r="D45" s="116" t="s">
        <v>378</v>
      </c>
      <c r="E45" s="115" t="s">
        <v>376</v>
      </c>
      <c r="F45" s="116" t="s">
        <v>377</v>
      </c>
      <c r="G45" s="111" t="s">
        <v>371</v>
      </c>
      <c r="H45" s="576" t="s">
        <v>371</v>
      </c>
      <c r="I45" s="113">
        <v>1</v>
      </c>
      <c r="J45" s="117"/>
      <c r="K45" s="118"/>
      <c r="L45" s="114"/>
      <c r="M45" s="119" t="s">
        <v>436</v>
      </c>
    </row>
    <row r="46" spans="1:13" x14ac:dyDescent="0.25">
      <c r="A46" s="114"/>
      <c r="B46" s="115" t="s">
        <v>379</v>
      </c>
      <c r="C46" s="110">
        <v>41928</v>
      </c>
      <c r="D46" s="116" t="s">
        <v>380</v>
      </c>
      <c r="E46" s="115" t="s">
        <v>381</v>
      </c>
      <c r="F46" s="116" t="s">
        <v>382</v>
      </c>
      <c r="G46" s="111" t="s">
        <v>383</v>
      </c>
      <c r="H46" s="576" t="s">
        <v>383</v>
      </c>
      <c r="I46" s="113">
        <v>1</v>
      </c>
      <c r="J46" s="117"/>
      <c r="K46" s="118"/>
      <c r="L46" s="114"/>
      <c r="M46" s="14"/>
    </row>
    <row r="47" spans="1:13" x14ac:dyDescent="0.25">
      <c r="A47" s="114"/>
      <c r="B47" s="115" t="s">
        <v>384</v>
      </c>
      <c r="C47" s="110">
        <v>41929</v>
      </c>
      <c r="D47" s="116" t="s">
        <v>385</v>
      </c>
      <c r="E47" s="115" t="s">
        <v>381</v>
      </c>
      <c r="F47" s="116" t="s">
        <v>386</v>
      </c>
      <c r="G47" s="111" t="s">
        <v>387</v>
      </c>
      <c r="H47" s="576" t="s">
        <v>387</v>
      </c>
      <c r="I47" s="113">
        <v>2</v>
      </c>
      <c r="J47" s="117"/>
      <c r="K47" s="118"/>
      <c r="L47" s="114"/>
      <c r="M47" s="14"/>
    </row>
    <row r="48" spans="1:13" x14ac:dyDescent="0.25">
      <c r="A48" s="114"/>
      <c r="B48" s="115">
        <v>52789</v>
      </c>
      <c r="C48" s="110">
        <v>41922</v>
      </c>
      <c r="D48" s="116" t="s">
        <v>388</v>
      </c>
      <c r="E48" s="115" t="s">
        <v>389</v>
      </c>
      <c r="F48" s="116" t="s">
        <v>386</v>
      </c>
      <c r="G48" s="111" t="s">
        <v>369</v>
      </c>
      <c r="H48" s="576" t="s">
        <v>369</v>
      </c>
      <c r="I48" s="113">
        <v>1</v>
      </c>
      <c r="J48" s="117"/>
      <c r="K48" s="118"/>
      <c r="L48" s="114"/>
      <c r="M48" s="14"/>
    </row>
    <row r="49" spans="1:13" x14ac:dyDescent="0.25">
      <c r="A49" s="114"/>
      <c r="B49" s="115" t="s">
        <v>390</v>
      </c>
      <c r="C49" s="110">
        <v>41928</v>
      </c>
      <c r="D49" s="116" t="s">
        <v>391</v>
      </c>
      <c r="E49" s="115" t="s">
        <v>381</v>
      </c>
      <c r="F49" s="116" t="s">
        <v>382</v>
      </c>
      <c r="G49" s="111" t="s">
        <v>392</v>
      </c>
      <c r="H49" s="576" t="s">
        <v>392</v>
      </c>
      <c r="I49" s="113">
        <v>1</v>
      </c>
      <c r="J49" s="117"/>
      <c r="K49" s="118"/>
      <c r="L49" s="114"/>
      <c r="M49" s="14"/>
    </row>
    <row r="50" spans="1:13" x14ac:dyDescent="0.25">
      <c r="A50" s="114"/>
      <c r="B50" s="115">
        <v>54888</v>
      </c>
      <c r="C50" s="110">
        <v>41928</v>
      </c>
      <c r="D50" s="116" t="s">
        <v>393</v>
      </c>
      <c r="E50" s="115" t="s">
        <v>381</v>
      </c>
      <c r="F50" s="116" t="s">
        <v>377</v>
      </c>
      <c r="G50" s="111" t="s">
        <v>369</v>
      </c>
      <c r="H50" s="576" t="s">
        <v>369</v>
      </c>
      <c r="I50" s="113">
        <v>1</v>
      </c>
      <c r="J50" s="117"/>
      <c r="K50" s="118"/>
      <c r="L50" s="114"/>
      <c r="M50" s="14"/>
    </row>
    <row r="51" spans="1:13" x14ac:dyDescent="0.25">
      <c r="A51" s="114"/>
      <c r="B51" s="115">
        <v>55496</v>
      </c>
      <c r="C51" s="110">
        <v>41929</v>
      </c>
      <c r="D51" s="116" t="s">
        <v>394</v>
      </c>
      <c r="E51" s="115" t="s">
        <v>376</v>
      </c>
      <c r="F51" s="116" t="s">
        <v>377</v>
      </c>
      <c r="G51" s="111" t="s">
        <v>371</v>
      </c>
      <c r="H51" s="576" t="s">
        <v>371</v>
      </c>
      <c r="I51" s="113">
        <v>1</v>
      </c>
      <c r="J51" s="117"/>
      <c r="K51" s="118"/>
      <c r="L51" s="114"/>
      <c r="M51" s="14"/>
    </row>
    <row r="52" spans="1:13" x14ac:dyDescent="0.25">
      <c r="A52" s="114"/>
      <c r="B52" s="115">
        <v>64810</v>
      </c>
      <c r="C52" s="110">
        <v>41960</v>
      </c>
      <c r="D52" s="116" t="s">
        <v>395</v>
      </c>
      <c r="E52" s="115" t="s">
        <v>396</v>
      </c>
      <c r="F52" s="116" t="s">
        <v>377</v>
      </c>
      <c r="G52" s="111" t="s">
        <v>369</v>
      </c>
      <c r="H52" s="576" t="s">
        <v>369</v>
      </c>
      <c r="I52" s="113">
        <v>1</v>
      </c>
      <c r="J52" s="117"/>
      <c r="K52" s="118"/>
      <c r="L52" s="114"/>
      <c r="M52" s="14"/>
    </row>
    <row r="53" spans="1:13" x14ac:dyDescent="0.25">
      <c r="A53" s="114"/>
      <c r="B53" s="115">
        <v>64810</v>
      </c>
      <c r="C53" s="110">
        <v>41960</v>
      </c>
      <c r="D53" s="116" t="s">
        <v>395</v>
      </c>
      <c r="E53" s="115" t="s">
        <v>396</v>
      </c>
      <c r="F53" s="116" t="s">
        <v>397</v>
      </c>
      <c r="G53" s="111" t="s">
        <v>371</v>
      </c>
      <c r="H53" s="576" t="s">
        <v>371</v>
      </c>
      <c r="I53" s="113">
        <v>1</v>
      </c>
      <c r="J53" s="117"/>
      <c r="K53" s="118"/>
      <c r="L53" s="114"/>
      <c r="M53" s="14"/>
    </row>
    <row r="54" spans="1:13" x14ac:dyDescent="0.25">
      <c r="A54" s="114"/>
      <c r="B54" s="115">
        <v>67060</v>
      </c>
      <c r="C54" s="110">
        <v>41963</v>
      </c>
      <c r="D54" s="116" t="s">
        <v>398</v>
      </c>
      <c r="E54" s="115" t="s">
        <v>381</v>
      </c>
      <c r="F54" s="116" t="s">
        <v>399</v>
      </c>
      <c r="G54" s="111" t="s">
        <v>400</v>
      </c>
      <c r="H54" s="576" t="s">
        <v>400</v>
      </c>
      <c r="I54" s="113">
        <v>2</v>
      </c>
      <c r="J54" s="117"/>
      <c r="K54" s="118"/>
      <c r="L54" s="114"/>
      <c r="M54" s="14"/>
    </row>
    <row r="55" spans="1:13" x14ac:dyDescent="0.25">
      <c r="A55" s="114"/>
      <c r="B55" s="115">
        <v>72696</v>
      </c>
      <c r="C55" s="110">
        <v>41977</v>
      </c>
      <c r="D55" s="116" t="s">
        <v>401</v>
      </c>
      <c r="E55" s="115" t="s">
        <v>381</v>
      </c>
      <c r="F55" s="116" t="s">
        <v>399</v>
      </c>
      <c r="G55" s="111" t="s">
        <v>402</v>
      </c>
      <c r="H55" s="576" t="s">
        <v>402</v>
      </c>
      <c r="I55" s="113">
        <v>2</v>
      </c>
      <c r="J55" s="117"/>
      <c r="K55" s="118"/>
      <c r="L55" s="114"/>
      <c r="M55" s="14"/>
    </row>
    <row r="56" spans="1:13" x14ac:dyDescent="0.25">
      <c r="A56" s="114"/>
      <c r="B56" s="115">
        <v>88096</v>
      </c>
      <c r="C56" s="110">
        <v>42019</v>
      </c>
      <c r="D56" s="116" t="s">
        <v>3057</v>
      </c>
      <c r="E56" s="115" t="s">
        <v>381</v>
      </c>
      <c r="F56" s="116" t="s">
        <v>3058</v>
      </c>
      <c r="G56" s="111"/>
      <c r="H56" s="576" t="s">
        <v>371</v>
      </c>
      <c r="I56" s="113">
        <v>1</v>
      </c>
      <c r="J56" s="117"/>
      <c r="K56" s="118"/>
      <c r="L56" s="114"/>
      <c r="M56" s="14"/>
    </row>
    <row r="57" spans="1:13" x14ac:dyDescent="0.25">
      <c r="A57" s="114"/>
      <c r="B57" s="115">
        <v>89584</v>
      </c>
      <c r="C57" s="110">
        <v>42023</v>
      </c>
      <c r="D57" s="116" t="s">
        <v>3064</v>
      </c>
      <c r="E57" s="115" t="s">
        <v>381</v>
      </c>
      <c r="F57" s="116" t="s">
        <v>409</v>
      </c>
      <c r="G57" s="111"/>
      <c r="H57" s="576">
        <v>7</v>
      </c>
      <c r="I57" s="113">
        <v>1</v>
      </c>
      <c r="J57" s="117"/>
      <c r="K57" s="118"/>
      <c r="L57" s="114"/>
      <c r="M57" s="14"/>
    </row>
    <row r="58" spans="1:13" x14ac:dyDescent="0.25">
      <c r="A58" s="114"/>
      <c r="B58" s="115">
        <v>90992</v>
      </c>
      <c r="C58" s="110">
        <v>42026</v>
      </c>
      <c r="D58" s="116" t="s">
        <v>3179</v>
      </c>
      <c r="E58" s="115" t="s">
        <v>381</v>
      </c>
      <c r="F58" s="116" t="s">
        <v>399</v>
      </c>
      <c r="G58" s="111"/>
      <c r="H58" s="576" t="s">
        <v>404</v>
      </c>
      <c r="I58" s="113">
        <v>1</v>
      </c>
      <c r="J58" s="117"/>
      <c r="K58" s="118"/>
      <c r="L58" s="114"/>
      <c r="M58" s="14"/>
    </row>
    <row r="59" spans="1:13" x14ac:dyDescent="0.25">
      <c r="A59" s="114"/>
      <c r="B59" s="115">
        <v>90948</v>
      </c>
      <c r="C59" s="110">
        <v>42026</v>
      </c>
      <c r="D59" s="116" t="s">
        <v>3181</v>
      </c>
      <c r="E59" s="115" t="s">
        <v>381</v>
      </c>
      <c r="F59" s="116" t="s">
        <v>399</v>
      </c>
      <c r="G59" s="111"/>
      <c r="H59" s="576" t="s">
        <v>419</v>
      </c>
      <c r="I59" s="113">
        <v>1</v>
      </c>
      <c r="J59" s="117"/>
      <c r="K59" s="118"/>
      <c r="L59" s="114"/>
      <c r="M59" s="14"/>
    </row>
    <row r="60" spans="1:13" x14ac:dyDescent="0.25">
      <c r="A60" s="114"/>
      <c r="B60" s="115">
        <v>90670</v>
      </c>
      <c r="C60" s="110">
        <v>42025</v>
      </c>
      <c r="D60" s="116" t="s">
        <v>3183</v>
      </c>
      <c r="E60" s="115" t="s">
        <v>381</v>
      </c>
      <c r="F60" s="116" t="s">
        <v>386</v>
      </c>
      <c r="G60" s="111"/>
      <c r="H60" s="576" t="s">
        <v>369</v>
      </c>
      <c r="I60" s="113">
        <v>1</v>
      </c>
      <c r="J60" s="117"/>
      <c r="K60" s="118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576"/>
      <c r="I61" s="113"/>
      <c r="J61" s="117"/>
      <c r="K61" s="118"/>
      <c r="L61" s="114"/>
      <c r="M61" s="14"/>
    </row>
    <row r="62" spans="1:13" x14ac:dyDescent="0.25">
      <c r="A62" s="114"/>
      <c r="B62" s="115"/>
      <c r="C62" s="110"/>
      <c r="D62" s="116"/>
      <c r="E62" s="115"/>
      <c r="F62" s="116"/>
      <c r="G62" s="111"/>
      <c r="H62" s="576"/>
      <c r="I62" s="113"/>
      <c r="J62" s="117"/>
      <c r="K62" s="118"/>
      <c r="L62" s="114"/>
      <c r="M62" s="14"/>
    </row>
    <row r="63" spans="1:13" x14ac:dyDescent="0.25">
      <c r="A63" s="114"/>
      <c r="B63" s="115"/>
      <c r="C63" s="110"/>
      <c r="D63" s="116"/>
      <c r="E63" s="115"/>
      <c r="F63" s="116"/>
      <c r="G63" s="111"/>
      <c r="H63" s="576"/>
      <c r="I63" s="113"/>
      <c r="J63" s="117"/>
      <c r="K63" s="118"/>
      <c r="L63" s="114"/>
      <c r="M63" s="14"/>
    </row>
    <row r="64" spans="1:13" x14ac:dyDescent="0.25">
      <c r="A64" s="114"/>
      <c r="B64" s="115"/>
      <c r="C64" s="110"/>
      <c r="D64" s="116"/>
      <c r="E64" s="115"/>
      <c r="F64" s="116"/>
      <c r="G64" s="111"/>
      <c r="H64" s="576"/>
      <c r="I64" s="113"/>
      <c r="J64" s="117"/>
      <c r="K64" s="118"/>
      <c r="L64" s="114"/>
      <c r="M64" s="14"/>
    </row>
    <row r="65" spans="1:13" x14ac:dyDescent="0.25">
      <c r="A65" s="114"/>
      <c r="B65" s="115"/>
      <c r="C65" s="110"/>
      <c r="D65" s="116"/>
      <c r="E65" s="115"/>
      <c r="F65" s="116"/>
      <c r="G65" s="111"/>
      <c r="H65" s="576"/>
      <c r="I65" s="113"/>
      <c r="J65" s="117"/>
      <c r="K65" s="118"/>
      <c r="L65" s="114"/>
      <c r="M65" s="14"/>
    </row>
    <row r="66" spans="1:13" x14ac:dyDescent="0.25">
      <c r="A66" s="114"/>
      <c r="B66" s="115"/>
      <c r="C66" s="110"/>
      <c r="D66" s="116"/>
      <c r="E66" s="115"/>
      <c r="F66" s="116"/>
      <c r="G66" s="111"/>
      <c r="H66" s="576"/>
      <c r="I66" s="113"/>
      <c r="J66" s="117"/>
      <c r="K66" s="118"/>
      <c r="L66" s="114"/>
      <c r="M66" s="14"/>
    </row>
    <row r="67" spans="1:13" x14ac:dyDescent="0.25">
      <c r="A67" s="114"/>
      <c r="B67" s="115"/>
      <c r="C67" s="110"/>
      <c r="D67" s="116"/>
      <c r="E67" s="115"/>
      <c r="F67" s="116"/>
      <c r="G67" s="111"/>
      <c r="H67" s="576"/>
      <c r="I67" s="113"/>
      <c r="J67" s="117"/>
      <c r="K67" s="118"/>
      <c r="L67" s="114"/>
      <c r="M67" s="14"/>
    </row>
    <row r="68" spans="1:13" x14ac:dyDescent="0.25">
      <c r="A68" s="114"/>
      <c r="B68" s="115"/>
      <c r="C68" s="110"/>
      <c r="D68" s="116"/>
      <c r="E68" s="115"/>
      <c r="F68" s="116"/>
      <c r="G68" s="111"/>
      <c r="H68" s="576"/>
      <c r="I68" s="113"/>
      <c r="J68" s="117"/>
      <c r="K68" s="118"/>
      <c r="L68" s="114"/>
      <c r="M68" s="14"/>
    </row>
    <row r="69" spans="1:13" x14ac:dyDescent="0.25">
      <c r="A69" s="114"/>
      <c r="B69" s="115"/>
      <c r="C69" s="110"/>
      <c r="D69" s="116"/>
      <c r="E69" s="115"/>
      <c r="F69" s="116"/>
      <c r="G69" s="111"/>
      <c r="H69" s="576"/>
      <c r="I69" s="113"/>
      <c r="J69" s="117"/>
      <c r="K69" s="118"/>
      <c r="L69" s="114"/>
      <c r="M69" s="14"/>
    </row>
    <row r="70" spans="1:13" x14ac:dyDescent="0.25">
      <c r="A70" s="114"/>
      <c r="B70" s="115"/>
      <c r="C70" s="110"/>
      <c r="D70" s="116"/>
      <c r="E70" s="115"/>
      <c r="F70" s="116"/>
      <c r="G70" s="111"/>
      <c r="H70" s="576"/>
      <c r="I70" s="113"/>
      <c r="J70" s="117"/>
      <c r="K70" s="118"/>
      <c r="L70" s="114"/>
      <c r="M70" s="14"/>
    </row>
    <row r="71" spans="1:13" x14ac:dyDescent="0.25">
      <c r="A71" s="114"/>
      <c r="B71" s="115"/>
      <c r="C71" s="110"/>
      <c r="D71" s="116"/>
      <c r="E71" s="115"/>
      <c r="F71" s="116"/>
      <c r="G71" s="111"/>
      <c r="H71" s="576"/>
      <c r="I71" s="113"/>
      <c r="J71" s="117"/>
      <c r="K71" s="118"/>
      <c r="L71" s="114"/>
      <c r="M71" s="14"/>
    </row>
    <row r="72" spans="1:13" x14ac:dyDescent="0.25">
      <c r="A72" s="114"/>
      <c r="B72" s="115"/>
      <c r="C72" s="110"/>
      <c r="D72" s="116"/>
      <c r="E72" s="115"/>
      <c r="F72" s="116"/>
      <c r="G72" s="111"/>
      <c r="H72" s="576"/>
      <c r="I72" s="113"/>
      <c r="J72" s="117"/>
      <c r="K72" s="118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576"/>
      <c r="I73" s="113"/>
      <c r="J73" s="117"/>
      <c r="K73" s="118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576"/>
      <c r="I74" s="113"/>
      <c r="J74" s="117"/>
      <c r="K74" s="118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576"/>
      <c r="I75" s="113"/>
      <c r="J75" s="117"/>
      <c r="K75" s="118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576"/>
      <c r="I76" s="113"/>
      <c r="J76" s="117"/>
      <c r="K76" s="118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576"/>
      <c r="I77" s="113"/>
      <c r="J77" s="117"/>
      <c r="K77" s="118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576"/>
      <c r="I78" s="113"/>
      <c r="J78" s="117"/>
      <c r="K78" s="118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576"/>
      <c r="I79" s="113"/>
      <c r="J79" s="117"/>
      <c r="K79" s="118"/>
      <c r="L79" s="114"/>
      <c r="M79" s="14"/>
    </row>
    <row r="80" spans="1:13" x14ac:dyDescent="0.25">
      <c r="A80" s="114"/>
      <c r="B80" s="115"/>
      <c r="C80" s="110"/>
      <c r="D80" s="116"/>
      <c r="E80" s="115"/>
      <c r="F80" s="116"/>
      <c r="G80" s="111"/>
      <c r="H80" s="576"/>
      <c r="I80" s="113"/>
      <c r="J80" s="117"/>
      <c r="K80" s="118"/>
      <c r="L80" s="114"/>
      <c r="M80" s="14"/>
    </row>
    <row r="81" spans="1:13" x14ac:dyDescent="0.25">
      <c r="A81" s="114"/>
      <c r="B81" s="115"/>
      <c r="C81" s="110"/>
      <c r="D81" s="116"/>
      <c r="E81" s="115"/>
      <c r="F81" s="116"/>
      <c r="G81" s="111"/>
      <c r="H81" s="576"/>
      <c r="I81" s="113"/>
      <c r="J81" s="117"/>
      <c r="K81" s="118"/>
      <c r="L81" s="114"/>
      <c r="M81" s="14"/>
    </row>
    <row r="82" spans="1:13" x14ac:dyDescent="0.25">
      <c r="A82" s="114"/>
      <c r="B82" s="115"/>
      <c r="C82" s="110"/>
      <c r="D82" s="116"/>
      <c r="E82" s="115"/>
      <c r="F82" s="116"/>
      <c r="G82" s="111"/>
      <c r="H82" s="576"/>
      <c r="I82" s="113"/>
      <c r="J82" s="117"/>
      <c r="K82" s="118"/>
      <c r="L82" s="114"/>
      <c r="M82" s="14"/>
    </row>
    <row r="83" spans="1:13" x14ac:dyDescent="0.25">
      <c r="A83" s="114"/>
      <c r="B83" s="115"/>
      <c r="C83" s="110"/>
      <c r="D83" s="116"/>
      <c r="E83" s="115"/>
      <c r="F83" s="116"/>
      <c r="G83" s="111"/>
      <c r="H83" s="576"/>
      <c r="I83" s="113"/>
      <c r="J83" s="117"/>
      <c r="K83" s="118"/>
      <c r="L83" s="114"/>
      <c r="M83" s="14"/>
    </row>
    <row r="84" spans="1:13" x14ac:dyDescent="0.25">
      <c r="A84" s="114"/>
      <c r="B84" s="115"/>
      <c r="C84" s="110"/>
      <c r="D84" s="116"/>
      <c r="E84" s="115"/>
      <c r="F84" s="116"/>
      <c r="G84" s="111"/>
      <c r="H84" s="576"/>
      <c r="I84" s="113"/>
      <c r="J84" s="117"/>
      <c r="K84" s="118"/>
      <c r="L84" s="114"/>
      <c r="M84" s="14"/>
    </row>
    <row r="85" spans="1:13" x14ac:dyDescent="0.25">
      <c r="A85" s="114"/>
      <c r="B85" s="115"/>
      <c r="C85" s="110"/>
      <c r="D85" s="116"/>
      <c r="E85" s="115"/>
      <c r="F85" s="116"/>
      <c r="G85" s="111"/>
      <c r="H85" s="576"/>
      <c r="I85" s="113"/>
      <c r="J85" s="117"/>
      <c r="K85" s="118"/>
      <c r="L85" s="114"/>
      <c r="M85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42:K42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B0F0"/>
  </sheetPr>
  <dimension ref="A1:M38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9.85546875" style="121" customWidth="1"/>
    <col min="12" max="12" width="12.140625" customWidth="1"/>
    <col min="13" max="13" width="39.28515625" customWidth="1"/>
  </cols>
  <sheetData>
    <row r="1" spans="1:13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13" ht="27" x14ac:dyDescent="0.5">
      <c r="A2" s="595" t="s">
        <v>33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13" ht="12.75" hidden="1" customHeight="1" outlineLevel="1" x14ac:dyDescent="0.25">
      <c r="A3" s="591" t="s">
        <v>158</v>
      </c>
      <c r="B3" s="591"/>
      <c r="C3" s="95" t="str">
        <f>IFERROR(VLOOKUP($A$2,DATOS!$A$2:$N$14,2,FALSE),"SUCURSAL NO ENCONTRADA")</f>
        <v>SOC. ODONTOLÓGICA UNO SALUD LA CONCEPCIÓN LTDA</v>
      </c>
      <c r="H3" s="575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91" t="s">
        <v>159</v>
      </c>
      <c r="B4" s="591"/>
      <c r="C4" s="95" t="str">
        <f>IFERROR(VLOOKUP($A$2,DATOS!$A$2:$N$14,3,FALSE),"SUCURSAL NO ENCONTRADA")</f>
        <v>76.324.871-2</v>
      </c>
      <c r="H4" s="575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91" t="s">
        <v>160</v>
      </c>
      <c r="B5" s="591"/>
      <c r="C5" s="95" t="str">
        <f>IFERROR(VLOOKUP($A$2,DATOS!$A$2:$N$14,4,FALSE),"SUCURSAL NO ENCONTRADA")</f>
        <v>LA CONCEPCIÓN 201 LOCAL 102   PROVIDENCIA</v>
      </c>
      <c r="H5" s="575" t="s">
        <v>163</v>
      </c>
      <c r="I5" s="578">
        <f>IFERROR(VLOOKUP($A$2,DATOS!$A$2:$N$14,10,FALSE),"SUCURSAL NO ENCONTRADA")</f>
        <v>227638906</v>
      </c>
    </row>
    <row r="6" spans="1:13" ht="12.75" hidden="1" customHeight="1" outlineLevel="1" x14ac:dyDescent="0.25">
      <c r="A6" s="591" t="s">
        <v>161</v>
      </c>
      <c r="B6" s="591"/>
      <c r="C6" s="95" t="str">
        <f>IFERROR(VLOOKUP($A$2,DATOS!$A$2:$N$14,5,FALSE),"SUCURSAL NO ENCONTRADA")</f>
        <v>CENTROS MÉDICOS DE ATENCIÓN AMBULATORIA</v>
      </c>
      <c r="H6" s="575" t="s">
        <v>167</v>
      </c>
      <c r="I6" s="95" t="str">
        <f>IFERROR(VLOOKUP($A$2,DATOS!$A$2:$N$14,11,FALSE),"SUCURSAL NO ENCONTRADA")</f>
        <v>CECILIA CANTILLANA
LORENA CASTRO</v>
      </c>
    </row>
    <row r="7" spans="1:13" ht="12.75" hidden="1" customHeight="1" outlineLevel="1" x14ac:dyDescent="0.25">
      <c r="A7" s="591" t="s">
        <v>162</v>
      </c>
      <c r="B7" s="591"/>
      <c r="C7" s="95" t="str">
        <f>IFERROR(VLOOKUP($A$2,DATOS!$A$2:$N$14,6,FALSE),"SUCURSAL NO ENCONTRADA")</f>
        <v>UNO SALUD LA CONCEPCIÓN.</v>
      </c>
      <c r="H7" s="575" t="s">
        <v>164</v>
      </c>
      <c r="I7" s="95" t="str">
        <f>IFERROR(VLOOKUP($A$2,DATOS!$A$2:$N$14,12,FALSE),"SUCURSAL NO ENCONTRADA")</f>
        <v>ccantillana@unosalud.cl</v>
      </c>
    </row>
    <row r="8" spans="1:13" ht="14.25" hidden="1" customHeight="1" outlineLevel="1" x14ac:dyDescent="0.25">
      <c r="A8" s="592" t="s">
        <v>165</v>
      </c>
      <c r="B8" s="59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163</v>
      </c>
      <c r="I8" s="95" t="str">
        <f>IFERROR(VLOOKUP($A$2,DATOS!$A$2:$N$14,13,FALSE),"SUCURSAL NO ENCONTRADA")</f>
        <v>22 7638978
22 7638979</v>
      </c>
    </row>
    <row r="9" spans="1:13" s="588" customFormat="1" ht="24.75" customHeight="1" collapsed="1" x14ac:dyDescent="0.35">
      <c r="A9" s="596" t="s">
        <v>3187</v>
      </c>
      <c r="B9" s="597"/>
      <c r="C9" s="597"/>
      <c r="D9" s="597"/>
      <c r="E9" s="597"/>
      <c r="F9" s="597"/>
      <c r="G9" s="597"/>
      <c r="H9" s="597"/>
      <c r="I9" s="597"/>
      <c r="J9" s="597"/>
      <c r="K9" s="598"/>
      <c r="L9" s="599"/>
      <c r="M9" s="59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86757</v>
      </c>
      <c r="C11" s="94">
        <v>42012</v>
      </c>
      <c r="D11" s="92" t="s">
        <v>3065</v>
      </c>
      <c r="E11" s="91" t="s">
        <v>959</v>
      </c>
      <c r="F11" s="92" t="s">
        <v>235</v>
      </c>
      <c r="G11" s="9"/>
      <c r="H11" s="12" t="s">
        <v>369</v>
      </c>
      <c r="I11" s="120">
        <v>1</v>
      </c>
      <c r="J11" s="87">
        <f>IF(F11="","",VLOOKUP(F11,ARANCEL!$E$2:$F$123,2,FALSE))</f>
        <v>12499.349999999999</v>
      </c>
      <c r="K11" s="88">
        <f t="shared" ref="K11:K17" si="0">IF(I11=0,"",J11*I11)</f>
        <v>12499.349999999999</v>
      </c>
      <c r="L11" s="587" t="s">
        <v>3186</v>
      </c>
      <c r="M11" s="93"/>
    </row>
    <row r="12" spans="1:13" x14ac:dyDescent="0.25">
      <c r="A12" s="91">
        <v>2</v>
      </c>
      <c r="B12" s="91">
        <v>88681</v>
      </c>
      <c r="C12" s="94">
        <v>42018</v>
      </c>
      <c r="D12" s="92" t="s">
        <v>3065</v>
      </c>
      <c r="E12" s="91" t="s">
        <v>959</v>
      </c>
      <c r="F12" s="92" t="s">
        <v>217</v>
      </c>
      <c r="G12" s="9"/>
      <c r="H12" s="12" t="s">
        <v>369</v>
      </c>
      <c r="I12" s="120">
        <v>1</v>
      </c>
      <c r="J12" s="87">
        <f>IF(F12="","",VLOOKUP(F12,ARANCEL!$E$2:$F$123,2,FALSE))</f>
        <v>44597.287499999999</v>
      </c>
      <c r="K12" s="88">
        <f t="shared" si="0"/>
        <v>44597.287499999999</v>
      </c>
      <c r="L12" s="587" t="s">
        <v>3186</v>
      </c>
      <c r="M12" s="93"/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93" t="s">
        <v>366</v>
      </c>
      <c r="B20" s="593"/>
      <c r="C20" s="593"/>
      <c r="D20" s="593"/>
      <c r="E20" s="593"/>
      <c r="F20" s="593"/>
      <c r="G20" s="593"/>
      <c r="H20" s="593"/>
      <c r="I20" s="593"/>
      <c r="J20" s="593"/>
      <c r="K20" s="593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/>
      <c r="B22" s="579">
        <v>63194</v>
      </c>
      <c r="C22" s="580">
        <v>41953</v>
      </c>
      <c r="D22" s="581" t="s">
        <v>965</v>
      </c>
      <c r="E22" s="579" t="s">
        <v>915</v>
      </c>
      <c r="F22" s="581" t="s">
        <v>377</v>
      </c>
      <c r="G22" s="111"/>
      <c r="H22" s="576" t="s">
        <v>371</v>
      </c>
      <c r="I22" s="113">
        <v>1</v>
      </c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  <row r="36" spans="1:13" x14ac:dyDescent="0.25">
      <c r="A36" s="114"/>
      <c r="B36" s="115"/>
      <c r="C36" s="110"/>
      <c r="D36" s="116"/>
      <c r="E36" s="115"/>
      <c r="F36" s="116"/>
      <c r="G36" s="111"/>
      <c r="H36" s="576"/>
      <c r="I36" s="113"/>
      <c r="J36" s="117"/>
      <c r="K36" s="118"/>
      <c r="L36" s="114"/>
      <c r="M36" s="14"/>
    </row>
    <row r="37" spans="1:13" x14ac:dyDescent="0.25">
      <c r="A37" s="114"/>
      <c r="B37" s="115"/>
      <c r="C37" s="110"/>
      <c r="D37" s="116"/>
      <c r="E37" s="115"/>
      <c r="F37" s="116"/>
      <c r="G37" s="111"/>
      <c r="H37" s="576"/>
      <c r="I37" s="113"/>
      <c r="J37" s="117"/>
      <c r="K37" s="118"/>
      <c r="L37" s="114"/>
      <c r="M37" s="14"/>
    </row>
    <row r="38" spans="1:13" x14ac:dyDescent="0.25">
      <c r="A38" s="114"/>
      <c r="B38" s="115"/>
      <c r="C38" s="110"/>
      <c r="D38" s="116"/>
      <c r="E38" s="115"/>
      <c r="F38" s="116"/>
      <c r="G38" s="111"/>
      <c r="H38" s="576"/>
      <c r="I38" s="113"/>
      <c r="J38" s="117"/>
      <c r="K38" s="118"/>
      <c r="L38" s="114"/>
      <c r="M38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M51"/>
  <sheetViews>
    <sheetView zoomScale="90" zoomScaleNormal="90" workbookViewId="0">
      <pane ySplit="10" topLeftCell="A11" activePane="bottomLeft" state="frozen"/>
      <selection activeCell="C15" sqref="C15"/>
      <selection pane="bottomLeft" activeCell="D13" sqref="D13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1.8554687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13" ht="27" x14ac:dyDescent="0.5">
      <c r="A2" s="595" t="s">
        <v>411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13" ht="12.75" hidden="1" customHeight="1" outlineLevel="1" x14ac:dyDescent="0.25">
      <c r="A3" s="591" t="s">
        <v>158</v>
      </c>
      <c r="B3" s="591"/>
      <c r="C3" s="95" t="str">
        <f>IFERROR(VLOOKUP($A$2,DATOS!$A$2:$N$14,2,FALSE),"SUCURSAL NO ENCONTRADA")</f>
        <v xml:space="preserve">SOC. ODONTOLÓGICA UNO SALUD LA FLORIDA LTDA. </v>
      </c>
      <c r="H3" s="107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91" t="s">
        <v>159</v>
      </c>
      <c r="B4" s="591"/>
      <c r="C4" s="95" t="str">
        <f>IFERROR(VLOOKUP($A$2,DATOS!$A$2:$N$14,3,FALSE),"SUCURSAL NO ENCONTRADA")</f>
        <v>76.368.014-2</v>
      </c>
      <c r="H4" s="107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91" t="s">
        <v>160</v>
      </c>
      <c r="B5" s="591"/>
      <c r="C5" s="95" t="str">
        <f>IFERROR(VLOOKUP($A$2,DATOS!$A$2:$N$14,4,FALSE),"SUCURSAL NO ENCONTRADA")</f>
        <v xml:space="preserve">FROILAN ROA 894, LA FLORIDA. </v>
      </c>
      <c r="H5" s="107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91" t="s">
        <v>161</v>
      </c>
      <c r="B6" s="591"/>
      <c r="C6" s="95" t="str">
        <f>IFERROR(VLOOKUP($A$2,DATOS!$A$2:$N$14,5,FALSE),"SUCURSAL NO ENCONTRADA")</f>
        <v>CENTROS MÉDICOS DE ATENCIÓN AMBULATORIA</v>
      </c>
      <c r="H6" s="107" t="s">
        <v>167</v>
      </c>
      <c r="I6" s="95" t="str">
        <f>IFERROR(VLOOKUP($A$2,DATOS!$A$2:$N$14,11,FALSE),"SUCURSAL NO ENCONTRADA")</f>
        <v/>
      </c>
    </row>
    <row r="7" spans="1:13" ht="12.75" hidden="1" customHeight="1" outlineLevel="1" x14ac:dyDescent="0.25">
      <c r="A7" s="591" t="s">
        <v>162</v>
      </c>
      <c r="B7" s="591"/>
      <c r="C7" s="95" t="str">
        <f>IFERROR(VLOOKUP($A$2,DATOS!$A$2:$N$14,6,FALSE),"SUCURSAL NO ENCONTRADA")</f>
        <v>UNO SALUD LA FLORIDA LTDA.</v>
      </c>
      <c r="H7" s="107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92" t="s">
        <v>165</v>
      </c>
      <c r="B8" s="59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7" t="s">
        <v>163</v>
      </c>
      <c r="I8" s="95">
        <f>IFERROR(VLOOKUP($A$2,DATOS!$A$2:$N$14,13,FALSE),"SUCURSAL NO ENCONTRADA")</f>
        <v>0</v>
      </c>
    </row>
    <row r="9" spans="1:13" s="588" customFormat="1" ht="24.75" customHeight="1" collapsed="1" x14ac:dyDescent="0.35">
      <c r="A9" s="596" t="s">
        <v>3187</v>
      </c>
      <c r="B9" s="597"/>
      <c r="C9" s="597"/>
      <c r="D9" s="597"/>
      <c r="E9" s="597"/>
      <c r="F9" s="597"/>
      <c r="G9" s="597"/>
      <c r="H9" s="597"/>
      <c r="I9" s="597"/>
      <c r="J9" s="597"/>
      <c r="K9" s="598"/>
      <c r="L9" s="599"/>
      <c r="M9" s="59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64141</v>
      </c>
      <c r="C11" s="94">
        <v>41956</v>
      </c>
      <c r="D11" s="92" t="s">
        <v>983</v>
      </c>
      <c r="E11" s="91" t="s">
        <v>426</v>
      </c>
      <c r="F11" s="92" t="s">
        <v>217</v>
      </c>
      <c r="G11" s="9"/>
      <c r="H11" s="12" t="s">
        <v>371</v>
      </c>
      <c r="I11" s="120">
        <v>1</v>
      </c>
      <c r="J11" s="572">
        <v>44597</v>
      </c>
      <c r="K11" s="573">
        <f>IF(I11="","",J11*I11)</f>
        <v>44597</v>
      </c>
      <c r="L11" s="587" t="s">
        <v>3186</v>
      </c>
      <c r="M11" s="93"/>
    </row>
    <row r="12" spans="1:13" x14ac:dyDescent="0.25">
      <c r="A12" s="91">
        <v>2</v>
      </c>
      <c r="B12" s="91">
        <v>71846</v>
      </c>
      <c r="C12" s="94">
        <v>41975</v>
      </c>
      <c r="D12" s="92" t="s">
        <v>988</v>
      </c>
      <c r="E12" s="91" t="s">
        <v>426</v>
      </c>
      <c r="F12" s="92" t="s">
        <v>537</v>
      </c>
      <c r="G12" s="9"/>
      <c r="H12" s="12" t="s">
        <v>404</v>
      </c>
      <c r="I12" s="120">
        <v>1</v>
      </c>
      <c r="J12" s="572">
        <v>30429</v>
      </c>
      <c r="K12" s="573">
        <f>IF(I12="","",J12*I12)</f>
        <v>30429</v>
      </c>
      <c r="L12" s="587" t="s">
        <v>3186</v>
      </c>
      <c r="M12" s="93"/>
    </row>
    <row r="13" spans="1:13" x14ac:dyDescent="0.25">
      <c r="A13" s="91">
        <v>3</v>
      </c>
      <c r="B13" s="91">
        <v>68644</v>
      </c>
      <c r="C13" s="94">
        <v>41968</v>
      </c>
      <c r="D13" s="92" t="s">
        <v>985</v>
      </c>
      <c r="E13" s="91" t="s">
        <v>986</v>
      </c>
      <c r="F13" s="92" t="s">
        <v>987</v>
      </c>
      <c r="G13" s="9"/>
      <c r="H13" s="12" t="s">
        <v>371</v>
      </c>
      <c r="I13" s="120">
        <v>1</v>
      </c>
      <c r="J13" s="572">
        <v>22315</v>
      </c>
      <c r="K13" s="573">
        <f>IF(I13="","",J13*I13)</f>
        <v>22315</v>
      </c>
      <c r="L13" s="587" t="s">
        <v>3186</v>
      </c>
      <c r="M13" s="93"/>
    </row>
    <row r="14" spans="1:13" x14ac:dyDescent="0.25">
      <c r="A14" s="91">
        <v>4</v>
      </c>
      <c r="B14" s="91">
        <v>85734</v>
      </c>
      <c r="C14" s="94">
        <v>42010</v>
      </c>
      <c r="D14" s="92" t="s">
        <v>438</v>
      </c>
      <c r="E14" s="91" t="s">
        <v>426</v>
      </c>
      <c r="F14" s="92" t="s">
        <v>219</v>
      </c>
      <c r="G14" s="9"/>
      <c r="H14" s="12" t="s">
        <v>371</v>
      </c>
      <c r="I14" s="120">
        <v>1</v>
      </c>
      <c r="J14" s="87">
        <f>IF(F14="","",VLOOKUP(F14,ARANCEL!$E$2:$F$123,2,FALSE))</f>
        <v>22299.074999999997</v>
      </c>
      <c r="K14" s="88">
        <f t="shared" ref="K14:K26" si="0">IF(I14=0,"",J14*I14)</f>
        <v>22299.074999999997</v>
      </c>
      <c r="L14" s="587" t="s">
        <v>3186</v>
      </c>
      <c r="M14" s="93"/>
    </row>
    <row r="15" spans="1:13" x14ac:dyDescent="0.25">
      <c r="A15" s="91">
        <v>5</v>
      </c>
      <c r="B15" s="91">
        <v>86787</v>
      </c>
      <c r="C15" s="94">
        <v>42019</v>
      </c>
      <c r="D15" s="92" t="s">
        <v>3066</v>
      </c>
      <c r="E15" s="91" t="s">
        <v>426</v>
      </c>
      <c r="F15" s="92" t="s">
        <v>116</v>
      </c>
      <c r="G15" s="9"/>
      <c r="H15" s="12" t="s">
        <v>417</v>
      </c>
      <c r="I15" s="120">
        <v>1</v>
      </c>
      <c r="J15" s="87">
        <f>IF(F15="","",VLOOKUP(F15,ARANCEL!$E$2:$F$123,2,FALSE))</f>
        <v>5274.3600000000006</v>
      </c>
      <c r="K15" s="88">
        <f t="shared" si="0"/>
        <v>5274.3600000000006</v>
      </c>
      <c r="L15" s="587" t="s">
        <v>3186</v>
      </c>
      <c r="M15" s="93"/>
    </row>
    <row r="16" spans="1:13" x14ac:dyDescent="0.25">
      <c r="A16" s="91">
        <v>6</v>
      </c>
      <c r="B16" s="91">
        <v>86810</v>
      </c>
      <c r="C16" s="94">
        <v>42019</v>
      </c>
      <c r="D16" s="92" t="s">
        <v>3067</v>
      </c>
      <c r="E16" s="91" t="s">
        <v>426</v>
      </c>
      <c r="F16" s="92" t="s">
        <v>116</v>
      </c>
      <c r="G16" s="9"/>
      <c r="H16" s="12" t="s">
        <v>431</v>
      </c>
      <c r="I16" s="120">
        <v>1</v>
      </c>
      <c r="J16" s="87">
        <f>IF(F16="","",VLOOKUP(F16,ARANCEL!$E$2:$F$123,2,FALSE))</f>
        <v>5274.3600000000006</v>
      </c>
      <c r="K16" s="88">
        <f t="shared" si="0"/>
        <v>5274.3600000000006</v>
      </c>
      <c r="L16" s="587" t="s">
        <v>3186</v>
      </c>
      <c r="M16" s="93"/>
    </row>
    <row r="17" spans="1:13" x14ac:dyDescent="0.25">
      <c r="A17" s="91">
        <v>7</v>
      </c>
      <c r="B17" s="102">
        <v>86634</v>
      </c>
      <c r="C17" s="103">
        <v>42019</v>
      </c>
      <c r="D17" s="104" t="s">
        <v>3068</v>
      </c>
      <c r="E17" s="102" t="s">
        <v>426</v>
      </c>
      <c r="F17" s="104" t="s">
        <v>116</v>
      </c>
      <c r="G17" s="105"/>
      <c r="H17" s="99" t="s">
        <v>472</v>
      </c>
      <c r="I17" s="106">
        <v>1</v>
      </c>
      <c r="J17" s="87">
        <f>IF(F17="","",VLOOKUP(F17,ARANCEL!$E$2:$F$123,2,FALSE))</f>
        <v>5274.3600000000006</v>
      </c>
      <c r="K17" s="101">
        <f t="shared" si="0"/>
        <v>5274.3600000000006</v>
      </c>
      <c r="L17" s="587" t="s">
        <v>3186</v>
      </c>
      <c r="M17" s="100"/>
    </row>
    <row r="18" spans="1:13" x14ac:dyDescent="0.25">
      <c r="A18" s="91">
        <v>8</v>
      </c>
      <c r="B18" s="102">
        <v>87386</v>
      </c>
      <c r="C18" s="103">
        <v>42017</v>
      </c>
      <c r="D18" s="104" t="s">
        <v>3069</v>
      </c>
      <c r="E18" s="102" t="s">
        <v>2866</v>
      </c>
      <c r="F18" s="104" t="s">
        <v>537</v>
      </c>
      <c r="G18" s="105"/>
      <c r="H18" s="99" t="s">
        <v>511</v>
      </c>
      <c r="I18" s="106">
        <v>1</v>
      </c>
      <c r="J18" s="87">
        <f>IF(F18="","",VLOOKUP(F18,ARANCEL!$E$2:$F$123,2,FALSE))</f>
        <v>30428.999999999996</v>
      </c>
      <c r="K18" s="101">
        <f t="shared" si="0"/>
        <v>30428.999999999996</v>
      </c>
      <c r="L18" s="587" t="s">
        <v>3186</v>
      </c>
      <c r="M18" s="100"/>
    </row>
    <row r="19" spans="1:13" x14ac:dyDescent="0.25">
      <c r="A19" s="91">
        <v>9</v>
      </c>
      <c r="B19" s="102">
        <v>88163</v>
      </c>
      <c r="C19" s="103">
        <v>42020</v>
      </c>
      <c r="D19" s="92" t="s">
        <v>3067</v>
      </c>
      <c r="E19" s="91" t="s">
        <v>426</v>
      </c>
      <c r="F19" s="104" t="s">
        <v>210</v>
      </c>
      <c r="G19" s="105"/>
      <c r="H19" s="99" t="s">
        <v>431</v>
      </c>
      <c r="I19" s="106">
        <v>1</v>
      </c>
      <c r="J19" s="87">
        <f>IF(F19="","",VLOOKUP(F19,ARANCEL!$E$2:$F$123,2,FALSE))</f>
        <v>14098.999999999998</v>
      </c>
      <c r="K19" s="101">
        <f t="shared" si="0"/>
        <v>14098.999999999998</v>
      </c>
      <c r="L19" s="587" t="s">
        <v>3186</v>
      </c>
      <c r="M19" s="100"/>
    </row>
    <row r="20" spans="1:13" x14ac:dyDescent="0.25">
      <c r="A20" s="102">
        <v>10</v>
      </c>
      <c r="B20" s="102">
        <v>88575</v>
      </c>
      <c r="C20" s="103">
        <v>42019</v>
      </c>
      <c r="D20" s="104" t="s">
        <v>3071</v>
      </c>
      <c r="E20" s="102" t="s">
        <v>426</v>
      </c>
      <c r="F20" s="104" t="s">
        <v>237</v>
      </c>
      <c r="G20" s="105"/>
      <c r="H20" s="99" t="s">
        <v>369</v>
      </c>
      <c r="I20" s="106">
        <v>1</v>
      </c>
      <c r="J20" s="87">
        <f>IF(F20="","",VLOOKUP(F20,ARANCEL!$E$2:$F$123,2,FALSE))</f>
        <v>10400.599999999999</v>
      </c>
      <c r="K20" s="101">
        <f t="shared" si="0"/>
        <v>10400.599999999999</v>
      </c>
      <c r="L20" s="587" t="s">
        <v>3186</v>
      </c>
      <c r="M20" s="100"/>
    </row>
    <row r="21" spans="1:13" x14ac:dyDescent="0.25">
      <c r="A21" s="102">
        <v>11</v>
      </c>
      <c r="B21" s="102">
        <v>88723</v>
      </c>
      <c r="C21" s="103">
        <v>42020</v>
      </c>
      <c r="D21" s="104" t="s">
        <v>3070</v>
      </c>
      <c r="E21" s="102" t="s">
        <v>426</v>
      </c>
      <c r="F21" s="104" t="s">
        <v>357</v>
      </c>
      <c r="G21" s="105"/>
      <c r="H21" s="99" t="s">
        <v>369</v>
      </c>
      <c r="I21" s="106">
        <v>1</v>
      </c>
      <c r="J21" s="87">
        <f>IF(F21="","",VLOOKUP(F21,ARANCEL!$E$2:$F$123,2,FALSE))</f>
        <v>25800.249999999996</v>
      </c>
      <c r="K21" s="101">
        <f t="shared" si="0"/>
        <v>25800.249999999996</v>
      </c>
      <c r="L21" s="587" t="s">
        <v>3186</v>
      </c>
      <c r="M21" s="100"/>
    </row>
    <row r="22" spans="1:13" x14ac:dyDescent="0.25">
      <c r="A22" s="102">
        <v>12</v>
      </c>
      <c r="B22" s="102">
        <v>88933</v>
      </c>
      <c r="C22" s="103">
        <v>42020</v>
      </c>
      <c r="D22" s="104" t="s">
        <v>993</v>
      </c>
      <c r="E22" s="102" t="s">
        <v>426</v>
      </c>
      <c r="F22" s="104" t="s">
        <v>116</v>
      </c>
      <c r="G22" s="105"/>
      <c r="H22" s="99" t="s">
        <v>527</v>
      </c>
      <c r="I22" s="106">
        <v>1</v>
      </c>
      <c r="J22" s="87">
        <f>IF(F22="","",VLOOKUP(F22,ARANCEL!$E$2:$F$123,2,FALSE))</f>
        <v>5274.3600000000006</v>
      </c>
      <c r="K22" s="101">
        <f t="shared" si="0"/>
        <v>5274.3600000000006</v>
      </c>
      <c r="L22" s="587" t="s">
        <v>3186</v>
      </c>
      <c r="M22" s="100"/>
    </row>
    <row r="23" spans="1:13" x14ac:dyDescent="0.25">
      <c r="A23" s="102">
        <v>13</v>
      </c>
      <c r="B23" s="102">
        <v>88902</v>
      </c>
      <c r="C23" s="103">
        <v>42019</v>
      </c>
      <c r="D23" s="104" t="s">
        <v>3071</v>
      </c>
      <c r="E23" s="102" t="s">
        <v>426</v>
      </c>
      <c r="F23" s="104" t="s">
        <v>217</v>
      </c>
      <c r="G23" s="105"/>
      <c r="H23" s="99" t="s">
        <v>371</v>
      </c>
      <c r="I23" s="106">
        <v>1</v>
      </c>
      <c r="J23" s="87">
        <f>IF(F23="","",VLOOKUP(F23,ARANCEL!$E$2:$F$123,2,FALSE))</f>
        <v>44597.287499999999</v>
      </c>
      <c r="K23" s="101">
        <f t="shared" si="0"/>
        <v>44597.287499999999</v>
      </c>
      <c r="L23" s="587" t="s">
        <v>3186</v>
      </c>
      <c r="M23" s="100"/>
    </row>
    <row r="24" spans="1:13" x14ac:dyDescent="0.25">
      <c r="A24" s="102">
        <v>14</v>
      </c>
      <c r="B24" s="102">
        <v>89870</v>
      </c>
      <c r="C24" s="103">
        <v>42026</v>
      </c>
      <c r="D24" s="104" t="s">
        <v>3162</v>
      </c>
      <c r="E24" s="102" t="s">
        <v>426</v>
      </c>
      <c r="F24" s="104" t="s">
        <v>116</v>
      </c>
      <c r="G24" s="105"/>
      <c r="H24" s="99" t="s">
        <v>445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587" t="s">
        <v>3186</v>
      </c>
      <c r="M24" s="100"/>
    </row>
    <row r="25" spans="1:13" x14ac:dyDescent="0.25">
      <c r="A25" s="102">
        <v>15</v>
      </c>
      <c r="B25" s="102">
        <v>90636</v>
      </c>
      <c r="C25" s="103">
        <v>42027</v>
      </c>
      <c r="D25" s="104" t="s">
        <v>3167</v>
      </c>
      <c r="E25" s="102" t="s">
        <v>426</v>
      </c>
      <c r="F25" s="104" t="s">
        <v>116</v>
      </c>
      <c r="G25" s="105"/>
      <c r="H25" s="99" t="s">
        <v>431</v>
      </c>
      <c r="I25" s="106">
        <v>1</v>
      </c>
      <c r="J25" s="87">
        <f>IF(F25="","",VLOOKUP(F25,ARANCEL!$E$2:$F$123,2,FALSE))</f>
        <v>5274.3600000000006</v>
      </c>
      <c r="K25" s="101">
        <f t="shared" si="0"/>
        <v>5274.3600000000006</v>
      </c>
      <c r="L25" s="587" t="s">
        <v>3186</v>
      </c>
      <c r="M25" s="100"/>
    </row>
    <row r="26" spans="1:13" x14ac:dyDescent="0.25">
      <c r="A26" s="91">
        <v>16</v>
      </c>
      <c r="B26" s="102">
        <v>90650</v>
      </c>
      <c r="C26" s="103">
        <v>42025</v>
      </c>
      <c r="D26" s="104" t="s">
        <v>435</v>
      </c>
      <c r="E26" s="102" t="s">
        <v>426</v>
      </c>
      <c r="F26" s="104" t="s">
        <v>115</v>
      </c>
      <c r="G26" s="105"/>
      <c r="H26" s="99" t="s">
        <v>417</v>
      </c>
      <c r="I26" s="106">
        <v>1</v>
      </c>
      <c r="J26" s="87">
        <f>IF(F26="","",VLOOKUP(F26,ARANCEL!$E$2:$F$123,2,FALSE))</f>
        <v>33370.239999999998</v>
      </c>
      <c r="K26" s="101">
        <f t="shared" si="0"/>
        <v>33370.239999999998</v>
      </c>
      <c r="L26" s="587" t="s">
        <v>3186</v>
      </c>
      <c r="M26" s="100"/>
    </row>
    <row r="27" spans="1:13" x14ac:dyDescent="0.25">
      <c r="A27" s="102">
        <v>15</v>
      </c>
      <c r="B27" s="102"/>
      <c r="C27" s="103"/>
      <c r="D27" s="104"/>
      <c r="E27" s="102"/>
      <c r="F27" s="104"/>
      <c r="G27" s="105"/>
      <c r="H27" s="99"/>
      <c r="I27" s="106"/>
      <c r="J27" s="87" t="str">
        <f>IF(F27="","",VLOOKUP(F27,ARANCEL!$E$2:$F$123,2,FALSE))</f>
        <v/>
      </c>
      <c r="K27" s="101" t="str">
        <f t="shared" ref="K27:K29" si="1">IF(I27=0,"",J27*I27)</f>
        <v/>
      </c>
      <c r="L27" s="99"/>
      <c r="M27" s="100"/>
    </row>
    <row r="28" spans="1:13" x14ac:dyDescent="0.25">
      <c r="A28" s="91">
        <v>16</v>
      </c>
      <c r="B28" s="102"/>
      <c r="C28" s="103"/>
      <c r="D28" s="104"/>
      <c r="E28" s="102"/>
      <c r="F28" s="104"/>
      <c r="G28" s="105"/>
      <c r="H28" s="99"/>
      <c r="I28" s="106"/>
      <c r="J28" s="87" t="str">
        <f>IF(F28="","",VLOOKUP(F28,ARANCEL!$E$2:$F$123,2,FALSE))</f>
        <v/>
      </c>
      <c r="K28" s="101" t="str">
        <f t="shared" si="1"/>
        <v/>
      </c>
      <c r="L28" s="99"/>
      <c r="M28" s="100"/>
    </row>
    <row r="29" spans="1:13" x14ac:dyDescent="0.25">
      <c r="A29" s="91">
        <v>17</v>
      </c>
      <c r="B29" s="102"/>
      <c r="C29" s="103"/>
      <c r="D29" s="104"/>
      <c r="E29" s="102"/>
      <c r="F29" s="104"/>
      <c r="G29" s="105"/>
      <c r="H29" s="99"/>
      <c r="I29" s="106"/>
      <c r="J29" s="87" t="str">
        <f>IF(F29="","",VLOOKUP(F29,ARANCEL!$E$2:$F$123,2,FALSE))</f>
        <v/>
      </c>
      <c r="K29" s="101" t="str">
        <f t="shared" si="1"/>
        <v/>
      </c>
      <c r="L29" s="99"/>
      <c r="M29" s="100"/>
    </row>
    <row r="32" spans="1:13" ht="20.25" customHeight="1" x14ac:dyDescent="0.25">
      <c r="A32" s="593" t="s">
        <v>366</v>
      </c>
      <c r="B32" s="593"/>
      <c r="C32" s="593"/>
      <c r="D32" s="593"/>
      <c r="E32" s="593"/>
      <c r="F32" s="593"/>
      <c r="G32" s="593"/>
      <c r="H32" s="593"/>
      <c r="I32" s="593"/>
      <c r="J32" s="593"/>
      <c r="K32" s="593"/>
    </row>
    <row r="33" spans="1:13" ht="24" x14ac:dyDescent="0.25">
      <c r="A33" s="89" t="s">
        <v>96</v>
      </c>
      <c r="B33" s="89" t="s">
        <v>97</v>
      </c>
      <c r="C33" s="90" t="s">
        <v>101</v>
      </c>
      <c r="D33" s="89" t="s">
        <v>98</v>
      </c>
      <c r="E33" s="89" t="s">
        <v>99</v>
      </c>
      <c r="F33" s="89" t="s">
        <v>100</v>
      </c>
      <c r="G33" s="89" t="s">
        <v>103</v>
      </c>
      <c r="H33" s="89" t="s">
        <v>102</v>
      </c>
      <c r="I33" s="89" t="s">
        <v>108</v>
      </c>
      <c r="J33" s="90" t="s">
        <v>104</v>
      </c>
      <c r="K33" s="90" t="s">
        <v>105</v>
      </c>
      <c r="L33" s="90" t="s">
        <v>168</v>
      </c>
      <c r="M33" s="90" t="s">
        <v>106</v>
      </c>
    </row>
    <row r="34" spans="1:13" x14ac:dyDescent="0.25">
      <c r="A34" s="114"/>
      <c r="B34" s="115" t="s">
        <v>412</v>
      </c>
      <c r="C34" s="110">
        <v>41925</v>
      </c>
      <c r="D34" s="116" t="s">
        <v>413</v>
      </c>
      <c r="E34" s="115" t="s">
        <v>414</v>
      </c>
      <c r="F34" s="116" t="s">
        <v>382</v>
      </c>
      <c r="G34" s="111" t="s">
        <v>415</v>
      </c>
      <c r="H34" s="576" t="s">
        <v>415</v>
      </c>
      <c r="I34" s="113">
        <v>1</v>
      </c>
      <c r="J34" s="117"/>
      <c r="K34" s="118"/>
      <c r="L34" s="114"/>
      <c r="M34" s="14"/>
    </row>
    <row r="35" spans="1:13" x14ac:dyDescent="0.25">
      <c r="A35" s="114"/>
      <c r="B35" s="115">
        <v>53827</v>
      </c>
      <c r="C35" s="110">
        <v>41925</v>
      </c>
      <c r="D35" s="116" t="s">
        <v>416</v>
      </c>
      <c r="E35" s="115" t="s">
        <v>414</v>
      </c>
      <c r="F35" s="116" t="s">
        <v>399</v>
      </c>
      <c r="G35" s="111" t="s">
        <v>417</v>
      </c>
      <c r="H35" s="576" t="s">
        <v>417</v>
      </c>
      <c r="I35" s="113">
        <v>1</v>
      </c>
      <c r="J35" s="117"/>
      <c r="K35" s="118"/>
      <c r="L35" s="114"/>
      <c r="M35" s="14"/>
    </row>
    <row r="36" spans="1:13" x14ac:dyDescent="0.25">
      <c r="A36" s="114"/>
      <c r="B36" s="115">
        <v>53385</v>
      </c>
      <c r="C36" s="110">
        <v>41925</v>
      </c>
      <c r="D36" s="116" t="s">
        <v>418</v>
      </c>
      <c r="E36" s="115" t="s">
        <v>414</v>
      </c>
      <c r="F36" s="116" t="s">
        <v>399</v>
      </c>
      <c r="G36" s="111" t="s">
        <v>419</v>
      </c>
      <c r="H36" s="576" t="s">
        <v>419</v>
      </c>
      <c r="I36" s="113">
        <v>1</v>
      </c>
      <c r="J36" s="117"/>
      <c r="K36" s="118"/>
      <c r="L36" s="114"/>
      <c r="M36" s="14"/>
    </row>
    <row r="37" spans="1:13" x14ac:dyDescent="0.25">
      <c r="A37" s="114"/>
      <c r="B37" s="115">
        <v>52831</v>
      </c>
      <c r="C37" s="110">
        <v>41922</v>
      </c>
      <c r="D37" s="116" t="s">
        <v>420</v>
      </c>
      <c r="E37" s="115" t="s">
        <v>421</v>
      </c>
      <c r="F37" s="116" t="s">
        <v>422</v>
      </c>
      <c r="G37" s="111" t="s">
        <v>371</v>
      </c>
      <c r="H37" s="576" t="s">
        <v>371</v>
      </c>
      <c r="I37" s="113">
        <v>1</v>
      </c>
      <c r="J37" s="117"/>
      <c r="K37" s="118"/>
      <c r="L37" s="114"/>
      <c r="M37" s="14"/>
    </row>
    <row r="38" spans="1:13" x14ac:dyDescent="0.25">
      <c r="A38" s="114"/>
      <c r="B38" s="115">
        <v>60202</v>
      </c>
      <c r="C38" s="110">
        <v>41942</v>
      </c>
      <c r="D38" s="116" t="s">
        <v>423</v>
      </c>
      <c r="E38" s="115" t="s">
        <v>424</v>
      </c>
      <c r="F38" s="116" t="s">
        <v>386</v>
      </c>
      <c r="G38" s="111" t="s">
        <v>371</v>
      </c>
      <c r="H38" s="576" t="s">
        <v>371</v>
      </c>
      <c r="I38" s="113">
        <v>1</v>
      </c>
      <c r="J38" s="117"/>
      <c r="K38" s="118"/>
      <c r="L38" s="114"/>
      <c r="M38" s="14"/>
    </row>
    <row r="39" spans="1:13" x14ac:dyDescent="0.25">
      <c r="A39" s="114"/>
      <c r="B39" s="115">
        <v>69301</v>
      </c>
      <c r="C39" s="110">
        <v>41969</v>
      </c>
      <c r="D39" s="116" t="s">
        <v>425</v>
      </c>
      <c r="E39" s="115" t="s">
        <v>426</v>
      </c>
      <c r="F39" s="116" t="s">
        <v>377</v>
      </c>
      <c r="G39" s="111" t="s">
        <v>387</v>
      </c>
      <c r="H39" s="576" t="s">
        <v>387</v>
      </c>
      <c r="I39" s="113">
        <v>2</v>
      </c>
      <c r="J39" s="117"/>
      <c r="K39" s="118"/>
      <c r="L39" s="114"/>
      <c r="M39" s="14"/>
    </row>
    <row r="40" spans="1:13" x14ac:dyDescent="0.25">
      <c r="A40" s="114"/>
      <c r="B40" s="115">
        <v>70149</v>
      </c>
      <c r="C40" s="110">
        <v>41970</v>
      </c>
      <c r="D40" s="116" t="s">
        <v>427</v>
      </c>
      <c r="E40" s="115" t="s">
        <v>426</v>
      </c>
      <c r="F40" s="116" t="s">
        <v>399</v>
      </c>
      <c r="G40" s="111" t="s">
        <v>383</v>
      </c>
      <c r="H40" s="576" t="s">
        <v>383</v>
      </c>
      <c r="I40" s="113">
        <v>1</v>
      </c>
      <c r="J40" s="117"/>
      <c r="K40" s="118"/>
      <c r="L40" s="114"/>
      <c r="M40" s="14"/>
    </row>
    <row r="41" spans="1:13" x14ac:dyDescent="0.25">
      <c r="A41" s="114"/>
      <c r="B41" s="115" t="s">
        <v>428</v>
      </c>
      <c r="C41" s="110">
        <v>41991</v>
      </c>
      <c r="D41" s="116" t="s">
        <v>429</v>
      </c>
      <c r="E41" s="115" t="s">
        <v>426</v>
      </c>
      <c r="F41" s="116" t="s">
        <v>430</v>
      </c>
      <c r="G41" s="111" t="s">
        <v>431</v>
      </c>
      <c r="H41" s="576" t="s">
        <v>431</v>
      </c>
      <c r="I41" s="113">
        <v>1</v>
      </c>
      <c r="J41" s="117"/>
      <c r="K41" s="118"/>
      <c r="L41" s="114"/>
      <c r="M41" s="14"/>
    </row>
    <row r="42" spans="1:13" x14ac:dyDescent="0.25">
      <c r="A42" s="114"/>
      <c r="B42" s="115" t="s">
        <v>432</v>
      </c>
      <c r="C42" s="110">
        <v>41989</v>
      </c>
      <c r="D42" s="116" t="s">
        <v>433</v>
      </c>
      <c r="E42" s="115" t="s">
        <v>426</v>
      </c>
      <c r="F42" s="116" t="s">
        <v>430</v>
      </c>
      <c r="G42" s="111" t="s">
        <v>434</v>
      </c>
      <c r="H42" s="576" t="s">
        <v>434</v>
      </c>
      <c r="I42" s="113">
        <v>1</v>
      </c>
      <c r="J42" s="117"/>
      <c r="K42" s="118"/>
      <c r="L42" s="114"/>
      <c r="M42" s="14"/>
    </row>
    <row r="43" spans="1:13" x14ac:dyDescent="0.25">
      <c r="A43" s="114"/>
      <c r="B43" s="115">
        <v>89330</v>
      </c>
      <c r="C43" s="110">
        <v>42020</v>
      </c>
      <c r="D43" s="116" t="s">
        <v>3072</v>
      </c>
      <c r="E43" s="115" t="s">
        <v>426</v>
      </c>
      <c r="F43" s="116" t="s">
        <v>386</v>
      </c>
      <c r="G43" s="111"/>
      <c r="H43" s="582" t="s">
        <v>371</v>
      </c>
      <c r="I43" s="113">
        <v>1</v>
      </c>
      <c r="J43" s="117"/>
      <c r="K43" s="118"/>
      <c r="L43" s="114"/>
      <c r="M43" s="14"/>
    </row>
    <row r="44" spans="1:13" x14ac:dyDescent="0.25">
      <c r="A44" s="114"/>
      <c r="B44" s="115">
        <v>90638</v>
      </c>
      <c r="C44" s="110">
        <v>42026</v>
      </c>
      <c r="D44" s="116" t="s">
        <v>992</v>
      </c>
      <c r="E44" s="115" t="s">
        <v>426</v>
      </c>
      <c r="F44" s="116" t="s">
        <v>399</v>
      </c>
      <c r="G44" s="111"/>
      <c r="H44" s="582">
        <v>2</v>
      </c>
      <c r="I44" s="113">
        <v>1</v>
      </c>
      <c r="J44" s="117"/>
      <c r="K44" s="118"/>
      <c r="L44" s="114"/>
      <c r="M44" s="14"/>
    </row>
    <row r="45" spans="1:13" x14ac:dyDescent="0.25">
      <c r="A45" s="114"/>
      <c r="B45" s="115"/>
      <c r="C45" s="110"/>
      <c r="D45" s="116"/>
      <c r="E45" s="115"/>
      <c r="F45" s="116"/>
      <c r="G45" s="111"/>
      <c r="H45" s="582"/>
      <c r="I45" s="113"/>
      <c r="J45" s="117"/>
      <c r="K45" s="118"/>
      <c r="L45" s="114"/>
      <c r="M45" s="14"/>
    </row>
    <row r="46" spans="1:13" x14ac:dyDescent="0.25">
      <c r="A46" s="114"/>
      <c r="B46" s="115"/>
      <c r="C46" s="110"/>
      <c r="D46" s="116"/>
      <c r="E46" s="115"/>
      <c r="F46" s="116"/>
      <c r="G46" s="111"/>
      <c r="H46" s="582"/>
      <c r="I46" s="113"/>
      <c r="J46" s="117"/>
      <c r="K46" s="118"/>
      <c r="L46" s="114"/>
      <c r="M46" s="14"/>
    </row>
    <row r="47" spans="1:13" x14ac:dyDescent="0.25">
      <c r="A47" s="114"/>
      <c r="B47" s="115"/>
      <c r="C47" s="110"/>
      <c r="D47" s="116"/>
      <c r="E47" s="115"/>
      <c r="F47" s="116"/>
      <c r="G47" s="111"/>
      <c r="H47" s="582"/>
      <c r="I47" s="113"/>
      <c r="J47" s="117"/>
      <c r="K47" s="118"/>
      <c r="L47" s="114"/>
      <c r="M47" s="14"/>
    </row>
    <row r="48" spans="1:13" x14ac:dyDescent="0.25">
      <c r="A48" s="114"/>
      <c r="B48" s="115"/>
      <c r="C48" s="110"/>
      <c r="D48" s="116"/>
      <c r="E48" s="115"/>
      <c r="F48" s="116"/>
      <c r="G48" s="111"/>
      <c r="H48" s="582"/>
      <c r="I48" s="113"/>
      <c r="J48" s="117"/>
      <c r="K48" s="118"/>
      <c r="L48" s="114"/>
      <c r="M48" s="14"/>
    </row>
    <row r="49" spans="1:13" x14ac:dyDescent="0.25">
      <c r="A49" s="114"/>
      <c r="B49" s="115"/>
      <c r="C49" s="110"/>
      <c r="D49" s="116"/>
      <c r="E49" s="115"/>
      <c r="F49" s="116"/>
      <c r="G49" s="111"/>
      <c r="H49" s="582"/>
      <c r="I49" s="113"/>
      <c r="J49" s="117"/>
      <c r="K49" s="118"/>
      <c r="L49" s="114"/>
      <c r="M49" s="14"/>
    </row>
    <row r="50" spans="1:13" x14ac:dyDescent="0.25">
      <c r="A50" s="114"/>
      <c r="B50" s="115"/>
      <c r="C50" s="110"/>
      <c r="D50" s="116"/>
      <c r="E50" s="115"/>
      <c r="F50" s="116"/>
      <c r="G50" s="111"/>
      <c r="H50" s="582"/>
      <c r="I50" s="113"/>
      <c r="J50" s="117"/>
      <c r="K50" s="118"/>
      <c r="L50" s="114"/>
      <c r="M50" s="14"/>
    </row>
    <row r="51" spans="1:13" x14ac:dyDescent="0.25">
      <c r="A51" s="114"/>
      <c r="B51" s="115"/>
      <c r="C51" s="110"/>
      <c r="D51" s="116"/>
      <c r="E51" s="115"/>
      <c r="F51" s="116"/>
      <c r="G51" s="111"/>
      <c r="H51" s="582"/>
      <c r="I51" s="113"/>
      <c r="J51" s="117"/>
      <c r="K51" s="118"/>
      <c r="L51" s="114"/>
      <c r="M51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32:K32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M79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.4257812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13" ht="27" x14ac:dyDescent="0.5">
      <c r="A2" s="595" t="s">
        <v>35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13" ht="12.75" hidden="1" customHeight="1" outlineLevel="1" x14ac:dyDescent="0.25">
      <c r="A3" s="591" t="s">
        <v>158</v>
      </c>
      <c r="B3" s="591"/>
      <c r="C3" s="95" t="str">
        <f>IFERROR(VLOOKUP($A$2,DATOS!$A$2:$N$14,2,FALSE),"SUCURSAL NO ENCONTRADA")</f>
        <v>FEISA SALUD LTDA</v>
      </c>
      <c r="H3" s="108" t="s">
        <v>166</v>
      </c>
      <c r="I3" s="95" t="str">
        <f>IFERROR(VLOOKUP($A$2,DATOS!$A$2:$N$14,8,FALSE),"SUCURSAL NO ENCONTRADA")</f>
        <v>FEDERICO CASTILLO</v>
      </c>
    </row>
    <row r="4" spans="1:13" ht="12.75" hidden="1" customHeight="1" outlineLevel="1" x14ac:dyDescent="0.25">
      <c r="A4" s="591" t="s">
        <v>159</v>
      </c>
      <c r="B4" s="591"/>
      <c r="C4" s="95" t="str">
        <f>IFERROR(VLOOKUP($A$2,DATOS!$A$2:$N$14,3,FALSE),"SUCURSAL NO ENCONTRADA")</f>
        <v>76.339.245-7</v>
      </c>
      <c r="H4" s="108" t="s">
        <v>164</v>
      </c>
      <c r="I4" s="95" t="str">
        <f>IFERROR(VLOOKUP($A$2,DATOS!$A$2:$N$14,9,FALSE),"SUCURSAL NO ENCONTRADA")</f>
        <v>fcastillo@unosalud.cl</v>
      </c>
      <c r="K4" s="85"/>
    </row>
    <row r="5" spans="1:13" ht="12.75" hidden="1" customHeight="1" outlineLevel="1" x14ac:dyDescent="0.25">
      <c r="A5" s="591" t="s">
        <v>160</v>
      </c>
      <c r="B5" s="591"/>
      <c r="C5" s="95" t="str">
        <f>IFERROR(VLOOKUP($A$2,DATOS!$A$2:$N$14,4,FALSE),"SUCURSAL NO ENCONTRADA")</f>
        <v>AVENIDA 5 DE ABRIL 33 LOCAL 35, MAIPU</v>
      </c>
      <c r="H5" s="108" t="s">
        <v>163</v>
      </c>
      <c r="I5" s="95" t="str">
        <f>IFERROR(VLOOKUP($A$2,DATOS!$A$2:$N$14,10,FALSE),"SUCURSAL NO ENCONTRADA")</f>
        <v>7856 7410</v>
      </c>
    </row>
    <row r="6" spans="1:13" ht="12.75" hidden="1" customHeight="1" outlineLevel="1" x14ac:dyDescent="0.25">
      <c r="A6" s="591" t="s">
        <v>161</v>
      </c>
      <c r="B6" s="591"/>
      <c r="C6" s="95" t="str">
        <f>IFERROR(VLOOKUP($A$2,DATOS!$A$2:$N$14,5,FALSE),"SUCURSAL NO ENCONTRADA")</f>
        <v>CENTROS DE ATENCION ODONTOLOGICA</v>
      </c>
      <c r="H6" s="108" t="s">
        <v>167</v>
      </c>
      <c r="I6" s="95" t="str">
        <f>IFERROR(VLOOKUP($A$2,DATOS!$A$2:$N$14,11,FALSE),"SUCURSAL NO ENCONTRADA")</f>
        <v>CLAUDIA</v>
      </c>
    </row>
    <row r="7" spans="1:13" ht="12.75" hidden="1" customHeight="1" outlineLevel="1" x14ac:dyDescent="0.25">
      <c r="A7" s="591" t="s">
        <v>162</v>
      </c>
      <c r="B7" s="591"/>
      <c r="C7" s="95" t="str">
        <f>IFERROR(VLOOKUP($A$2,DATOS!$A$2:$N$14,6,FALSE),"SUCURSAL NO ENCONTRADA")</f>
        <v>UNO SALUD MAIPU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92" t="s">
        <v>165</v>
      </c>
      <c r="B8" s="592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>
        <f>IFERROR(VLOOKUP($A$2,DATOS!$A$2:$N$14,13,FALSE),"SUCURSAL NO ENCONTRADA")</f>
        <v>0</v>
      </c>
    </row>
    <row r="9" spans="1:13" s="588" customFormat="1" ht="24.75" customHeight="1" collapsed="1" x14ac:dyDescent="0.35">
      <c r="A9" s="596" t="s">
        <v>3187</v>
      </c>
      <c r="B9" s="597"/>
      <c r="C9" s="597"/>
      <c r="D9" s="597"/>
      <c r="E9" s="597"/>
      <c r="F9" s="597"/>
      <c r="G9" s="597"/>
      <c r="H9" s="597"/>
      <c r="I9" s="597"/>
      <c r="J9" s="597"/>
      <c r="K9" s="598"/>
      <c r="L9" s="599"/>
      <c r="M9" s="59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85719</v>
      </c>
      <c r="C11" s="94">
        <v>42011</v>
      </c>
      <c r="D11" s="92" t="s">
        <v>470</v>
      </c>
      <c r="E11" s="91" t="s">
        <v>396</v>
      </c>
      <c r="F11" s="92" t="s">
        <v>116</v>
      </c>
      <c r="G11" s="9"/>
      <c r="H11" s="12" t="s">
        <v>417</v>
      </c>
      <c r="I11" s="120">
        <v>1</v>
      </c>
      <c r="J11" s="87">
        <f>IF(F11="","",VLOOKUP(F11,ARANCEL!$E$2:$F$123,2,FALSE))</f>
        <v>5274.3600000000006</v>
      </c>
      <c r="K11" s="88">
        <f t="shared" ref="K11:K43" si="0">IF(I11=0,"",J11*I11)</f>
        <v>5274.3600000000006</v>
      </c>
      <c r="L11" s="587" t="s">
        <v>3186</v>
      </c>
      <c r="M11" s="93"/>
    </row>
    <row r="12" spans="1:13" x14ac:dyDescent="0.25">
      <c r="A12" s="91">
        <v>2</v>
      </c>
      <c r="B12" s="91">
        <v>85719</v>
      </c>
      <c r="C12" s="94">
        <v>42011</v>
      </c>
      <c r="D12" s="92" t="s">
        <v>470</v>
      </c>
      <c r="E12" s="91" t="s">
        <v>396</v>
      </c>
      <c r="F12" s="92" t="s">
        <v>210</v>
      </c>
      <c r="G12" s="9"/>
      <c r="H12" s="12" t="s">
        <v>417</v>
      </c>
      <c r="I12" s="120">
        <v>1</v>
      </c>
      <c r="J12" s="87">
        <f>IF(F12="","",VLOOKUP(F12,ARANCEL!$E$2:$F$123,2,FALSE))</f>
        <v>14098.999999999998</v>
      </c>
      <c r="K12" s="88">
        <f t="shared" si="0"/>
        <v>14098.999999999998</v>
      </c>
      <c r="L12" s="587" t="s">
        <v>3186</v>
      </c>
      <c r="M12" s="93"/>
    </row>
    <row r="13" spans="1:13" x14ac:dyDescent="0.25">
      <c r="A13" s="91">
        <v>3</v>
      </c>
      <c r="B13" s="91">
        <v>85541</v>
      </c>
      <c r="C13" s="94">
        <v>42010</v>
      </c>
      <c r="D13" s="92" t="s">
        <v>460</v>
      </c>
      <c r="E13" s="91" t="s">
        <v>456</v>
      </c>
      <c r="F13" s="92" t="s">
        <v>355</v>
      </c>
      <c r="G13" s="9"/>
      <c r="H13" s="12" t="s">
        <v>371</v>
      </c>
      <c r="I13" s="120">
        <v>1</v>
      </c>
      <c r="J13" s="87">
        <f>IF(F13="","",VLOOKUP(F13,ARANCEL!$E$2:$F$123,2,FALSE))</f>
        <v>55057.687499999993</v>
      </c>
      <c r="K13" s="88">
        <f t="shared" si="0"/>
        <v>55057.687499999993</v>
      </c>
      <c r="L13" s="587" t="s">
        <v>3186</v>
      </c>
      <c r="M13" s="93"/>
    </row>
    <row r="14" spans="1:13" x14ac:dyDescent="0.25">
      <c r="A14" s="91">
        <v>4</v>
      </c>
      <c r="B14" s="102">
        <v>85186</v>
      </c>
      <c r="C14" s="103">
        <v>42009</v>
      </c>
      <c r="D14" s="104" t="s">
        <v>461</v>
      </c>
      <c r="E14" s="102" t="s">
        <v>456</v>
      </c>
      <c r="F14" s="104" t="s">
        <v>115</v>
      </c>
      <c r="G14" s="105"/>
      <c r="H14" s="99" t="s">
        <v>400</v>
      </c>
      <c r="I14" s="106">
        <v>2</v>
      </c>
      <c r="J14" s="87">
        <f>IF(F14="","",VLOOKUP(F14,ARANCEL!$E$2:$F$123,2,FALSE))</f>
        <v>33370.239999999998</v>
      </c>
      <c r="K14" s="101">
        <f t="shared" si="0"/>
        <v>66740.479999999996</v>
      </c>
      <c r="L14" s="587" t="s">
        <v>3186</v>
      </c>
      <c r="M14" s="100"/>
    </row>
    <row r="15" spans="1:13" x14ac:dyDescent="0.25">
      <c r="A15" s="91">
        <v>5</v>
      </c>
      <c r="B15" s="102">
        <v>85123</v>
      </c>
      <c r="C15" s="103">
        <v>42004</v>
      </c>
      <c r="D15" s="104" t="s">
        <v>471</v>
      </c>
      <c r="E15" s="102" t="s">
        <v>456</v>
      </c>
      <c r="F15" s="104" t="s">
        <v>116</v>
      </c>
      <c r="G15" s="105"/>
      <c r="H15" s="99" t="s">
        <v>434</v>
      </c>
      <c r="I15" s="106">
        <v>1</v>
      </c>
      <c r="J15" s="87">
        <f>IF(F15="","",VLOOKUP(F15,ARANCEL!$E$2:$F$123,2,FALSE))</f>
        <v>5274.3600000000006</v>
      </c>
      <c r="K15" s="101">
        <f t="shared" si="0"/>
        <v>5274.3600000000006</v>
      </c>
      <c r="L15" s="587" t="s">
        <v>3186</v>
      </c>
      <c r="M15" s="100"/>
    </row>
    <row r="16" spans="1:13" x14ac:dyDescent="0.25">
      <c r="A16" s="91">
        <v>6</v>
      </c>
      <c r="B16" s="102">
        <v>85123</v>
      </c>
      <c r="C16" s="103">
        <v>42004</v>
      </c>
      <c r="D16" s="104" t="s">
        <v>471</v>
      </c>
      <c r="E16" s="102" t="s">
        <v>456</v>
      </c>
      <c r="F16" s="104" t="s">
        <v>204</v>
      </c>
      <c r="G16" s="105"/>
      <c r="H16" s="99" t="s">
        <v>472</v>
      </c>
      <c r="I16" s="106">
        <v>1</v>
      </c>
      <c r="J16" s="87">
        <f>IF(F16="","",VLOOKUP(F16,ARANCEL!$E$2:$F$123,2,FALSE))</f>
        <v>17243.560000000001</v>
      </c>
      <c r="K16" s="101">
        <f t="shared" ref="K16:K18" si="1">IF(I16=0,"",J16*I16)</f>
        <v>17243.560000000001</v>
      </c>
      <c r="L16" s="587" t="s">
        <v>3186</v>
      </c>
      <c r="M16" s="100"/>
    </row>
    <row r="17" spans="1:13" x14ac:dyDescent="0.25">
      <c r="A17" s="91">
        <v>7</v>
      </c>
      <c r="B17" s="102">
        <v>82219</v>
      </c>
      <c r="C17" s="103">
        <v>41995</v>
      </c>
      <c r="D17" s="104" t="s">
        <v>367</v>
      </c>
      <c r="E17" s="102" t="s">
        <v>368</v>
      </c>
      <c r="F17" s="104" t="s">
        <v>540</v>
      </c>
      <c r="G17" s="105"/>
      <c r="H17" s="99" t="s">
        <v>369</v>
      </c>
      <c r="I17" s="106">
        <v>1</v>
      </c>
      <c r="J17" s="96">
        <v>-18764</v>
      </c>
      <c r="K17" s="96">
        <f t="shared" si="1"/>
        <v>-18764</v>
      </c>
      <c r="L17" s="587" t="s">
        <v>3186</v>
      </c>
      <c r="M17" s="100" t="s">
        <v>541</v>
      </c>
    </row>
    <row r="18" spans="1:13" x14ac:dyDescent="0.25">
      <c r="A18" s="91">
        <v>8</v>
      </c>
      <c r="B18" s="102">
        <v>87024</v>
      </c>
      <c r="C18" s="103">
        <v>42016</v>
      </c>
      <c r="D18" s="104" t="s">
        <v>3073</v>
      </c>
      <c r="E18" s="102" t="s">
        <v>396</v>
      </c>
      <c r="F18" s="104" t="s">
        <v>116</v>
      </c>
      <c r="G18" s="105"/>
      <c r="H18" s="99" t="s">
        <v>400</v>
      </c>
      <c r="I18" s="106">
        <v>2</v>
      </c>
      <c r="J18" s="87">
        <f>IF(F18="","",VLOOKUP(F18,ARANCEL!$E$2:$F$123,2,FALSE))</f>
        <v>5274.3600000000006</v>
      </c>
      <c r="K18" s="101">
        <f t="shared" si="1"/>
        <v>10548.720000000001</v>
      </c>
      <c r="L18" s="587" t="s">
        <v>3186</v>
      </c>
      <c r="M18" s="100"/>
    </row>
    <row r="19" spans="1:13" x14ac:dyDescent="0.25">
      <c r="A19" s="91">
        <v>9</v>
      </c>
      <c r="B19" s="102">
        <v>87068</v>
      </c>
      <c r="C19" s="103">
        <v>42016</v>
      </c>
      <c r="D19" s="104" t="s">
        <v>1108</v>
      </c>
      <c r="E19" s="102" t="s">
        <v>396</v>
      </c>
      <c r="F19" s="104" t="s">
        <v>210</v>
      </c>
      <c r="G19" s="105"/>
      <c r="H19" s="99" t="s">
        <v>400</v>
      </c>
      <c r="I19" s="106">
        <v>2</v>
      </c>
      <c r="J19" s="87">
        <f>IF(F19="","",VLOOKUP(F19,ARANCEL!$E$2:$F$123,2,FALSE))</f>
        <v>14098.999999999998</v>
      </c>
      <c r="K19" s="101">
        <f t="shared" si="0"/>
        <v>28197.999999999996</v>
      </c>
      <c r="L19" s="587" t="s">
        <v>3186</v>
      </c>
      <c r="M19" s="100"/>
    </row>
    <row r="20" spans="1:13" x14ac:dyDescent="0.25">
      <c r="A20" s="91">
        <v>10</v>
      </c>
      <c r="B20" s="102">
        <v>85377</v>
      </c>
      <c r="C20" s="103">
        <v>42009</v>
      </c>
      <c r="D20" s="104" t="s">
        <v>1177</v>
      </c>
      <c r="E20" s="102" t="s">
        <v>456</v>
      </c>
      <c r="F20" s="104" t="s">
        <v>537</v>
      </c>
      <c r="G20" s="105"/>
      <c r="H20" s="99" t="s">
        <v>511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587" t="s">
        <v>3186</v>
      </c>
      <c r="M20" s="100"/>
    </row>
    <row r="21" spans="1:13" x14ac:dyDescent="0.25">
      <c r="A21" s="102">
        <v>11</v>
      </c>
      <c r="B21" s="102">
        <v>86400</v>
      </c>
      <c r="C21" s="103">
        <v>42017</v>
      </c>
      <c r="D21" s="104" t="s">
        <v>1182</v>
      </c>
      <c r="E21" s="102" t="s">
        <v>456</v>
      </c>
      <c r="F21" s="104" t="s">
        <v>537</v>
      </c>
      <c r="G21" s="105"/>
      <c r="H21" s="99" t="s">
        <v>511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7" t="s">
        <v>3186</v>
      </c>
      <c r="M21" s="100"/>
    </row>
    <row r="22" spans="1:13" x14ac:dyDescent="0.25">
      <c r="A22" s="102">
        <v>12</v>
      </c>
      <c r="B22" s="102">
        <v>86166</v>
      </c>
      <c r="C22" s="103">
        <v>42012</v>
      </c>
      <c r="D22" s="104" t="s">
        <v>3075</v>
      </c>
      <c r="E22" s="102" t="s">
        <v>456</v>
      </c>
      <c r="F22" s="104" t="s">
        <v>537</v>
      </c>
      <c r="G22" s="105"/>
      <c r="H22" s="99" t="s">
        <v>392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587" t="s">
        <v>3186</v>
      </c>
      <c r="M22" s="100"/>
    </row>
    <row r="23" spans="1:13" x14ac:dyDescent="0.25">
      <c r="A23" s="102">
        <v>13</v>
      </c>
      <c r="B23" s="102">
        <v>86504</v>
      </c>
      <c r="C23" s="103">
        <v>42011</v>
      </c>
      <c r="D23" s="104" t="s">
        <v>468</v>
      </c>
      <c r="E23" s="102" t="s">
        <v>396</v>
      </c>
      <c r="F23" s="104" t="s">
        <v>115</v>
      </c>
      <c r="G23" s="105"/>
      <c r="H23" s="99" t="s">
        <v>442</v>
      </c>
      <c r="I23" s="106">
        <v>1</v>
      </c>
      <c r="J23" s="87">
        <f>IF(F23="","",VLOOKUP(F23,ARANCEL!$E$2:$F$123,2,FALSE))</f>
        <v>33370.239999999998</v>
      </c>
      <c r="K23" s="101">
        <f t="shared" si="0"/>
        <v>33370.239999999998</v>
      </c>
      <c r="L23" s="587" t="s">
        <v>3186</v>
      </c>
      <c r="M23" s="100"/>
    </row>
    <row r="24" spans="1:13" x14ac:dyDescent="0.25">
      <c r="A24" s="102">
        <v>14</v>
      </c>
      <c r="B24" s="102">
        <v>86503</v>
      </c>
      <c r="C24" s="103">
        <v>42011</v>
      </c>
      <c r="D24" s="104" t="s">
        <v>3079</v>
      </c>
      <c r="E24" s="102" t="s">
        <v>396</v>
      </c>
      <c r="F24" s="104" t="s">
        <v>336</v>
      </c>
      <c r="G24" s="105"/>
      <c r="H24" s="99" t="s">
        <v>417</v>
      </c>
      <c r="I24" s="106">
        <v>1</v>
      </c>
      <c r="J24" s="87">
        <f>IF(F24="","",VLOOKUP(F24,ARANCEL!$E$2:$F$123,2,FALSE))</f>
        <v>29439.999999999996</v>
      </c>
      <c r="K24" s="101">
        <f t="shared" si="0"/>
        <v>29439.999999999996</v>
      </c>
      <c r="L24" s="587" t="s">
        <v>3186</v>
      </c>
      <c r="M24" s="100"/>
    </row>
    <row r="25" spans="1:13" x14ac:dyDescent="0.25">
      <c r="A25" s="102">
        <v>15</v>
      </c>
      <c r="B25" s="102">
        <v>86723</v>
      </c>
      <c r="C25" s="103">
        <v>42013</v>
      </c>
      <c r="D25" s="104" t="s">
        <v>3076</v>
      </c>
      <c r="E25" s="102" t="s">
        <v>3077</v>
      </c>
      <c r="F25" s="104" t="s">
        <v>197</v>
      </c>
      <c r="G25" s="105"/>
      <c r="H25" s="99" t="s">
        <v>392</v>
      </c>
      <c r="I25" s="106">
        <v>1</v>
      </c>
      <c r="J25" s="87">
        <f>IF(F25="","",VLOOKUP(F25,ARANCEL!$E$2:$F$123,2,FALSE))</f>
        <v>2738.8399999999997</v>
      </c>
      <c r="K25" s="101">
        <f t="shared" si="0"/>
        <v>2738.8399999999997</v>
      </c>
      <c r="L25" s="587" t="s">
        <v>3186</v>
      </c>
      <c r="M25" s="100"/>
    </row>
    <row r="26" spans="1:13" x14ac:dyDescent="0.25">
      <c r="A26" s="102">
        <v>16</v>
      </c>
      <c r="B26" s="102">
        <v>87628</v>
      </c>
      <c r="C26" s="103">
        <v>42016</v>
      </c>
      <c r="D26" s="104" t="s">
        <v>467</v>
      </c>
      <c r="E26" s="102" t="s">
        <v>396</v>
      </c>
      <c r="F26" s="104" t="s">
        <v>188</v>
      </c>
      <c r="G26" s="105"/>
      <c r="H26" s="99" t="s">
        <v>442</v>
      </c>
      <c r="I26" s="106">
        <v>1</v>
      </c>
      <c r="J26" s="87">
        <f>IF(F26="","",VLOOKUP(F26,ARANCEL!$E$2:$F$123,2,FALSE))</f>
        <v>42600.6</v>
      </c>
      <c r="K26" s="101">
        <f t="shared" si="0"/>
        <v>42600.6</v>
      </c>
      <c r="L26" s="587" t="s">
        <v>3186</v>
      </c>
      <c r="M26" s="100"/>
    </row>
    <row r="27" spans="1:13" x14ac:dyDescent="0.25">
      <c r="A27" s="102">
        <v>17</v>
      </c>
      <c r="B27" s="102">
        <v>87553</v>
      </c>
      <c r="C27" s="103">
        <v>42017</v>
      </c>
      <c r="D27" s="104" t="s">
        <v>3080</v>
      </c>
      <c r="E27" s="102" t="s">
        <v>456</v>
      </c>
      <c r="F27" s="104" t="s">
        <v>537</v>
      </c>
      <c r="G27" s="105"/>
      <c r="H27" s="99" t="s">
        <v>442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587" t="s">
        <v>3186</v>
      </c>
      <c r="M27" s="100"/>
    </row>
    <row r="28" spans="1:13" x14ac:dyDescent="0.25">
      <c r="A28" s="102">
        <v>18</v>
      </c>
      <c r="B28" s="102">
        <v>87482</v>
      </c>
      <c r="C28" s="103">
        <v>42017</v>
      </c>
      <c r="D28" s="104" t="s">
        <v>1188</v>
      </c>
      <c r="E28" s="102" t="s">
        <v>456</v>
      </c>
      <c r="F28" s="104" t="s">
        <v>537</v>
      </c>
      <c r="G28" s="105"/>
      <c r="H28" s="99" t="s">
        <v>415</v>
      </c>
      <c r="I28" s="106">
        <v>1</v>
      </c>
      <c r="J28" s="87">
        <f>IF(F28="","",VLOOKUP(F28,ARANCEL!$E$2:$F$123,2,FALSE))</f>
        <v>30428.999999999996</v>
      </c>
      <c r="K28" s="101">
        <f t="shared" si="0"/>
        <v>30428.999999999996</v>
      </c>
      <c r="L28" s="587" t="s">
        <v>3186</v>
      </c>
      <c r="M28" s="100"/>
    </row>
    <row r="29" spans="1:13" x14ac:dyDescent="0.25">
      <c r="A29" s="102">
        <v>19</v>
      </c>
      <c r="B29" s="102">
        <v>87634</v>
      </c>
      <c r="C29" s="103">
        <v>42017</v>
      </c>
      <c r="D29" s="104" t="s">
        <v>3081</v>
      </c>
      <c r="E29" s="102" t="s">
        <v>456</v>
      </c>
      <c r="F29" s="104" t="s">
        <v>116</v>
      </c>
      <c r="G29" s="105"/>
      <c r="H29" s="99" t="s">
        <v>445</v>
      </c>
      <c r="I29" s="106">
        <v>1</v>
      </c>
      <c r="J29" s="87">
        <f>IF(F29="","",VLOOKUP(F29,ARANCEL!$E$2:$F$123,2,FALSE))</f>
        <v>5274.3600000000006</v>
      </c>
      <c r="K29" s="101">
        <f t="shared" si="0"/>
        <v>5274.3600000000006</v>
      </c>
      <c r="L29" s="587" t="s">
        <v>3186</v>
      </c>
      <c r="M29" s="100"/>
    </row>
    <row r="30" spans="1:13" x14ac:dyDescent="0.25">
      <c r="A30" s="102">
        <v>20</v>
      </c>
      <c r="B30" s="102">
        <v>87728</v>
      </c>
      <c r="C30" s="103">
        <v>42017</v>
      </c>
      <c r="D30" s="104" t="s">
        <v>3082</v>
      </c>
      <c r="E30" s="102" t="s">
        <v>456</v>
      </c>
      <c r="F30" s="104" t="s">
        <v>537</v>
      </c>
      <c r="G30" s="105"/>
      <c r="H30" s="99" t="s">
        <v>417</v>
      </c>
      <c r="I30" s="106">
        <v>1</v>
      </c>
      <c r="J30" s="87">
        <f>IF(F30="","",VLOOKUP(F30,ARANCEL!$E$2:$F$123,2,FALSE))</f>
        <v>30428.999999999996</v>
      </c>
      <c r="K30" s="101">
        <f t="shared" si="0"/>
        <v>30428.999999999996</v>
      </c>
      <c r="L30" s="587" t="s">
        <v>3186</v>
      </c>
      <c r="M30" s="100"/>
    </row>
    <row r="31" spans="1:13" x14ac:dyDescent="0.25">
      <c r="A31" s="102">
        <v>21</v>
      </c>
      <c r="B31" s="102">
        <v>88019</v>
      </c>
      <c r="C31" s="103">
        <v>42017</v>
      </c>
      <c r="D31" s="104" t="s">
        <v>3083</v>
      </c>
      <c r="E31" s="102" t="s">
        <v>396</v>
      </c>
      <c r="F31" s="104" t="s">
        <v>116</v>
      </c>
      <c r="G31" s="105"/>
      <c r="H31" s="99" t="s">
        <v>527</v>
      </c>
      <c r="I31" s="106">
        <v>1</v>
      </c>
      <c r="J31" s="87">
        <f>IF(F31="","",VLOOKUP(F31,ARANCEL!$E$2:$F$123,2,FALSE))</f>
        <v>5274.3600000000006</v>
      </c>
      <c r="K31" s="101">
        <f t="shared" si="0"/>
        <v>5274.3600000000006</v>
      </c>
      <c r="L31" s="587" t="s">
        <v>3186</v>
      </c>
      <c r="M31" s="100"/>
    </row>
    <row r="32" spans="1:13" x14ac:dyDescent="0.25">
      <c r="A32" s="102">
        <v>22</v>
      </c>
      <c r="B32" s="102">
        <v>88019</v>
      </c>
      <c r="C32" s="103">
        <v>42017</v>
      </c>
      <c r="D32" s="104" t="s">
        <v>3083</v>
      </c>
      <c r="E32" s="102" t="s">
        <v>396</v>
      </c>
      <c r="F32" s="104" t="s">
        <v>210</v>
      </c>
      <c r="G32" s="105"/>
      <c r="H32" s="99" t="s">
        <v>527</v>
      </c>
      <c r="I32" s="106">
        <v>1</v>
      </c>
      <c r="J32" s="87">
        <f>IF(F32="","",VLOOKUP(F32,ARANCEL!$E$2:$F$123,2,FALSE))</f>
        <v>14098.999999999998</v>
      </c>
      <c r="K32" s="101">
        <f t="shared" si="0"/>
        <v>14098.999999999998</v>
      </c>
      <c r="L32" s="587" t="s">
        <v>3186</v>
      </c>
      <c r="M32" s="100"/>
    </row>
    <row r="33" spans="1:13" x14ac:dyDescent="0.25">
      <c r="A33" s="102">
        <v>23</v>
      </c>
      <c r="B33" s="102">
        <v>87899</v>
      </c>
      <c r="C33" s="103">
        <v>42017</v>
      </c>
      <c r="D33" s="104" t="s">
        <v>3084</v>
      </c>
      <c r="E33" s="102" t="s">
        <v>456</v>
      </c>
      <c r="F33" s="104" t="s">
        <v>357</v>
      </c>
      <c r="G33" s="105"/>
      <c r="H33" s="99" t="s">
        <v>371</v>
      </c>
      <c r="I33" s="106">
        <v>1</v>
      </c>
      <c r="J33" s="87">
        <f>IF(F33="","",VLOOKUP(F33,ARANCEL!$E$2:$F$123,2,FALSE))</f>
        <v>25800.249999999996</v>
      </c>
      <c r="K33" s="101">
        <f t="shared" si="0"/>
        <v>25800.249999999996</v>
      </c>
      <c r="L33" s="587" t="s">
        <v>3186</v>
      </c>
      <c r="M33" s="100"/>
    </row>
    <row r="34" spans="1:13" x14ac:dyDescent="0.25">
      <c r="A34" s="102">
        <v>24</v>
      </c>
      <c r="B34" s="102">
        <v>88172</v>
      </c>
      <c r="C34" s="103">
        <v>42018</v>
      </c>
      <c r="D34" s="104" t="s">
        <v>3085</v>
      </c>
      <c r="E34" s="102" t="s">
        <v>396</v>
      </c>
      <c r="F34" s="104" t="s">
        <v>537</v>
      </c>
      <c r="G34" s="105"/>
      <c r="H34" s="99" t="s">
        <v>472</v>
      </c>
      <c r="I34" s="106">
        <v>1</v>
      </c>
      <c r="J34" s="87">
        <f>IF(F34="","",VLOOKUP(F34,ARANCEL!$E$2:$F$123,2,FALSE))</f>
        <v>30428.999999999996</v>
      </c>
      <c r="K34" s="101">
        <f t="shared" si="0"/>
        <v>30428.999999999996</v>
      </c>
      <c r="L34" s="587" t="s">
        <v>3186</v>
      </c>
      <c r="M34" s="100"/>
    </row>
    <row r="35" spans="1:13" x14ac:dyDescent="0.25">
      <c r="A35" s="102">
        <v>25</v>
      </c>
      <c r="B35" s="102">
        <v>88323</v>
      </c>
      <c r="C35" s="103">
        <v>42020</v>
      </c>
      <c r="D35" s="104" t="s">
        <v>3086</v>
      </c>
      <c r="E35" s="102" t="s">
        <v>456</v>
      </c>
      <c r="F35" s="104" t="s">
        <v>115</v>
      </c>
      <c r="G35" s="105"/>
      <c r="H35" s="99" t="s">
        <v>392</v>
      </c>
      <c r="I35" s="106">
        <v>1</v>
      </c>
      <c r="J35" s="87">
        <f>IF(F35="","",VLOOKUP(F35,ARANCEL!$E$2:$F$123,2,FALSE))</f>
        <v>33370.239999999998</v>
      </c>
      <c r="K35" s="101">
        <f t="shared" si="0"/>
        <v>33370.239999999998</v>
      </c>
      <c r="L35" s="587" t="s">
        <v>3186</v>
      </c>
      <c r="M35" s="100"/>
    </row>
    <row r="36" spans="1:13" x14ac:dyDescent="0.25">
      <c r="A36" s="102">
        <v>26</v>
      </c>
      <c r="B36" s="102">
        <v>88508</v>
      </c>
      <c r="C36" s="103">
        <v>42018</v>
      </c>
      <c r="D36" s="104" t="s">
        <v>466</v>
      </c>
      <c r="E36" s="102" t="s">
        <v>456</v>
      </c>
      <c r="F36" s="104" t="s">
        <v>355</v>
      </c>
      <c r="G36" s="105"/>
      <c r="H36" s="99" t="s">
        <v>371</v>
      </c>
      <c r="I36" s="106">
        <v>1</v>
      </c>
      <c r="J36" s="87">
        <f>IF(F36="","",VLOOKUP(F36,ARANCEL!$E$2:$F$123,2,FALSE))</f>
        <v>55057.687499999993</v>
      </c>
      <c r="K36" s="101">
        <f t="shared" si="0"/>
        <v>55057.687499999993</v>
      </c>
      <c r="L36" s="587" t="s">
        <v>3186</v>
      </c>
      <c r="M36" s="100"/>
    </row>
    <row r="37" spans="1:13" x14ac:dyDescent="0.25">
      <c r="A37" s="102">
        <v>27</v>
      </c>
      <c r="B37" s="102">
        <v>89055</v>
      </c>
      <c r="C37" s="103">
        <v>42020</v>
      </c>
      <c r="D37" s="104" t="s">
        <v>3088</v>
      </c>
      <c r="E37" s="102" t="s">
        <v>456</v>
      </c>
      <c r="F37" s="104" t="s">
        <v>217</v>
      </c>
      <c r="G37" s="105"/>
      <c r="H37" s="99" t="s">
        <v>371</v>
      </c>
      <c r="I37" s="106">
        <v>1</v>
      </c>
      <c r="J37" s="87">
        <f>IF(F37="","",VLOOKUP(F37,ARANCEL!$E$2:$F$123,2,FALSE))</f>
        <v>44597.287499999999</v>
      </c>
      <c r="K37" s="101">
        <f t="shared" si="0"/>
        <v>44597.287499999999</v>
      </c>
      <c r="L37" s="587" t="s">
        <v>3186</v>
      </c>
      <c r="M37" s="100"/>
    </row>
    <row r="38" spans="1:13" x14ac:dyDescent="0.25">
      <c r="A38" s="102">
        <v>28</v>
      </c>
      <c r="B38" s="102">
        <v>89307</v>
      </c>
      <c r="C38" s="103">
        <v>42020</v>
      </c>
      <c r="D38" s="104" t="s">
        <v>3089</v>
      </c>
      <c r="E38" s="102" t="s">
        <v>456</v>
      </c>
      <c r="F38" s="104" t="s">
        <v>232</v>
      </c>
      <c r="G38" s="105"/>
      <c r="H38" s="99" t="s">
        <v>371</v>
      </c>
      <c r="I38" s="106">
        <v>1</v>
      </c>
      <c r="J38" s="87">
        <f>IF(F38="","",VLOOKUP(F38,ARANCEL!$E$2:$F$123,2,FALSE))</f>
        <v>17243.560000000001</v>
      </c>
      <c r="K38" s="101">
        <f t="shared" si="0"/>
        <v>17243.560000000001</v>
      </c>
      <c r="L38" s="587" t="s">
        <v>3186</v>
      </c>
      <c r="M38" s="100"/>
    </row>
    <row r="39" spans="1:13" x14ac:dyDescent="0.25">
      <c r="A39" s="102">
        <v>29</v>
      </c>
      <c r="B39" s="102">
        <v>89821</v>
      </c>
      <c r="C39" s="103">
        <v>42024</v>
      </c>
      <c r="D39" s="104" t="s">
        <v>3163</v>
      </c>
      <c r="E39" s="102" t="s">
        <v>456</v>
      </c>
      <c r="F39" s="104" t="s">
        <v>116</v>
      </c>
      <c r="G39" s="105"/>
      <c r="H39" s="99" t="s">
        <v>419</v>
      </c>
      <c r="I39" s="106">
        <v>1</v>
      </c>
      <c r="J39" s="87">
        <f>IF(F39="","",VLOOKUP(F39,ARANCEL!$E$2:$F$123,2,FALSE))</f>
        <v>5274.3600000000006</v>
      </c>
      <c r="K39" s="101">
        <f t="shared" si="0"/>
        <v>5274.3600000000006</v>
      </c>
      <c r="L39" s="587" t="s">
        <v>3186</v>
      </c>
      <c r="M39" s="100"/>
    </row>
    <row r="40" spans="1:13" x14ac:dyDescent="0.25">
      <c r="A40" s="102">
        <v>30</v>
      </c>
      <c r="B40" s="102">
        <v>89821</v>
      </c>
      <c r="C40" s="103">
        <v>42024</v>
      </c>
      <c r="D40" s="104" t="s">
        <v>3163</v>
      </c>
      <c r="E40" s="102" t="s">
        <v>456</v>
      </c>
      <c r="F40" s="104" t="s">
        <v>537</v>
      </c>
      <c r="G40" s="105"/>
      <c r="H40" s="99" t="s">
        <v>419</v>
      </c>
      <c r="I40" s="106">
        <v>1</v>
      </c>
      <c r="J40" s="87">
        <f>IF(F40="","",VLOOKUP(F40,ARANCEL!$E$2:$F$123,2,FALSE))</f>
        <v>30428.999999999996</v>
      </c>
      <c r="K40" s="101">
        <f t="shared" si="0"/>
        <v>30428.999999999996</v>
      </c>
      <c r="L40" s="587" t="s">
        <v>3186</v>
      </c>
      <c r="M40" s="100"/>
    </row>
    <row r="41" spans="1:13" x14ac:dyDescent="0.25">
      <c r="A41" s="102">
        <v>31</v>
      </c>
      <c r="B41" s="102">
        <v>90113</v>
      </c>
      <c r="C41" s="103">
        <v>42024</v>
      </c>
      <c r="D41" s="104" t="s">
        <v>3074</v>
      </c>
      <c r="E41" s="102" t="s">
        <v>456</v>
      </c>
      <c r="F41" s="104" t="s">
        <v>192</v>
      </c>
      <c r="G41" s="105"/>
      <c r="H41" s="99" t="s">
        <v>1004</v>
      </c>
      <c r="I41" s="106">
        <v>4</v>
      </c>
      <c r="J41" s="87">
        <f>IF(F41="","",VLOOKUP(F41,ARANCEL!$E$2:$F$123,2,FALSE))</f>
        <v>57959.999999999993</v>
      </c>
      <c r="K41" s="101">
        <f t="shared" si="0"/>
        <v>231839.99999999997</v>
      </c>
      <c r="L41" s="587" t="s">
        <v>3186</v>
      </c>
      <c r="M41" s="100"/>
    </row>
    <row r="42" spans="1:13" x14ac:dyDescent="0.25">
      <c r="A42" s="102">
        <v>32</v>
      </c>
      <c r="B42" s="102">
        <v>90294</v>
      </c>
      <c r="C42" s="103">
        <v>42024</v>
      </c>
      <c r="D42" s="104" t="s">
        <v>469</v>
      </c>
      <c r="E42" s="102" t="s">
        <v>456</v>
      </c>
      <c r="F42" s="104" t="s">
        <v>355</v>
      </c>
      <c r="G42" s="105"/>
      <c r="H42" s="99" t="s">
        <v>371</v>
      </c>
      <c r="I42" s="106">
        <v>1</v>
      </c>
      <c r="J42" s="87">
        <f>IF(F42="","",VLOOKUP(F42,ARANCEL!$E$2:$F$123,2,FALSE))</f>
        <v>55057.687499999993</v>
      </c>
      <c r="K42" s="101">
        <f t="shared" si="0"/>
        <v>55057.687499999993</v>
      </c>
      <c r="L42" s="587" t="s">
        <v>3186</v>
      </c>
      <c r="M42" s="100"/>
    </row>
    <row r="43" spans="1:13" x14ac:dyDescent="0.25">
      <c r="A43" s="102">
        <v>33</v>
      </c>
      <c r="B43" s="102">
        <v>90267</v>
      </c>
      <c r="C43" s="103">
        <v>42024</v>
      </c>
      <c r="D43" s="104" t="s">
        <v>3166</v>
      </c>
      <c r="E43" s="102" t="s">
        <v>456</v>
      </c>
      <c r="F43" s="104" t="s">
        <v>217</v>
      </c>
      <c r="G43" s="105"/>
      <c r="H43" s="99" t="s">
        <v>371</v>
      </c>
      <c r="I43" s="106">
        <v>1</v>
      </c>
      <c r="J43" s="87">
        <f>IF(F43="","",VLOOKUP(F43,ARANCEL!$E$2:$F$123,2,FALSE))</f>
        <v>44597.287499999999</v>
      </c>
      <c r="K43" s="101">
        <f t="shared" si="0"/>
        <v>44597.287499999999</v>
      </c>
      <c r="L43" s="587" t="s">
        <v>3186</v>
      </c>
      <c r="M43" s="100"/>
    </row>
    <row r="44" spans="1:13" x14ac:dyDescent="0.25">
      <c r="A44" s="91">
        <v>34</v>
      </c>
      <c r="B44" s="102">
        <v>90521</v>
      </c>
      <c r="C44" s="103">
        <v>42025</v>
      </c>
      <c r="D44" s="104" t="s">
        <v>3073</v>
      </c>
      <c r="E44" s="102" t="s">
        <v>396</v>
      </c>
      <c r="F44" s="104" t="s">
        <v>210</v>
      </c>
      <c r="G44" s="105"/>
      <c r="H44" s="99" t="s">
        <v>445</v>
      </c>
      <c r="I44" s="106">
        <v>1</v>
      </c>
      <c r="J44" s="87">
        <f>IF(F44="","",VLOOKUP(F44,ARANCEL!$E$2:$F$123,2,FALSE))</f>
        <v>14098.999999999998</v>
      </c>
      <c r="K44" s="101">
        <f t="shared" ref="K44:K46" si="2">IF(I44=0,"",J44*I44)</f>
        <v>14098.999999999998</v>
      </c>
      <c r="L44" s="587" t="s">
        <v>3186</v>
      </c>
      <c r="M44" s="100"/>
    </row>
    <row r="45" spans="1:13" x14ac:dyDescent="0.25">
      <c r="A45" s="102">
        <v>33</v>
      </c>
      <c r="B45" s="102">
        <v>90578</v>
      </c>
      <c r="C45" s="103">
        <v>42025</v>
      </c>
      <c r="D45" s="104" t="s">
        <v>3168</v>
      </c>
      <c r="E45" s="102" t="s">
        <v>396</v>
      </c>
      <c r="F45" s="104" t="s">
        <v>355</v>
      </c>
      <c r="G45" s="105"/>
      <c r="H45" s="99" t="s">
        <v>371</v>
      </c>
      <c r="I45" s="106">
        <v>1</v>
      </c>
      <c r="J45" s="87">
        <f>IF(F45="","",VLOOKUP(F45,ARANCEL!$E$2:$F$123,2,FALSE))</f>
        <v>55057.687499999993</v>
      </c>
      <c r="K45" s="101">
        <f t="shared" si="2"/>
        <v>55057.687499999993</v>
      </c>
      <c r="L45" s="587" t="s">
        <v>3186</v>
      </c>
      <c r="M45" s="100"/>
    </row>
    <row r="46" spans="1:13" x14ac:dyDescent="0.25">
      <c r="A46" s="91">
        <v>34</v>
      </c>
      <c r="B46" s="102">
        <v>90545</v>
      </c>
      <c r="C46" s="103">
        <v>42025</v>
      </c>
      <c r="D46" s="104" t="s">
        <v>3169</v>
      </c>
      <c r="E46" s="102" t="s">
        <v>396</v>
      </c>
      <c r="F46" s="104" t="s">
        <v>192</v>
      </c>
      <c r="G46" s="105"/>
      <c r="H46" s="99" t="s">
        <v>400</v>
      </c>
      <c r="I46" s="106">
        <v>2</v>
      </c>
      <c r="J46" s="87">
        <f>IF(F46="","",VLOOKUP(F46,ARANCEL!$E$2:$F$123,2,FALSE))</f>
        <v>57959.999999999993</v>
      </c>
      <c r="K46" s="101">
        <f t="shared" si="2"/>
        <v>115919.99999999999</v>
      </c>
      <c r="L46" s="587" t="s">
        <v>3186</v>
      </c>
      <c r="M46" s="100"/>
    </row>
    <row r="47" spans="1:13" x14ac:dyDescent="0.25">
      <c r="A47" s="102">
        <v>33</v>
      </c>
      <c r="B47" s="102"/>
      <c r="C47" s="103"/>
      <c r="D47" s="104"/>
      <c r="E47" s="102"/>
      <c r="F47" s="104"/>
      <c r="G47" s="105"/>
      <c r="H47" s="99"/>
      <c r="I47" s="106"/>
      <c r="J47" s="87" t="str">
        <f>IF(F47="","",VLOOKUP(F47,ARANCEL!$E$2:$F$123,2,FALSE))</f>
        <v/>
      </c>
      <c r="K47" s="101" t="str">
        <f t="shared" ref="K47:K48" si="3">IF(I47=0,"",J47*I47)</f>
        <v/>
      </c>
      <c r="L47" s="99"/>
      <c r="M47" s="100"/>
    </row>
    <row r="48" spans="1:13" x14ac:dyDescent="0.25">
      <c r="A48" s="91">
        <v>34</v>
      </c>
      <c r="B48" s="102"/>
      <c r="C48" s="103"/>
      <c r="D48" s="104"/>
      <c r="E48" s="102"/>
      <c r="F48" s="104"/>
      <c r="G48" s="105"/>
      <c r="H48" s="99"/>
      <c r="I48" s="106"/>
      <c r="J48" s="87" t="str">
        <f>IF(F48="","",VLOOKUP(F48,ARANCEL!$E$2:$F$123,2,FALSE))</f>
        <v/>
      </c>
      <c r="K48" s="101" t="str">
        <f t="shared" si="3"/>
        <v/>
      </c>
      <c r="L48" s="99"/>
      <c r="M48" s="100"/>
    </row>
    <row r="51" spans="1:13" ht="20.25" customHeight="1" x14ac:dyDescent="0.25">
      <c r="A51" s="593" t="s">
        <v>366</v>
      </c>
      <c r="B51" s="593"/>
      <c r="C51" s="593"/>
      <c r="D51" s="593"/>
      <c r="E51" s="593"/>
      <c r="F51" s="593"/>
      <c r="G51" s="593"/>
      <c r="H51" s="593"/>
      <c r="I51" s="593"/>
      <c r="J51" s="593"/>
      <c r="K51" s="593"/>
    </row>
    <row r="52" spans="1:13" ht="24" x14ac:dyDescent="0.25">
      <c r="A52" s="89" t="s">
        <v>96</v>
      </c>
      <c r="B52" s="89" t="s">
        <v>97</v>
      </c>
      <c r="C52" s="90" t="s">
        <v>101</v>
      </c>
      <c r="D52" s="89" t="s">
        <v>98</v>
      </c>
      <c r="E52" s="89" t="s">
        <v>99</v>
      </c>
      <c r="F52" s="89" t="s">
        <v>100</v>
      </c>
      <c r="G52" s="89" t="s">
        <v>103</v>
      </c>
      <c r="H52" s="89" t="s">
        <v>102</v>
      </c>
      <c r="I52" s="89" t="s">
        <v>108</v>
      </c>
      <c r="J52" s="90" t="s">
        <v>104</v>
      </c>
      <c r="K52" s="90" t="s">
        <v>105</v>
      </c>
      <c r="L52" s="90" t="s">
        <v>168</v>
      </c>
      <c r="M52" s="90" t="s">
        <v>106</v>
      </c>
    </row>
    <row r="53" spans="1:13" x14ac:dyDescent="0.25">
      <c r="A53" s="114">
        <v>1</v>
      </c>
      <c r="B53" s="115">
        <v>40442</v>
      </c>
      <c r="C53" s="110">
        <v>41852</v>
      </c>
      <c r="D53" s="116" t="s">
        <v>439</v>
      </c>
      <c r="E53" s="115" t="s">
        <v>396</v>
      </c>
      <c r="F53" s="116" t="s">
        <v>422</v>
      </c>
      <c r="G53" s="111"/>
      <c r="H53" s="111" t="s">
        <v>371</v>
      </c>
      <c r="I53" s="113">
        <v>1</v>
      </c>
      <c r="J53" s="117"/>
      <c r="K53" s="118"/>
      <c r="L53" s="114"/>
      <c r="M53" s="14"/>
    </row>
    <row r="54" spans="1:13" x14ac:dyDescent="0.25">
      <c r="A54" s="114">
        <v>2</v>
      </c>
      <c r="B54" s="115" t="s">
        <v>440</v>
      </c>
      <c r="C54" s="110">
        <v>41911</v>
      </c>
      <c r="D54" s="116" t="s">
        <v>441</v>
      </c>
      <c r="E54" s="115" t="s">
        <v>396</v>
      </c>
      <c r="F54" s="116" t="s">
        <v>382</v>
      </c>
      <c r="G54" s="111"/>
      <c r="H54" s="111" t="s">
        <v>442</v>
      </c>
      <c r="I54" s="113">
        <v>1</v>
      </c>
      <c r="J54" s="117"/>
      <c r="K54" s="118"/>
      <c r="L54" s="114"/>
      <c r="M54" s="14"/>
    </row>
    <row r="55" spans="1:13" x14ac:dyDescent="0.25">
      <c r="A55" s="114">
        <v>3</v>
      </c>
      <c r="B55" s="115">
        <v>53634</v>
      </c>
      <c r="C55" s="110">
        <v>41898</v>
      </c>
      <c r="D55" s="116" t="s">
        <v>443</v>
      </c>
      <c r="E55" s="115" t="s">
        <v>396</v>
      </c>
      <c r="F55" s="116" t="s">
        <v>422</v>
      </c>
      <c r="G55" s="111"/>
      <c r="H55" s="111" t="s">
        <v>387</v>
      </c>
      <c r="I55" s="113">
        <v>2</v>
      </c>
      <c r="J55" s="117"/>
      <c r="K55" s="118"/>
      <c r="L55" s="114"/>
      <c r="M55" s="14"/>
    </row>
    <row r="56" spans="1:13" x14ac:dyDescent="0.25">
      <c r="A56" s="114">
        <v>4</v>
      </c>
      <c r="B56" s="115">
        <v>56609</v>
      </c>
      <c r="C56" s="110">
        <v>41913</v>
      </c>
      <c r="D56" s="116" t="s">
        <v>444</v>
      </c>
      <c r="E56" s="115" t="s">
        <v>396</v>
      </c>
      <c r="F56" s="116" t="s">
        <v>399</v>
      </c>
      <c r="G56" s="111"/>
      <c r="H56" s="111" t="s">
        <v>445</v>
      </c>
      <c r="I56" s="113">
        <v>1</v>
      </c>
      <c r="J56" s="117"/>
      <c r="K56" s="118"/>
      <c r="L56" s="114"/>
      <c r="M56" s="14"/>
    </row>
    <row r="57" spans="1:13" x14ac:dyDescent="0.25">
      <c r="A57" s="114">
        <v>5</v>
      </c>
      <c r="B57" s="115">
        <v>54572</v>
      </c>
      <c r="C57" s="110">
        <v>41927</v>
      </c>
      <c r="D57" s="116" t="s">
        <v>446</v>
      </c>
      <c r="E57" s="115" t="s">
        <v>396</v>
      </c>
      <c r="F57" s="116" t="s">
        <v>399</v>
      </c>
      <c r="G57" s="111"/>
      <c r="H57" s="111" t="s">
        <v>417</v>
      </c>
      <c r="I57" s="113">
        <v>1</v>
      </c>
      <c r="J57" s="117"/>
      <c r="K57" s="118"/>
      <c r="L57" s="114"/>
      <c r="M57" s="14"/>
    </row>
    <row r="58" spans="1:13" x14ac:dyDescent="0.25">
      <c r="A58" s="114">
        <v>6</v>
      </c>
      <c r="B58" s="115">
        <v>56018</v>
      </c>
      <c r="C58" s="110">
        <v>41932</v>
      </c>
      <c r="D58" s="116" t="s">
        <v>447</v>
      </c>
      <c r="E58" s="115" t="s">
        <v>396</v>
      </c>
      <c r="F58" s="116" t="s">
        <v>448</v>
      </c>
      <c r="G58" s="111"/>
      <c r="H58" s="111" t="s">
        <v>387</v>
      </c>
      <c r="I58" s="113">
        <v>2</v>
      </c>
      <c r="J58" s="117"/>
      <c r="K58" s="118"/>
      <c r="L58" s="114"/>
      <c r="M58" s="14"/>
    </row>
    <row r="59" spans="1:13" x14ac:dyDescent="0.25">
      <c r="A59" s="114">
        <v>7</v>
      </c>
      <c r="B59" s="115" t="s">
        <v>449</v>
      </c>
      <c r="C59" s="110">
        <v>41941</v>
      </c>
      <c r="D59" s="116" t="s">
        <v>450</v>
      </c>
      <c r="E59" s="115" t="s">
        <v>396</v>
      </c>
      <c r="F59" s="116" t="s">
        <v>451</v>
      </c>
      <c r="G59" s="111"/>
      <c r="H59" s="111" t="s">
        <v>369</v>
      </c>
      <c r="I59" s="113">
        <v>1</v>
      </c>
      <c r="J59" s="117"/>
      <c r="K59" s="118"/>
      <c r="L59" s="114"/>
      <c r="M59" s="14"/>
    </row>
    <row r="60" spans="1:13" x14ac:dyDescent="0.25">
      <c r="A60" s="114">
        <v>8</v>
      </c>
      <c r="B60" s="115">
        <v>59655</v>
      </c>
      <c r="C60" s="110">
        <v>41941</v>
      </c>
      <c r="D60" s="116" t="s">
        <v>450</v>
      </c>
      <c r="E60" s="115" t="s">
        <v>396</v>
      </c>
      <c r="F60" s="116" t="s">
        <v>377</v>
      </c>
      <c r="G60" s="111"/>
      <c r="H60" s="111" t="s">
        <v>371</v>
      </c>
      <c r="I60" s="113">
        <v>1</v>
      </c>
      <c r="J60" s="117"/>
      <c r="K60" s="118"/>
      <c r="L60" s="114"/>
      <c r="M60" s="14"/>
    </row>
    <row r="61" spans="1:13" x14ac:dyDescent="0.25">
      <c r="A61" s="114">
        <v>9</v>
      </c>
      <c r="B61" s="115">
        <v>60515</v>
      </c>
      <c r="C61" s="110">
        <v>41942</v>
      </c>
      <c r="D61" s="116" t="s">
        <v>452</v>
      </c>
      <c r="E61" s="115" t="s">
        <v>396</v>
      </c>
      <c r="F61" s="116" t="s">
        <v>399</v>
      </c>
      <c r="G61" s="111"/>
      <c r="H61" s="111" t="s">
        <v>445</v>
      </c>
      <c r="I61" s="113">
        <v>1</v>
      </c>
      <c r="J61" s="117"/>
      <c r="K61" s="118"/>
      <c r="L61" s="114"/>
      <c r="M61" s="14"/>
    </row>
    <row r="62" spans="1:13" x14ac:dyDescent="0.25">
      <c r="A62" s="114">
        <v>11</v>
      </c>
      <c r="B62" s="115">
        <v>62253</v>
      </c>
      <c r="C62" s="110">
        <v>41953</v>
      </c>
      <c r="D62" s="116" t="s">
        <v>454</v>
      </c>
      <c r="E62" s="115" t="s">
        <v>396</v>
      </c>
      <c r="F62" s="116" t="s">
        <v>386</v>
      </c>
      <c r="G62" s="111"/>
      <c r="H62" s="111" t="s">
        <v>369</v>
      </c>
      <c r="I62" s="113">
        <v>1</v>
      </c>
      <c r="J62" s="117"/>
      <c r="K62" s="118"/>
      <c r="L62" s="114"/>
      <c r="M62" s="14"/>
    </row>
    <row r="63" spans="1:13" x14ac:dyDescent="0.25">
      <c r="A63" s="114">
        <v>12</v>
      </c>
      <c r="B63" s="115">
        <v>68036</v>
      </c>
      <c r="C63" s="110">
        <v>41968</v>
      </c>
      <c r="D63" s="116" t="s">
        <v>455</v>
      </c>
      <c r="E63" s="115" t="s">
        <v>456</v>
      </c>
      <c r="F63" s="116" t="s">
        <v>422</v>
      </c>
      <c r="G63" s="111"/>
      <c r="H63" s="111" t="s">
        <v>371</v>
      </c>
      <c r="I63" s="113">
        <v>1</v>
      </c>
      <c r="J63" s="117"/>
      <c r="K63" s="118"/>
      <c r="L63" s="114"/>
      <c r="M63" s="14"/>
    </row>
    <row r="64" spans="1:13" x14ac:dyDescent="0.25">
      <c r="A64" s="114">
        <v>15</v>
      </c>
      <c r="B64" s="115">
        <v>71010</v>
      </c>
      <c r="C64" s="110">
        <v>41974</v>
      </c>
      <c r="D64" s="116" t="s">
        <v>459</v>
      </c>
      <c r="E64" s="115" t="s">
        <v>456</v>
      </c>
      <c r="F64" s="116" t="s">
        <v>377</v>
      </c>
      <c r="G64" s="111"/>
      <c r="H64" s="111" t="s">
        <v>371</v>
      </c>
      <c r="I64" s="113">
        <v>1</v>
      </c>
      <c r="J64" s="117"/>
      <c r="K64" s="118"/>
      <c r="L64" s="114"/>
      <c r="M64" s="14"/>
    </row>
    <row r="65" spans="1:13" x14ac:dyDescent="0.25">
      <c r="A65" s="114">
        <v>23</v>
      </c>
      <c r="B65" s="115" t="s">
        <v>462</v>
      </c>
      <c r="C65" s="110">
        <v>41996</v>
      </c>
      <c r="D65" s="116" t="s">
        <v>463</v>
      </c>
      <c r="E65" s="115" t="s">
        <v>456</v>
      </c>
      <c r="F65" s="116" t="s">
        <v>430</v>
      </c>
      <c r="G65" s="111"/>
      <c r="H65" s="111" t="s">
        <v>419</v>
      </c>
      <c r="I65" s="113">
        <v>1</v>
      </c>
      <c r="J65" s="117"/>
      <c r="K65" s="118"/>
      <c r="L65" s="114"/>
      <c r="M65" s="14"/>
    </row>
    <row r="66" spans="1:13" x14ac:dyDescent="0.25">
      <c r="A66" s="114">
        <v>24</v>
      </c>
      <c r="B66" s="115" t="s">
        <v>3164</v>
      </c>
      <c r="C66" s="110">
        <v>42023</v>
      </c>
      <c r="D66" s="116" t="s">
        <v>464</v>
      </c>
      <c r="E66" s="115" t="s">
        <v>396</v>
      </c>
      <c r="F66" s="116" t="s">
        <v>458</v>
      </c>
      <c r="G66" s="111"/>
      <c r="H66" s="111" t="s">
        <v>369</v>
      </c>
      <c r="I66" s="113">
        <v>1</v>
      </c>
      <c r="J66" s="117"/>
      <c r="K66" s="118"/>
      <c r="L66" s="114"/>
      <c r="M66" s="14"/>
    </row>
    <row r="67" spans="1:13" x14ac:dyDescent="0.25">
      <c r="A67" s="114">
        <v>25</v>
      </c>
      <c r="B67" s="115" t="s">
        <v>3087</v>
      </c>
      <c r="C67" s="110">
        <v>42019</v>
      </c>
      <c r="D67" s="116" t="s">
        <v>465</v>
      </c>
      <c r="E67" s="115" t="s">
        <v>396</v>
      </c>
      <c r="F67" s="116" t="s">
        <v>458</v>
      </c>
      <c r="G67" s="111"/>
      <c r="H67" s="111" t="s">
        <v>371</v>
      </c>
      <c r="I67" s="113">
        <v>1</v>
      </c>
      <c r="J67" s="117"/>
      <c r="K67" s="118"/>
      <c r="L67" s="114"/>
      <c r="M67" s="14"/>
    </row>
    <row r="68" spans="1:13" x14ac:dyDescent="0.25">
      <c r="A68" s="114"/>
      <c r="B68" s="115">
        <v>87606</v>
      </c>
      <c r="C68" s="110">
        <v>42016</v>
      </c>
      <c r="D68" s="116" t="s">
        <v>1107</v>
      </c>
      <c r="E68" s="115" t="s">
        <v>396</v>
      </c>
      <c r="F68" s="116" t="s">
        <v>386</v>
      </c>
      <c r="G68" s="111"/>
      <c r="H68" s="109" t="s">
        <v>369</v>
      </c>
      <c r="I68" s="113">
        <v>1</v>
      </c>
      <c r="J68" s="117"/>
      <c r="K68" s="117"/>
      <c r="L68" s="114"/>
      <c r="M68" s="14" t="s">
        <v>3078</v>
      </c>
    </row>
    <row r="69" spans="1:13" x14ac:dyDescent="0.25">
      <c r="A69" s="114"/>
      <c r="B69" s="115">
        <v>87523</v>
      </c>
      <c r="C69" s="110">
        <v>42016</v>
      </c>
      <c r="D69" s="116" t="s">
        <v>1211</v>
      </c>
      <c r="E69" s="115" t="s">
        <v>396</v>
      </c>
      <c r="F69" s="116" t="s">
        <v>409</v>
      </c>
      <c r="G69" s="111"/>
      <c r="H69" s="112" t="s">
        <v>400</v>
      </c>
      <c r="I69" s="113">
        <v>2</v>
      </c>
      <c r="J69" s="117"/>
      <c r="K69" s="117"/>
      <c r="L69" s="114"/>
      <c r="M69" s="14"/>
    </row>
    <row r="70" spans="1:13" x14ac:dyDescent="0.25">
      <c r="A70" s="114"/>
      <c r="B70" s="115">
        <v>89159</v>
      </c>
      <c r="C70" s="110">
        <v>42022</v>
      </c>
      <c r="D70" s="116" t="s">
        <v>3081</v>
      </c>
      <c r="E70" s="115" t="s">
        <v>456</v>
      </c>
      <c r="F70" s="116" t="s">
        <v>399</v>
      </c>
      <c r="G70" s="111"/>
      <c r="H70" s="112" t="s">
        <v>445</v>
      </c>
      <c r="I70" s="113">
        <v>1</v>
      </c>
      <c r="J70" s="117"/>
      <c r="K70" s="117"/>
      <c r="L70" s="114"/>
      <c r="M70" s="14"/>
    </row>
    <row r="71" spans="1:13" x14ac:dyDescent="0.25">
      <c r="A71" s="114"/>
      <c r="B71" s="115">
        <v>89432</v>
      </c>
      <c r="C71" s="110">
        <v>42018</v>
      </c>
      <c r="D71" s="116" t="s">
        <v>1088</v>
      </c>
      <c r="E71" s="115" t="s">
        <v>396</v>
      </c>
      <c r="F71" s="116" t="s">
        <v>386</v>
      </c>
      <c r="G71" s="111"/>
      <c r="H71" s="112" t="s">
        <v>387</v>
      </c>
      <c r="I71" s="113">
        <v>2</v>
      </c>
      <c r="J71" s="117"/>
      <c r="K71" s="117"/>
      <c r="L71" s="114"/>
      <c r="M71" s="14" t="s">
        <v>3090</v>
      </c>
    </row>
    <row r="72" spans="1:13" x14ac:dyDescent="0.25">
      <c r="A72" s="114"/>
      <c r="B72" s="115">
        <v>89968</v>
      </c>
      <c r="C72" s="110">
        <v>42024</v>
      </c>
      <c r="D72" s="116" t="s">
        <v>3165</v>
      </c>
      <c r="E72" s="115" t="s">
        <v>456</v>
      </c>
      <c r="F72" s="116" t="s">
        <v>399</v>
      </c>
      <c r="G72" s="111"/>
      <c r="H72" s="112" t="s">
        <v>594</v>
      </c>
      <c r="I72" s="113">
        <v>1</v>
      </c>
      <c r="J72" s="117"/>
      <c r="K72" s="117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112"/>
      <c r="I73" s="113"/>
      <c r="J73" s="117"/>
      <c r="K73" s="117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112"/>
      <c r="I74" s="113"/>
      <c r="J74" s="117"/>
      <c r="K74" s="117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112"/>
      <c r="I75" s="113"/>
      <c r="J75" s="117"/>
      <c r="K75" s="117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112"/>
      <c r="I76" s="113"/>
      <c r="J76" s="117"/>
      <c r="K76" s="117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112"/>
      <c r="I77" s="113"/>
      <c r="J77" s="117"/>
      <c r="K77" s="117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112"/>
      <c r="I78" s="113"/>
      <c r="J78" s="117"/>
      <c r="K78" s="117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112"/>
      <c r="I79" s="113"/>
      <c r="J79" s="117"/>
      <c r="K79" s="117"/>
      <c r="L79" s="114"/>
      <c r="M79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51:K5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M61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6.140625" hidden="1" customWidth="1"/>
    <col min="9" max="9" width="8.42578125" style="121" customWidth="1"/>
    <col min="12" max="12" width="12.140625" customWidth="1"/>
    <col min="13" max="13" width="39.28515625" customWidth="1"/>
  </cols>
  <sheetData>
    <row r="1" spans="1:13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13" ht="27" x14ac:dyDescent="0.5">
      <c r="A2" s="595" t="s">
        <v>36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13" ht="12.75" customHeight="1" outlineLevel="1" x14ac:dyDescent="0.25">
      <c r="A3" s="591" t="s">
        <v>158</v>
      </c>
      <c r="B3" s="591"/>
      <c r="C3" s="95" t="str">
        <f>IFERROR(VLOOKUP($A$2,DATOS!$A$2:$N$14,2,FALSE),"SUCURSAL NO ENCONTRADA")</f>
        <v>SOC. ODONTOLÓGICA UNO SALUD MONEDA LTDA.</v>
      </c>
      <c r="H3" s="10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91" t="s">
        <v>159</v>
      </c>
      <c r="B4" s="591"/>
      <c r="C4" s="95" t="str">
        <f>IFERROR(VLOOKUP($A$2,DATOS!$A$2:$N$14,3,FALSE),"SUCURSAL NO ENCONTRADA")</f>
        <v>76.144.936-2</v>
      </c>
      <c r="H4" s="10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91" t="s">
        <v>160</v>
      </c>
      <c r="B5" s="591"/>
      <c r="C5" s="95" t="str">
        <f>IFERROR(VLOOKUP($A$2,DATOS!$A$2:$N$14,4,FALSE),"SUCURSAL NO ENCONTRADA")</f>
        <v>MONEDA 953</v>
      </c>
      <c r="H5" s="10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91" t="s">
        <v>161</v>
      </c>
      <c r="B6" s="591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DANIEL SILVA
MARJORIE NARANJO</v>
      </c>
    </row>
    <row r="7" spans="1:13" ht="12.75" customHeight="1" outlineLevel="1" x14ac:dyDescent="0.25">
      <c r="A7" s="591" t="s">
        <v>162</v>
      </c>
      <c r="B7" s="591"/>
      <c r="C7" s="95" t="str">
        <f>IFERROR(VLOOKUP($A$2,DATOS!$A$2:$N$14,6,FALSE),"SUCURSAL NO ENCONTRADA")</f>
        <v>UNO SALUD MONEDA LTDA.</v>
      </c>
      <c r="H7" s="108" t="s">
        <v>164</v>
      </c>
      <c r="I7" s="95" t="str">
        <f>IFERROR(VLOOKUP($A$2,DATOS!$A$2:$N$14,12,FALSE),"SUCURSAL NO ENCONTRADA")</f>
        <v>dsilva@unosalud.cl</v>
      </c>
    </row>
    <row r="8" spans="1:13" ht="14.25" customHeight="1" outlineLevel="1" x14ac:dyDescent="0.25">
      <c r="A8" s="592" t="s">
        <v>165</v>
      </c>
      <c r="B8" s="59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7638928
22 7638928</v>
      </c>
    </row>
    <row r="9" spans="1:13" s="588" customFormat="1" ht="24.75" customHeight="1" collapsed="1" x14ac:dyDescent="0.35">
      <c r="A9" s="596" t="s">
        <v>3187</v>
      </c>
      <c r="B9" s="597"/>
      <c r="C9" s="597"/>
      <c r="D9" s="597"/>
      <c r="E9" s="597"/>
      <c r="F9" s="597"/>
      <c r="G9" s="597"/>
      <c r="H9" s="597"/>
      <c r="I9" s="597"/>
      <c r="J9" s="597"/>
      <c r="K9" s="598"/>
      <c r="L9" s="599"/>
      <c r="M9" s="599"/>
    </row>
    <row r="10" spans="1:13" ht="24.75" customHeight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84619</v>
      </c>
      <c r="C11" s="94">
        <v>42002</v>
      </c>
      <c r="D11" s="92" t="s">
        <v>507</v>
      </c>
      <c r="E11" s="91" t="s">
        <v>505</v>
      </c>
      <c r="F11" s="92" t="s">
        <v>580</v>
      </c>
      <c r="G11" s="9"/>
      <c r="H11" s="9" t="s">
        <v>371</v>
      </c>
      <c r="I11" s="120">
        <v>1</v>
      </c>
      <c r="J11" s="572">
        <v>25800</v>
      </c>
      <c r="K11" s="573">
        <f>IF(I11="","",J11*I11)</f>
        <v>25800</v>
      </c>
      <c r="L11" s="587" t="s">
        <v>3186</v>
      </c>
      <c r="M11" s="93"/>
    </row>
    <row r="12" spans="1:13" x14ac:dyDescent="0.25">
      <c r="A12" s="91">
        <v>2</v>
      </c>
      <c r="B12" s="91">
        <v>82699</v>
      </c>
      <c r="C12" s="94">
        <v>41995</v>
      </c>
      <c r="D12" s="92" t="s">
        <v>1505</v>
      </c>
      <c r="E12" s="91" t="s">
        <v>500</v>
      </c>
      <c r="F12" s="92" t="s">
        <v>682</v>
      </c>
      <c r="G12" s="9"/>
      <c r="H12" s="9" t="s">
        <v>371</v>
      </c>
      <c r="I12" s="120">
        <v>1</v>
      </c>
      <c r="J12" s="572">
        <v>55058</v>
      </c>
      <c r="K12" s="573">
        <f>IF(I12="","",J12*I12)</f>
        <v>55058</v>
      </c>
      <c r="L12" s="587" t="s">
        <v>3186</v>
      </c>
      <c r="M12" s="93"/>
    </row>
    <row r="13" spans="1:13" x14ac:dyDescent="0.25">
      <c r="A13" s="91">
        <v>3</v>
      </c>
      <c r="B13" s="91">
        <v>80495</v>
      </c>
      <c r="C13" s="94">
        <v>41989</v>
      </c>
      <c r="D13" s="92" t="s">
        <v>1535</v>
      </c>
      <c r="E13" s="91" t="s">
        <v>500</v>
      </c>
      <c r="F13" s="92" t="s">
        <v>217</v>
      </c>
      <c r="G13" s="9"/>
      <c r="H13" s="9" t="s">
        <v>387</v>
      </c>
      <c r="I13" s="120">
        <v>2</v>
      </c>
      <c r="J13" s="572">
        <v>44597</v>
      </c>
      <c r="K13" s="573">
        <f>IF(I13="","",J13*I13)</f>
        <v>89194</v>
      </c>
      <c r="L13" s="587" t="s">
        <v>3186</v>
      </c>
      <c r="M13" s="93"/>
    </row>
    <row r="14" spans="1:13" x14ac:dyDescent="0.25">
      <c r="A14" s="91">
        <v>4</v>
      </c>
      <c r="B14" s="91">
        <v>58401</v>
      </c>
      <c r="C14" s="94">
        <v>42006</v>
      </c>
      <c r="D14" s="92" t="s">
        <v>510</v>
      </c>
      <c r="E14" s="91" t="s">
        <v>500</v>
      </c>
      <c r="F14" s="92" t="s">
        <v>204</v>
      </c>
      <c r="G14" s="9"/>
      <c r="H14" s="12" t="s">
        <v>511</v>
      </c>
      <c r="I14" s="120">
        <v>1</v>
      </c>
      <c r="J14" s="87">
        <f>IF(F14="","",VLOOKUP(F14,ARANCEL!$E$2:$F$123,2,FALSE))</f>
        <v>17243.560000000001</v>
      </c>
      <c r="K14" s="88">
        <f t="shared" ref="K14:K21" si="0">IF(I14=0,"",J14*I14)</f>
        <v>17243.560000000001</v>
      </c>
      <c r="L14" s="587" t="s">
        <v>3186</v>
      </c>
      <c r="M14" s="93"/>
    </row>
    <row r="15" spans="1:13" x14ac:dyDescent="0.25">
      <c r="A15" s="91">
        <v>5</v>
      </c>
      <c r="B15" s="91">
        <v>85574</v>
      </c>
      <c r="C15" s="94">
        <v>42010</v>
      </c>
      <c r="D15" s="92" t="s">
        <v>508</v>
      </c>
      <c r="E15" s="91" t="s">
        <v>474</v>
      </c>
      <c r="F15" s="92" t="s">
        <v>217</v>
      </c>
      <c r="G15" s="9"/>
      <c r="H15" s="12" t="s">
        <v>387</v>
      </c>
      <c r="I15" s="120">
        <v>2</v>
      </c>
      <c r="J15" s="87">
        <f>IF(F15="","",VLOOKUP(F15,ARANCEL!$E$2:$F$123,2,FALSE))</f>
        <v>44597.287499999999</v>
      </c>
      <c r="K15" s="88">
        <f t="shared" si="0"/>
        <v>89194.574999999997</v>
      </c>
      <c r="L15" s="587" t="s">
        <v>3186</v>
      </c>
      <c r="M15" s="93"/>
    </row>
    <row r="16" spans="1:13" x14ac:dyDescent="0.25">
      <c r="A16" s="91">
        <v>6</v>
      </c>
      <c r="B16" s="91">
        <v>87122</v>
      </c>
      <c r="C16" s="94">
        <v>42017</v>
      </c>
      <c r="D16" s="92" t="s">
        <v>3091</v>
      </c>
      <c r="E16" s="91" t="s">
        <v>500</v>
      </c>
      <c r="F16" s="92" t="s">
        <v>1542</v>
      </c>
      <c r="G16" s="9"/>
      <c r="H16" s="12" t="s">
        <v>431</v>
      </c>
      <c r="I16" s="120">
        <v>1</v>
      </c>
      <c r="J16" s="87">
        <f>IF(F16="","",VLOOKUP(F16,ARANCEL!$E$2:$F$123,2,FALSE))</f>
        <v>3651.48</v>
      </c>
      <c r="K16" s="88">
        <f t="shared" si="0"/>
        <v>3651.48</v>
      </c>
      <c r="L16" s="587" t="s">
        <v>3186</v>
      </c>
      <c r="M16" s="93"/>
    </row>
    <row r="17" spans="1:13" x14ac:dyDescent="0.25">
      <c r="A17" s="91">
        <v>7</v>
      </c>
      <c r="B17" s="102">
        <v>86714</v>
      </c>
      <c r="C17" s="103">
        <v>42013</v>
      </c>
      <c r="D17" s="104" t="s">
        <v>3092</v>
      </c>
      <c r="E17" s="102" t="s">
        <v>484</v>
      </c>
      <c r="F17" s="104" t="s">
        <v>217</v>
      </c>
      <c r="G17" s="105"/>
      <c r="H17" s="99" t="s">
        <v>371</v>
      </c>
      <c r="I17" s="106">
        <v>1</v>
      </c>
      <c r="J17" s="87">
        <f>IF(F17="","",VLOOKUP(F17,ARANCEL!$E$2:$F$123,2,FALSE))</f>
        <v>44597.287499999999</v>
      </c>
      <c r="K17" s="101">
        <f t="shared" si="0"/>
        <v>44597.287499999999</v>
      </c>
      <c r="L17" s="587" t="s">
        <v>3186</v>
      </c>
      <c r="M17" s="100"/>
    </row>
    <row r="18" spans="1:13" x14ac:dyDescent="0.25">
      <c r="A18" s="91">
        <v>8</v>
      </c>
      <c r="B18" s="102">
        <v>87557</v>
      </c>
      <c r="C18" s="103">
        <v>42016</v>
      </c>
      <c r="D18" s="104" t="s">
        <v>3095</v>
      </c>
      <c r="E18" s="102" t="s">
        <v>500</v>
      </c>
      <c r="F18" s="104" t="s">
        <v>235</v>
      </c>
      <c r="G18" s="105"/>
      <c r="H18" s="99" t="s">
        <v>371</v>
      </c>
      <c r="I18" s="106">
        <v>1</v>
      </c>
      <c r="J18" s="87">
        <f>IF(F18="","",VLOOKUP(F18,ARANCEL!$E$2:$F$123,2,FALSE))</f>
        <v>12499.349999999999</v>
      </c>
      <c r="K18" s="101">
        <f t="shared" si="0"/>
        <v>12499.349999999999</v>
      </c>
      <c r="L18" s="587" t="s">
        <v>3186</v>
      </c>
      <c r="M18" s="100"/>
    </row>
    <row r="19" spans="1:13" x14ac:dyDescent="0.25">
      <c r="A19" s="91">
        <v>9</v>
      </c>
      <c r="B19" s="102">
        <v>88903</v>
      </c>
      <c r="C19" s="103">
        <v>42024</v>
      </c>
      <c r="D19" s="104" t="s">
        <v>3093</v>
      </c>
      <c r="E19" s="102" t="s">
        <v>484</v>
      </c>
      <c r="F19" s="104" t="s">
        <v>217</v>
      </c>
      <c r="G19" s="105"/>
      <c r="H19" s="99" t="s">
        <v>387</v>
      </c>
      <c r="I19" s="106">
        <v>2</v>
      </c>
      <c r="J19" s="87">
        <f>IF(F19="","",VLOOKUP(F19,ARANCEL!$E$2:$F$123,2,FALSE))</f>
        <v>44597.287499999999</v>
      </c>
      <c r="K19" s="101">
        <f t="shared" si="0"/>
        <v>89194.574999999997</v>
      </c>
      <c r="L19" s="587" t="s">
        <v>3186</v>
      </c>
      <c r="M19" s="100"/>
    </row>
    <row r="20" spans="1:13" x14ac:dyDescent="0.25">
      <c r="A20" s="91">
        <v>10</v>
      </c>
      <c r="B20" s="102">
        <v>89958</v>
      </c>
      <c r="C20" s="103">
        <v>42025</v>
      </c>
      <c r="D20" s="104" t="s">
        <v>509</v>
      </c>
      <c r="E20" s="102" t="s">
        <v>500</v>
      </c>
      <c r="F20" s="92" t="s">
        <v>682</v>
      </c>
      <c r="G20" s="105"/>
      <c r="H20" s="99" t="s">
        <v>369</v>
      </c>
      <c r="I20" s="106">
        <v>1</v>
      </c>
      <c r="J20" s="87">
        <v>55058</v>
      </c>
      <c r="K20" s="101">
        <f t="shared" si="0"/>
        <v>55058</v>
      </c>
      <c r="L20" s="587" t="s">
        <v>3186</v>
      </c>
      <c r="M20" s="100"/>
    </row>
    <row r="21" spans="1:13" x14ac:dyDescent="0.25">
      <c r="A21" s="91">
        <v>11</v>
      </c>
      <c r="B21" s="102">
        <v>90865</v>
      </c>
      <c r="C21" s="103">
        <v>42026</v>
      </c>
      <c r="D21" s="104" t="s">
        <v>3094</v>
      </c>
      <c r="E21" s="102" t="s">
        <v>1234</v>
      </c>
      <c r="F21" s="92" t="s">
        <v>682</v>
      </c>
      <c r="G21" s="105"/>
      <c r="H21" s="99" t="s">
        <v>371</v>
      </c>
      <c r="I21" s="106">
        <v>1</v>
      </c>
      <c r="J21" s="87">
        <v>55058</v>
      </c>
      <c r="K21" s="101">
        <f t="shared" si="0"/>
        <v>55058</v>
      </c>
      <c r="L21" s="587" t="s">
        <v>3186</v>
      </c>
      <c r="M21" s="100"/>
    </row>
    <row r="22" spans="1:13" x14ac:dyDescent="0.25">
      <c r="A22" s="91">
        <v>10</v>
      </c>
      <c r="B22" s="102">
        <v>90513</v>
      </c>
      <c r="C22" s="103">
        <v>42025</v>
      </c>
      <c r="D22" s="104" t="s">
        <v>3100</v>
      </c>
      <c r="E22" s="102" t="s">
        <v>500</v>
      </c>
      <c r="F22" s="104" t="s">
        <v>217</v>
      </c>
      <c r="G22" s="105"/>
      <c r="H22" s="99" t="s">
        <v>371</v>
      </c>
      <c r="I22" s="106">
        <v>1</v>
      </c>
      <c r="J22" s="87">
        <f>IF(F22="","",VLOOKUP(F22,ARANCEL!$E$2:$F$123,2,FALSE))</f>
        <v>44597.287499999999</v>
      </c>
      <c r="K22" s="101">
        <f t="shared" ref="K22:K23" si="1">IF(I22=0,"",J22*I22)</f>
        <v>44597.287499999999</v>
      </c>
      <c r="L22" s="587" t="s">
        <v>3186</v>
      </c>
      <c r="M22" s="100"/>
    </row>
    <row r="23" spans="1:13" x14ac:dyDescent="0.25">
      <c r="A23" s="91">
        <v>11</v>
      </c>
      <c r="B23" s="586">
        <v>42027</v>
      </c>
      <c r="C23" s="103">
        <v>42027</v>
      </c>
      <c r="D23" s="104" t="s">
        <v>3091</v>
      </c>
      <c r="E23" s="102" t="s">
        <v>500</v>
      </c>
      <c r="F23" s="104" t="s">
        <v>204</v>
      </c>
      <c r="G23" s="105"/>
      <c r="H23" s="99" t="s">
        <v>431</v>
      </c>
      <c r="I23" s="106">
        <v>1</v>
      </c>
      <c r="J23" s="87">
        <f>IF(F23="","",VLOOKUP(F23,ARANCEL!$E$2:$F$123,2,FALSE))</f>
        <v>17243.560000000001</v>
      </c>
      <c r="K23" s="101">
        <f t="shared" si="1"/>
        <v>17243.560000000001</v>
      </c>
      <c r="L23" s="587" t="s">
        <v>3186</v>
      </c>
      <c r="M23" s="100"/>
    </row>
    <row r="24" spans="1:13" x14ac:dyDescent="0.25">
      <c r="A24" s="91">
        <v>10</v>
      </c>
      <c r="B24" s="102"/>
      <c r="C24" s="103"/>
      <c r="D24" s="104"/>
      <c r="E24" s="102"/>
      <c r="F24" s="104"/>
      <c r="G24" s="105"/>
      <c r="H24" s="99"/>
      <c r="I24" s="106"/>
      <c r="J24" s="87" t="str">
        <f>IF(F24="","",VLOOKUP(F24,ARANCEL!$E$2:$F$123,2,FALSE))</f>
        <v/>
      </c>
      <c r="K24" s="101" t="str">
        <f t="shared" ref="K24:K25" si="2">IF(I24=0,"",J24*I24)</f>
        <v/>
      </c>
      <c r="L24" s="99"/>
      <c r="M24" s="100"/>
    </row>
    <row r="25" spans="1:13" x14ac:dyDescent="0.25">
      <c r="A25" s="91">
        <v>11</v>
      </c>
      <c r="B25" s="102"/>
      <c r="C25" s="103"/>
      <c r="D25" s="104"/>
      <c r="E25" s="102"/>
      <c r="F25" s="104"/>
      <c r="G25" s="105"/>
      <c r="H25" s="99"/>
      <c r="I25" s="106"/>
      <c r="J25" s="87" t="str">
        <f>IF(F25="","",VLOOKUP(F25,ARANCEL!$E$2:$F$123,2,FALSE))</f>
        <v/>
      </c>
      <c r="K25" s="101" t="str">
        <f t="shared" si="2"/>
        <v/>
      </c>
      <c r="L25" s="99"/>
      <c r="M25" s="100"/>
    </row>
    <row r="28" spans="1:13" ht="20.25" customHeight="1" x14ac:dyDescent="0.25">
      <c r="A28" s="593" t="s">
        <v>366</v>
      </c>
      <c r="B28" s="593"/>
      <c r="C28" s="593"/>
      <c r="D28" s="593"/>
      <c r="E28" s="593"/>
      <c r="F28" s="593"/>
      <c r="G28" s="593"/>
      <c r="H28" s="593"/>
      <c r="I28" s="593"/>
      <c r="J28" s="593"/>
      <c r="K28" s="593"/>
    </row>
    <row r="29" spans="1:13" ht="24" x14ac:dyDescent="0.25">
      <c r="A29" s="89" t="s">
        <v>96</v>
      </c>
      <c r="B29" s="89" t="s">
        <v>97</v>
      </c>
      <c r="C29" s="90" t="s">
        <v>101</v>
      </c>
      <c r="D29" s="89" t="s">
        <v>98</v>
      </c>
      <c r="E29" s="89" t="s">
        <v>99</v>
      </c>
      <c r="F29" s="89" t="s">
        <v>100</v>
      </c>
      <c r="G29" s="89" t="s">
        <v>103</v>
      </c>
      <c r="H29" s="89" t="s">
        <v>102</v>
      </c>
      <c r="I29" s="89" t="s">
        <v>108</v>
      </c>
      <c r="J29" s="90" t="s">
        <v>104</v>
      </c>
      <c r="K29" s="90" t="s">
        <v>105</v>
      </c>
      <c r="L29" s="90" t="s">
        <v>168</v>
      </c>
      <c r="M29" s="90" t="s">
        <v>106</v>
      </c>
    </row>
    <row r="30" spans="1:13" x14ac:dyDescent="0.25">
      <c r="A30" s="114">
        <v>3</v>
      </c>
      <c r="B30" s="115">
        <v>69551</v>
      </c>
      <c r="C30" s="110">
        <v>41586</v>
      </c>
      <c r="D30" s="116" t="s">
        <v>473</v>
      </c>
      <c r="E30" s="115" t="s">
        <v>474</v>
      </c>
      <c r="F30" s="116" t="s">
        <v>448</v>
      </c>
      <c r="G30" s="111" t="s">
        <v>371</v>
      </c>
      <c r="H30" s="111" t="s">
        <v>371</v>
      </c>
      <c r="I30" s="113">
        <v>1</v>
      </c>
      <c r="J30" s="117"/>
      <c r="K30" s="118"/>
      <c r="L30" s="114"/>
      <c r="M30" s="14"/>
    </row>
    <row r="31" spans="1:13" x14ac:dyDescent="0.25">
      <c r="A31" s="114">
        <v>4</v>
      </c>
      <c r="B31" s="115">
        <v>78441</v>
      </c>
      <c r="C31" s="110">
        <v>41979</v>
      </c>
      <c r="D31" s="116" t="s">
        <v>473</v>
      </c>
      <c r="E31" s="115" t="s">
        <v>474</v>
      </c>
      <c r="F31" s="116" t="s">
        <v>377</v>
      </c>
      <c r="G31" s="111" t="s">
        <v>371</v>
      </c>
      <c r="H31" s="111" t="s">
        <v>371</v>
      </c>
      <c r="I31" s="113">
        <v>1</v>
      </c>
      <c r="J31" s="117"/>
      <c r="K31" s="118"/>
      <c r="L31" s="114"/>
      <c r="M31" s="14"/>
    </row>
    <row r="32" spans="1:13" x14ac:dyDescent="0.25">
      <c r="A32" s="114">
        <v>5</v>
      </c>
      <c r="B32" s="115">
        <v>80462</v>
      </c>
      <c r="C32" s="110">
        <v>41985</v>
      </c>
      <c r="D32" s="116" t="s">
        <v>473</v>
      </c>
      <c r="E32" s="115" t="s">
        <v>474</v>
      </c>
      <c r="F32" s="116" t="s">
        <v>377</v>
      </c>
      <c r="G32" s="111" t="s">
        <v>371</v>
      </c>
      <c r="H32" s="111" t="s">
        <v>371</v>
      </c>
      <c r="I32" s="113">
        <v>1</v>
      </c>
      <c r="J32" s="117"/>
      <c r="K32" s="118"/>
      <c r="L32" s="114"/>
      <c r="M32" s="14"/>
    </row>
    <row r="33" spans="1:13" x14ac:dyDescent="0.25">
      <c r="A33" s="114">
        <v>6</v>
      </c>
      <c r="B33" s="115">
        <v>74223</v>
      </c>
      <c r="C33" s="110">
        <v>41603</v>
      </c>
      <c r="D33" s="116" t="s">
        <v>475</v>
      </c>
      <c r="E33" s="115" t="s">
        <v>476</v>
      </c>
      <c r="F33" s="116" t="s">
        <v>399</v>
      </c>
      <c r="G33" s="111" t="s">
        <v>419</v>
      </c>
      <c r="H33" s="111" t="s">
        <v>419</v>
      </c>
      <c r="I33" s="113">
        <v>1</v>
      </c>
      <c r="J33" s="117"/>
      <c r="K33" s="118"/>
      <c r="L33" s="114"/>
      <c r="M33" s="14"/>
    </row>
    <row r="34" spans="1:13" x14ac:dyDescent="0.25">
      <c r="A34" s="114">
        <v>7</v>
      </c>
      <c r="B34" s="115">
        <v>5620</v>
      </c>
      <c r="C34" s="110">
        <v>41725</v>
      </c>
      <c r="D34" s="116" t="s">
        <v>477</v>
      </c>
      <c r="E34" s="115" t="s">
        <v>478</v>
      </c>
      <c r="F34" s="116" t="s">
        <v>377</v>
      </c>
      <c r="G34" s="111" t="s">
        <v>371</v>
      </c>
      <c r="H34" s="111" t="s">
        <v>371</v>
      </c>
      <c r="I34" s="113">
        <v>1</v>
      </c>
      <c r="J34" s="117"/>
      <c r="K34" s="118"/>
      <c r="L34" s="114"/>
      <c r="M34" s="14"/>
    </row>
    <row r="35" spans="1:13" x14ac:dyDescent="0.25">
      <c r="A35" s="114">
        <v>8</v>
      </c>
      <c r="B35" s="115" t="s">
        <v>479</v>
      </c>
      <c r="C35" s="110">
        <v>41746</v>
      </c>
      <c r="D35" s="116" t="s">
        <v>480</v>
      </c>
      <c r="E35" s="115" t="s">
        <v>481</v>
      </c>
      <c r="F35" s="116" t="s">
        <v>482</v>
      </c>
      <c r="G35" s="111" t="s">
        <v>371</v>
      </c>
      <c r="H35" s="111" t="s">
        <v>371</v>
      </c>
      <c r="I35" s="113">
        <v>1</v>
      </c>
      <c r="J35" s="117"/>
      <c r="K35" s="118"/>
      <c r="L35" s="114"/>
      <c r="M35" s="14"/>
    </row>
    <row r="36" spans="1:13" x14ac:dyDescent="0.25">
      <c r="A36" s="114">
        <v>9</v>
      </c>
      <c r="B36" s="115">
        <v>8025</v>
      </c>
      <c r="C36" s="110">
        <v>41733</v>
      </c>
      <c r="D36" s="116" t="s">
        <v>483</v>
      </c>
      <c r="E36" s="115" t="s">
        <v>484</v>
      </c>
      <c r="F36" s="116" t="s">
        <v>377</v>
      </c>
      <c r="G36" s="111" t="s">
        <v>485</v>
      </c>
      <c r="H36" s="111" t="s">
        <v>485</v>
      </c>
      <c r="I36" s="113">
        <v>2</v>
      </c>
      <c r="J36" s="117"/>
      <c r="K36" s="118"/>
      <c r="L36" s="114"/>
      <c r="M36" s="14"/>
    </row>
    <row r="37" spans="1:13" x14ac:dyDescent="0.25">
      <c r="A37" s="114">
        <v>10</v>
      </c>
      <c r="B37" s="115" t="s">
        <v>487</v>
      </c>
      <c r="C37" s="110">
        <v>41744</v>
      </c>
      <c r="D37" s="116" t="s">
        <v>488</v>
      </c>
      <c r="E37" s="115" t="s">
        <v>476</v>
      </c>
      <c r="F37" s="116" t="s">
        <v>377</v>
      </c>
      <c r="G37" s="111" t="s">
        <v>369</v>
      </c>
      <c r="H37" s="111" t="s">
        <v>369</v>
      </c>
      <c r="I37" s="113">
        <v>1</v>
      </c>
      <c r="J37" s="117"/>
      <c r="K37" s="118"/>
      <c r="L37" s="114"/>
      <c r="M37" s="14"/>
    </row>
    <row r="38" spans="1:13" x14ac:dyDescent="0.25">
      <c r="A38" s="114">
        <v>11</v>
      </c>
      <c r="B38" s="115">
        <v>22473</v>
      </c>
      <c r="C38" s="110">
        <v>41787</v>
      </c>
      <c r="D38" s="116" t="s">
        <v>490</v>
      </c>
      <c r="E38" s="115" t="s">
        <v>491</v>
      </c>
      <c r="F38" s="116" t="s">
        <v>492</v>
      </c>
      <c r="G38" s="111" t="s">
        <v>442</v>
      </c>
      <c r="H38" s="111" t="s">
        <v>442</v>
      </c>
      <c r="I38" s="113">
        <v>1</v>
      </c>
      <c r="J38" s="117"/>
      <c r="K38" s="118"/>
      <c r="L38" s="114"/>
      <c r="M38" s="14"/>
    </row>
    <row r="39" spans="1:13" x14ac:dyDescent="0.25">
      <c r="A39" s="114">
        <v>12</v>
      </c>
      <c r="B39" s="115">
        <v>25496</v>
      </c>
      <c r="C39" s="110">
        <v>41799</v>
      </c>
      <c r="D39" s="116" t="s">
        <v>493</v>
      </c>
      <c r="E39" s="115" t="s">
        <v>476</v>
      </c>
      <c r="F39" s="116" t="s">
        <v>386</v>
      </c>
      <c r="G39" s="111" t="s">
        <v>369</v>
      </c>
      <c r="H39" s="111" t="s">
        <v>369</v>
      </c>
      <c r="I39" s="113">
        <v>1</v>
      </c>
      <c r="J39" s="117"/>
      <c r="K39" s="118"/>
      <c r="L39" s="114"/>
      <c r="M39" s="14"/>
    </row>
    <row r="40" spans="1:13" x14ac:dyDescent="0.25">
      <c r="A40" s="114">
        <v>13</v>
      </c>
      <c r="B40" s="115">
        <v>35319</v>
      </c>
      <c r="C40" s="110">
        <v>41834</v>
      </c>
      <c r="D40" s="116" t="s">
        <v>494</v>
      </c>
      <c r="E40" s="115" t="s">
        <v>474</v>
      </c>
      <c r="F40" s="116" t="s">
        <v>386</v>
      </c>
      <c r="G40" s="111" t="s">
        <v>369</v>
      </c>
      <c r="H40" s="111" t="s">
        <v>369</v>
      </c>
      <c r="I40" s="113">
        <v>1</v>
      </c>
      <c r="J40" s="117"/>
      <c r="K40" s="118"/>
      <c r="L40" s="114"/>
      <c r="M40" s="14"/>
    </row>
    <row r="41" spans="1:13" x14ac:dyDescent="0.25">
      <c r="A41" s="114">
        <v>14</v>
      </c>
      <c r="B41" s="115">
        <v>43375</v>
      </c>
      <c r="C41" s="110">
        <v>41864</v>
      </c>
      <c r="D41" s="116" t="s">
        <v>495</v>
      </c>
      <c r="E41" s="115" t="s">
        <v>478</v>
      </c>
      <c r="F41" s="116" t="s">
        <v>496</v>
      </c>
      <c r="G41" s="111" t="s">
        <v>497</v>
      </c>
      <c r="H41" s="111" t="s">
        <v>497</v>
      </c>
      <c r="I41" s="113">
        <v>2</v>
      </c>
      <c r="J41" s="117"/>
      <c r="K41" s="118"/>
      <c r="L41" s="114"/>
      <c r="M41" s="14"/>
    </row>
    <row r="42" spans="1:13" x14ac:dyDescent="0.25">
      <c r="A42" s="114">
        <v>15</v>
      </c>
      <c r="B42" s="115">
        <v>46685</v>
      </c>
      <c r="C42" s="110">
        <v>41877</v>
      </c>
      <c r="D42" s="116" t="s">
        <v>498</v>
      </c>
      <c r="E42" s="115" t="s">
        <v>484</v>
      </c>
      <c r="F42" s="116" t="s">
        <v>377</v>
      </c>
      <c r="G42" s="111" t="s">
        <v>371</v>
      </c>
      <c r="H42" s="111" t="s">
        <v>371</v>
      </c>
      <c r="I42" s="113">
        <v>1</v>
      </c>
      <c r="J42" s="117"/>
      <c r="K42" s="118"/>
      <c r="L42" s="114"/>
      <c r="M42" s="14"/>
    </row>
    <row r="43" spans="1:13" x14ac:dyDescent="0.25">
      <c r="A43" s="114">
        <v>16</v>
      </c>
      <c r="B43" s="115">
        <v>53181</v>
      </c>
      <c r="C43" s="110">
        <v>41922</v>
      </c>
      <c r="D43" s="116" t="s">
        <v>499</v>
      </c>
      <c r="E43" s="115" t="s">
        <v>500</v>
      </c>
      <c r="F43" s="116" t="s">
        <v>409</v>
      </c>
      <c r="G43" s="111" t="s">
        <v>417</v>
      </c>
      <c r="H43" s="111" t="s">
        <v>417</v>
      </c>
      <c r="I43" s="113">
        <v>1</v>
      </c>
      <c r="J43" s="117"/>
      <c r="K43" s="118"/>
      <c r="L43" s="114"/>
      <c r="M43" s="14"/>
    </row>
    <row r="44" spans="1:13" x14ac:dyDescent="0.25">
      <c r="A44" s="114">
        <v>17</v>
      </c>
      <c r="B44" s="115">
        <v>55565</v>
      </c>
      <c r="C44" s="110">
        <v>41929</v>
      </c>
      <c r="D44" s="116" t="s">
        <v>501</v>
      </c>
      <c r="E44" s="115" t="s">
        <v>500</v>
      </c>
      <c r="F44" s="116" t="s">
        <v>422</v>
      </c>
      <c r="G44" s="111" t="s">
        <v>371</v>
      </c>
      <c r="H44" s="111" t="s">
        <v>371</v>
      </c>
      <c r="I44" s="113">
        <v>1</v>
      </c>
      <c r="J44" s="117"/>
      <c r="K44" s="118"/>
      <c r="L44" s="114"/>
      <c r="M44" s="14"/>
    </row>
    <row r="45" spans="1:13" x14ac:dyDescent="0.25">
      <c r="A45" s="114">
        <v>18</v>
      </c>
      <c r="B45" s="115">
        <v>60536</v>
      </c>
      <c r="C45" s="110">
        <v>41946</v>
      </c>
      <c r="D45" s="116" t="s">
        <v>502</v>
      </c>
      <c r="E45" s="115" t="s">
        <v>484</v>
      </c>
      <c r="F45" s="116" t="s">
        <v>386</v>
      </c>
      <c r="G45" s="111" t="s">
        <v>369</v>
      </c>
      <c r="H45" s="111" t="s">
        <v>369</v>
      </c>
      <c r="I45" s="113">
        <v>1</v>
      </c>
      <c r="J45" s="117"/>
      <c r="K45" s="118"/>
      <c r="L45" s="114"/>
      <c r="M45" s="14"/>
    </row>
    <row r="46" spans="1:13" x14ac:dyDescent="0.25">
      <c r="A46" s="114">
        <v>19</v>
      </c>
      <c r="B46" s="115">
        <v>61372</v>
      </c>
      <c r="C46" s="110">
        <v>41948</v>
      </c>
      <c r="D46" s="116" t="s">
        <v>503</v>
      </c>
      <c r="E46" s="115" t="s">
        <v>500</v>
      </c>
      <c r="F46" s="116" t="s">
        <v>409</v>
      </c>
      <c r="G46" s="111" t="s">
        <v>419</v>
      </c>
      <c r="H46" s="111" t="s">
        <v>419</v>
      </c>
      <c r="I46" s="113">
        <v>1</v>
      </c>
      <c r="J46" s="117"/>
      <c r="K46" s="118"/>
      <c r="L46" s="114"/>
      <c r="M46" s="14"/>
    </row>
    <row r="47" spans="1:13" x14ac:dyDescent="0.25">
      <c r="A47" s="114">
        <v>20</v>
      </c>
      <c r="B47" s="115">
        <v>65968</v>
      </c>
      <c r="C47" s="110">
        <v>41961</v>
      </c>
      <c r="D47" s="116" t="s">
        <v>504</v>
      </c>
      <c r="E47" s="115" t="s">
        <v>505</v>
      </c>
      <c r="F47" s="116" t="s">
        <v>422</v>
      </c>
      <c r="G47" s="111" t="s">
        <v>371</v>
      </c>
      <c r="H47" s="111" t="s">
        <v>371</v>
      </c>
      <c r="I47" s="113">
        <v>1</v>
      </c>
      <c r="J47" s="117"/>
      <c r="K47" s="118"/>
      <c r="L47" s="114"/>
      <c r="M47" s="14"/>
    </row>
    <row r="48" spans="1:13" x14ac:dyDescent="0.25">
      <c r="A48" s="114">
        <v>21</v>
      </c>
      <c r="B48" s="115">
        <v>70960</v>
      </c>
      <c r="C48" s="110">
        <v>41976</v>
      </c>
      <c r="D48" s="116" t="s">
        <v>506</v>
      </c>
      <c r="E48" s="115" t="s">
        <v>484</v>
      </c>
      <c r="F48" s="116" t="s">
        <v>422</v>
      </c>
      <c r="G48" s="111" t="s">
        <v>371</v>
      </c>
      <c r="H48" s="111" t="s">
        <v>371</v>
      </c>
      <c r="I48" s="113">
        <v>1</v>
      </c>
      <c r="J48" s="117"/>
      <c r="K48" s="117"/>
      <c r="L48" s="114"/>
      <c r="M48" s="14"/>
    </row>
    <row r="49" spans="1:13" x14ac:dyDescent="0.25">
      <c r="A49" s="114">
        <v>22</v>
      </c>
      <c r="B49" s="115">
        <v>74790</v>
      </c>
      <c r="C49" s="110">
        <v>41984</v>
      </c>
      <c r="D49" s="116" t="s">
        <v>507</v>
      </c>
      <c r="E49" s="115" t="s">
        <v>505</v>
      </c>
      <c r="F49" s="116" t="s">
        <v>422</v>
      </c>
      <c r="G49" s="111" t="s">
        <v>371</v>
      </c>
      <c r="H49" s="111" t="s">
        <v>371</v>
      </c>
      <c r="I49" s="113">
        <v>1</v>
      </c>
      <c r="J49" s="117"/>
      <c r="K49" s="117"/>
      <c r="L49" s="114"/>
      <c r="M49" s="14"/>
    </row>
    <row r="50" spans="1:13" x14ac:dyDescent="0.25">
      <c r="A50" s="114">
        <v>24</v>
      </c>
      <c r="B50" s="115">
        <v>85231</v>
      </c>
      <c r="C50" s="110">
        <v>42004</v>
      </c>
      <c r="D50" s="116" t="s">
        <v>512</v>
      </c>
      <c r="E50" s="115" t="s">
        <v>500</v>
      </c>
      <c r="F50" s="116" t="s">
        <v>377</v>
      </c>
      <c r="G50" s="111"/>
      <c r="H50" s="114"/>
      <c r="I50" s="113">
        <v>1</v>
      </c>
      <c r="J50" s="117"/>
      <c r="K50" s="117"/>
      <c r="L50" s="114"/>
      <c r="M50" s="14"/>
    </row>
    <row r="51" spans="1:13" x14ac:dyDescent="0.25">
      <c r="A51" s="114"/>
      <c r="B51" s="115" t="s">
        <v>3102</v>
      </c>
      <c r="C51" s="110">
        <v>42024</v>
      </c>
      <c r="D51" s="116" t="s">
        <v>3095</v>
      </c>
      <c r="E51" s="115" t="s">
        <v>500</v>
      </c>
      <c r="F51" s="116" t="s">
        <v>458</v>
      </c>
      <c r="G51" s="111"/>
      <c r="H51" s="109" t="s">
        <v>369</v>
      </c>
      <c r="I51" s="113">
        <v>1</v>
      </c>
      <c r="J51" s="117"/>
      <c r="K51" s="117"/>
      <c r="L51" s="114"/>
      <c r="M51" s="14"/>
    </row>
    <row r="52" spans="1:13" x14ac:dyDescent="0.25">
      <c r="A52" s="114"/>
      <c r="B52" s="115">
        <v>88015</v>
      </c>
      <c r="C52" s="110">
        <v>42018</v>
      </c>
      <c r="D52" s="116" t="s">
        <v>3096</v>
      </c>
      <c r="E52" s="115" t="s">
        <v>500</v>
      </c>
      <c r="F52" s="116" t="s">
        <v>458</v>
      </c>
      <c r="G52" s="111"/>
      <c r="H52" s="109" t="s">
        <v>387</v>
      </c>
      <c r="I52" s="113">
        <v>2</v>
      </c>
      <c r="J52" s="117"/>
      <c r="K52" s="117"/>
      <c r="L52" s="114"/>
      <c r="M52" s="14" t="s">
        <v>3097</v>
      </c>
    </row>
    <row r="53" spans="1:13" x14ac:dyDescent="0.25">
      <c r="A53" s="114"/>
      <c r="B53" s="115">
        <v>88178</v>
      </c>
      <c r="C53" s="110">
        <v>42019</v>
      </c>
      <c r="D53" s="116" t="s">
        <v>3098</v>
      </c>
      <c r="E53" s="115" t="s">
        <v>484</v>
      </c>
      <c r="F53" s="116" t="s">
        <v>386</v>
      </c>
      <c r="G53" s="111"/>
      <c r="H53" s="109" t="s">
        <v>369</v>
      </c>
      <c r="I53" s="113">
        <v>1</v>
      </c>
      <c r="J53" s="117"/>
      <c r="K53" s="117"/>
      <c r="L53" s="114"/>
      <c r="M53" s="14" t="s">
        <v>3099</v>
      </c>
    </row>
    <row r="54" spans="1:13" x14ac:dyDescent="0.25">
      <c r="A54" s="114"/>
      <c r="B54" s="115">
        <v>88563</v>
      </c>
      <c r="C54" s="110">
        <v>42020</v>
      </c>
      <c r="D54" s="116" t="s">
        <v>3101</v>
      </c>
      <c r="E54" s="115" t="s">
        <v>500</v>
      </c>
      <c r="F54" s="116" t="s">
        <v>386</v>
      </c>
      <c r="G54" s="111"/>
      <c r="H54" s="109" t="s">
        <v>371</v>
      </c>
      <c r="I54" s="113">
        <v>1</v>
      </c>
      <c r="J54" s="117"/>
      <c r="K54" s="117"/>
      <c r="L54" s="114"/>
      <c r="M54" s="14"/>
    </row>
    <row r="55" spans="1:13" x14ac:dyDescent="0.25">
      <c r="A55" s="114"/>
      <c r="B55" s="115"/>
      <c r="C55" s="110"/>
      <c r="D55" s="116"/>
      <c r="E55" s="115"/>
      <c r="F55" s="116"/>
      <c r="G55" s="111"/>
      <c r="H55" s="109"/>
      <c r="I55" s="113"/>
      <c r="J55" s="117"/>
      <c r="K55" s="117"/>
      <c r="L55" s="114"/>
      <c r="M55" s="14"/>
    </row>
    <row r="56" spans="1:13" x14ac:dyDescent="0.25">
      <c r="A56" s="114"/>
      <c r="B56" s="115"/>
      <c r="C56" s="110"/>
      <c r="D56" s="116"/>
      <c r="E56" s="115"/>
      <c r="F56" s="116"/>
      <c r="G56" s="111"/>
      <c r="H56" s="109"/>
      <c r="I56" s="113"/>
      <c r="J56" s="117"/>
      <c r="K56" s="117"/>
      <c r="L56" s="114"/>
      <c r="M56" s="14"/>
    </row>
    <row r="57" spans="1:13" x14ac:dyDescent="0.25">
      <c r="A57" s="114"/>
      <c r="B57" s="115"/>
      <c r="C57" s="110"/>
      <c r="D57" s="116"/>
      <c r="E57" s="115"/>
      <c r="F57" s="116"/>
      <c r="G57" s="111"/>
      <c r="H57" s="109"/>
      <c r="I57" s="113"/>
      <c r="J57" s="117"/>
      <c r="K57" s="117"/>
      <c r="L57" s="114"/>
      <c r="M57" s="14"/>
    </row>
    <row r="58" spans="1:13" x14ac:dyDescent="0.25">
      <c r="A58" s="114"/>
      <c r="B58" s="115"/>
      <c r="C58" s="110"/>
      <c r="D58" s="116"/>
      <c r="E58" s="115"/>
      <c r="F58" s="116"/>
      <c r="G58" s="111"/>
      <c r="H58" s="109"/>
      <c r="I58" s="113"/>
      <c r="J58" s="117"/>
      <c r="K58" s="117"/>
      <c r="L58" s="114"/>
      <c r="M58" s="14"/>
    </row>
    <row r="59" spans="1:13" x14ac:dyDescent="0.25">
      <c r="A59" s="114"/>
      <c r="B59" s="115"/>
      <c r="C59" s="110"/>
      <c r="D59" s="116"/>
      <c r="E59" s="115"/>
      <c r="F59" s="116"/>
      <c r="G59" s="111"/>
      <c r="H59" s="109"/>
      <c r="I59" s="113"/>
      <c r="J59" s="117"/>
      <c r="K59" s="117"/>
      <c r="L59" s="114"/>
      <c r="M59" s="14"/>
    </row>
    <row r="60" spans="1:13" x14ac:dyDescent="0.25">
      <c r="A60" s="114"/>
      <c r="B60" s="115"/>
      <c r="C60" s="110"/>
      <c r="D60" s="116"/>
      <c r="E60" s="115"/>
      <c r="F60" s="116"/>
      <c r="G60" s="111"/>
      <c r="H60" s="109"/>
      <c r="I60" s="113"/>
      <c r="J60" s="117"/>
      <c r="K60" s="117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109"/>
      <c r="I61" s="113"/>
      <c r="J61" s="117"/>
      <c r="K61" s="117"/>
      <c r="L61" s="114"/>
      <c r="M61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8:K28"/>
    <mergeCell ref="A1:K1"/>
    <mergeCell ref="A2:K2"/>
    <mergeCell ref="A3:B3"/>
    <mergeCell ref="A4:B4"/>
    <mergeCell ref="A5:B5"/>
    <mergeCell ref="A6:B6"/>
    <mergeCell ref="A9:K9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M84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2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13" ht="27" x14ac:dyDescent="0.5">
      <c r="A2" s="595" t="s">
        <v>37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13" ht="12.75" hidden="1" customHeight="1" outlineLevel="1" x14ac:dyDescent="0.25">
      <c r="A3" s="591" t="s">
        <v>158</v>
      </c>
      <c r="B3" s="591"/>
      <c r="C3" s="95" t="str">
        <f>IFERROR(VLOOKUP($A$2,DATOS!$A$2:$N$14,2,FALSE),"SUCURSAL NO ENCONTRADA")</f>
        <v>SOCIEDAD PRESTADORA DE SERVICIOS ODONTOLÓGICOS LOS ALERCES LTDA.</v>
      </c>
      <c r="H3" s="108" t="s">
        <v>166</v>
      </c>
      <c r="I3" s="95" t="str">
        <f>IFERROR(VLOOKUP($A$2,DATOS!$A$2:$N$14,8,FALSE),"SUCURSAL NO ENCONTRADA")</f>
        <v>CRISTIAN EGGERS</v>
      </c>
    </row>
    <row r="4" spans="1:13" ht="12.75" hidden="1" customHeight="1" outlineLevel="1" x14ac:dyDescent="0.25">
      <c r="A4" s="591" t="s">
        <v>159</v>
      </c>
      <c r="B4" s="591"/>
      <c r="C4" s="95" t="str">
        <f>IFERROR(VLOOKUP($A$2,DATOS!$A$2:$N$14,3,FALSE),"SUCURSAL NO ENCONTRADA")</f>
        <v>76.330.243-1</v>
      </c>
      <c r="H4" s="108" t="s">
        <v>164</v>
      </c>
      <c r="I4" s="95" t="str">
        <f>IFERROR(VLOOKUP($A$2,DATOS!$A$2:$N$14,9,FALSE),"SUCURSAL NO ENCONTRADA")</f>
        <v>dr.cristian.eggers@gmail.com
ceggers@unosalud.cl</v>
      </c>
      <c r="K4" s="85"/>
    </row>
    <row r="5" spans="1:13" ht="12.75" hidden="1" customHeight="1" outlineLevel="1" x14ac:dyDescent="0.25">
      <c r="A5" s="591" t="s">
        <v>160</v>
      </c>
      <c r="B5" s="591"/>
      <c r="C5" s="95" t="str">
        <f>IFERROR(VLOOKUP($A$2,DATOS!$A$2:$N$14,4,FALSE),"SUCURSAL NO ENCONTRADA")</f>
        <v>ILLAPE 10 LOCAL 1, PUERTO MONTT</v>
      </c>
      <c r="H5" s="108" t="s">
        <v>163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591" t="s">
        <v>161</v>
      </c>
      <c r="B6" s="591"/>
      <c r="C6" s="95" t="str">
        <f>IFERROR(VLOOKUP($A$2,DATOS!$A$2:$N$14,5,FALSE),"SUCURSAL NO ENCONTRADA")</f>
        <v>CENTRO MÉDICO DE ATENCIÓN AMBULATORIA</v>
      </c>
      <c r="H6" s="108" t="s">
        <v>167</v>
      </c>
      <c r="I6" s="95" t="str">
        <f>IFERROR(VLOOKUP($A$2,DATOS!$A$2:$N$14,11,FALSE),"SUCURSAL NO ENCONTRADA")</f>
        <v>CLAUDIA GATICA</v>
      </c>
    </row>
    <row r="7" spans="1:13" ht="12.75" hidden="1" customHeight="1" outlineLevel="1" x14ac:dyDescent="0.25">
      <c r="A7" s="591" t="s">
        <v>162</v>
      </c>
      <c r="B7" s="591"/>
      <c r="C7" s="95" t="str">
        <f>IFERROR(VLOOKUP($A$2,DATOS!$A$2:$N$14,6,FALSE),"SUCURSAL NO ENCONTRADA")</f>
        <v>UNO SALUD PUERTO MONTT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92" t="s">
        <v>165</v>
      </c>
      <c r="B8" s="592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7638990
22 7638994</v>
      </c>
    </row>
    <row r="9" spans="1:13" s="588" customFormat="1" ht="24.75" customHeight="1" collapsed="1" x14ac:dyDescent="0.35">
      <c r="A9" s="596" t="s">
        <v>3187</v>
      </c>
      <c r="B9" s="597"/>
      <c r="C9" s="597"/>
      <c r="D9" s="597"/>
      <c r="E9" s="597"/>
      <c r="F9" s="597"/>
      <c r="G9" s="597"/>
      <c r="H9" s="597"/>
      <c r="I9" s="597"/>
      <c r="J9" s="597"/>
      <c r="K9" s="598"/>
      <c r="L9" s="599"/>
      <c r="M9" s="59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85980</v>
      </c>
      <c r="C11" s="94">
        <v>42010</v>
      </c>
      <c r="D11" s="92" t="s">
        <v>544</v>
      </c>
      <c r="E11" s="91" t="s">
        <v>545</v>
      </c>
      <c r="F11" s="92" t="s">
        <v>537</v>
      </c>
      <c r="G11" s="9"/>
      <c r="H11" s="12" t="s">
        <v>417</v>
      </c>
      <c r="I11" s="120">
        <v>1</v>
      </c>
      <c r="J11" s="87">
        <f>IF(F11="","",VLOOKUP(F11,ARANCEL!$E$2:$F$123,2,FALSE))</f>
        <v>30428.999999999996</v>
      </c>
      <c r="K11" s="88">
        <f t="shared" ref="K11:K33" si="0">IF(I11=0,"",J11*I11)</f>
        <v>30428.999999999996</v>
      </c>
      <c r="L11" s="587" t="s">
        <v>3186</v>
      </c>
      <c r="M11" s="93"/>
    </row>
    <row r="12" spans="1:13" x14ac:dyDescent="0.25">
      <c r="A12" s="102">
        <v>2</v>
      </c>
      <c r="B12" s="102">
        <v>85508</v>
      </c>
      <c r="C12" s="103">
        <v>42009</v>
      </c>
      <c r="D12" s="104" t="s">
        <v>1720</v>
      </c>
      <c r="E12" s="102" t="s">
        <v>545</v>
      </c>
      <c r="F12" s="104" t="s">
        <v>115</v>
      </c>
      <c r="G12" s="105"/>
      <c r="H12" s="99" t="s">
        <v>419</v>
      </c>
      <c r="I12" s="106">
        <v>1</v>
      </c>
      <c r="J12" s="87">
        <f>IF(F12="","",VLOOKUP(F12,ARANCEL!$E$2:$F$123,2,FALSE))</f>
        <v>33370.239999999998</v>
      </c>
      <c r="K12" s="101">
        <f t="shared" si="0"/>
        <v>33370.239999999998</v>
      </c>
      <c r="L12" s="587" t="s">
        <v>3186</v>
      </c>
      <c r="M12" s="100"/>
    </row>
    <row r="13" spans="1:13" x14ac:dyDescent="0.25">
      <c r="A13" s="91">
        <v>3</v>
      </c>
      <c r="B13" s="91">
        <v>85618</v>
      </c>
      <c r="C13" s="94">
        <v>42009</v>
      </c>
      <c r="D13" s="92" t="s">
        <v>547</v>
      </c>
      <c r="E13" s="91" t="s">
        <v>545</v>
      </c>
      <c r="F13" s="92" t="s">
        <v>115</v>
      </c>
      <c r="G13" s="9"/>
      <c r="H13" s="12" t="s">
        <v>548</v>
      </c>
      <c r="I13" s="120">
        <v>1</v>
      </c>
      <c r="J13" s="87">
        <f>IF(F13="","",VLOOKUP(F13,ARANCEL!$E$2:$F$123,2,FALSE))</f>
        <v>33370.239999999998</v>
      </c>
      <c r="K13" s="88">
        <f t="shared" si="0"/>
        <v>33370.239999999998</v>
      </c>
      <c r="L13" s="587" t="s">
        <v>3186</v>
      </c>
      <c r="M13" s="93"/>
    </row>
    <row r="14" spans="1:13" x14ac:dyDescent="0.25">
      <c r="A14" s="91">
        <v>4</v>
      </c>
      <c r="B14" s="91">
        <v>85071</v>
      </c>
      <c r="C14" s="94">
        <v>42004</v>
      </c>
      <c r="D14" s="92" t="s">
        <v>550</v>
      </c>
      <c r="E14" s="91" t="s">
        <v>521</v>
      </c>
      <c r="F14" s="92" t="s">
        <v>184</v>
      </c>
      <c r="G14" s="9"/>
      <c r="H14" s="12" t="s">
        <v>407</v>
      </c>
      <c r="I14" s="120">
        <v>1</v>
      </c>
      <c r="J14" s="87">
        <f>IF(F14="","",VLOOKUP(F14,ARANCEL!$E$2:$F$123,2,FALSE))</f>
        <v>45643.96</v>
      </c>
      <c r="K14" s="88">
        <f t="shared" si="0"/>
        <v>45643.96</v>
      </c>
      <c r="L14" s="587" t="s">
        <v>3186</v>
      </c>
      <c r="M14" s="93"/>
    </row>
    <row r="15" spans="1:13" x14ac:dyDescent="0.25">
      <c r="A15" s="102">
        <v>5</v>
      </c>
      <c r="B15" s="102">
        <v>85126</v>
      </c>
      <c r="C15" s="103">
        <v>42011</v>
      </c>
      <c r="D15" s="104" t="s">
        <v>551</v>
      </c>
      <c r="E15" s="102" t="s">
        <v>545</v>
      </c>
      <c r="F15" s="104" t="s">
        <v>116</v>
      </c>
      <c r="G15" s="105"/>
      <c r="H15" s="99" t="s">
        <v>472</v>
      </c>
      <c r="I15" s="106">
        <v>1</v>
      </c>
      <c r="J15" s="87">
        <f>IF(F15="","",VLOOKUP(F15,ARANCEL!$E$2:$F$123,2,FALSE))</f>
        <v>5274.3600000000006</v>
      </c>
      <c r="K15" s="101">
        <f t="shared" si="0"/>
        <v>5274.3600000000006</v>
      </c>
      <c r="L15" s="587" t="s">
        <v>3186</v>
      </c>
      <c r="M15" s="100"/>
    </row>
    <row r="16" spans="1:13" x14ac:dyDescent="0.25">
      <c r="A16" s="91">
        <v>6</v>
      </c>
      <c r="B16" s="102">
        <v>85126</v>
      </c>
      <c r="C16" s="103">
        <v>42011</v>
      </c>
      <c r="D16" s="104" t="s">
        <v>551</v>
      </c>
      <c r="E16" s="102" t="s">
        <v>545</v>
      </c>
      <c r="F16" s="104" t="s">
        <v>210</v>
      </c>
      <c r="G16" s="105"/>
      <c r="H16" s="99" t="s">
        <v>472</v>
      </c>
      <c r="I16" s="106">
        <v>1</v>
      </c>
      <c r="J16" s="87">
        <f>IF(F16="","",VLOOKUP(F16,ARANCEL!$E$2:$F$123,2,FALSE))</f>
        <v>14098.999999999998</v>
      </c>
      <c r="K16" s="101">
        <f t="shared" si="0"/>
        <v>14098.999999999998</v>
      </c>
      <c r="L16" s="587" t="s">
        <v>3186</v>
      </c>
      <c r="M16" s="100"/>
    </row>
    <row r="17" spans="1:13" x14ac:dyDescent="0.25">
      <c r="A17" s="91">
        <v>7</v>
      </c>
      <c r="B17" s="102">
        <v>85122</v>
      </c>
      <c r="C17" s="103">
        <v>42009</v>
      </c>
      <c r="D17" s="104" t="s">
        <v>552</v>
      </c>
      <c r="E17" s="102" t="s">
        <v>545</v>
      </c>
      <c r="F17" s="104" t="s">
        <v>116</v>
      </c>
      <c r="G17" s="105"/>
      <c r="H17" s="99" t="s">
        <v>392</v>
      </c>
      <c r="I17" s="106">
        <v>1</v>
      </c>
      <c r="J17" s="87">
        <f>IF(F17="","",VLOOKUP(F17,ARANCEL!$E$2:$F$123,2,FALSE))</f>
        <v>5274.3600000000006</v>
      </c>
      <c r="K17" s="101">
        <f t="shared" si="0"/>
        <v>5274.3600000000006</v>
      </c>
      <c r="L17" s="587" t="s">
        <v>3186</v>
      </c>
      <c r="M17" s="100"/>
    </row>
    <row r="18" spans="1:13" x14ac:dyDescent="0.25">
      <c r="A18" s="102">
        <v>8</v>
      </c>
      <c r="B18" s="102">
        <v>85122</v>
      </c>
      <c r="C18" s="103">
        <v>42009</v>
      </c>
      <c r="D18" s="104" t="s">
        <v>552</v>
      </c>
      <c r="E18" s="102" t="s">
        <v>545</v>
      </c>
      <c r="F18" s="104" t="s">
        <v>210</v>
      </c>
      <c r="G18" s="105"/>
      <c r="H18" s="99" t="s">
        <v>392</v>
      </c>
      <c r="I18" s="106">
        <v>1</v>
      </c>
      <c r="J18" s="87">
        <f>IF(F18="","",VLOOKUP(F18,ARANCEL!$E$2:$F$123,2,FALSE))</f>
        <v>14098.999999999998</v>
      </c>
      <c r="K18" s="101">
        <f t="shared" si="0"/>
        <v>14098.999999999998</v>
      </c>
      <c r="L18" s="587" t="s">
        <v>3186</v>
      </c>
      <c r="M18" s="100"/>
    </row>
    <row r="19" spans="1:13" x14ac:dyDescent="0.25">
      <c r="A19" s="102">
        <v>9</v>
      </c>
      <c r="B19" s="102">
        <v>86325</v>
      </c>
      <c r="C19" s="103">
        <v>42012</v>
      </c>
      <c r="D19" s="104" t="s">
        <v>3103</v>
      </c>
      <c r="E19" s="102" t="s">
        <v>545</v>
      </c>
      <c r="F19" s="104" t="s">
        <v>355</v>
      </c>
      <c r="G19" s="105"/>
      <c r="H19" s="99" t="s">
        <v>387</v>
      </c>
      <c r="I19" s="106">
        <v>2</v>
      </c>
      <c r="J19" s="87">
        <f>IF(F19="","",VLOOKUP(F19,ARANCEL!$E$2:$F$123,2,FALSE))</f>
        <v>55057.687499999993</v>
      </c>
      <c r="K19" s="101">
        <f t="shared" si="0"/>
        <v>110115.37499999999</v>
      </c>
      <c r="L19" s="587" t="s">
        <v>3186</v>
      </c>
      <c r="M19" s="100"/>
    </row>
    <row r="20" spans="1:13" x14ac:dyDescent="0.25">
      <c r="A20" s="102">
        <v>10</v>
      </c>
      <c r="B20" s="102">
        <v>87577</v>
      </c>
      <c r="C20" s="103">
        <v>42016</v>
      </c>
      <c r="D20" s="104" t="s">
        <v>3113</v>
      </c>
      <c r="E20" s="102" t="s">
        <v>545</v>
      </c>
      <c r="F20" s="104" t="s">
        <v>217</v>
      </c>
      <c r="G20" s="105"/>
      <c r="H20" s="99" t="s">
        <v>371</v>
      </c>
      <c r="I20" s="106">
        <v>1</v>
      </c>
      <c r="J20" s="87">
        <f>IF(F20="","",VLOOKUP(F20,ARANCEL!$E$2:$F$123,2,FALSE))</f>
        <v>44597.287499999999</v>
      </c>
      <c r="K20" s="101">
        <f t="shared" si="0"/>
        <v>44597.287499999999</v>
      </c>
      <c r="L20" s="587" t="s">
        <v>3186</v>
      </c>
      <c r="M20" s="100"/>
    </row>
    <row r="21" spans="1:13" x14ac:dyDescent="0.25">
      <c r="A21" s="102">
        <v>11</v>
      </c>
      <c r="B21" s="102">
        <v>87287</v>
      </c>
      <c r="C21" s="103">
        <v>42016</v>
      </c>
      <c r="D21" s="104" t="s">
        <v>3114</v>
      </c>
      <c r="E21" s="102" t="s">
        <v>545</v>
      </c>
      <c r="F21" s="104" t="s">
        <v>537</v>
      </c>
      <c r="G21" s="105"/>
      <c r="H21" s="99" t="s">
        <v>511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7" t="s">
        <v>3186</v>
      </c>
      <c r="M21" s="100"/>
    </row>
    <row r="22" spans="1:13" x14ac:dyDescent="0.25">
      <c r="A22" s="102">
        <v>12</v>
      </c>
      <c r="B22" s="102">
        <v>87304</v>
      </c>
      <c r="C22" s="103">
        <v>42014</v>
      </c>
      <c r="D22" s="104" t="s">
        <v>3115</v>
      </c>
      <c r="E22" s="102" t="s">
        <v>545</v>
      </c>
      <c r="F22" s="104" t="s">
        <v>537</v>
      </c>
      <c r="G22" s="105"/>
      <c r="H22" s="99" t="s">
        <v>417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587" t="s">
        <v>3186</v>
      </c>
      <c r="M22" s="100"/>
    </row>
    <row r="23" spans="1:13" x14ac:dyDescent="0.25">
      <c r="A23" s="102">
        <v>13</v>
      </c>
      <c r="B23" s="102">
        <v>87305</v>
      </c>
      <c r="C23" s="103">
        <v>42016</v>
      </c>
      <c r="D23" s="104" t="s">
        <v>3116</v>
      </c>
      <c r="E23" s="102" t="s">
        <v>545</v>
      </c>
      <c r="F23" s="104" t="s">
        <v>537</v>
      </c>
      <c r="G23" s="105"/>
      <c r="H23" s="99" t="s">
        <v>417</v>
      </c>
      <c r="I23" s="106">
        <v>1</v>
      </c>
      <c r="J23" s="87">
        <f>IF(F23="","",VLOOKUP(F23,ARANCEL!$E$2:$F$123,2,FALSE))</f>
        <v>30428.999999999996</v>
      </c>
      <c r="K23" s="101">
        <f t="shared" si="0"/>
        <v>30428.999999999996</v>
      </c>
      <c r="L23" s="587" t="s">
        <v>3186</v>
      </c>
      <c r="M23" s="100"/>
    </row>
    <row r="24" spans="1:13" x14ac:dyDescent="0.25">
      <c r="A24" s="102">
        <v>14</v>
      </c>
      <c r="B24" s="102">
        <v>87535</v>
      </c>
      <c r="C24" s="103">
        <v>42016</v>
      </c>
      <c r="D24" s="104" t="s">
        <v>3117</v>
      </c>
      <c r="E24" s="102" t="s">
        <v>545</v>
      </c>
      <c r="F24" s="104" t="s">
        <v>210</v>
      </c>
      <c r="G24" s="105"/>
      <c r="H24" s="99" t="s">
        <v>527</v>
      </c>
      <c r="I24" s="106">
        <v>1</v>
      </c>
      <c r="J24" s="87">
        <f>IF(F24="","",VLOOKUP(F24,ARANCEL!$E$2:$F$123,2,FALSE))</f>
        <v>14098.999999999998</v>
      </c>
      <c r="K24" s="101">
        <f t="shared" si="0"/>
        <v>14098.999999999998</v>
      </c>
      <c r="L24" s="587" t="s">
        <v>3186</v>
      </c>
      <c r="M24" s="100"/>
    </row>
    <row r="25" spans="1:13" x14ac:dyDescent="0.25">
      <c r="A25" s="102">
        <v>15</v>
      </c>
      <c r="B25" s="102">
        <v>87718</v>
      </c>
      <c r="C25" s="103">
        <v>42017</v>
      </c>
      <c r="D25" s="104" t="s">
        <v>3118</v>
      </c>
      <c r="E25" s="102" t="s">
        <v>545</v>
      </c>
      <c r="F25" s="104" t="s">
        <v>357</v>
      </c>
      <c r="G25" s="105"/>
      <c r="H25" s="99" t="s">
        <v>371</v>
      </c>
      <c r="I25" s="106">
        <v>1</v>
      </c>
      <c r="J25" s="87">
        <f>IF(F25="","",VLOOKUP(F25,ARANCEL!$E$2:$F$123,2,FALSE))</f>
        <v>25800.249999999996</v>
      </c>
      <c r="K25" s="101">
        <f t="shared" si="0"/>
        <v>25800.249999999996</v>
      </c>
      <c r="L25" s="587" t="s">
        <v>3186</v>
      </c>
      <c r="M25" s="100"/>
    </row>
    <row r="26" spans="1:13" x14ac:dyDescent="0.25">
      <c r="A26" s="102">
        <v>16</v>
      </c>
      <c r="B26" s="102">
        <v>87927</v>
      </c>
      <c r="C26" s="103">
        <v>42018</v>
      </c>
      <c r="D26" s="104" t="s">
        <v>3119</v>
      </c>
      <c r="E26" s="102" t="s">
        <v>521</v>
      </c>
      <c r="F26" s="104" t="s">
        <v>357</v>
      </c>
      <c r="G26" s="105"/>
      <c r="H26" s="99" t="s">
        <v>371</v>
      </c>
      <c r="I26" s="106">
        <v>1</v>
      </c>
      <c r="J26" s="87">
        <f>IF(F26="","",VLOOKUP(F26,ARANCEL!$E$2:$F$123,2,FALSE))</f>
        <v>25800.249999999996</v>
      </c>
      <c r="K26" s="101">
        <f t="shared" si="0"/>
        <v>25800.249999999996</v>
      </c>
      <c r="L26" s="587" t="s">
        <v>3186</v>
      </c>
      <c r="M26" s="100"/>
    </row>
    <row r="27" spans="1:13" x14ac:dyDescent="0.25">
      <c r="A27" s="102">
        <v>17</v>
      </c>
      <c r="B27" s="102">
        <v>88203</v>
      </c>
      <c r="C27" s="103">
        <v>42020</v>
      </c>
      <c r="D27" s="104" t="s">
        <v>3120</v>
      </c>
      <c r="E27" s="102" t="s">
        <v>521</v>
      </c>
      <c r="F27" s="104" t="s">
        <v>537</v>
      </c>
      <c r="G27" s="105"/>
      <c r="H27" s="99" t="s">
        <v>431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587" t="s">
        <v>3186</v>
      </c>
      <c r="M27" s="100"/>
    </row>
    <row r="28" spans="1:13" x14ac:dyDescent="0.25">
      <c r="A28" s="102">
        <v>18</v>
      </c>
      <c r="B28" s="102">
        <v>88194</v>
      </c>
      <c r="C28" s="103">
        <v>42017</v>
      </c>
      <c r="D28" s="104" t="s">
        <v>3121</v>
      </c>
      <c r="E28" s="102" t="s">
        <v>545</v>
      </c>
      <c r="F28" s="104" t="s">
        <v>217</v>
      </c>
      <c r="G28" s="105"/>
      <c r="H28" s="99" t="s">
        <v>371</v>
      </c>
      <c r="I28" s="106">
        <v>1</v>
      </c>
      <c r="J28" s="87">
        <f>IF(F28="","",VLOOKUP(F28,ARANCEL!$E$2:$F$123,2,FALSE))</f>
        <v>44597.287499999999</v>
      </c>
      <c r="K28" s="101">
        <f t="shared" si="0"/>
        <v>44597.287499999999</v>
      </c>
      <c r="L28" s="587" t="s">
        <v>3186</v>
      </c>
      <c r="M28" s="100"/>
    </row>
    <row r="29" spans="1:13" x14ac:dyDescent="0.25">
      <c r="A29" s="91">
        <v>19</v>
      </c>
      <c r="B29" s="102">
        <v>88697</v>
      </c>
      <c r="C29" s="103">
        <v>42019</v>
      </c>
      <c r="D29" s="104" t="s">
        <v>3122</v>
      </c>
      <c r="E29" s="102" t="s">
        <v>1030</v>
      </c>
      <c r="F29" s="104" t="s">
        <v>3123</v>
      </c>
      <c r="G29" s="105"/>
      <c r="H29" s="99" t="s">
        <v>371</v>
      </c>
      <c r="I29" s="106">
        <v>1</v>
      </c>
      <c r="J29" s="87">
        <f>IF(F29="","",VLOOKUP(F29,ARANCEL!$E$2:$F$123,2,FALSE))</f>
        <v>15721.88</v>
      </c>
      <c r="K29" s="101">
        <f t="shared" si="0"/>
        <v>15721.88</v>
      </c>
      <c r="L29" s="587" t="s">
        <v>3186</v>
      </c>
      <c r="M29" s="100"/>
    </row>
    <row r="30" spans="1:13" x14ac:dyDescent="0.25">
      <c r="A30" s="102">
        <v>20</v>
      </c>
      <c r="B30" s="102">
        <v>88659</v>
      </c>
      <c r="C30" s="103">
        <v>42023</v>
      </c>
      <c r="D30" s="104" t="s">
        <v>3124</v>
      </c>
      <c r="E30" s="102" t="s">
        <v>545</v>
      </c>
      <c r="F30" s="104" t="s">
        <v>116</v>
      </c>
      <c r="G30" s="105"/>
      <c r="H30" s="99" t="s">
        <v>431</v>
      </c>
      <c r="I30" s="106">
        <v>1</v>
      </c>
      <c r="J30" s="87">
        <f>IF(F30="","",VLOOKUP(F30,ARANCEL!$E$2:$F$123,2,FALSE))</f>
        <v>5274.3600000000006</v>
      </c>
      <c r="K30" s="101">
        <f t="shared" si="0"/>
        <v>5274.3600000000006</v>
      </c>
      <c r="L30" s="587" t="s">
        <v>3186</v>
      </c>
      <c r="M30" s="100"/>
    </row>
    <row r="31" spans="1:13" x14ac:dyDescent="0.25">
      <c r="A31" s="102">
        <v>21</v>
      </c>
      <c r="B31" s="102">
        <v>88659</v>
      </c>
      <c r="C31" s="103">
        <v>42023</v>
      </c>
      <c r="D31" s="104" t="s">
        <v>3124</v>
      </c>
      <c r="E31" s="102" t="s">
        <v>545</v>
      </c>
      <c r="F31" s="104" t="s">
        <v>210</v>
      </c>
      <c r="G31" s="105"/>
      <c r="H31" s="99" t="s">
        <v>431</v>
      </c>
      <c r="I31" s="106">
        <v>1</v>
      </c>
      <c r="J31" s="87">
        <f>IF(F31="","",VLOOKUP(F31,ARANCEL!$E$2:$F$123,2,FALSE))</f>
        <v>14098.999999999998</v>
      </c>
      <c r="K31" s="101">
        <f t="shared" si="0"/>
        <v>14098.999999999998</v>
      </c>
      <c r="L31" s="587" t="s">
        <v>3186</v>
      </c>
      <c r="M31" s="100"/>
    </row>
    <row r="32" spans="1:13" x14ac:dyDescent="0.25">
      <c r="A32" s="102">
        <v>22</v>
      </c>
      <c r="B32" s="102">
        <v>88632</v>
      </c>
      <c r="C32" s="103">
        <v>42025</v>
      </c>
      <c r="D32" s="104" t="s">
        <v>3125</v>
      </c>
      <c r="E32" s="102" t="s">
        <v>545</v>
      </c>
      <c r="F32" s="104" t="s">
        <v>537</v>
      </c>
      <c r="G32" s="105"/>
      <c r="H32" s="99" t="s">
        <v>568</v>
      </c>
      <c r="I32" s="106">
        <v>1</v>
      </c>
      <c r="J32" s="87">
        <f>IF(F32="","",VLOOKUP(F32,ARANCEL!$E$2:$F$123,2,FALSE))</f>
        <v>30428.999999999996</v>
      </c>
      <c r="K32" s="101">
        <f t="shared" si="0"/>
        <v>30428.999999999996</v>
      </c>
      <c r="L32" s="587" t="s">
        <v>3186</v>
      </c>
      <c r="M32" s="100"/>
    </row>
    <row r="33" spans="1:13" x14ac:dyDescent="0.25">
      <c r="A33" s="102">
        <v>23</v>
      </c>
      <c r="B33" s="102">
        <v>89238</v>
      </c>
      <c r="C33" s="103">
        <v>42024</v>
      </c>
      <c r="D33" s="104" t="s">
        <v>3126</v>
      </c>
      <c r="E33" s="102" t="s">
        <v>545</v>
      </c>
      <c r="F33" s="104" t="s">
        <v>537</v>
      </c>
      <c r="G33" s="105"/>
      <c r="H33" s="99" t="s">
        <v>527</v>
      </c>
      <c r="I33" s="106">
        <v>1</v>
      </c>
      <c r="J33" s="87">
        <f>IF(F33="","",VLOOKUP(F33,ARANCEL!$E$2:$F$123,2,FALSE))</f>
        <v>30428.999999999996</v>
      </c>
      <c r="K33" s="101">
        <f t="shared" si="0"/>
        <v>30428.999999999996</v>
      </c>
      <c r="L33" s="587" t="s">
        <v>3186</v>
      </c>
      <c r="M33" s="100"/>
    </row>
    <row r="34" spans="1:13" x14ac:dyDescent="0.25">
      <c r="A34" s="91">
        <v>24</v>
      </c>
      <c r="B34" s="102">
        <v>89228</v>
      </c>
      <c r="C34" s="103">
        <v>42023</v>
      </c>
      <c r="D34" s="104" t="s">
        <v>3127</v>
      </c>
      <c r="E34" s="102" t="s">
        <v>545</v>
      </c>
      <c r="F34" s="104" t="s">
        <v>537</v>
      </c>
      <c r="G34" s="105"/>
      <c r="H34" s="99" t="s">
        <v>527</v>
      </c>
      <c r="I34" s="106">
        <v>1</v>
      </c>
      <c r="J34" s="87">
        <f>IF(F34="","",VLOOKUP(F34,ARANCEL!$E$2:$F$123,2,FALSE))</f>
        <v>30428.999999999996</v>
      </c>
      <c r="K34" s="101">
        <f t="shared" ref="K34:K46" si="1">IF(I34=0,"",J34*I34)</f>
        <v>30428.999999999996</v>
      </c>
      <c r="L34" s="587" t="s">
        <v>3186</v>
      </c>
      <c r="M34" s="100"/>
    </row>
    <row r="35" spans="1:13" x14ac:dyDescent="0.25">
      <c r="A35" s="102">
        <v>25</v>
      </c>
      <c r="B35" s="102">
        <v>89157</v>
      </c>
      <c r="C35" s="103">
        <v>42020</v>
      </c>
      <c r="D35" s="104" t="s">
        <v>3128</v>
      </c>
      <c r="E35" s="102" t="s">
        <v>521</v>
      </c>
      <c r="F35" s="104" t="s">
        <v>217</v>
      </c>
      <c r="G35" s="105"/>
      <c r="H35" s="99" t="s">
        <v>387</v>
      </c>
      <c r="I35" s="106">
        <v>2</v>
      </c>
      <c r="J35" s="87">
        <f>IF(F35="","",VLOOKUP(F35,ARANCEL!$E$2:$F$123,2,FALSE))</f>
        <v>44597.287499999999</v>
      </c>
      <c r="K35" s="101">
        <f t="shared" si="1"/>
        <v>89194.574999999997</v>
      </c>
      <c r="L35" s="587" t="s">
        <v>3186</v>
      </c>
      <c r="M35" s="100"/>
    </row>
    <row r="36" spans="1:13" x14ac:dyDescent="0.25">
      <c r="A36" s="102">
        <v>26</v>
      </c>
      <c r="B36" s="102">
        <v>89523</v>
      </c>
      <c r="C36" s="103">
        <v>42023</v>
      </c>
      <c r="D36" s="104" t="s">
        <v>3130</v>
      </c>
      <c r="E36" s="102" t="s">
        <v>1558</v>
      </c>
      <c r="F36" s="104" t="s">
        <v>195</v>
      </c>
      <c r="G36" s="105"/>
      <c r="H36" s="99" t="s">
        <v>371</v>
      </c>
      <c r="I36" s="106">
        <v>1</v>
      </c>
      <c r="J36" s="87">
        <f>IF(F36="","",VLOOKUP(F36,ARANCEL!$E$2:$F$123,2,FALSE))</f>
        <v>36514.799999999996</v>
      </c>
      <c r="K36" s="101">
        <f t="shared" si="1"/>
        <v>36514.799999999996</v>
      </c>
      <c r="L36" s="587" t="s">
        <v>3186</v>
      </c>
      <c r="M36" s="100"/>
    </row>
    <row r="37" spans="1:13" x14ac:dyDescent="0.25">
      <c r="A37" s="102">
        <v>27</v>
      </c>
      <c r="B37" s="102">
        <v>89420</v>
      </c>
      <c r="C37" s="103">
        <v>42024</v>
      </c>
      <c r="D37" s="104" t="s">
        <v>3131</v>
      </c>
      <c r="E37" s="102" t="s">
        <v>545</v>
      </c>
      <c r="F37" s="104" t="s">
        <v>217</v>
      </c>
      <c r="G37" s="105"/>
      <c r="H37" s="99" t="s">
        <v>369</v>
      </c>
      <c r="I37" s="106">
        <v>1</v>
      </c>
      <c r="J37" s="87">
        <f>IF(F37="","",VLOOKUP(F37,ARANCEL!$E$2:$F$123,2,FALSE))</f>
        <v>44597.287499999999</v>
      </c>
      <c r="K37" s="101">
        <f t="shared" si="1"/>
        <v>44597.287499999999</v>
      </c>
      <c r="L37" s="587" t="s">
        <v>3186</v>
      </c>
      <c r="M37" s="100"/>
    </row>
    <row r="38" spans="1:13" x14ac:dyDescent="0.25">
      <c r="A38" s="102">
        <v>28</v>
      </c>
      <c r="B38" s="102">
        <v>89458</v>
      </c>
      <c r="C38" s="103">
        <v>42025</v>
      </c>
      <c r="D38" s="104" t="s">
        <v>1709</v>
      </c>
      <c r="E38" s="102" t="s">
        <v>521</v>
      </c>
      <c r="F38" s="104" t="s">
        <v>210</v>
      </c>
      <c r="G38" s="105"/>
      <c r="H38" s="99" t="s">
        <v>434</v>
      </c>
      <c r="I38" s="106">
        <v>1</v>
      </c>
      <c r="J38" s="87">
        <f>IF(F38="","",VLOOKUP(F38,ARANCEL!$E$2:$F$123,2,FALSE))</f>
        <v>14098.999999999998</v>
      </c>
      <c r="K38" s="101">
        <f t="shared" si="1"/>
        <v>14098.999999999998</v>
      </c>
      <c r="L38" s="587" t="s">
        <v>3186</v>
      </c>
      <c r="M38" s="100"/>
    </row>
    <row r="39" spans="1:13" x14ac:dyDescent="0.25">
      <c r="A39" s="102">
        <v>29</v>
      </c>
      <c r="B39" s="102">
        <v>89585</v>
      </c>
      <c r="C39" s="103">
        <v>42019</v>
      </c>
      <c r="D39" s="104" t="s">
        <v>3132</v>
      </c>
      <c r="E39" s="102" t="s">
        <v>545</v>
      </c>
      <c r="F39" s="104" t="s">
        <v>217</v>
      </c>
      <c r="G39" s="105"/>
      <c r="H39" s="99" t="s">
        <v>371</v>
      </c>
      <c r="I39" s="106">
        <v>1</v>
      </c>
      <c r="J39" s="87">
        <f>IF(F39="","",VLOOKUP(F39,ARANCEL!$E$2:$F$123,2,FALSE))</f>
        <v>44597.287499999999</v>
      </c>
      <c r="K39" s="101">
        <f t="shared" si="1"/>
        <v>44597.287499999999</v>
      </c>
      <c r="L39" s="587" t="s">
        <v>3186</v>
      </c>
      <c r="M39" s="100"/>
    </row>
    <row r="40" spans="1:13" x14ac:dyDescent="0.25">
      <c r="A40" s="102">
        <v>30</v>
      </c>
      <c r="B40" s="102">
        <v>86445</v>
      </c>
      <c r="C40" s="103">
        <v>42017</v>
      </c>
      <c r="D40" s="104" t="s">
        <v>3133</v>
      </c>
      <c r="E40" s="102" t="s">
        <v>521</v>
      </c>
      <c r="F40" s="104" t="s">
        <v>188</v>
      </c>
      <c r="G40" s="105"/>
      <c r="H40" s="99" t="s">
        <v>3134</v>
      </c>
      <c r="I40" s="106">
        <v>3</v>
      </c>
      <c r="J40" s="87">
        <f>IF(F40="","",VLOOKUP(F40,ARANCEL!$E$2:$F$123,2,FALSE))</f>
        <v>42600.6</v>
      </c>
      <c r="K40" s="101">
        <f t="shared" si="1"/>
        <v>127801.79999999999</v>
      </c>
      <c r="L40" s="587" t="s">
        <v>3186</v>
      </c>
      <c r="M40" s="100" t="s">
        <v>3135</v>
      </c>
    </row>
    <row r="41" spans="1:13" x14ac:dyDescent="0.25">
      <c r="A41" s="102">
        <v>31</v>
      </c>
      <c r="B41" s="102">
        <v>90000</v>
      </c>
      <c r="C41" s="103">
        <v>42025</v>
      </c>
      <c r="D41" s="104" t="s">
        <v>3159</v>
      </c>
      <c r="E41" s="102" t="s">
        <v>1603</v>
      </c>
      <c r="F41" s="104" t="s">
        <v>537</v>
      </c>
      <c r="G41" s="105"/>
      <c r="H41" s="99" t="s">
        <v>434</v>
      </c>
      <c r="I41" s="106">
        <v>1</v>
      </c>
      <c r="J41" s="87">
        <f>IF(F41="","",VLOOKUP(F41,ARANCEL!$E$2:$F$123,2,FALSE))</f>
        <v>30428.999999999996</v>
      </c>
      <c r="K41" s="101">
        <f t="shared" si="1"/>
        <v>30428.999999999996</v>
      </c>
      <c r="L41" s="587" t="s">
        <v>3186</v>
      </c>
      <c r="M41" s="100"/>
    </row>
    <row r="42" spans="1:13" x14ac:dyDescent="0.25">
      <c r="A42" s="102">
        <v>32</v>
      </c>
      <c r="B42" s="102">
        <v>90078</v>
      </c>
      <c r="C42" s="103">
        <v>42025</v>
      </c>
      <c r="D42" s="104" t="s">
        <v>3160</v>
      </c>
      <c r="E42" s="102" t="s">
        <v>521</v>
      </c>
      <c r="F42" s="104" t="s">
        <v>1579</v>
      </c>
      <c r="G42" s="105"/>
      <c r="H42" s="99" t="s">
        <v>392</v>
      </c>
      <c r="I42" s="106">
        <v>1</v>
      </c>
      <c r="J42" s="87">
        <v>63583</v>
      </c>
      <c r="K42" s="101">
        <f t="shared" si="1"/>
        <v>63583</v>
      </c>
      <c r="L42" s="587" t="s">
        <v>3186</v>
      </c>
      <c r="M42" s="100"/>
    </row>
    <row r="43" spans="1:13" x14ac:dyDescent="0.25">
      <c r="A43" s="102">
        <v>33</v>
      </c>
      <c r="B43" s="102">
        <v>90077</v>
      </c>
      <c r="C43" s="103">
        <v>42024</v>
      </c>
      <c r="D43" s="104" t="s">
        <v>3161</v>
      </c>
      <c r="E43" s="102" t="s">
        <v>521</v>
      </c>
      <c r="F43" s="104" t="s">
        <v>1579</v>
      </c>
      <c r="G43" s="105"/>
      <c r="H43" s="99" t="s">
        <v>431</v>
      </c>
      <c r="I43" s="106">
        <v>1</v>
      </c>
      <c r="J43" s="87">
        <v>63583</v>
      </c>
      <c r="K43" s="101">
        <f t="shared" si="1"/>
        <v>63583</v>
      </c>
      <c r="L43" s="587" t="s">
        <v>3186</v>
      </c>
      <c r="M43" s="100"/>
    </row>
    <row r="44" spans="1:13" x14ac:dyDescent="0.25">
      <c r="A44" s="102">
        <v>34</v>
      </c>
      <c r="B44" s="102">
        <v>90894</v>
      </c>
      <c r="C44" s="103">
        <v>42027</v>
      </c>
      <c r="D44" s="104" t="s">
        <v>3170</v>
      </c>
      <c r="E44" s="102" t="s">
        <v>545</v>
      </c>
      <c r="F44" s="104" t="s">
        <v>116</v>
      </c>
      <c r="G44" s="105"/>
      <c r="H44" s="99" t="s">
        <v>410</v>
      </c>
      <c r="I44" s="106">
        <v>1</v>
      </c>
      <c r="J44" s="87">
        <f>IF(F44="","",VLOOKUP(F44,ARANCEL!$E$2:$F$123,2,FALSE))</f>
        <v>5274.3600000000006</v>
      </c>
      <c r="K44" s="101">
        <f t="shared" si="1"/>
        <v>5274.3600000000006</v>
      </c>
      <c r="L44" s="587" t="s">
        <v>3186</v>
      </c>
      <c r="M44" s="100"/>
    </row>
    <row r="45" spans="1:13" x14ac:dyDescent="0.25">
      <c r="A45" s="102">
        <v>35</v>
      </c>
      <c r="B45" s="102">
        <v>90894</v>
      </c>
      <c r="C45" s="103">
        <v>42027</v>
      </c>
      <c r="D45" s="104" t="s">
        <v>3170</v>
      </c>
      <c r="E45" s="102" t="s">
        <v>545</v>
      </c>
      <c r="F45" s="104" t="s">
        <v>116</v>
      </c>
      <c r="G45" s="105"/>
      <c r="H45" s="99" t="s">
        <v>410</v>
      </c>
      <c r="I45" s="106">
        <v>1</v>
      </c>
      <c r="J45" s="87">
        <f>IF(F45="","",VLOOKUP(F45,ARANCEL!$E$2:$F$123,2,FALSE))</f>
        <v>5274.3600000000006</v>
      </c>
      <c r="K45" s="101">
        <f t="shared" si="1"/>
        <v>5274.3600000000006</v>
      </c>
      <c r="L45" s="587" t="s">
        <v>3186</v>
      </c>
      <c r="M45" s="100"/>
    </row>
    <row r="46" spans="1:13" x14ac:dyDescent="0.25">
      <c r="A46" s="91">
        <v>36</v>
      </c>
      <c r="B46" s="102">
        <v>90683</v>
      </c>
      <c r="C46" s="103">
        <v>42027</v>
      </c>
      <c r="D46" s="104" t="s">
        <v>3171</v>
      </c>
      <c r="E46" s="102" t="s">
        <v>545</v>
      </c>
      <c r="F46" s="104" t="s">
        <v>116</v>
      </c>
      <c r="G46" s="105"/>
      <c r="H46" s="99" t="s">
        <v>383</v>
      </c>
      <c r="I46" s="106">
        <v>1</v>
      </c>
      <c r="J46" s="87">
        <f>IF(F46="","",VLOOKUP(F46,ARANCEL!$E$2:$F$123,2,FALSE))</f>
        <v>5274.3600000000006</v>
      </c>
      <c r="K46" s="101">
        <f t="shared" si="1"/>
        <v>5274.3600000000006</v>
      </c>
      <c r="L46" s="587" t="s">
        <v>3186</v>
      </c>
      <c r="M46" s="100"/>
    </row>
    <row r="47" spans="1:13" x14ac:dyDescent="0.25">
      <c r="A47" s="102">
        <v>34</v>
      </c>
      <c r="B47" s="102">
        <v>90683</v>
      </c>
      <c r="C47" s="103">
        <v>42027</v>
      </c>
      <c r="D47" s="104" t="s">
        <v>3171</v>
      </c>
      <c r="E47" s="102" t="s">
        <v>545</v>
      </c>
      <c r="F47" s="104" t="s">
        <v>210</v>
      </c>
      <c r="G47" s="105"/>
      <c r="H47" s="99" t="s">
        <v>383</v>
      </c>
      <c r="I47" s="106">
        <v>1</v>
      </c>
      <c r="J47" s="87">
        <f>IF(F47="","",VLOOKUP(F47,ARANCEL!$E$2:$F$123,2,FALSE))</f>
        <v>14098.999999999998</v>
      </c>
      <c r="K47" s="101">
        <f t="shared" ref="K47:K50" si="2">IF(I47=0,"",J47*I47)</f>
        <v>14098.999999999998</v>
      </c>
      <c r="L47" s="587" t="s">
        <v>3186</v>
      </c>
      <c r="M47" s="100"/>
    </row>
    <row r="48" spans="1:13" x14ac:dyDescent="0.25">
      <c r="A48" s="102">
        <v>35</v>
      </c>
      <c r="B48" s="102">
        <v>90323</v>
      </c>
      <c r="C48" s="103">
        <v>42026</v>
      </c>
      <c r="D48" s="104" t="s">
        <v>3172</v>
      </c>
      <c r="E48" s="102" t="s">
        <v>1603</v>
      </c>
      <c r="F48" s="104" t="s">
        <v>116</v>
      </c>
      <c r="G48" s="105"/>
      <c r="H48" s="99" t="s">
        <v>445</v>
      </c>
      <c r="I48" s="106">
        <v>1</v>
      </c>
      <c r="J48" s="87">
        <f>IF(F48="","",VLOOKUP(F48,ARANCEL!$E$2:$F$123,2,FALSE))</f>
        <v>5274.3600000000006</v>
      </c>
      <c r="K48" s="101">
        <f t="shared" si="2"/>
        <v>5274.3600000000006</v>
      </c>
      <c r="L48" s="587" t="s">
        <v>3186</v>
      </c>
      <c r="M48" s="100"/>
    </row>
    <row r="49" spans="1:13" x14ac:dyDescent="0.25">
      <c r="A49" s="91">
        <v>36</v>
      </c>
      <c r="B49" s="102">
        <v>90445</v>
      </c>
      <c r="C49" s="103">
        <v>42025</v>
      </c>
      <c r="D49" s="104" t="s">
        <v>1709</v>
      </c>
      <c r="E49" s="102" t="s">
        <v>521</v>
      </c>
      <c r="F49" s="104" t="s">
        <v>115</v>
      </c>
      <c r="G49" s="105"/>
      <c r="H49" s="99" t="s">
        <v>431</v>
      </c>
      <c r="I49" s="106">
        <v>1</v>
      </c>
      <c r="J49" s="87">
        <f>IF(F49="","",VLOOKUP(F49,ARANCEL!$E$2:$F$123,2,FALSE))</f>
        <v>33370.239999999998</v>
      </c>
      <c r="K49" s="101">
        <f t="shared" si="2"/>
        <v>33370.239999999998</v>
      </c>
      <c r="L49" s="587" t="s">
        <v>3186</v>
      </c>
      <c r="M49" s="100"/>
    </row>
    <row r="50" spans="1:13" x14ac:dyDescent="0.25">
      <c r="A50" s="91">
        <v>36</v>
      </c>
      <c r="B50" s="102">
        <v>90306</v>
      </c>
      <c r="C50" s="103">
        <v>42024</v>
      </c>
      <c r="D50" s="104" t="s">
        <v>551</v>
      </c>
      <c r="E50" s="102" t="s">
        <v>545</v>
      </c>
      <c r="F50" s="104" t="s">
        <v>116</v>
      </c>
      <c r="G50" s="105"/>
      <c r="H50" s="99" t="s">
        <v>472</v>
      </c>
      <c r="I50" s="106">
        <v>1</v>
      </c>
      <c r="J50" s="87">
        <f>IF(F50="","",VLOOKUP(F50,ARANCEL!$E$2:$F$123,2,FALSE))</f>
        <v>5274.3600000000006</v>
      </c>
      <c r="K50" s="101">
        <f t="shared" si="2"/>
        <v>5274.3600000000006</v>
      </c>
      <c r="L50" s="587" t="s">
        <v>3186</v>
      </c>
      <c r="M50" s="100"/>
    </row>
    <row r="51" spans="1:13" x14ac:dyDescent="0.25">
      <c r="A51" s="102">
        <v>34</v>
      </c>
      <c r="B51" s="102">
        <v>90306</v>
      </c>
      <c r="C51" s="103">
        <v>42024</v>
      </c>
      <c r="D51" s="104" t="s">
        <v>551</v>
      </c>
      <c r="E51" s="102" t="s">
        <v>545</v>
      </c>
      <c r="F51" s="104" t="s">
        <v>210</v>
      </c>
      <c r="G51" s="105"/>
      <c r="H51" s="99" t="s">
        <v>472</v>
      </c>
      <c r="I51" s="106">
        <v>1</v>
      </c>
      <c r="J51" s="87">
        <f>IF(F51="","",VLOOKUP(F51,ARANCEL!$E$2:$F$123,2,FALSE))</f>
        <v>14098.999999999998</v>
      </c>
      <c r="K51" s="101">
        <f t="shared" ref="K51:K53" si="3">IF(I51=0,"",J51*I51)</f>
        <v>14098.999999999998</v>
      </c>
      <c r="L51" s="587" t="s">
        <v>3186</v>
      </c>
      <c r="M51" s="100"/>
    </row>
    <row r="52" spans="1:13" x14ac:dyDescent="0.25">
      <c r="A52" s="102">
        <v>35</v>
      </c>
      <c r="B52" s="102">
        <v>90412</v>
      </c>
      <c r="C52" s="103">
        <v>42025</v>
      </c>
      <c r="D52" s="104" t="s">
        <v>1669</v>
      </c>
      <c r="E52" s="102" t="s">
        <v>545</v>
      </c>
      <c r="F52" s="104" t="s">
        <v>115</v>
      </c>
      <c r="G52" s="105"/>
      <c r="H52" s="99" t="s">
        <v>419</v>
      </c>
      <c r="I52" s="106">
        <v>1</v>
      </c>
      <c r="J52" s="87">
        <f>IF(F52="","",VLOOKUP(F52,ARANCEL!$E$2:$F$123,2,FALSE))</f>
        <v>33370.239999999998</v>
      </c>
      <c r="K52" s="101">
        <f t="shared" si="3"/>
        <v>33370.239999999998</v>
      </c>
      <c r="L52" s="587" t="s">
        <v>3186</v>
      </c>
      <c r="M52" s="100"/>
    </row>
    <row r="53" spans="1:13" x14ac:dyDescent="0.25">
      <c r="A53" s="91">
        <v>36</v>
      </c>
      <c r="B53" s="102">
        <v>90589</v>
      </c>
      <c r="C53" s="103">
        <v>42026</v>
      </c>
      <c r="D53" s="104" t="s">
        <v>3176</v>
      </c>
      <c r="E53" s="102" t="s">
        <v>545</v>
      </c>
      <c r="F53" s="104" t="s">
        <v>537</v>
      </c>
      <c r="G53" s="105"/>
      <c r="H53" s="99" t="s">
        <v>392</v>
      </c>
      <c r="I53" s="106">
        <v>1</v>
      </c>
      <c r="J53" s="87">
        <f>IF(F53="","",VLOOKUP(F53,ARANCEL!$E$2:$F$123,2,FALSE))</f>
        <v>30428.999999999996</v>
      </c>
      <c r="K53" s="101">
        <f t="shared" si="3"/>
        <v>30428.999999999996</v>
      </c>
      <c r="L53" s="587" t="s">
        <v>3186</v>
      </c>
      <c r="M53" s="100"/>
    </row>
    <row r="54" spans="1:13" x14ac:dyDescent="0.25">
      <c r="A54" s="102">
        <v>35</v>
      </c>
      <c r="B54" s="102">
        <v>90717</v>
      </c>
      <c r="C54" s="103">
        <v>42027</v>
      </c>
      <c r="D54" s="104" t="s">
        <v>3177</v>
      </c>
      <c r="E54" s="102" t="s">
        <v>521</v>
      </c>
      <c r="F54" s="104" t="s">
        <v>537</v>
      </c>
      <c r="G54" s="105"/>
      <c r="H54" s="99" t="s">
        <v>527</v>
      </c>
      <c r="I54" s="106">
        <v>1</v>
      </c>
      <c r="J54" s="87">
        <f>IF(F54="","",VLOOKUP(F54,ARANCEL!$E$2:$F$123,2,FALSE))</f>
        <v>30428.999999999996</v>
      </c>
      <c r="K54" s="101">
        <f t="shared" ref="K54:K55" si="4">IF(I54=0,"",J54*I54)</f>
        <v>30428.999999999996</v>
      </c>
      <c r="L54" s="587" t="s">
        <v>3186</v>
      </c>
      <c r="M54" s="100"/>
    </row>
    <row r="55" spans="1:13" x14ac:dyDescent="0.25">
      <c r="A55" s="91">
        <v>36</v>
      </c>
      <c r="B55" s="102"/>
      <c r="C55" s="103"/>
      <c r="D55" s="104"/>
      <c r="E55" s="102"/>
      <c r="F55" s="104"/>
      <c r="G55" s="105"/>
      <c r="H55" s="99"/>
      <c r="I55" s="106"/>
      <c r="J55" s="87" t="str">
        <f>IF(F55="","",VLOOKUP(F55,ARANCEL!$E$2:$F$123,2,FALSE))</f>
        <v/>
      </c>
      <c r="K55" s="101" t="str">
        <f t="shared" si="4"/>
        <v/>
      </c>
      <c r="L55" s="99"/>
      <c r="M55" s="100"/>
    </row>
    <row r="56" spans="1:13" x14ac:dyDescent="0.25">
      <c r="A56" s="102">
        <v>35</v>
      </c>
      <c r="B56" s="102"/>
      <c r="C56" s="103"/>
      <c r="D56" s="104"/>
      <c r="E56" s="102"/>
      <c r="F56" s="104"/>
      <c r="G56" s="105"/>
      <c r="H56" s="99"/>
      <c r="I56" s="106"/>
      <c r="J56" s="87" t="str">
        <f>IF(F56="","",VLOOKUP(F56,ARANCEL!$E$2:$F$123,2,FALSE))</f>
        <v/>
      </c>
      <c r="K56" s="101" t="str">
        <f t="shared" ref="K56:K57" si="5">IF(I56=0,"",J56*I56)</f>
        <v/>
      </c>
      <c r="L56" s="99"/>
      <c r="M56" s="100"/>
    </row>
    <row r="57" spans="1:13" x14ac:dyDescent="0.25">
      <c r="A57" s="91">
        <v>36</v>
      </c>
      <c r="B57" s="102"/>
      <c r="C57" s="103"/>
      <c r="D57" s="104"/>
      <c r="E57" s="102"/>
      <c r="F57" s="104"/>
      <c r="G57" s="105"/>
      <c r="H57" s="99"/>
      <c r="I57" s="106"/>
      <c r="J57" s="87" t="str">
        <f>IF(F57="","",VLOOKUP(F57,ARANCEL!$E$2:$F$123,2,FALSE))</f>
        <v/>
      </c>
      <c r="K57" s="101" t="str">
        <f t="shared" si="5"/>
        <v/>
      </c>
      <c r="L57" s="99"/>
      <c r="M57" s="100"/>
    </row>
    <row r="60" spans="1:13" ht="20.25" customHeight="1" x14ac:dyDescent="0.25">
      <c r="A60" s="593" t="s">
        <v>366</v>
      </c>
      <c r="B60" s="593"/>
      <c r="C60" s="593"/>
      <c r="D60" s="593"/>
      <c r="E60" s="593"/>
      <c r="F60" s="593"/>
      <c r="G60" s="593"/>
      <c r="H60" s="593"/>
      <c r="I60" s="593"/>
      <c r="J60" s="593"/>
      <c r="K60" s="593"/>
    </row>
    <row r="61" spans="1:13" ht="24" x14ac:dyDescent="0.25">
      <c r="A61" s="89" t="s">
        <v>96</v>
      </c>
      <c r="B61" s="89" t="s">
        <v>97</v>
      </c>
      <c r="C61" s="90" t="s">
        <v>101</v>
      </c>
      <c r="D61" s="89" t="s">
        <v>98</v>
      </c>
      <c r="E61" s="89" t="s">
        <v>99</v>
      </c>
      <c r="F61" s="89" t="s">
        <v>100</v>
      </c>
      <c r="G61" s="89" t="s">
        <v>103</v>
      </c>
      <c r="H61" s="89" t="s">
        <v>102</v>
      </c>
      <c r="I61" s="89" t="s">
        <v>108</v>
      </c>
      <c r="J61" s="90" t="s">
        <v>104</v>
      </c>
      <c r="K61" s="90" t="s">
        <v>105</v>
      </c>
      <c r="L61" s="90" t="s">
        <v>168</v>
      </c>
      <c r="M61" s="90" t="s">
        <v>106</v>
      </c>
    </row>
    <row r="62" spans="1:13" x14ac:dyDescent="0.25">
      <c r="A62" s="91">
        <v>1</v>
      </c>
      <c r="B62" s="583">
        <v>859810</v>
      </c>
      <c r="C62" s="584">
        <v>42010</v>
      </c>
      <c r="D62" s="585" t="s">
        <v>544</v>
      </c>
      <c r="E62" s="583" t="s">
        <v>545</v>
      </c>
      <c r="F62" s="585" t="s">
        <v>399</v>
      </c>
      <c r="G62" s="9"/>
      <c r="H62" s="12" t="s">
        <v>546</v>
      </c>
      <c r="I62" s="120">
        <v>2</v>
      </c>
      <c r="J62" s="87"/>
      <c r="K62" s="88"/>
      <c r="L62" s="12"/>
      <c r="M62" s="93"/>
    </row>
    <row r="63" spans="1:13" x14ac:dyDescent="0.25">
      <c r="A63" s="91">
        <v>2</v>
      </c>
      <c r="B63" s="583">
        <v>85077</v>
      </c>
      <c r="C63" s="584">
        <v>42009</v>
      </c>
      <c r="D63" s="585" t="s">
        <v>549</v>
      </c>
      <c r="E63" s="583" t="s">
        <v>545</v>
      </c>
      <c r="F63" s="585" t="s">
        <v>399</v>
      </c>
      <c r="G63" s="9"/>
      <c r="H63" s="12" t="s">
        <v>410</v>
      </c>
      <c r="I63" s="120">
        <v>1</v>
      </c>
      <c r="J63" s="87"/>
      <c r="K63" s="88"/>
      <c r="L63" s="12"/>
      <c r="M63" s="93"/>
    </row>
    <row r="64" spans="1:13" x14ac:dyDescent="0.25">
      <c r="A64" s="91">
        <v>3</v>
      </c>
      <c r="B64" s="583">
        <v>57061</v>
      </c>
      <c r="C64" s="584">
        <v>41936</v>
      </c>
      <c r="D64" s="585" t="s">
        <v>1682</v>
      </c>
      <c r="E64" s="583" t="s">
        <v>545</v>
      </c>
      <c r="F64" s="585" t="s">
        <v>386</v>
      </c>
      <c r="G64" s="9"/>
      <c r="H64" s="12" t="s">
        <v>369</v>
      </c>
      <c r="I64" s="120">
        <v>1</v>
      </c>
      <c r="J64" s="87"/>
      <c r="K64" s="88"/>
      <c r="L64" s="12"/>
      <c r="M64" s="93"/>
    </row>
    <row r="65" spans="1:13" x14ac:dyDescent="0.25">
      <c r="A65" s="91">
        <v>4</v>
      </c>
      <c r="B65" s="583">
        <v>61800</v>
      </c>
      <c r="C65" s="584">
        <v>41950</v>
      </c>
      <c r="D65" s="585" t="s">
        <v>3104</v>
      </c>
      <c r="E65" s="583" t="s">
        <v>1671</v>
      </c>
      <c r="F65" s="585" t="s">
        <v>3105</v>
      </c>
      <c r="G65" s="9"/>
      <c r="H65" s="12" t="s">
        <v>371</v>
      </c>
      <c r="I65" s="120">
        <v>1</v>
      </c>
      <c r="J65" s="87"/>
      <c r="K65" s="88"/>
      <c r="L65" s="12"/>
      <c r="M65" s="93"/>
    </row>
    <row r="66" spans="1:13" x14ac:dyDescent="0.25">
      <c r="A66" s="91">
        <v>5</v>
      </c>
      <c r="B66" s="583">
        <v>64376</v>
      </c>
      <c r="C66" s="584">
        <v>41957</v>
      </c>
      <c r="D66" s="585" t="s">
        <v>1612</v>
      </c>
      <c r="E66" s="583" t="s">
        <v>545</v>
      </c>
      <c r="F66" s="585" t="s">
        <v>399</v>
      </c>
      <c r="G66" s="9"/>
      <c r="H66" s="12" t="s">
        <v>1655</v>
      </c>
      <c r="I66" s="120">
        <v>3</v>
      </c>
      <c r="J66" s="87"/>
      <c r="K66" s="88"/>
      <c r="L66" s="12"/>
      <c r="M66" s="93"/>
    </row>
    <row r="67" spans="1:13" x14ac:dyDescent="0.25">
      <c r="A67" s="91">
        <v>6</v>
      </c>
      <c r="B67" s="583">
        <v>65902</v>
      </c>
      <c r="C67" s="584">
        <v>41960</v>
      </c>
      <c r="D67" s="585" t="s">
        <v>3106</v>
      </c>
      <c r="E67" s="583" t="s">
        <v>1603</v>
      </c>
      <c r="F67" s="585" t="s">
        <v>409</v>
      </c>
      <c r="G67" s="9"/>
      <c r="H67" s="12" t="s">
        <v>407</v>
      </c>
      <c r="I67" s="120">
        <v>1</v>
      </c>
      <c r="J67" s="87"/>
      <c r="K67" s="88"/>
      <c r="L67" s="12"/>
      <c r="M67" s="93"/>
    </row>
    <row r="68" spans="1:13" x14ac:dyDescent="0.25">
      <c r="A68" s="91">
        <v>7</v>
      </c>
      <c r="B68" s="583">
        <v>65969</v>
      </c>
      <c r="C68" s="584">
        <v>41961</v>
      </c>
      <c r="D68" s="585" t="s">
        <v>3107</v>
      </c>
      <c r="E68" s="583" t="s">
        <v>521</v>
      </c>
      <c r="F68" s="585" t="s">
        <v>448</v>
      </c>
      <c r="G68" s="9"/>
      <c r="H68" s="12" t="s">
        <v>371</v>
      </c>
      <c r="I68" s="120">
        <v>1</v>
      </c>
      <c r="J68" s="87"/>
      <c r="K68" s="88"/>
      <c r="L68" s="12"/>
      <c r="M68" s="93"/>
    </row>
    <row r="69" spans="1:13" x14ac:dyDescent="0.25">
      <c r="A69" s="91">
        <v>8</v>
      </c>
      <c r="B69" s="583">
        <v>68677</v>
      </c>
      <c r="C69" s="584">
        <v>41968</v>
      </c>
      <c r="D69" s="585" t="s">
        <v>3108</v>
      </c>
      <c r="E69" s="583" t="s">
        <v>1603</v>
      </c>
      <c r="F69" s="585" t="s">
        <v>1132</v>
      </c>
      <c r="G69" s="9"/>
      <c r="H69" s="12" t="s">
        <v>407</v>
      </c>
      <c r="I69" s="120">
        <v>1</v>
      </c>
      <c r="J69" s="87"/>
      <c r="K69" s="88"/>
      <c r="L69" s="12"/>
      <c r="M69" s="93"/>
    </row>
    <row r="70" spans="1:13" x14ac:dyDescent="0.25">
      <c r="A70" s="91">
        <v>9</v>
      </c>
      <c r="B70" s="583">
        <v>70316</v>
      </c>
      <c r="C70" s="584">
        <v>41971</v>
      </c>
      <c r="D70" s="585" t="s">
        <v>1623</v>
      </c>
      <c r="E70" s="583" t="s">
        <v>545</v>
      </c>
      <c r="F70" s="585" t="s">
        <v>399</v>
      </c>
      <c r="G70" s="9"/>
      <c r="H70" s="12" t="s">
        <v>1624</v>
      </c>
      <c r="I70" s="120">
        <v>4</v>
      </c>
      <c r="J70" s="87"/>
      <c r="K70" s="88"/>
      <c r="L70" s="12"/>
      <c r="M70" s="93"/>
    </row>
    <row r="71" spans="1:13" x14ac:dyDescent="0.25">
      <c r="A71" s="91">
        <v>11</v>
      </c>
      <c r="B71" s="583">
        <v>74722</v>
      </c>
      <c r="C71" s="584">
        <v>41984</v>
      </c>
      <c r="D71" s="585" t="s">
        <v>3109</v>
      </c>
      <c r="E71" s="583" t="s">
        <v>545</v>
      </c>
      <c r="F71" s="585" t="s">
        <v>386</v>
      </c>
      <c r="G71" s="9"/>
      <c r="H71" s="12" t="s">
        <v>369</v>
      </c>
      <c r="I71" s="120">
        <v>1</v>
      </c>
      <c r="J71" s="87"/>
      <c r="K71" s="88"/>
      <c r="L71" s="12"/>
      <c r="M71" s="93"/>
    </row>
    <row r="72" spans="1:13" x14ac:dyDescent="0.25">
      <c r="A72" s="91">
        <v>12</v>
      </c>
      <c r="B72" s="583">
        <v>53141</v>
      </c>
      <c r="C72" s="584">
        <v>41988</v>
      </c>
      <c r="D72" s="585" t="s">
        <v>3110</v>
      </c>
      <c r="E72" s="583" t="s">
        <v>545</v>
      </c>
      <c r="F72" s="585" t="s">
        <v>386</v>
      </c>
      <c r="G72" s="9"/>
      <c r="H72" s="12" t="s">
        <v>369</v>
      </c>
      <c r="I72" s="120">
        <v>1</v>
      </c>
      <c r="J72" s="87"/>
      <c r="K72" s="88"/>
      <c r="L72" s="12"/>
      <c r="M72" s="93"/>
    </row>
    <row r="73" spans="1:13" x14ac:dyDescent="0.25">
      <c r="A73" s="91">
        <v>13</v>
      </c>
      <c r="B73" s="583" t="s">
        <v>3129</v>
      </c>
      <c r="C73" s="584">
        <v>42023</v>
      </c>
      <c r="D73" s="585" t="s">
        <v>3111</v>
      </c>
      <c r="E73" s="583" t="s">
        <v>545</v>
      </c>
      <c r="F73" s="585" t="s">
        <v>458</v>
      </c>
      <c r="G73" s="9"/>
      <c r="H73" s="12" t="s">
        <v>387</v>
      </c>
      <c r="I73" s="120">
        <v>2</v>
      </c>
      <c r="J73" s="87"/>
      <c r="K73" s="88"/>
      <c r="L73" s="12"/>
      <c r="M73" s="93"/>
    </row>
    <row r="74" spans="1:13" x14ac:dyDescent="0.25">
      <c r="A74" s="91">
        <v>14</v>
      </c>
      <c r="B74" s="583">
        <v>84218</v>
      </c>
      <c r="C74" s="584">
        <v>42002</v>
      </c>
      <c r="D74" s="585" t="s">
        <v>1663</v>
      </c>
      <c r="E74" s="583" t="s">
        <v>545</v>
      </c>
      <c r="F74" s="585" t="s">
        <v>430</v>
      </c>
      <c r="G74" s="9"/>
      <c r="H74" s="12" t="s">
        <v>442</v>
      </c>
      <c r="I74" s="120">
        <v>1</v>
      </c>
      <c r="J74" s="87"/>
      <c r="K74" s="88"/>
      <c r="L74" s="12"/>
      <c r="M74" s="93"/>
    </row>
    <row r="75" spans="1:13" x14ac:dyDescent="0.25">
      <c r="A75" s="91">
        <v>15</v>
      </c>
      <c r="B75" s="583">
        <v>84501</v>
      </c>
      <c r="C75" s="584">
        <v>42003</v>
      </c>
      <c r="D75" s="585" t="s">
        <v>1691</v>
      </c>
      <c r="E75" s="583" t="s">
        <v>545</v>
      </c>
      <c r="F75" s="585" t="s">
        <v>386</v>
      </c>
      <c r="G75" s="9"/>
      <c r="H75" s="12" t="s">
        <v>369</v>
      </c>
      <c r="I75" s="120">
        <v>1</v>
      </c>
      <c r="J75" s="87"/>
      <c r="K75" s="88"/>
      <c r="L75" s="12"/>
      <c r="M75" s="93"/>
    </row>
    <row r="76" spans="1:13" x14ac:dyDescent="0.25">
      <c r="A76" s="91">
        <v>17</v>
      </c>
      <c r="B76" s="583">
        <v>86563</v>
      </c>
      <c r="C76" s="584">
        <v>42012</v>
      </c>
      <c r="D76" s="585" t="s">
        <v>3112</v>
      </c>
      <c r="E76" s="583" t="s">
        <v>521</v>
      </c>
      <c r="F76" s="585" t="s">
        <v>386</v>
      </c>
      <c r="G76" s="9"/>
      <c r="H76" s="12" t="s">
        <v>387</v>
      </c>
      <c r="I76" s="120">
        <v>2</v>
      </c>
      <c r="J76" s="117"/>
      <c r="K76" s="117"/>
      <c r="L76" s="114"/>
      <c r="M76" s="14"/>
    </row>
    <row r="77" spans="1:13" x14ac:dyDescent="0.25">
      <c r="A77" s="91">
        <v>18</v>
      </c>
      <c r="B77" s="583">
        <v>88797</v>
      </c>
      <c r="C77" s="584">
        <v>42019</v>
      </c>
      <c r="D77" s="585" t="s">
        <v>3121</v>
      </c>
      <c r="E77" s="583" t="s">
        <v>545</v>
      </c>
      <c r="F77" s="585" t="s">
        <v>386</v>
      </c>
      <c r="G77" s="9"/>
      <c r="H77" s="12" t="s">
        <v>369</v>
      </c>
      <c r="I77" s="120">
        <v>1</v>
      </c>
      <c r="J77" s="117"/>
      <c r="K77" s="117"/>
      <c r="L77" s="114"/>
      <c r="M77" s="14"/>
    </row>
    <row r="78" spans="1:13" x14ac:dyDescent="0.25">
      <c r="A78" s="91">
        <v>19</v>
      </c>
      <c r="B78" s="583">
        <v>89585</v>
      </c>
      <c r="C78" s="584">
        <v>42019</v>
      </c>
      <c r="D78" s="585" t="s">
        <v>3132</v>
      </c>
      <c r="E78" s="583" t="s">
        <v>545</v>
      </c>
      <c r="F78" s="585" t="s">
        <v>386</v>
      </c>
      <c r="G78" s="9"/>
      <c r="H78" s="12" t="s">
        <v>369</v>
      </c>
      <c r="I78" s="120">
        <v>1</v>
      </c>
      <c r="J78" s="117"/>
      <c r="K78" s="117"/>
      <c r="L78" s="114"/>
      <c r="M78" s="14"/>
    </row>
    <row r="79" spans="1:13" x14ac:dyDescent="0.25">
      <c r="A79" s="91">
        <v>20</v>
      </c>
      <c r="B79" s="583">
        <v>90316</v>
      </c>
      <c r="C79" s="584">
        <v>42024</v>
      </c>
      <c r="D79" s="585" t="s">
        <v>3173</v>
      </c>
      <c r="E79" s="583" t="s">
        <v>545</v>
      </c>
      <c r="F79" s="585" t="s">
        <v>386</v>
      </c>
      <c r="G79" s="9"/>
      <c r="H79" s="12" t="s">
        <v>387</v>
      </c>
      <c r="I79" s="120">
        <v>2</v>
      </c>
      <c r="J79" s="117"/>
      <c r="K79" s="117"/>
      <c r="L79" s="114"/>
      <c r="M79" s="14"/>
    </row>
    <row r="80" spans="1:13" x14ac:dyDescent="0.25">
      <c r="A80" s="91">
        <v>21</v>
      </c>
      <c r="B80" s="583">
        <v>90440</v>
      </c>
      <c r="C80" s="584">
        <v>42024</v>
      </c>
      <c r="D80" s="585" t="s">
        <v>3174</v>
      </c>
      <c r="E80" s="583" t="s">
        <v>545</v>
      </c>
      <c r="F80" s="585" t="s">
        <v>3175</v>
      </c>
      <c r="G80" s="9"/>
      <c r="H80" s="12" t="s">
        <v>392</v>
      </c>
      <c r="I80" s="120">
        <v>1</v>
      </c>
      <c r="J80" s="117"/>
      <c r="K80" s="117"/>
      <c r="L80" s="114"/>
      <c r="M80" s="14"/>
    </row>
    <row r="81" spans="1:13" x14ac:dyDescent="0.25">
      <c r="A81" s="91">
        <v>22</v>
      </c>
      <c r="B81" s="583"/>
      <c r="C81" s="584"/>
      <c r="D81" s="585"/>
      <c r="E81" s="583"/>
      <c r="F81" s="585"/>
      <c r="G81" s="9"/>
      <c r="H81" s="12"/>
      <c r="I81" s="120"/>
      <c r="J81" s="117"/>
      <c r="K81" s="117"/>
      <c r="L81" s="114"/>
      <c r="M81" s="14"/>
    </row>
    <row r="82" spans="1:13" x14ac:dyDescent="0.25">
      <c r="A82" s="91">
        <v>20</v>
      </c>
      <c r="B82" s="583"/>
      <c r="C82" s="584"/>
      <c r="D82" s="585"/>
      <c r="E82" s="583"/>
      <c r="F82" s="585"/>
      <c r="G82" s="9"/>
      <c r="H82" s="12"/>
      <c r="I82" s="120"/>
      <c r="J82" s="117"/>
      <c r="K82" s="117"/>
      <c r="L82" s="114"/>
      <c r="M82" s="14"/>
    </row>
    <row r="83" spans="1:13" x14ac:dyDescent="0.25">
      <c r="A83" s="91">
        <v>21</v>
      </c>
      <c r="B83" s="583"/>
      <c r="C83" s="584"/>
      <c r="D83" s="585"/>
      <c r="E83" s="583"/>
      <c r="F83" s="585"/>
      <c r="G83" s="9"/>
      <c r="H83" s="12"/>
      <c r="I83" s="120"/>
      <c r="J83" s="117"/>
      <c r="K83" s="117"/>
      <c r="L83" s="114"/>
      <c r="M83" s="14"/>
    </row>
    <row r="84" spans="1:13" x14ac:dyDescent="0.25">
      <c r="A84" s="91">
        <v>22</v>
      </c>
      <c r="B84" s="583"/>
      <c r="C84" s="584"/>
      <c r="D84" s="585"/>
      <c r="E84" s="583"/>
      <c r="F84" s="585"/>
      <c r="G84" s="9"/>
      <c r="H84" s="12"/>
      <c r="I84" s="120"/>
      <c r="J84" s="117"/>
      <c r="K84" s="117"/>
      <c r="L84" s="114"/>
      <c r="M84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60:K6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M32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3.28515625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13" ht="27" x14ac:dyDescent="0.5">
      <c r="A2" s="595" t="s">
        <v>38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13" ht="12.75" hidden="1" customHeight="1" outlineLevel="1" x14ac:dyDescent="0.25">
      <c r="A3" s="591" t="s">
        <v>158</v>
      </c>
      <c r="B3" s="591"/>
      <c r="C3" s="95" t="str">
        <f>IFERROR(VLOOKUP($A$2,DATOS!$A$2:$N$14,2,FALSE),"SUCURSAL NO ENCONTRADA")</f>
        <v>SOCIEDAD ODONTOLOGICA B Y B LTDA</v>
      </c>
      <c r="H3" s="108" t="s">
        <v>166</v>
      </c>
      <c r="I3" s="95" t="str">
        <f>IFERROR(VLOOKUP($A$2,DATOS!$A$2:$N$14,8,FALSE),"SUCURSAL NO ENCONTRADA")</f>
        <v>CATALINA BLANLOT</v>
      </c>
    </row>
    <row r="4" spans="1:13" ht="12.75" hidden="1" customHeight="1" outlineLevel="1" x14ac:dyDescent="0.25">
      <c r="A4" s="591" t="s">
        <v>159</v>
      </c>
      <c r="B4" s="591"/>
      <c r="C4" s="95" t="str">
        <f>IFERROR(VLOOKUP($A$2,DATOS!$A$2:$N$14,3,FALSE),"SUCURSAL NO ENCONTRADA")</f>
        <v>76.339.573-1</v>
      </c>
      <c r="H4" s="108" t="s">
        <v>164</v>
      </c>
      <c r="I4" s="571" t="str">
        <f>IFERROR(VLOOKUP($A$2,DATOS!$A$2:$N$14,9,FALSE),"SUCURSAL NO ENCONTRADA")</f>
        <v>cblanlot@unosalud.cl</v>
      </c>
      <c r="K4" s="85"/>
      <c r="L4" s="85"/>
    </row>
    <row r="5" spans="1:13" ht="12.75" hidden="1" customHeight="1" outlineLevel="1" x14ac:dyDescent="0.25">
      <c r="A5" s="591" t="s">
        <v>160</v>
      </c>
      <c r="B5" s="591"/>
      <c r="C5" s="95" t="str">
        <f>IFERROR(VLOOKUP($A$2,DATOS!$A$2:$N$14,4,FALSE),"SUCURSAL NO ENCONTRADA")</f>
        <v xml:space="preserve">EYZAGUIRRE 650, SAN BERNARDO </v>
      </c>
      <c r="H5" s="108" t="s">
        <v>163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591" t="s">
        <v>161</v>
      </c>
      <c r="B6" s="591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SCARLETTE FERNANDEZ</v>
      </c>
    </row>
    <row r="7" spans="1:13" ht="12.75" hidden="1" customHeight="1" outlineLevel="1" x14ac:dyDescent="0.25">
      <c r="A7" s="591" t="s">
        <v>162</v>
      </c>
      <c r="B7" s="591"/>
      <c r="C7" s="95" t="str">
        <f>IFERROR(VLOOKUP($A$2,DATOS!$A$2:$N$14,6,FALSE),"SUCURSAL NO ENCONTRADA")</f>
        <v>UNO SALUD SAN BERNARDO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92" t="s">
        <v>165</v>
      </c>
      <c r="B8" s="592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22 7638958</v>
      </c>
    </row>
    <row r="9" spans="1:13" s="588" customFormat="1" ht="24.75" customHeight="1" collapsed="1" x14ac:dyDescent="0.35">
      <c r="A9" s="596" t="s">
        <v>3187</v>
      </c>
      <c r="B9" s="597"/>
      <c r="C9" s="597"/>
      <c r="D9" s="597"/>
      <c r="E9" s="597"/>
      <c r="F9" s="597"/>
      <c r="G9" s="597"/>
      <c r="H9" s="597"/>
      <c r="I9" s="597"/>
      <c r="J9" s="597"/>
      <c r="K9" s="598"/>
      <c r="L9" s="599"/>
      <c r="M9" s="59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2</v>
      </c>
      <c r="B11" s="91">
        <v>85635</v>
      </c>
      <c r="C11" s="94">
        <v>42009</v>
      </c>
      <c r="D11" s="92" t="s">
        <v>542</v>
      </c>
      <c r="E11" s="91" t="s">
        <v>543</v>
      </c>
      <c r="F11" s="92" t="s">
        <v>537</v>
      </c>
      <c r="G11" s="9"/>
      <c r="H11" s="12" t="s">
        <v>431</v>
      </c>
      <c r="I11" s="120">
        <v>1</v>
      </c>
      <c r="J11" s="87">
        <f>IF(F11="","",VLOOKUP(F11,ARANCEL!$E$2:$F$123,2,FALSE))</f>
        <v>30428.999999999996</v>
      </c>
      <c r="K11" s="88">
        <f t="shared" ref="K11:K17" si="0">IF(I11=0,"",J11*I11)</f>
        <v>30428.999999999996</v>
      </c>
      <c r="L11" s="587" t="s">
        <v>3186</v>
      </c>
      <c r="M11" s="93"/>
    </row>
    <row r="12" spans="1:13" x14ac:dyDescent="0.25">
      <c r="A12" s="91">
        <v>4</v>
      </c>
      <c r="B12" s="91">
        <v>86252</v>
      </c>
      <c r="C12" s="94">
        <v>42012</v>
      </c>
      <c r="D12" s="92" t="s">
        <v>3139</v>
      </c>
      <c r="E12" s="91" t="s">
        <v>1737</v>
      </c>
      <c r="F12" s="92" t="s">
        <v>537</v>
      </c>
      <c r="G12" s="9"/>
      <c r="H12" s="12" t="s">
        <v>472</v>
      </c>
      <c r="I12" s="120">
        <v>1</v>
      </c>
      <c r="J12" s="87">
        <f>IF(F12="","",VLOOKUP(F12,ARANCEL!$E$2:$F$123,2,FALSE))</f>
        <v>30428.999999999996</v>
      </c>
      <c r="K12" s="88">
        <f t="shared" si="0"/>
        <v>30428.999999999996</v>
      </c>
      <c r="L12" s="587" t="s">
        <v>3186</v>
      </c>
      <c r="M12" s="93"/>
    </row>
    <row r="13" spans="1:13" x14ac:dyDescent="0.25">
      <c r="A13" s="91">
        <v>5</v>
      </c>
      <c r="B13" s="102">
        <v>86713</v>
      </c>
      <c r="C13" s="103">
        <v>42012</v>
      </c>
      <c r="D13" s="104" t="s">
        <v>3140</v>
      </c>
      <c r="E13" s="102" t="s">
        <v>1737</v>
      </c>
      <c r="F13" s="104" t="s">
        <v>116</v>
      </c>
      <c r="G13" s="105"/>
      <c r="H13" s="99" t="s">
        <v>442</v>
      </c>
      <c r="I13" s="106">
        <v>1</v>
      </c>
      <c r="J13" s="87">
        <f>IF(F13="","",VLOOKUP(F13,ARANCEL!$E$2:$F$123,2,FALSE))</f>
        <v>5274.3600000000006</v>
      </c>
      <c r="K13" s="101">
        <f t="shared" si="0"/>
        <v>5274.3600000000006</v>
      </c>
      <c r="L13" s="587" t="s">
        <v>3186</v>
      </c>
      <c r="M13" s="100"/>
    </row>
    <row r="14" spans="1:13" x14ac:dyDescent="0.25">
      <c r="A14" s="91">
        <v>6</v>
      </c>
      <c r="B14" s="102">
        <v>86713</v>
      </c>
      <c r="C14" s="103">
        <v>42012</v>
      </c>
      <c r="D14" s="104" t="s">
        <v>3140</v>
      </c>
      <c r="E14" s="102" t="s">
        <v>1737</v>
      </c>
      <c r="F14" s="104" t="s">
        <v>210</v>
      </c>
      <c r="G14" s="105"/>
      <c r="H14" s="99" t="s">
        <v>442</v>
      </c>
      <c r="I14" s="106">
        <v>1</v>
      </c>
      <c r="J14" s="87">
        <f>IF(F14="","",VLOOKUP(F14,ARANCEL!$E$2:$F$123,2,FALSE))</f>
        <v>14098.999999999998</v>
      </c>
      <c r="K14" s="101">
        <f t="shared" si="0"/>
        <v>14098.999999999998</v>
      </c>
      <c r="L14" s="587" t="s">
        <v>3186</v>
      </c>
      <c r="M14" s="100"/>
    </row>
    <row r="15" spans="1:13" x14ac:dyDescent="0.25">
      <c r="A15" s="91">
        <v>7</v>
      </c>
      <c r="B15" s="102">
        <v>89090</v>
      </c>
      <c r="C15" s="103">
        <v>42020</v>
      </c>
      <c r="D15" s="104" t="s">
        <v>1763</v>
      </c>
      <c r="E15" s="102" t="s">
        <v>543</v>
      </c>
      <c r="F15" s="104" t="s">
        <v>115</v>
      </c>
      <c r="G15" s="105"/>
      <c r="H15" s="99" t="s">
        <v>442</v>
      </c>
      <c r="I15" s="106">
        <v>1</v>
      </c>
      <c r="J15" s="87">
        <f>IF(F15="","",VLOOKUP(F15,ARANCEL!$E$2:$F$123,2,FALSE))</f>
        <v>33370.239999999998</v>
      </c>
      <c r="K15" s="101">
        <f t="shared" si="0"/>
        <v>33370.239999999998</v>
      </c>
      <c r="L15" s="587" t="s">
        <v>3186</v>
      </c>
      <c r="M15" s="100"/>
    </row>
    <row r="16" spans="1:13" ht="24.75" customHeight="1" collapsed="1" x14ac:dyDescent="0.25">
      <c r="A16" s="81" t="s">
        <v>96</v>
      </c>
      <c r="B16" s="81" t="s">
        <v>97</v>
      </c>
      <c r="C16" s="82" t="s">
        <v>101</v>
      </c>
      <c r="D16" s="81" t="s">
        <v>98</v>
      </c>
      <c r="E16" s="81" t="s">
        <v>99</v>
      </c>
      <c r="F16" s="81" t="s">
        <v>100</v>
      </c>
      <c r="G16" s="81" t="s">
        <v>103</v>
      </c>
      <c r="H16" s="81" t="s">
        <v>102</v>
      </c>
      <c r="I16" s="81" t="s">
        <v>108</v>
      </c>
      <c r="J16" s="82" t="s">
        <v>104</v>
      </c>
      <c r="K16" s="82" t="s">
        <v>105</v>
      </c>
      <c r="L16" s="83" t="s">
        <v>168</v>
      </c>
      <c r="M16" s="83" t="s">
        <v>106</v>
      </c>
    </row>
    <row r="17" spans="1:13" x14ac:dyDescent="0.25">
      <c r="A17" s="91">
        <v>9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93" t="s">
        <v>366</v>
      </c>
      <c r="B20" s="593"/>
      <c r="C20" s="593"/>
      <c r="D20" s="593"/>
      <c r="E20" s="593"/>
      <c r="F20" s="593"/>
      <c r="G20" s="593"/>
      <c r="H20" s="593"/>
      <c r="I20" s="593"/>
      <c r="J20" s="593"/>
      <c r="K20" s="593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>
        <v>3</v>
      </c>
      <c r="B22" s="115" t="s">
        <v>412</v>
      </c>
      <c r="C22" s="110">
        <v>41925</v>
      </c>
      <c r="D22" s="116" t="s">
        <v>413</v>
      </c>
      <c r="E22" s="115" t="s">
        <v>414</v>
      </c>
      <c r="F22" s="116" t="s">
        <v>382</v>
      </c>
      <c r="G22" s="111"/>
      <c r="H22" s="111" t="s">
        <v>415</v>
      </c>
      <c r="I22" s="113">
        <v>1</v>
      </c>
      <c r="J22" s="117"/>
      <c r="K22" s="117"/>
      <c r="L22" s="114"/>
      <c r="M22" s="14"/>
    </row>
    <row r="23" spans="1:13" x14ac:dyDescent="0.25">
      <c r="A23" s="114">
        <v>4</v>
      </c>
      <c r="B23" s="115">
        <v>53827</v>
      </c>
      <c r="C23" s="110">
        <v>41925</v>
      </c>
      <c r="D23" s="116" t="s">
        <v>416</v>
      </c>
      <c r="E23" s="115" t="s">
        <v>414</v>
      </c>
      <c r="F23" s="116" t="s">
        <v>399</v>
      </c>
      <c r="G23" s="111"/>
      <c r="H23" s="111" t="s">
        <v>417</v>
      </c>
      <c r="I23" s="113">
        <v>1</v>
      </c>
      <c r="J23" s="117"/>
      <c r="K23" s="117"/>
      <c r="L23" s="114"/>
      <c r="M23" s="14"/>
    </row>
    <row r="24" spans="1:13" x14ac:dyDescent="0.25">
      <c r="A24" s="114">
        <v>5</v>
      </c>
      <c r="B24" s="115">
        <v>53385</v>
      </c>
      <c r="C24" s="110">
        <v>41925</v>
      </c>
      <c r="D24" s="116" t="s">
        <v>418</v>
      </c>
      <c r="E24" s="115" t="s">
        <v>414</v>
      </c>
      <c r="F24" s="116" t="s">
        <v>399</v>
      </c>
      <c r="G24" s="111"/>
      <c r="H24" s="111" t="s">
        <v>419</v>
      </c>
      <c r="I24" s="113">
        <v>1</v>
      </c>
      <c r="J24" s="117"/>
      <c r="K24" s="117"/>
      <c r="L24" s="114"/>
      <c r="M24" s="14"/>
    </row>
    <row r="25" spans="1:13" x14ac:dyDescent="0.25">
      <c r="A25" s="114">
        <v>6</v>
      </c>
      <c r="B25" s="115">
        <v>52831</v>
      </c>
      <c r="C25" s="110">
        <v>41922</v>
      </c>
      <c r="D25" s="116" t="s">
        <v>420</v>
      </c>
      <c r="E25" s="115" t="s">
        <v>421</v>
      </c>
      <c r="F25" s="116" t="s">
        <v>422</v>
      </c>
      <c r="G25" s="111"/>
      <c r="H25" s="111" t="s">
        <v>371</v>
      </c>
      <c r="I25" s="113">
        <v>1</v>
      </c>
      <c r="J25" s="117"/>
      <c r="K25" s="117"/>
      <c r="L25" s="114"/>
      <c r="M25" s="14"/>
    </row>
    <row r="26" spans="1:13" x14ac:dyDescent="0.25">
      <c r="A26" s="114">
        <v>7</v>
      </c>
      <c r="B26" s="115" t="s">
        <v>3136</v>
      </c>
      <c r="C26" s="110">
        <v>41978</v>
      </c>
      <c r="D26" s="116" t="s">
        <v>3137</v>
      </c>
      <c r="E26" s="115" t="s">
        <v>1737</v>
      </c>
      <c r="F26" s="116" t="s">
        <v>377</v>
      </c>
      <c r="G26" s="111"/>
      <c r="H26" s="111" t="s">
        <v>387</v>
      </c>
      <c r="I26" s="113">
        <v>2</v>
      </c>
      <c r="J26" s="117"/>
      <c r="K26" s="117"/>
      <c r="L26" s="114"/>
      <c r="M26" s="14"/>
    </row>
    <row r="27" spans="1:13" x14ac:dyDescent="0.25">
      <c r="A27" s="9"/>
      <c r="B27" s="115">
        <v>75011</v>
      </c>
      <c r="C27" s="110">
        <v>41984</v>
      </c>
      <c r="D27" s="116" t="s">
        <v>3138</v>
      </c>
      <c r="E27" s="115" t="s">
        <v>1737</v>
      </c>
      <c r="F27" s="116" t="s">
        <v>377</v>
      </c>
      <c r="G27" s="111"/>
      <c r="H27" s="111" t="s">
        <v>387</v>
      </c>
      <c r="I27" s="113">
        <v>2</v>
      </c>
      <c r="J27" s="117"/>
      <c r="K27" s="117"/>
      <c r="L27" s="9"/>
      <c r="M27" s="9"/>
    </row>
    <row r="28" spans="1:13" x14ac:dyDescent="0.25">
      <c r="A28" s="9"/>
      <c r="B28" s="115">
        <v>86713</v>
      </c>
      <c r="C28" s="110">
        <v>42012</v>
      </c>
      <c r="D28" s="116" t="s">
        <v>3140</v>
      </c>
      <c r="E28" s="115" t="s">
        <v>1737</v>
      </c>
      <c r="F28" s="116" t="s">
        <v>399</v>
      </c>
      <c r="G28" s="111"/>
      <c r="H28" s="99" t="s">
        <v>442</v>
      </c>
      <c r="I28" s="113">
        <v>1</v>
      </c>
      <c r="J28" s="117"/>
      <c r="K28" s="117"/>
      <c r="L28" s="9"/>
      <c r="M28" s="9"/>
    </row>
    <row r="29" spans="1:13" x14ac:dyDescent="0.25">
      <c r="A29" s="9"/>
      <c r="B29" s="115"/>
      <c r="C29" s="110"/>
      <c r="D29" s="116"/>
      <c r="E29" s="115"/>
      <c r="F29" s="116"/>
      <c r="G29" s="111"/>
      <c r="H29" s="99"/>
      <c r="I29" s="113"/>
      <c r="J29" s="117"/>
      <c r="K29" s="117"/>
      <c r="L29" s="9"/>
      <c r="M29" s="9"/>
    </row>
    <row r="30" spans="1:13" x14ac:dyDescent="0.25">
      <c r="A30" s="9"/>
      <c r="B30" s="115"/>
      <c r="C30" s="110"/>
      <c r="D30" s="116"/>
      <c r="E30" s="115"/>
      <c r="F30" s="116"/>
      <c r="G30" s="111"/>
      <c r="H30" s="99"/>
      <c r="I30" s="113"/>
      <c r="J30" s="117"/>
      <c r="K30" s="117"/>
      <c r="L30" s="9"/>
      <c r="M30" s="9"/>
    </row>
    <row r="31" spans="1:13" x14ac:dyDescent="0.25">
      <c r="A31" s="9"/>
      <c r="B31" s="115"/>
      <c r="C31" s="110"/>
      <c r="D31" s="116"/>
      <c r="E31" s="115"/>
      <c r="F31" s="116"/>
      <c r="G31" s="111"/>
      <c r="H31" s="99"/>
      <c r="I31" s="113"/>
      <c r="J31" s="117"/>
      <c r="K31" s="117"/>
      <c r="L31" s="9"/>
      <c r="M31" s="9"/>
    </row>
    <row r="32" spans="1:13" x14ac:dyDescent="0.25">
      <c r="A32" s="9"/>
      <c r="B32" s="115"/>
      <c r="C32" s="110"/>
      <c r="D32" s="116"/>
      <c r="E32" s="115"/>
      <c r="F32" s="116"/>
      <c r="G32" s="111"/>
      <c r="H32" s="99"/>
      <c r="I32" s="113"/>
      <c r="J32" s="117"/>
      <c r="K32" s="117"/>
      <c r="L32" s="9"/>
      <c r="M32" s="9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M64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3.42578125" hidden="1" customWidth="1"/>
    <col min="9" max="9" width="15" style="121" customWidth="1"/>
    <col min="12" max="12" width="12.140625" customWidth="1"/>
    <col min="13" max="13" width="39.28515625" customWidth="1"/>
  </cols>
  <sheetData>
    <row r="1" spans="1:13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13" ht="27" x14ac:dyDescent="0.5">
      <c r="A2" s="595" t="s">
        <v>39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13" ht="12.75" customHeight="1" outlineLevel="1" x14ac:dyDescent="0.25">
      <c r="A3" s="591" t="s">
        <v>158</v>
      </c>
      <c r="B3" s="591"/>
      <c r="C3" s="95" t="str">
        <f>IFERROR(VLOOKUP($A$2,DATOS!$A$2:$N$14,2,FALSE),"SUCURSAL NO ENCONTRADA")</f>
        <v>SOC. ODONTOLÓGICA UNO SALUD SANTA LUCIA LTDA</v>
      </c>
      <c r="H3" s="10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91" t="s">
        <v>159</v>
      </c>
      <c r="B4" s="591"/>
      <c r="C4" s="95" t="str">
        <f>IFERROR(VLOOKUP($A$2,DATOS!$A$2:$N$14,3,FALSE),"SUCURSAL NO ENCONTRADA")</f>
        <v xml:space="preserve">76.324.872-0 </v>
      </c>
      <c r="H4" s="10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91" t="s">
        <v>160</v>
      </c>
      <c r="B5" s="591"/>
      <c r="C5" s="95" t="str">
        <f>IFERROR(VLOOKUP($A$2,DATOS!$A$2:$N$14,4,FALSE),"SUCURSAL NO ENCONTRADA")</f>
        <v>SANTA ROSA 12 LOCAL 14, SANTIAGO.</v>
      </c>
      <c r="H5" s="10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91" t="s">
        <v>161</v>
      </c>
      <c r="B6" s="591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CONSTANZA CERDA
TERESA GUZMAN</v>
      </c>
    </row>
    <row r="7" spans="1:13" ht="12.75" customHeight="1" outlineLevel="1" x14ac:dyDescent="0.25">
      <c r="A7" s="591" t="s">
        <v>162</v>
      </c>
      <c r="B7" s="591"/>
      <c r="C7" s="95" t="str">
        <f>IFERROR(VLOOKUP($A$2,DATOS!$A$2:$N$14,6,FALSE),"SUCURSAL NO ENCONTRADA")</f>
        <v>UNO SALUD SANTA LUCIA LTDA.</v>
      </c>
      <c r="H7" s="108" t="s">
        <v>164</v>
      </c>
      <c r="I7" s="95" t="str">
        <f>IFERROR(VLOOKUP($A$2,DATOS!$A$2:$N$14,12,FALSE),"SUCURSAL NO ENCONTRADA")</f>
        <v>ccerda@unosalud.cl</v>
      </c>
    </row>
    <row r="8" spans="1:13" ht="14.25" customHeight="1" outlineLevel="1" x14ac:dyDescent="0.25">
      <c r="A8" s="592" t="s">
        <v>165</v>
      </c>
      <c r="B8" s="59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7638984
22 7638985</v>
      </c>
    </row>
    <row r="9" spans="1:13" s="588" customFormat="1" ht="24.75" customHeight="1" collapsed="1" x14ac:dyDescent="0.35">
      <c r="A9" s="596" t="s">
        <v>3187</v>
      </c>
      <c r="B9" s="597"/>
      <c r="C9" s="597"/>
      <c r="D9" s="597"/>
      <c r="E9" s="597"/>
      <c r="F9" s="597"/>
      <c r="G9" s="597"/>
      <c r="H9" s="597"/>
      <c r="I9" s="597"/>
      <c r="J9" s="597"/>
      <c r="K9" s="598"/>
      <c r="L9" s="599"/>
      <c r="M9" s="599"/>
    </row>
    <row r="10" spans="1:13" ht="24.75" customHeight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collapsed="1" x14ac:dyDescent="0.25">
      <c r="A11" s="91">
        <v>1</v>
      </c>
      <c r="B11" s="91">
        <v>84838</v>
      </c>
      <c r="C11" s="94">
        <v>42006</v>
      </c>
      <c r="D11" s="92" t="s">
        <v>1936</v>
      </c>
      <c r="E11" s="91" t="s">
        <v>414</v>
      </c>
      <c r="F11" s="92" t="s">
        <v>537</v>
      </c>
      <c r="G11" s="9"/>
      <c r="H11" s="12" t="s">
        <v>392</v>
      </c>
      <c r="I11" s="120">
        <v>1</v>
      </c>
      <c r="J11" s="572">
        <v>30429</v>
      </c>
      <c r="K11" s="573">
        <f>IF(I11="","",J11*I11)</f>
        <v>30429</v>
      </c>
      <c r="L11" s="587" t="s">
        <v>3186</v>
      </c>
      <c r="M11" s="93"/>
    </row>
    <row r="12" spans="1:13" x14ac:dyDescent="0.25">
      <c r="A12" s="91">
        <v>2</v>
      </c>
      <c r="B12" s="91">
        <v>74699</v>
      </c>
      <c r="C12" s="94">
        <v>41983</v>
      </c>
      <c r="D12" s="92" t="s">
        <v>1915</v>
      </c>
      <c r="E12" s="91" t="s">
        <v>414</v>
      </c>
      <c r="F12" s="92" t="s">
        <v>537</v>
      </c>
      <c r="G12" s="9"/>
      <c r="H12" s="12" t="s">
        <v>527</v>
      </c>
      <c r="I12" s="120">
        <v>1</v>
      </c>
      <c r="J12" s="572">
        <v>30429</v>
      </c>
      <c r="K12" s="573">
        <f>IF(I12="","",J12*I12)</f>
        <v>30429</v>
      </c>
      <c r="L12" s="587" t="s">
        <v>3186</v>
      </c>
      <c r="M12" s="93"/>
    </row>
    <row r="13" spans="1:13" x14ac:dyDescent="0.25">
      <c r="A13" s="91">
        <v>3</v>
      </c>
      <c r="B13" s="91">
        <v>72941</v>
      </c>
      <c r="C13" s="94">
        <v>41977</v>
      </c>
      <c r="D13" s="92" t="s">
        <v>1912</v>
      </c>
      <c r="E13" s="91" t="s">
        <v>414</v>
      </c>
      <c r="F13" s="92" t="s">
        <v>1485</v>
      </c>
      <c r="G13" s="9"/>
      <c r="H13" s="12" t="s">
        <v>400</v>
      </c>
      <c r="I13" s="120">
        <v>2</v>
      </c>
      <c r="J13" s="572">
        <v>48203</v>
      </c>
      <c r="K13" s="573">
        <f>IF(I13="","",J13*I13)</f>
        <v>96406</v>
      </c>
      <c r="L13" s="587" t="s">
        <v>3186</v>
      </c>
      <c r="M13" s="93"/>
    </row>
    <row r="14" spans="1:13" x14ac:dyDescent="0.25">
      <c r="A14" s="91">
        <v>4</v>
      </c>
      <c r="B14" s="91">
        <v>53215</v>
      </c>
      <c r="C14" s="94">
        <v>41925</v>
      </c>
      <c r="D14" s="92" t="s">
        <v>1848</v>
      </c>
      <c r="E14" s="91" t="s">
        <v>943</v>
      </c>
      <c r="F14" s="92" t="s">
        <v>580</v>
      </c>
      <c r="G14" s="9"/>
      <c r="H14" s="12" t="s">
        <v>369</v>
      </c>
      <c r="I14" s="120">
        <v>1</v>
      </c>
      <c r="J14" s="572">
        <v>25800</v>
      </c>
      <c r="K14" s="573">
        <f>IF(I14="","",J14*I14)</f>
        <v>25800</v>
      </c>
      <c r="L14" s="587" t="s">
        <v>3186</v>
      </c>
      <c r="M14" s="574" t="s">
        <v>3051</v>
      </c>
    </row>
    <row r="15" spans="1:13" x14ac:dyDescent="0.25">
      <c r="A15" s="91">
        <v>5</v>
      </c>
      <c r="B15" s="91">
        <v>85978</v>
      </c>
      <c r="C15" s="94">
        <v>42009</v>
      </c>
      <c r="D15" s="92" t="s">
        <v>531</v>
      </c>
      <c r="E15" s="91" t="s">
        <v>414</v>
      </c>
      <c r="F15" s="92" t="s">
        <v>115</v>
      </c>
      <c r="G15" s="9"/>
      <c r="H15" s="12" t="s">
        <v>434</v>
      </c>
      <c r="I15" s="120">
        <v>1</v>
      </c>
      <c r="J15" s="87">
        <f>IF(F15="","",VLOOKUP(F15,ARANCEL!$E$2:$F$123,2,FALSE))</f>
        <v>33370.239999999998</v>
      </c>
      <c r="K15" s="88">
        <f t="shared" ref="K15:K30" si="0">IF(I15=0,"",J15*I15)</f>
        <v>33370.239999999998</v>
      </c>
      <c r="L15" s="587" t="s">
        <v>3186</v>
      </c>
      <c r="M15" s="93"/>
    </row>
    <row r="16" spans="1:13" x14ac:dyDescent="0.25">
      <c r="A16" s="91">
        <v>6</v>
      </c>
      <c r="B16" s="91">
        <v>85763</v>
      </c>
      <c r="C16" s="94">
        <v>42009</v>
      </c>
      <c r="D16" s="92" t="s">
        <v>535</v>
      </c>
      <c r="E16" s="91" t="s">
        <v>536</v>
      </c>
      <c r="F16" s="92" t="s">
        <v>537</v>
      </c>
      <c r="G16" s="9"/>
      <c r="H16" s="12" t="s">
        <v>538</v>
      </c>
      <c r="I16" s="120">
        <v>1</v>
      </c>
      <c r="J16" s="87">
        <f>IF(F16="","",VLOOKUP(F16,ARANCEL!$E$2:$F$123,2,FALSE))</f>
        <v>30428.999999999996</v>
      </c>
      <c r="K16" s="88">
        <f t="shared" si="0"/>
        <v>30428.999999999996</v>
      </c>
      <c r="L16" s="587" t="s">
        <v>3186</v>
      </c>
      <c r="M16" s="93"/>
    </row>
    <row r="17" spans="1:13" x14ac:dyDescent="0.25">
      <c r="A17" s="91">
        <v>7</v>
      </c>
      <c r="B17" s="91">
        <v>85440</v>
      </c>
      <c r="C17" s="94">
        <v>42009</v>
      </c>
      <c r="D17" s="92" t="s">
        <v>539</v>
      </c>
      <c r="E17" s="91" t="s">
        <v>414</v>
      </c>
      <c r="F17" s="92" t="s">
        <v>537</v>
      </c>
      <c r="G17" s="9"/>
      <c r="H17" s="12" t="s">
        <v>404</v>
      </c>
      <c r="I17" s="120">
        <v>1</v>
      </c>
      <c r="J17" s="87">
        <f>IF(F17="","",VLOOKUP(F17,ARANCEL!$E$2:$F$123,2,FALSE))</f>
        <v>30428.999999999996</v>
      </c>
      <c r="K17" s="88">
        <f t="shared" si="0"/>
        <v>30428.999999999996</v>
      </c>
      <c r="L17" s="587" t="s">
        <v>3186</v>
      </c>
      <c r="M17" s="93"/>
    </row>
    <row r="18" spans="1:13" x14ac:dyDescent="0.25">
      <c r="A18" s="91">
        <v>8</v>
      </c>
      <c r="B18" s="102">
        <v>86267</v>
      </c>
      <c r="C18" s="103">
        <v>42011</v>
      </c>
      <c r="D18" s="104" t="s">
        <v>3142</v>
      </c>
      <c r="E18" s="102" t="s">
        <v>414</v>
      </c>
      <c r="F18" s="104" t="s">
        <v>210</v>
      </c>
      <c r="G18" s="105"/>
      <c r="H18" s="99" t="s">
        <v>2319</v>
      </c>
      <c r="I18" s="106">
        <v>1</v>
      </c>
      <c r="J18" s="87">
        <f>IF(F18="","",VLOOKUP(F18,ARANCEL!$E$2:$F$123,2,FALSE))</f>
        <v>14098.999999999998</v>
      </c>
      <c r="K18" s="101">
        <f t="shared" si="0"/>
        <v>14098.999999999998</v>
      </c>
      <c r="L18" s="587" t="s">
        <v>3186</v>
      </c>
      <c r="M18" s="100"/>
    </row>
    <row r="19" spans="1:13" x14ac:dyDescent="0.25">
      <c r="A19" s="91">
        <v>9</v>
      </c>
      <c r="B19" s="102">
        <v>86199</v>
      </c>
      <c r="C19" s="103">
        <v>42010</v>
      </c>
      <c r="D19" s="104" t="s">
        <v>529</v>
      </c>
      <c r="E19" s="102" t="s">
        <v>414</v>
      </c>
      <c r="F19" s="104" t="s">
        <v>115</v>
      </c>
      <c r="G19" s="105"/>
      <c r="H19" s="99" t="s">
        <v>530</v>
      </c>
      <c r="I19" s="106">
        <v>1</v>
      </c>
      <c r="J19" s="87">
        <f>IF(F19="","",VLOOKUP(F19,ARANCEL!$E$2:$F$123,2,FALSE))</f>
        <v>33370.239999999998</v>
      </c>
      <c r="K19" s="101">
        <f t="shared" si="0"/>
        <v>33370.239999999998</v>
      </c>
      <c r="L19" s="587" t="s">
        <v>3186</v>
      </c>
      <c r="M19" s="100"/>
    </row>
    <row r="20" spans="1:13" x14ac:dyDescent="0.25">
      <c r="A20" s="91">
        <v>10</v>
      </c>
      <c r="B20" s="102">
        <v>86197</v>
      </c>
      <c r="C20" s="103">
        <v>42010</v>
      </c>
      <c r="D20" s="104" t="s">
        <v>528</v>
      </c>
      <c r="E20" s="102" t="s">
        <v>414</v>
      </c>
      <c r="F20" s="104" t="s">
        <v>115</v>
      </c>
      <c r="G20" s="105"/>
      <c r="H20" s="99" t="s">
        <v>442</v>
      </c>
      <c r="I20" s="106">
        <v>1</v>
      </c>
      <c r="J20" s="87">
        <f>IF(F20="","",VLOOKUP(F20,ARANCEL!$E$2:$F$123,2,FALSE))</f>
        <v>33370.239999999998</v>
      </c>
      <c r="K20" s="101">
        <f t="shared" si="0"/>
        <v>33370.239999999998</v>
      </c>
      <c r="L20" s="587" t="s">
        <v>3186</v>
      </c>
      <c r="M20" s="100"/>
    </row>
    <row r="21" spans="1:13" x14ac:dyDescent="0.25">
      <c r="A21" s="91">
        <v>11</v>
      </c>
      <c r="B21" s="102">
        <v>86527</v>
      </c>
      <c r="C21" s="103">
        <v>42011</v>
      </c>
      <c r="D21" s="104" t="s">
        <v>533</v>
      </c>
      <c r="E21" s="102" t="s">
        <v>414</v>
      </c>
      <c r="F21" s="104" t="s">
        <v>115</v>
      </c>
      <c r="G21" s="105"/>
      <c r="H21" s="99" t="s">
        <v>534</v>
      </c>
      <c r="I21" s="106">
        <v>1</v>
      </c>
      <c r="J21" s="87">
        <f>IF(F21="","",VLOOKUP(F21,ARANCEL!$E$2:$F$123,2,FALSE))</f>
        <v>33370.239999999998</v>
      </c>
      <c r="K21" s="101">
        <f t="shared" si="0"/>
        <v>33370.239999999998</v>
      </c>
      <c r="L21" s="587" t="s">
        <v>3186</v>
      </c>
      <c r="M21" s="100"/>
    </row>
    <row r="22" spans="1:13" x14ac:dyDescent="0.25">
      <c r="A22" s="91">
        <v>12</v>
      </c>
      <c r="B22" s="102">
        <v>87411</v>
      </c>
      <c r="C22" s="103">
        <v>42019</v>
      </c>
      <c r="D22" s="104" t="s">
        <v>3145</v>
      </c>
      <c r="E22" s="102" t="s">
        <v>414</v>
      </c>
      <c r="F22" s="104" t="s">
        <v>537</v>
      </c>
      <c r="G22" s="105"/>
      <c r="H22" s="99" t="s">
        <v>562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587" t="s">
        <v>3186</v>
      </c>
      <c r="M22" s="100"/>
    </row>
    <row r="23" spans="1:13" x14ac:dyDescent="0.25">
      <c r="A23" s="91">
        <v>13</v>
      </c>
      <c r="B23" s="102">
        <v>88075</v>
      </c>
      <c r="C23" s="103">
        <v>42017</v>
      </c>
      <c r="D23" s="104" t="s">
        <v>1913</v>
      </c>
      <c r="E23" s="102" t="s">
        <v>414</v>
      </c>
      <c r="F23" s="104" t="s">
        <v>577</v>
      </c>
      <c r="G23" s="105"/>
      <c r="H23" s="99" t="s">
        <v>645</v>
      </c>
      <c r="I23" s="106">
        <v>1</v>
      </c>
      <c r="J23" s="87">
        <f>IF(F23="","",VLOOKUP(F23,ARANCEL!$E$2:$F$123,2,FALSE))</f>
        <v>49701.159999999996</v>
      </c>
      <c r="K23" s="101">
        <f t="shared" si="0"/>
        <v>49701.159999999996</v>
      </c>
      <c r="L23" s="587" t="s">
        <v>3186</v>
      </c>
      <c r="M23" s="100"/>
    </row>
    <row r="24" spans="1:13" x14ac:dyDescent="0.25">
      <c r="A24" s="91">
        <v>14</v>
      </c>
      <c r="B24" s="102">
        <v>88340</v>
      </c>
      <c r="C24" s="103">
        <v>42019</v>
      </c>
      <c r="D24" s="104" t="s">
        <v>3149</v>
      </c>
      <c r="E24" s="102" t="s">
        <v>414</v>
      </c>
      <c r="F24" s="104" t="s">
        <v>537</v>
      </c>
      <c r="G24" s="105"/>
      <c r="H24" s="99" t="s">
        <v>417</v>
      </c>
      <c r="I24" s="106">
        <v>1</v>
      </c>
      <c r="J24" s="87">
        <f>IF(F24="","",VLOOKUP(F24,ARANCEL!$E$2:$F$123,2,FALSE))</f>
        <v>30428.999999999996</v>
      </c>
      <c r="K24" s="101">
        <f t="shared" si="0"/>
        <v>30428.999999999996</v>
      </c>
      <c r="L24" s="587" t="s">
        <v>3186</v>
      </c>
      <c r="M24" s="100"/>
    </row>
    <row r="25" spans="1:13" x14ac:dyDescent="0.25">
      <c r="A25" s="91">
        <v>15</v>
      </c>
      <c r="B25" s="102">
        <v>88690</v>
      </c>
      <c r="C25" s="103">
        <v>42019</v>
      </c>
      <c r="D25" s="104" t="s">
        <v>1901</v>
      </c>
      <c r="E25" s="102" t="s">
        <v>414</v>
      </c>
      <c r="F25" s="104" t="s">
        <v>116</v>
      </c>
      <c r="G25" s="105"/>
      <c r="H25" s="99" t="s">
        <v>527</v>
      </c>
      <c r="I25" s="106">
        <v>1</v>
      </c>
      <c r="J25" s="87">
        <f>IF(F25="","",VLOOKUP(F25,ARANCEL!$E$2:$F$123,2,FALSE))</f>
        <v>5274.3600000000006</v>
      </c>
      <c r="K25" s="101">
        <f t="shared" si="0"/>
        <v>5274.3600000000006</v>
      </c>
      <c r="L25" s="587" t="s">
        <v>3186</v>
      </c>
      <c r="M25" s="100"/>
    </row>
    <row r="26" spans="1:13" x14ac:dyDescent="0.25">
      <c r="A26" s="91">
        <v>16</v>
      </c>
      <c r="B26" s="102">
        <v>88712</v>
      </c>
      <c r="C26" s="103">
        <v>42019</v>
      </c>
      <c r="D26" s="104" t="s">
        <v>3144</v>
      </c>
      <c r="E26" s="102" t="s">
        <v>414</v>
      </c>
      <c r="F26" s="104" t="s">
        <v>115</v>
      </c>
      <c r="G26" s="105"/>
      <c r="H26" s="99" t="s">
        <v>527</v>
      </c>
      <c r="I26" s="106">
        <v>1</v>
      </c>
      <c r="J26" s="87">
        <f>IF(F26="","",VLOOKUP(F26,ARANCEL!$E$2:$F$123,2,FALSE))</f>
        <v>33370.239999999998</v>
      </c>
      <c r="K26" s="101">
        <f t="shared" si="0"/>
        <v>33370.239999999998</v>
      </c>
      <c r="L26" s="587" t="s">
        <v>3186</v>
      </c>
      <c r="M26" s="100"/>
    </row>
    <row r="27" spans="1:13" x14ac:dyDescent="0.25">
      <c r="A27" s="91">
        <v>17</v>
      </c>
      <c r="B27" s="102">
        <v>89002</v>
      </c>
      <c r="C27" s="103">
        <v>42024</v>
      </c>
      <c r="D27" s="104" t="s">
        <v>3151</v>
      </c>
      <c r="E27" s="102" t="s">
        <v>536</v>
      </c>
      <c r="F27" s="104" t="s">
        <v>116</v>
      </c>
      <c r="G27" s="105"/>
      <c r="H27" s="99" t="s">
        <v>530</v>
      </c>
      <c r="I27" s="106">
        <v>1</v>
      </c>
      <c r="J27" s="87">
        <f>IF(F27="","",VLOOKUP(F27,ARANCEL!$E$2:$F$123,2,FALSE))</f>
        <v>5274.3600000000006</v>
      </c>
      <c r="K27" s="101">
        <f t="shared" si="0"/>
        <v>5274.3600000000006</v>
      </c>
      <c r="L27" s="587" t="s">
        <v>3186</v>
      </c>
      <c r="M27" s="100"/>
    </row>
    <row r="28" spans="1:13" x14ac:dyDescent="0.25">
      <c r="A28" s="91">
        <v>18</v>
      </c>
      <c r="B28" s="102">
        <v>89625</v>
      </c>
      <c r="C28" s="103">
        <v>42023</v>
      </c>
      <c r="D28" s="104" t="s">
        <v>3154</v>
      </c>
      <c r="E28" s="102" t="s">
        <v>590</v>
      </c>
      <c r="F28" s="104" t="s">
        <v>217</v>
      </c>
      <c r="G28" s="105"/>
      <c r="H28" s="99" t="s">
        <v>369</v>
      </c>
      <c r="I28" s="106">
        <v>1</v>
      </c>
      <c r="J28" s="87">
        <f>IF(F28="","",VLOOKUP(F28,ARANCEL!$E$2:$F$123,2,FALSE))</f>
        <v>44597.287499999999</v>
      </c>
      <c r="K28" s="101">
        <f t="shared" si="0"/>
        <v>44597.287499999999</v>
      </c>
      <c r="L28" s="587" t="s">
        <v>3186</v>
      </c>
      <c r="M28" s="100"/>
    </row>
    <row r="29" spans="1:13" x14ac:dyDescent="0.25">
      <c r="A29" s="91">
        <v>19</v>
      </c>
      <c r="B29" s="102">
        <v>87683</v>
      </c>
      <c r="C29" s="103">
        <v>42016</v>
      </c>
      <c r="D29" s="104" t="s">
        <v>1841</v>
      </c>
      <c r="E29" s="102" t="s">
        <v>414</v>
      </c>
      <c r="F29" s="104" t="s">
        <v>115</v>
      </c>
      <c r="G29" s="105"/>
      <c r="H29" s="99" t="s">
        <v>383</v>
      </c>
      <c r="I29" s="106">
        <v>1</v>
      </c>
      <c r="J29" s="87">
        <f>IF(F29="","",VLOOKUP(F29,ARANCEL!$E$2:$F$123,2,FALSE))</f>
        <v>33370.239999999998</v>
      </c>
      <c r="K29" s="101">
        <f t="shared" si="0"/>
        <v>33370.239999999998</v>
      </c>
      <c r="L29" s="587" t="s">
        <v>3186</v>
      </c>
      <c r="M29" s="100" t="s">
        <v>3155</v>
      </c>
    </row>
    <row r="30" spans="1:13" x14ac:dyDescent="0.25">
      <c r="A30" s="91">
        <v>20</v>
      </c>
      <c r="B30" s="102">
        <v>91132</v>
      </c>
      <c r="C30" s="103">
        <v>42026</v>
      </c>
      <c r="D30" s="104" t="s">
        <v>1866</v>
      </c>
      <c r="E30" s="102" t="s">
        <v>414</v>
      </c>
      <c r="F30" s="104" t="s">
        <v>115</v>
      </c>
      <c r="G30" s="105"/>
      <c r="H30" s="99" t="s">
        <v>392</v>
      </c>
      <c r="I30" s="106">
        <v>1</v>
      </c>
      <c r="J30" s="87">
        <f>IF(F30="","",VLOOKUP(F30,ARANCEL!$E$2:$F$123,2,FALSE))</f>
        <v>33370.239999999998</v>
      </c>
      <c r="K30" s="101">
        <f t="shared" si="0"/>
        <v>33370.239999999998</v>
      </c>
      <c r="L30" s="587" t="s">
        <v>3186</v>
      </c>
      <c r="M30" s="100"/>
    </row>
    <row r="31" spans="1:13" x14ac:dyDescent="0.25">
      <c r="A31" s="91">
        <v>21</v>
      </c>
      <c r="B31" s="102">
        <v>91066</v>
      </c>
      <c r="C31" s="103">
        <v>42026</v>
      </c>
      <c r="D31" s="104" t="s">
        <v>3178</v>
      </c>
      <c r="E31" s="102" t="s">
        <v>414</v>
      </c>
      <c r="F31" s="104" t="s">
        <v>537</v>
      </c>
      <c r="G31" s="105"/>
      <c r="H31" s="99" t="s">
        <v>568</v>
      </c>
      <c r="I31" s="106">
        <v>1</v>
      </c>
      <c r="J31" s="87">
        <f>IF(F31="","",VLOOKUP(F31,ARANCEL!$E$2:$F$123,2,FALSE))</f>
        <v>30428.999999999996</v>
      </c>
      <c r="K31" s="101">
        <f>IF(I31=0,"",J31*I31)</f>
        <v>30428.999999999996</v>
      </c>
      <c r="L31" s="587" t="s">
        <v>3186</v>
      </c>
      <c r="M31" s="100"/>
    </row>
    <row r="32" spans="1:13" x14ac:dyDescent="0.25">
      <c r="A32" s="91">
        <v>22</v>
      </c>
      <c r="B32" s="102"/>
      <c r="C32" s="103"/>
      <c r="D32" s="104"/>
      <c r="E32" s="102"/>
      <c r="F32" s="104"/>
      <c r="G32" s="105"/>
      <c r="H32" s="99"/>
      <c r="I32" s="106"/>
      <c r="J32" s="87" t="str">
        <f>IF(F32="","",VLOOKUP(F32,ARANCEL!$E$2:$F$123,2,FALSE))</f>
        <v/>
      </c>
      <c r="K32" s="101" t="str">
        <f>IF(I32=0,"",J32*I32)</f>
        <v/>
      </c>
      <c r="L32" s="99"/>
      <c r="M32" s="100"/>
    </row>
    <row r="33" spans="1:13" x14ac:dyDescent="0.25">
      <c r="A33" s="91">
        <v>23</v>
      </c>
      <c r="B33" s="102"/>
      <c r="C33" s="103"/>
      <c r="D33" s="104"/>
      <c r="E33" s="102"/>
      <c r="F33" s="104"/>
      <c r="G33" s="105"/>
      <c r="H33" s="99"/>
      <c r="I33" s="106"/>
      <c r="J33" s="87" t="str">
        <f>IF(F33="","",VLOOKUP(F33,ARANCEL!$E$2:$F$123,2,FALSE))</f>
        <v/>
      </c>
      <c r="K33" s="101" t="str">
        <f>IF(I33=0,"",J33*I33)</f>
        <v/>
      </c>
      <c r="L33" s="99"/>
      <c r="M33" s="100"/>
    </row>
    <row r="36" spans="1:13" ht="20.25" customHeight="1" x14ac:dyDescent="0.25">
      <c r="A36" s="593" t="s">
        <v>366</v>
      </c>
      <c r="B36" s="593"/>
      <c r="C36" s="593"/>
      <c r="D36" s="593"/>
      <c r="E36" s="593"/>
      <c r="F36" s="593"/>
      <c r="G36" s="593"/>
      <c r="H36" s="593"/>
      <c r="I36" s="593"/>
      <c r="J36" s="593"/>
      <c r="K36" s="593"/>
    </row>
    <row r="37" spans="1:13" ht="24" x14ac:dyDescent="0.25">
      <c r="A37" s="89" t="s">
        <v>96</v>
      </c>
      <c r="B37" s="89" t="s">
        <v>97</v>
      </c>
      <c r="C37" s="90" t="s">
        <v>101</v>
      </c>
      <c r="D37" s="89" t="s">
        <v>98</v>
      </c>
      <c r="E37" s="89" t="s">
        <v>99</v>
      </c>
      <c r="F37" s="89" t="s">
        <v>100</v>
      </c>
      <c r="G37" s="89" t="s">
        <v>103</v>
      </c>
      <c r="H37" s="89" t="s">
        <v>102</v>
      </c>
      <c r="I37" s="89" t="s">
        <v>108</v>
      </c>
      <c r="J37" s="90" t="s">
        <v>104</v>
      </c>
      <c r="K37" s="90" t="s">
        <v>105</v>
      </c>
      <c r="L37" s="90" t="s">
        <v>168</v>
      </c>
      <c r="M37" s="90" t="s">
        <v>106</v>
      </c>
    </row>
    <row r="38" spans="1:13" x14ac:dyDescent="0.25">
      <c r="A38" s="114">
        <v>2</v>
      </c>
      <c r="B38" s="115">
        <v>50931</v>
      </c>
      <c r="C38" s="110">
        <v>41890</v>
      </c>
      <c r="D38" s="116" t="s">
        <v>513</v>
      </c>
      <c r="E38" s="115" t="s">
        <v>414</v>
      </c>
      <c r="F38" s="116" t="s">
        <v>399</v>
      </c>
      <c r="G38" s="111"/>
      <c r="H38" s="111" t="s">
        <v>417</v>
      </c>
      <c r="I38" s="113">
        <v>1</v>
      </c>
      <c r="J38" s="117"/>
      <c r="K38" s="117"/>
      <c r="L38" s="114"/>
      <c r="M38" s="14"/>
    </row>
    <row r="39" spans="1:13" x14ac:dyDescent="0.25">
      <c r="A39" s="114">
        <v>3</v>
      </c>
      <c r="B39" s="115">
        <v>56403</v>
      </c>
      <c r="C39" s="110">
        <v>41933</v>
      </c>
      <c r="D39" s="116" t="s">
        <v>514</v>
      </c>
      <c r="E39" s="115" t="s">
        <v>515</v>
      </c>
      <c r="F39" s="116" t="s">
        <v>422</v>
      </c>
      <c r="G39" s="111"/>
      <c r="H39" s="111" t="s">
        <v>371</v>
      </c>
      <c r="I39" s="113">
        <v>1</v>
      </c>
      <c r="J39" s="117"/>
      <c r="K39" s="117"/>
      <c r="L39" s="114"/>
      <c r="M39" s="14"/>
    </row>
    <row r="40" spans="1:13" x14ac:dyDescent="0.25">
      <c r="A40" s="114">
        <v>4</v>
      </c>
      <c r="B40" s="115" t="s">
        <v>516</v>
      </c>
      <c r="C40" s="110">
        <v>41968</v>
      </c>
      <c r="D40" s="116" t="s">
        <v>517</v>
      </c>
      <c r="E40" s="115" t="s">
        <v>414</v>
      </c>
      <c r="F40" s="116" t="s">
        <v>518</v>
      </c>
      <c r="G40" s="111"/>
      <c r="H40" s="111" t="s">
        <v>383</v>
      </c>
      <c r="I40" s="113">
        <v>1</v>
      </c>
      <c r="J40" s="117"/>
      <c r="K40" s="117"/>
      <c r="L40" s="114"/>
      <c r="M40" s="14"/>
    </row>
    <row r="41" spans="1:13" x14ac:dyDescent="0.25">
      <c r="A41" s="114">
        <v>5</v>
      </c>
      <c r="B41" s="115" t="s">
        <v>3152</v>
      </c>
      <c r="C41" s="110">
        <v>42024</v>
      </c>
      <c r="D41" s="116" t="s">
        <v>519</v>
      </c>
      <c r="E41" s="115" t="s">
        <v>414</v>
      </c>
      <c r="F41" s="116" t="s">
        <v>377</v>
      </c>
      <c r="G41" s="111"/>
      <c r="H41" s="111" t="s">
        <v>387</v>
      </c>
      <c r="I41" s="113">
        <v>2</v>
      </c>
      <c r="J41" s="117"/>
      <c r="K41" s="117"/>
      <c r="L41" s="114"/>
      <c r="M41" s="14" t="s">
        <v>3141</v>
      </c>
    </row>
    <row r="42" spans="1:13" x14ac:dyDescent="0.25">
      <c r="A42" s="114">
        <v>6</v>
      </c>
      <c r="B42" s="115">
        <v>62734</v>
      </c>
      <c r="C42" s="110">
        <v>41953</v>
      </c>
      <c r="D42" s="116" t="s">
        <v>520</v>
      </c>
      <c r="E42" s="115" t="s">
        <v>521</v>
      </c>
      <c r="F42" s="116" t="s">
        <v>422</v>
      </c>
      <c r="G42" s="111"/>
      <c r="H42" s="111" t="s">
        <v>522</v>
      </c>
      <c r="I42" s="113">
        <v>1</v>
      </c>
      <c r="J42" s="117"/>
      <c r="K42" s="117"/>
      <c r="L42" s="114"/>
      <c r="M42" s="14"/>
    </row>
    <row r="43" spans="1:13" x14ac:dyDescent="0.25">
      <c r="A43" s="114">
        <v>7</v>
      </c>
      <c r="B43" s="115">
        <v>62683</v>
      </c>
      <c r="C43" s="110">
        <v>41953</v>
      </c>
      <c r="D43" s="116" t="s">
        <v>523</v>
      </c>
      <c r="E43" s="115" t="s">
        <v>414</v>
      </c>
      <c r="F43" s="116" t="s">
        <v>422</v>
      </c>
      <c r="G43" s="111"/>
      <c r="H43" s="111" t="s">
        <v>371</v>
      </c>
      <c r="I43" s="113">
        <v>1</v>
      </c>
      <c r="J43" s="117"/>
      <c r="K43" s="117"/>
      <c r="L43" s="114"/>
      <c r="M43" s="14"/>
    </row>
    <row r="44" spans="1:13" x14ac:dyDescent="0.25">
      <c r="A44" s="114">
        <v>9</v>
      </c>
      <c r="B44" s="115">
        <v>69118</v>
      </c>
      <c r="C44" s="110">
        <v>41968</v>
      </c>
      <c r="D44" s="116" t="s">
        <v>524</v>
      </c>
      <c r="E44" s="115" t="s">
        <v>414</v>
      </c>
      <c r="F44" s="116" t="s">
        <v>399</v>
      </c>
      <c r="G44" s="111"/>
      <c r="H44" s="111" t="s">
        <v>434</v>
      </c>
      <c r="I44" s="113">
        <v>1</v>
      </c>
      <c r="J44" s="117"/>
      <c r="K44" s="117"/>
      <c r="L44" s="114"/>
      <c r="M44" s="14"/>
    </row>
    <row r="45" spans="1:13" x14ac:dyDescent="0.25">
      <c r="A45" s="114">
        <v>12</v>
      </c>
      <c r="B45" s="115">
        <v>71643</v>
      </c>
      <c r="C45" s="110">
        <v>41974</v>
      </c>
      <c r="D45" s="116" t="s">
        <v>399</v>
      </c>
      <c r="E45" s="115" t="s">
        <v>414</v>
      </c>
      <c r="F45" s="116" t="s">
        <v>399</v>
      </c>
      <c r="G45" s="111"/>
      <c r="H45" s="111" t="s">
        <v>527</v>
      </c>
      <c r="I45" s="113">
        <v>1</v>
      </c>
      <c r="J45" s="117"/>
      <c r="K45" s="117"/>
      <c r="L45" s="114"/>
      <c r="M45" s="14"/>
    </row>
    <row r="46" spans="1:13" x14ac:dyDescent="0.25">
      <c r="A46" s="114">
        <v>19</v>
      </c>
      <c r="B46" s="115">
        <v>84620</v>
      </c>
      <c r="C46" s="110">
        <v>42003</v>
      </c>
      <c r="D46" s="116" t="s">
        <v>532</v>
      </c>
      <c r="E46" s="115" t="s">
        <v>414</v>
      </c>
      <c r="F46" s="116" t="s">
        <v>399</v>
      </c>
      <c r="G46" s="111"/>
      <c r="H46" s="111" t="s">
        <v>410</v>
      </c>
      <c r="I46" s="113">
        <v>1</v>
      </c>
      <c r="J46" s="117"/>
      <c r="K46" s="117"/>
      <c r="L46" s="114"/>
      <c r="M46" s="14"/>
    </row>
    <row r="47" spans="1:13" x14ac:dyDescent="0.25">
      <c r="A47" s="9"/>
      <c r="B47" s="115">
        <v>86277</v>
      </c>
      <c r="C47" s="110">
        <v>42010</v>
      </c>
      <c r="D47" s="116" t="s">
        <v>3143</v>
      </c>
      <c r="E47" s="115" t="s">
        <v>414</v>
      </c>
      <c r="F47" s="116" t="s">
        <v>409</v>
      </c>
      <c r="G47" s="111"/>
      <c r="H47" s="111" t="s">
        <v>400</v>
      </c>
      <c r="I47" s="113">
        <v>2</v>
      </c>
      <c r="J47" s="117"/>
      <c r="K47" s="117"/>
      <c r="L47" s="9"/>
      <c r="M47" s="9"/>
    </row>
    <row r="48" spans="1:13" x14ac:dyDescent="0.25">
      <c r="A48" s="9"/>
      <c r="B48" s="115">
        <v>88025</v>
      </c>
      <c r="C48" s="110">
        <v>42017</v>
      </c>
      <c r="D48" s="116" t="s">
        <v>3146</v>
      </c>
      <c r="E48" s="115" t="s">
        <v>536</v>
      </c>
      <c r="F48" s="116" t="s">
        <v>386</v>
      </c>
      <c r="G48" s="111"/>
      <c r="H48" s="111" t="s">
        <v>371</v>
      </c>
      <c r="I48" s="113">
        <v>1</v>
      </c>
      <c r="J48" s="117"/>
      <c r="K48" s="117"/>
      <c r="L48" s="9"/>
      <c r="M48" s="9"/>
    </row>
    <row r="49" spans="1:13" x14ac:dyDescent="0.25">
      <c r="A49" s="9"/>
      <c r="B49" s="115">
        <v>88024</v>
      </c>
      <c r="C49" s="110">
        <v>42017</v>
      </c>
      <c r="D49" s="116" t="s">
        <v>3147</v>
      </c>
      <c r="E49" s="115" t="s">
        <v>536</v>
      </c>
      <c r="F49" s="116" t="s">
        <v>386</v>
      </c>
      <c r="G49" s="111"/>
      <c r="H49" s="111" t="s">
        <v>369</v>
      </c>
      <c r="I49" s="113">
        <v>1</v>
      </c>
      <c r="J49" s="117"/>
      <c r="K49" s="117"/>
      <c r="L49" s="9"/>
      <c r="M49" s="9"/>
    </row>
    <row r="50" spans="1:13" x14ac:dyDescent="0.25">
      <c r="A50" s="91"/>
      <c r="B50" s="115">
        <v>88436</v>
      </c>
      <c r="C50" s="110">
        <v>42018</v>
      </c>
      <c r="D50" s="116" t="s">
        <v>1818</v>
      </c>
      <c r="E50" s="115" t="s">
        <v>414</v>
      </c>
      <c r="F50" s="116" t="s">
        <v>386</v>
      </c>
      <c r="G50" s="111"/>
      <c r="H50" s="111" t="s">
        <v>371</v>
      </c>
      <c r="I50" s="113">
        <v>1</v>
      </c>
      <c r="J50" s="117"/>
      <c r="K50" s="117"/>
      <c r="L50" s="12"/>
      <c r="M50" s="93" t="s">
        <v>3150</v>
      </c>
    </row>
    <row r="51" spans="1:13" x14ac:dyDescent="0.25">
      <c r="A51" s="91"/>
      <c r="B51" s="115">
        <v>89359</v>
      </c>
      <c r="C51" s="110">
        <v>42026</v>
      </c>
      <c r="D51" s="116" t="s">
        <v>3153</v>
      </c>
      <c r="E51" s="115" t="s">
        <v>414</v>
      </c>
      <c r="F51" s="116" t="s">
        <v>458</v>
      </c>
      <c r="G51" s="111"/>
      <c r="H51" s="111" t="s">
        <v>387</v>
      </c>
      <c r="I51" s="113">
        <v>2</v>
      </c>
      <c r="J51" s="117"/>
      <c r="K51" s="117"/>
      <c r="L51" s="12"/>
      <c r="M51" s="93"/>
    </row>
    <row r="52" spans="1:13" x14ac:dyDescent="0.25">
      <c r="A52" s="91"/>
      <c r="B52" s="115"/>
      <c r="C52" s="110"/>
      <c r="D52" s="116"/>
      <c r="E52" s="115"/>
      <c r="F52" s="116"/>
      <c r="G52" s="111"/>
      <c r="H52" s="111"/>
      <c r="I52" s="113"/>
      <c r="J52" s="117"/>
      <c r="K52" s="117"/>
      <c r="L52" s="12"/>
      <c r="M52" s="93"/>
    </row>
    <row r="53" spans="1:13" x14ac:dyDescent="0.25">
      <c r="A53" s="91"/>
      <c r="B53" s="115"/>
      <c r="C53" s="110"/>
      <c r="D53" s="116"/>
      <c r="E53" s="115"/>
      <c r="F53" s="116"/>
      <c r="G53" s="111"/>
      <c r="H53" s="111"/>
      <c r="I53" s="113"/>
      <c r="J53" s="117"/>
      <c r="K53" s="117"/>
      <c r="L53" s="12"/>
      <c r="M53" s="93"/>
    </row>
    <row r="54" spans="1:13" x14ac:dyDescent="0.25">
      <c r="A54" s="91"/>
      <c r="B54" s="115"/>
      <c r="C54" s="110"/>
      <c r="D54" s="116"/>
      <c r="E54" s="115"/>
      <c r="F54" s="116"/>
      <c r="G54" s="111"/>
      <c r="H54" s="111"/>
      <c r="I54" s="113"/>
      <c r="J54" s="117"/>
      <c r="K54" s="117"/>
      <c r="L54" s="12"/>
      <c r="M54" s="93"/>
    </row>
    <row r="55" spans="1:13" x14ac:dyDescent="0.25">
      <c r="A55" s="91"/>
      <c r="B55" s="115"/>
      <c r="C55" s="110"/>
      <c r="D55" s="116"/>
      <c r="E55" s="115"/>
      <c r="F55" s="116"/>
      <c r="G55" s="111"/>
      <c r="H55" s="111"/>
      <c r="I55" s="113"/>
      <c r="J55" s="117"/>
      <c r="K55" s="117"/>
      <c r="L55" s="12"/>
      <c r="M55" s="93"/>
    </row>
    <row r="56" spans="1:13" x14ac:dyDescent="0.25">
      <c r="A56" s="91"/>
      <c r="B56" s="115"/>
      <c r="C56" s="110"/>
      <c r="D56" s="116"/>
      <c r="E56" s="115"/>
      <c r="F56" s="116"/>
      <c r="G56" s="111"/>
      <c r="H56" s="111"/>
      <c r="I56" s="113"/>
      <c r="J56" s="117"/>
      <c r="K56" s="117"/>
      <c r="L56" s="12"/>
      <c r="M56" s="93"/>
    </row>
    <row r="57" spans="1:13" x14ac:dyDescent="0.25">
      <c r="A57" s="91"/>
      <c r="B57" s="115"/>
      <c r="C57" s="110"/>
      <c r="D57" s="116"/>
      <c r="E57" s="115"/>
      <c r="F57" s="116"/>
      <c r="G57" s="111"/>
      <c r="H57" s="111"/>
      <c r="I57" s="113"/>
      <c r="J57" s="117"/>
      <c r="K57" s="117"/>
      <c r="L57" s="12"/>
      <c r="M57" s="93"/>
    </row>
    <row r="58" spans="1:13" x14ac:dyDescent="0.25">
      <c r="A58" s="91"/>
      <c r="B58" s="115"/>
      <c r="C58" s="110"/>
      <c r="D58" s="116"/>
      <c r="E58" s="115"/>
      <c r="F58" s="116"/>
      <c r="G58" s="111"/>
      <c r="H58" s="111"/>
      <c r="I58" s="113"/>
      <c r="J58" s="117"/>
      <c r="K58" s="117"/>
      <c r="L58" s="12"/>
      <c r="M58" s="93"/>
    </row>
    <row r="59" spans="1:13" x14ac:dyDescent="0.25">
      <c r="A59" s="91"/>
      <c r="B59" s="115"/>
      <c r="C59" s="110"/>
      <c r="D59" s="116"/>
      <c r="E59" s="115"/>
      <c r="F59" s="116"/>
      <c r="G59" s="111"/>
      <c r="H59" s="111"/>
      <c r="I59" s="113"/>
      <c r="J59" s="117"/>
      <c r="K59" s="117"/>
      <c r="L59" s="12"/>
      <c r="M59" s="93"/>
    </row>
    <row r="60" spans="1:13" x14ac:dyDescent="0.25">
      <c r="A60" s="91"/>
      <c r="B60" s="115"/>
      <c r="C60" s="110"/>
      <c r="D60" s="116"/>
      <c r="E60" s="115"/>
      <c r="F60" s="116"/>
      <c r="G60" s="111"/>
      <c r="H60" s="111"/>
      <c r="I60" s="113"/>
      <c r="J60" s="117"/>
      <c r="K60" s="117"/>
      <c r="L60" s="12"/>
      <c r="M60" s="93"/>
    </row>
    <row r="61" spans="1:13" x14ac:dyDescent="0.25">
      <c r="A61" s="91"/>
      <c r="B61" s="115"/>
      <c r="C61" s="110"/>
      <c r="D61" s="116"/>
      <c r="E61" s="115"/>
      <c r="F61" s="116"/>
      <c r="G61" s="111"/>
      <c r="H61" s="111"/>
      <c r="I61" s="113"/>
      <c r="J61" s="117"/>
      <c r="K61" s="117"/>
      <c r="L61" s="12"/>
      <c r="M61" s="93"/>
    </row>
    <row r="62" spans="1:13" x14ac:dyDescent="0.25">
      <c r="A62" s="91"/>
      <c r="B62" s="115"/>
      <c r="C62" s="110"/>
      <c r="D62" s="116"/>
      <c r="E62" s="115"/>
      <c r="F62" s="116"/>
      <c r="G62" s="111"/>
      <c r="H62" s="111"/>
      <c r="I62" s="113"/>
      <c r="J62" s="117"/>
      <c r="K62" s="117"/>
      <c r="L62" s="12"/>
      <c r="M62" s="93"/>
    </row>
    <row r="63" spans="1:13" x14ac:dyDescent="0.25">
      <c r="A63" s="91"/>
      <c r="B63" s="115"/>
      <c r="C63" s="110"/>
      <c r="D63" s="116"/>
      <c r="E63" s="115"/>
      <c r="F63" s="116"/>
      <c r="G63" s="111"/>
      <c r="H63" s="111"/>
      <c r="I63" s="113"/>
      <c r="J63" s="117"/>
      <c r="K63" s="117"/>
      <c r="L63" s="12"/>
      <c r="M63" s="93"/>
    </row>
    <row r="64" spans="1:13" x14ac:dyDescent="0.25">
      <c r="A64" s="91"/>
      <c r="B64" s="115"/>
      <c r="C64" s="110"/>
      <c r="D64" s="116"/>
      <c r="E64" s="115"/>
      <c r="F64" s="116"/>
      <c r="G64" s="111"/>
      <c r="H64" s="111"/>
      <c r="I64" s="113"/>
      <c r="J64" s="117"/>
      <c r="K64" s="117"/>
      <c r="L64" s="12"/>
      <c r="M64" s="93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36:K36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M30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13" ht="27" x14ac:dyDescent="0.5">
      <c r="A2" s="595" t="s">
        <v>373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13" ht="12.75" customHeight="1" x14ac:dyDescent="0.25">
      <c r="A3" s="591" t="s">
        <v>158</v>
      </c>
      <c r="B3" s="591"/>
      <c r="C3" s="95" t="str">
        <f>IFERROR(VLOOKUP($A$2,DATOS!$A$2:$N$14,2,FALSE),"SUCURSAL NO ENCONTRADA")</f>
        <v>SUCURSAL NO ENCONTRADA</v>
      </c>
      <c r="H3" s="84" t="s">
        <v>166</v>
      </c>
      <c r="I3" s="95" t="str">
        <f>IFERROR(VLOOKUP($A$2,DATOS!$A$2:$N$14,8,FALSE),"SUCURSAL NO ENCONTRADA")</f>
        <v>SUCURSAL NO ENCONTRADA</v>
      </c>
    </row>
    <row r="4" spans="1:13" ht="12.75" customHeight="1" x14ac:dyDescent="0.25">
      <c r="A4" s="591" t="s">
        <v>159</v>
      </c>
      <c r="B4" s="591"/>
      <c r="C4" s="95" t="str">
        <f>IFERROR(VLOOKUP($A$2,DATOS!$A$2:$N$14,3,FALSE),"SUCURSAL NO ENCONTRADA")</f>
        <v>SUCURSAL NO ENCONTRADA</v>
      </c>
      <c r="H4" s="84" t="s">
        <v>164</v>
      </c>
      <c r="I4" s="95" t="str">
        <f>IFERROR(VLOOKUP($A$2,DATOS!$A$2:$N$14,9,FALSE),"SUCURSAL NO ENCONTRADA")</f>
        <v>SUCURSAL NO ENCONTRADA</v>
      </c>
      <c r="K4" s="85"/>
    </row>
    <row r="5" spans="1:13" ht="12.75" customHeight="1" x14ac:dyDescent="0.25">
      <c r="A5" s="591" t="s">
        <v>160</v>
      </c>
      <c r="B5" s="591"/>
      <c r="C5" s="95" t="str">
        <f>IFERROR(VLOOKUP($A$2,DATOS!$A$2:$N$14,4,FALSE),"SUCURSAL NO ENCONTRADA")</f>
        <v>SUCURSAL NO ENCONTRADA</v>
      </c>
      <c r="H5" s="84" t="s">
        <v>163</v>
      </c>
      <c r="I5" s="95" t="str">
        <f>IFERROR(VLOOKUP($A$2,DATOS!$A$2:$N$14,10,FALSE),"SUCURSAL NO ENCONTRADA")</f>
        <v>SUCURSAL NO ENCONTRADA</v>
      </c>
    </row>
    <row r="6" spans="1:13" ht="12.75" customHeight="1" x14ac:dyDescent="0.25">
      <c r="A6" s="591" t="s">
        <v>161</v>
      </c>
      <c r="B6" s="591"/>
      <c r="C6" s="95" t="str">
        <f>IFERROR(VLOOKUP($A$2,DATOS!$A$2:$N$14,5,FALSE),"SUCURSAL NO ENCONTRADA")</f>
        <v>SUCURSAL NO ENCONTRADA</v>
      </c>
      <c r="H6" s="84" t="s">
        <v>167</v>
      </c>
      <c r="I6" s="95" t="str">
        <f>IFERROR(VLOOKUP($A$2,DATOS!$A$2:$N$14,11,FALSE),"SUCURSAL NO ENCONTRADA")</f>
        <v>SUCURSAL NO ENCONTRADA</v>
      </c>
    </row>
    <row r="7" spans="1:13" ht="12.75" customHeight="1" x14ac:dyDescent="0.25">
      <c r="A7" s="591" t="s">
        <v>162</v>
      </c>
      <c r="B7" s="591"/>
      <c r="C7" s="95" t="str">
        <f>IFERROR(VLOOKUP($A$2,DATOS!$A$2:$N$14,6,FALSE),"SUCURSAL NO ENCONTRADA")</f>
        <v>SUCURSAL NO ENCONTRADA</v>
      </c>
      <c r="H7" s="84" t="s">
        <v>164</v>
      </c>
      <c r="I7" s="95" t="str">
        <f>IFERROR(VLOOKUP($A$2,DATOS!$A$2:$N$14,12,FALSE),"SUCURSAL NO ENCONTRADA")</f>
        <v>SUCURSAL NO ENCONTRADA</v>
      </c>
    </row>
    <row r="8" spans="1:13" ht="14.25" customHeight="1" x14ac:dyDescent="0.25">
      <c r="A8" s="592" t="s">
        <v>165</v>
      </c>
      <c r="B8" s="592"/>
      <c r="C8" s="86" t="str">
        <f>IFERROR(VLOOKUP($A$2,DATOS!$A$2:$N$14,7,FALSE),"SUCURSAL NO ENCONTRADA")</f>
        <v>SUCURSAL NO ENCONTRADA</v>
      </c>
      <c r="D8" s="86"/>
      <c r="E8" s="86"/>
      <c r="F8" s="16"/>
      <c r="G8" s="15"/>
      <c r="H8" s="84" t="s">
        <v>163</v>
      </c>
      <c r="I8" s="95" t="str">
        <f>IFERROR(VLOOKUP($A$2,DATOS!$A$2:$N$14,13,FALSE),"SUCURSAL NO ENCONTRADA")</f>
        <v>SUCURSAL NO ENCONTRADA</v>
      </c>
    </row>
    <row r="9" spans="1:13" s="588" customFormat="1" ht="24.75" customHeight="1" collapsed="1" x14ac:dyDescent="0.35">
      <c r="A9" s="596" t="s">
        <v>3187</v>
      </c>
      <c r="B9" s="597"/>
      <c r="C9" s="597"/>
      <c r="D9" s="597"/>
      <c r="E9" s="597"/>
      <c r="F9" s="597"/>
      <c r="G9" s="597"/>
      <c r="H9" s="597"/>
      <c r="I9" s="597"/>
      <c r="J9" s="597"/>
      <c r="K9" s="598"/>
      <c r="L9" s="599"/>
      <c r="M9" s="599"/>
    </row>
    <row r="10" spans="1:13" ht="24.75" customHeight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/>
      <c r="C11" s="94"/>
      <c r="D11" s="92"/>
      <c r="E11" s="91"/>
      <c r="F11" s="92"/>
      <c r="G11" s="9"/>
      <c r="H11" s="12"/>
      <c r="I11" s="120"/>
      <c r="J11" s="87" t="str">
        <f>IF(F11="","",VLOOKUP(F11,ARANCEL!$E$2:$F$123,2,FALSE))</f>
        <v/>
      </c>
      <c r="K11" s="88" t="str">
        <f t="shared" ref="K11:K18" si="0">IF(I11=0,"",J11*I11)</f>
        <v/>
      </c>
      <c r="L11" s="12"/>
      <c r="M11" s="93"/>
    </row>
    <row r="12" spans="1:13" x14ac:dyDescent="0.25">
      <c r="A12" s="91">
        <v>2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3</v>
      </c>
      <c r="B13" s="91"/>
      <c r="C13" s="94"/>
      <c r="D13" s="92"/>
      <c r="E13" s="91"/>
      <c r="F13" s="92"/>
      <c r="G13" s="9"/>
      <c r="H13" s="12"/>
      <c r="I13" s="120"/>
      <c r="J13" s="87" t="str">
        <f>IF(F13="","",VLOOKUP(F13,ARANCEL!$E$2:$F$123,2,FALSE))</f>
        <v/>
      </c>
      <c r="K13" s="88" t="str">
        <f t="shared" si="0"/>
        <v/>
      </c>
      <c r="L13" s="12"/>
      <c r="M13" s="93"/>
    </row>
    <row r="14" spans="1:13" x14ac:dyDescent="0.25">
      <c r="A14" s="91">
        <v>4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5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6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7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18" spans="1:13" x14ac:dyDescent="0.25">
      <c r="A18" s="91">
        <v>8</v>
      </c>
      <c r="B18" s="102"/>
      <c r="C18" s="103"/>
      <c r="D18" s="104"/>
      <c r="E18" s="102"/>
      <c r="F18" s="104"/>
      <c r="G18" s="105"/>
      <c r="H18" s="99"/>
      <c r="I18" s="106"/>
      <c r="J18" s="87" t="str">
        <f>IF(F18="","",VLOOKUP(F18,ARANCEL!$E$2:$F$123,2,FALSE))</f>
        <v/>
      </c>
      <c r="K18" s="101" t="str">
        <f t="shared" si="0"/>
        <v/>
      </c>
      <c r="L18" s="99"/>
      <c r="M18" s="100"/>
    </row>
    <row r="21" spans="1:13" ht="20.25" customHeight="1" x14ac:dyDescent="0.25">
      <c r="A21" s="593" t="s">
        <v>366</v>
      </c>
      <c r="B21" s="593"/>
      <c r="C21" s="593"/>
      <c r="D21" s="593"/>
      <c r="E21" s="593"/>
      <c r="F21" s="593"/>
      <c r="G21" s="593"/>
      <c r="H21" s="593"/>
      <c r="I21" s="593"/>
      <c r="J21" s="593"/>
      <c r="K21" s="593"/>
    </row>
    <row r="22" spans="1:13" ht="24" x14ac:dyDescent="0.25">
      <c r="A22" s="89" t="s">
        <v>96</v>
      </c>
      <c r="B22" s="89" t="s">
        <v>97</v>
      </c>
      <c r="C22" s="90" t="s">
        <v>101</v>
      </c>
      <c r="D22" s="89" t="s">
        <v>98</v>
      </c>
      <c r="E22" s="89" t="s">
        <v>99</v>
      </c>
      <c r="F22" s="89" t="s">
        <v>100</v>
      </c>
      <c r="G22" s="89" t="s">
        <v>103</v>
      </c>
      <c r="H22" s="89" t="s">
        <v>102</v>
      </c>
      <c r="I22" s="89" t="s">
        <v>108</v>
      </c>
      <c r="J22" s="90" t="s">
        <v>104</v>
      </c>
      <c r="K22" s="90" t="s">
        <v>105</v>
      </c>
      <c r="L22" s="90" t="s">
        <v>168</v>
      </c>
      <c r="M22" s="90" t="s">
        <v>106</v>
      </c>
    </row>
    <row r="23" spans="1:13" x14ac:dyDescent="0.25">
      <c r="A23" s="91"/>
      <c r="B23" s="583"/>
      <c r="C23" s="584"/>
      <c r="D23" s="585"/>
      <c r="E23" s="583"/>
      <c r="F23" s="585"/>
      <c r="G23" s="9"/>
      <c r="H23" s="12"/>
      <c r="I23" s="120"/>
      <c r="J23" s="87"/>
      <c r="K23" s="88"/>
      <c r="L23" s="12"/>
      <c r="M23" s="93"/>
    </row>
    <row r="24" spans="1:13" x14ac:dyDescent="0.25">
      <c r="A24" s="91"/>
      <c r="B24" s="583"/>
      <c r="C24" s="584"/>
      <c r="D24" s="585"/>
      <c r="E24" s="583"/>
      <c r="F24" s="585"/>
      <c r="G24" s="9"/>
      <c r="H24" s="12"/>
      <c r="I24" s="120"/>
      <c r="J24" s="87"/>
      <c r="K24" s="88"/>
      <c r="L24" s="12"/>
      <c r="M24" s="93"/>
    </row>
    <row r="25" spans="1:13" x14ac:dyDescent="0.25">
      <c r="A25" s="91"/>
      <c r="B25" s="583"/>
      <c r="C25" s="584"/>
      <c r="D25" s="585"/>
      <c r="E25" s="583"/>
      <c r="F25" s="585"/>
      <c r="G25" s="9"/>
      <c r="H25" s="12"/>
      <c r="I25" s="120"/>
      <c r="J25" s="87"/>
      <c r="K25" s="88"/>
      <c r="L25" s="12"/>
      <c r="M25" s="93"/>
    </row>
    <row r="26" spans="1:13" x14ac:dyDescent="0.25">
      <c r="A26" s="91"/>
      <c r="B26" s="583"/>
      <c r="C26" s="584"/>
      <c r="D26" s="585"/>
      <c r="E26" s="583"/>
      <c r="F26" s="585"/>
      <c r="G26" s="9"/>
      <c r="H26" s="12"/>
      <c r="I26" s="120"/>
      <c r="J26" s="87"/>
      <c r="K26" s="88"/>
      <c r="L26" s="12"/>
      <c r="M26" s="93"/>
    </row>
    <row r="27" spans="1:13" x14ac:dyDescent="0.25">
      <c r="A27" s="91"/>
      <c r="B27" s="583"/>
      <c r="C27" s="584"/>
      <c r="D27" s="585"/>
      <c r="E27" s="583"/>
      <c r="F27" s="585"/>
      <c r="G27" s="9"/>
      <c r="H27" s="12"/>
      <c r="I27" s="120"/>
      <c r="J27" s="87"/>
      <c r="K27" s="88"/>
      <c r="L27" s="12"/>
      <c r="M27" s="93"/>
    </row>
    <row r="28" spans="1:13" x14ac:dyDescent="0.25">
      <c r="A28" s="91"/>
      <c r="B28" s="583"/>
      <c r="C28" s="584"/>
      <c r="D28" s="585"/>
      <c r="E28" s="583"/>
      <c r="F28" s="585"/>
      <c r="G28" s="9"/>
      <c r="H28" s="12"/>
      <c r="I28" s="120"/>
      <c r="J28" s="87"/>
      <c r="K28" s="88"/>
      <c r="L28" s="12"/>
      <c r="M28" s="93"/>
    </row>
    <row r="29" spans="1:13" x14ac:dyDescent="0.25">
      <c r="A29" s="91"/>
      <c r="B29" s="583"/>
      <c r="C29" s="584"/>
      <c r="D29" s="585"/>
      <c r="E29" s="583"/>
      <c r="F29" s="585"/>
      <c r="G29" s="9"/>
      <c r="H29" s="12"/>
      <c r="I29" s="120"/>
      <c r="J29" s="87"/>
      <c r="K29" s="88"/>
      <c r="L29" s="12"/>
      <c r="M29" s="93"/>
    </row>
    <row r="30" spans="1:13" x14ac:dyDescent="0.25">
      <c r="A30" s="91"/>
      <c r="B30" s="583"/>
      <c r="C30" s="584"/>
      <c r="D30" s="585"/>
      <c r="E30" s="583"/>
      <c r="F30" s="585"/>
      <c r="G30" s="9"/>
      <c r="H30" s="12"/>
      <c r="I30" s="120"/>
      <c r="J30" s="87"/>
      <c r="K30" s="88"/>
      <c r="L30" s="12"/>
      <c r="M30" s="93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1:K2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B2" sqref="B2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54" workbookViewId="0">
      <selection activeCell="C58" sqref="C58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20" customWidth="1"/>
    <col min="5" max="5" width="38.85546875" customWidth="1"/>
    <col min="6" max="6" width="11.85546875" customWidth="1"/>
  </cols>
  <sheetData>
    <row r="1" spans="1:6" ht="24" x14ac:dyDescent="0.25">
      <c r="A1" s="18" t="s">
        <v>330</v>
      </c>
      <c r="B1" s="18" t="s">
        <v>331</v>
      </c>
      <c r="C1" s="18" t="s">
        <v>332</v>
      </c>
      <c r="D1" s="19" t="s">
        <v>333</v>
      </c>
      <c r="E1" s="18" t="s">
        <v>334</v>
      </c>
      <c r="F1" s="75" t="s">
        <v>365</v>
      </c>
    </row>
    <row r="2" spans="1:6" ht="22.5" x14ac:dyDescent="0.25">
      <c r="A2" s="17" t="s">
        <v>191</v>
      </c>
      <c r="B2" s="17" t="s">
        <v>243</v>
      </c>
      <c r="C2" s="17"/>
      <c r="D2" s="24"/>
      <c r="E2" s="26" t="s">
        <v>115</v>
      </c>
      <c r="F2" s="64">
        <v>33370.239999999998</v>
      </c>
    </row>
    <row r="3" spans="1:6" ht="22.5" x14ac:dyDescent="0.25">
      <c r="A3" s="17" t="s">
        <v>190</v>
      </c>
      <c r="B3" s="17" t="s">
        <v>243</v>
      </c>
      <c r="C3" s="17"/>
      <c r="D3" s="24"/>
      <c r="E3" s="26" t="s">
        <v>336</v>
      </c>
      <c r="F3" s="64">
        <v>29439.999999999996</v>
      </c>
    </row>
    <row r="4" spans="1:6" ht="33.75" x14ac:dyDescent="0.25">
      <c r="A4" s="17" t="s">
        <v>244</v>
      </c>
      <c r="B4" s="17" t="s">
        <v>243</v>
      </c>
      <c r="C4" s="17" t="s">
        <v>335</v>
      </c>
      <c r="D4" s="24"/>
      <c r="E4" s="26" t="s">
        <v>337</v>
      </c>
      <c r="F4" s="64">
        <v>51627.64</v>
      </c>
    </row>
    <row r="5" spans="1:6" ht="22.5" x14ac:dyDescent="0.25">
      <c r="A5" s="17" t="s">
        <v>245</v>
      </c>
      <c r="B5" s="17" t="s">
        <v>243</v>
      </c>
      <c r="C5" s="25" t="s">
        <v>338</v>
      </c>
      <c r="D5" s="24"/>
      <c r="E5" s="26" t="s">
        <v>339</v>
      </c>
      <c r="F5" s="64">
        <v>7100.56</v>
      </c>
    </row>
    <row r="6" spans="1:6" x14ac:dyDescent="0.25">
      <c r="A6" s="23" t="s">
        <v>193</v>
      </c>
      <c r="B6" s="23" t="s">
        <v>246</v>
      </c>
      <c r="C6" s="27"/>
      <c r="D6" s="28"/>
      <c r="E6" s="29" t="s">
        <v>192</v>
      </c>
      <c r="F6" s="65">
        <v>57959.999999999993</v>
      </c>
    </row>
    <row r="7" spans="1:6" ht="22.5" x14ac:dyDescent="0.25">
      <c r="A7" s="23" t="s">
        <v>231</v>
      </c>
      <c r="B7" s="23" t="s">
        <v>246</v>
      </c>
      <c r="C7" s="27" t="s">
        <v>327</v>
      </c>
      <c r="D7" s="28"/>
      <c r="E7" s="29" t="s">
        <v>340</v>
      </c>
      <c r="F7" s="65">
        <v>57959.999999999993</v>
      </c>
    </row>
    <row r="8" spans="1:6" x14ac:dyDescent="0.25">
      <c r="A8" s="23" t="s">
        <v>183</v>
      </c>
      <c r="B8" s="23" t="s">
        <v>246</v>
      </c>
      <c r="C8" s="27"/>
      <c r="D8" s="28"/>
      <c r="E8" s="29" t="s">
        <v>182</v>
      </c>
      <c r="F8" s="65">
        <v>55061.999999999993</v>
      </c>
    </row>
    <row r="9" spans="1:6" x14ac:dyDescent="0.25">
      <c r="A9" s="23" t="s">
        <v>208</v>
      </c>
      <c r="B9" s="23" t="s">
        <v>246</v>
      </c>
      <c r="C9" s="27"/>
      <c r="D9" s="28"/>
      <c r="E9" s="29" t="s">
        <v>207</v>
      </c>
      <c r="F9" s="65">
        <v>55061.999999999993</v>
      </c>
    </row>
    <row r="10" spans="1:6" x14ac:dyDescent="0.25">
      <c r="A10" s="23" t="s">
        <v>247</v>
      </c>
      <c r="B10" s="23" t="s">
        <v>246</v>
      </c>
      <c r="C10" s="27"/>
      <c r="D10" s="28"/>
      <c r="E10" s="29" t="s">
        <v>341</v>
      </c>
      <c r="F10" s="65">
        <v>115919.99999999999</v>
      </c>
    </row>
    <row r="11" spans="1:6" x14ac:dyDescent="0.25">
      <c r="A11" s="23" t="s">
        <v>187</v>
      </c>
      <c r="B11" s="23" t="s">
        <v>246</v>
      </c>
      <c r="C11" s="27"/>
      <c r="D11" s="28"/>
      <c r="E11" s="29" t="s">
        <v>186</v>
      </c>
      <c r="F11" s="65">
        <v>149730</v>
      </c>
    </row>
    <row r="12" spans="1:6" x14ac:dyDescent="0.25">
      <c r="A12" s="23" t="s">
        <v>248</v>
      </c>
      <c r="B12" s="23" t="s">
        <v>246</v>
      </c>
      <c r="C12" s="27" t="s">
        <v>327</v>
      </c>
      <c r="D12" s="28"/>
      <c r="E12" s="29" t="s">
        <v>342</v>
      </c>
      <c r="F12" s="65">
        <v>57959.999999999993</v>
      </c>
    </row>
    <row r="13" spans="1:6" x14ac:dyDescent="0.25">
      <c r="A13" s="30" t="s">
        <v>203</v>
      </c>
      <c r="B13" s="30" t="s">
        <v>249</v>
      </c>
      <c r="C13" s="31"/>
      <c r="D13" s="32"/>
      <c r="E13" s="33" t="s">
        <v>577</v>
      </c>
      <c r="F13" s="66">
        <v>49701.159999999996</v>
      </c>
    </row>
    <row r="14" spans="1:6" x14ac:dyDescent="0.25">
      <c r="A14" s="30" t="s">
        <v>180</v>
      </c>
      <c r="B14" s="30" t="s">
        <v>249</v>
      </c>
      <c r="C14" s="31"/>
      <c r="D14" s="32"/>
      <c r="E14" s="33" t="s">
        <v>3148</v>
      </c>
      <c r="F14" s="66">
        <v>49701.159999999996</v>
      </c>
    </row>
    <row r="15" spans="1:6" x14ac:dyDescent="0.25">
      <c r="A15" s="38" t="s">
        <v>176</v>
      </c>
      <c r="B15" s="38" t="s">
        <v>250</v>
      </c>
      <c r="C15" s="39"/>
      <c r="D15" s="40"/>
      <c r="E15" s="41" t="s">
        <v>116</v>
      </c>
      <c r="F15" s="67">
        <v>5274.3600000000006</v>
      </c>
    </row>
    <row r="16" spans="1:6" x14ac:dyDescent="0.25">
      <c r="A16" s="38" t="s">
        <v>175</v>
      </c>
      <c r="B16" s="38" t="s">
        <v>250</v>
      </c>
      <c r="C16" s="39"/>
      <c r="D16" s="40"/>
      <c r="E16" s="41" t="s">
        <v>175</v>
      </c>
      <c r="F16" s="67">
        <v>5274.3600000000006</v>
      </c>
    </row>
    <row r="17" spans="1:6" x14ac:dyDescent="0.25">
      <c r="A17" s="38" t="s">
        <v>251</v>
      </c>
      <c r="B17" s="38" t="s">
        <v>250</v>
      </c>
      <c r="C17" s="39"/>
      <c r="D17" s="40"/>
      <c r="E17" s="41"/>
      <c r="F17" s="67">
        <v>0</v>
      </c>
    </row>
    <row r="18" spans="1:6" x14ac:dyDescent="0.25">
      <c r="A18" s="38" t="s">
        <v>252</v>
      </c>
      <c r="B18" s="38" t="s">
        <v>250</v>
      </c>
      <c r="C18" s="39"/>
      <c r="D18" s="40"/>
      <c r="E18" s="41"/>
      <c r="F18" s="67">
        <v>0</v>
      </c>
    </row>
    <row r="19" spans="1:6" x14ac:dyDescent="0.25">
      <c r="A19" s="34" t="s">
        <v>206</v>
      </c>
      <c r="B19" s="34" t="s">
        <v>253</v>
      </c>
      <c r="C19" s="35"/>
      <c r="D19" s="36"/>
      <c r="E19" s="37" t="s">
        <v>537</v>
      </c>
      <c r="F19" s="68">
        <v>30428.999999999996</v>
      </c>
    </row>
    <row r="20" spans="1:6" x14ac:dyDescent="0.25">
      <c r="A20" s="34" t="s">
        <v>181</v>
      </c>
      <c r="B20" s="34" t="s">
        <v>253</v>
      </c>
      <c r="C20" s="35"/>
      <c r="D20" s="36"/>
      <c r="E20" s="37"/>
      <c r="F20" s="68">
        <v>30428.999999999996</v>
      </c>
    </row>
    <row r="21" spans="1:6" x14ac:dyDescent="0.25">
      <c r="A21" s="34" t="s">
        <v>254</v>
      </c>
      <c r="B21" s="34" t="s">
        <v>253</v>
      </c>
      <c r="C21" s="35"/>
      <c r="D21" s="36"/>
      <c r="E21" s="37"/>
      <c r="F21" s="68">
        <v>33472.36</v>
      </c>
    </row>
    <row r="22" spans="1:6" x14ac:dyDescent="0.25">
      <c r="A22" s="34" t="s">
        <v>255</v>
      </c>
      <c r="B22" s="34" t="s">
        <v>253</v>
      </c>
      <c r="C22" s="35"/>
      <c r="D22" s="36"/>
      <c r="E22" s="37"/>
      <c r="F22" s="68">
        <v>15214.960000000001</v>
      </c>
    </row>
    <row r="23" spans="1:6" x14ac:dyDescent="0.25">
      <c r="A23" s="34" t="s">
        <v>256</v>
      </c>
      <c r="B23" s="34" t="s">
        <v>253</v>
      </c>
      <c r="C23" s="35" t="s">
        <v>343</v>
      </c>
      <c r="D23" s="36"/>
      <c r="E23" s="37"/>
      <c r="F23" s="68">
        <v>9129.16</v>
      </c>
    </row>
    <row r="24" spans="1:6" x14ac:dyDescent="0.25">
      <c r="A24" s="42" t="s">
        <v>258</v>
      </c>
      <c r="B24" s="42" t="s">
        <v>257</v>
      </c>
      <c r="C24" s="43"/>
      <c r="D24" s="44"/>
      <c r="E24" s="45" t="s">
        <v>353</v>
      </c>
      <c r="F24" s="69">
        <v>9129.16</v>
      </c>
    </row>
    <row r="25" spans="1:6" x14ac:dyDescent="0.25">
      <c r="A25" s="42" t="s">
        <v>259</v>
      </c>
      <c r="B25" s="42" t="s">
        <v>257</v>
      </c>
      <c r="C25" s="43"/>
      <c r="D25" s="44"/>
      <c r="E25" s="45"/>
      <c r="F25" s="69">
        <v>13186.36</v>
      </c>
    </row>
    <row r="26" spans="1:6" x14ac:dyDescent="0.25">
      <c r="A26" s="42" t="s">
        <v>260</v>
      </c>
      <c r="B26" s="42" t="s">
        <v>257</v>
      </c>
      <c r="C26" s="43"/>
      <c r="D26" s="44"/>
      <c r="E26" s="45" t="s">
        <v>354</v>
      </c>
      <c r="F26" s="69">
        <v>24343.199999999997</v>
      </c>
    </row>
    <row r="27" spans="1:6" x14ac:dyDescent="0.25">
      <c r="A27" s="42" t="s">
        <v>261</v>
      </c>
      <c r="B27" s="42" t="s">
        <v>257</v>
      </c>
      <c r="C27" s="43"/>
      <c r="D27" s="44"/>
      <c r="E27" s="45"/>
      <c r="F27" s="69">
        <v>45643.96</v>
      </c>
    </row>
    <row r="28" spans="1:6" x14ac:dyDescent="0.25">
      <c r="A28" s="42" t="s">
        <v>205</v>
      </c>
      <c r="B28" s="42" t="s">
        <v>257</v>
      </c>
      <c r="C28" s="43"/>
      <c r="D28" s="44"/>
      <c r="E28" s="45" t="s">
        <v>204</v>
      </c>
      <c r="F28" s="69">
        <v>17243.560000000001</v>
      </c>
    </row>
    <row r="29" spans="1:6" x14ac:dyDescent="0.25">
      <c r="A29" s="42" t="s">
        <v>211</v>
      </c>
      <c r="B29" s="42" t="s">
        <v>257</v>
      </c>
      <c r="C29" s="43"/>
      <c r="D29" s="44"/>
      <c r="E29" s="45" t="s">
        <v>210</v>
      </c>
      <c r="F29" s="69">
        <v>14098.999999999998</v>
      </c>
    </row>
    <row r="30" spans="1:6" x14ac:dyDescent="0.25">
      <c r="A30" s="42" t="s">
        <v>212</v>
      </c>
      <c r="B30" s="42" t="s">
        <v>257</v>
      </c>
      <c r="C30" s="43"/>
      <c r="D30" s="44"/>
      <c r="E30" s="45" t="s">
        <v>352</v>
      </c>
      <c r="F30" s="69">
        <v>23836.28</v>
      </c>
    </row>
    <row r="31" spans="1:6" x14ac:dyDescent="0.25">
      <c r="A31" s="42" t="s">
        <v>230</v>
      </c>
      <c r="B31" s="42" t="s">
        <v>257</v>
      </c>
      <c r="C31" s="43"/>
      <c r="D31" s="44"/>
      <c r="E31" s="45" t="s">
        <v>1542</v>
      </c>
      <c r="F31" s="69">
        <v>3651.48</v>
      </c>
    </row>
    <row r="32" spans="1:6" x14ac:dyDescent="0.25">
      <c r="A32" s="46" t="s">
        <v>263</v>
      </c>
      <c r="B32" s="46" t="s">
        <v>262</v>
      </c>
      <c r="C32" s="47"/>
      <c r="D32" s="48"/>
      <c r="E32" s="49"/>
      <c r="F32" s="70">
        <v>14098.999999999998</v>
      </c>
    </row>
    <row r="33" spans="1:6" ht="22.5" x14ac:dyDescent="0.25">
      <c r="A33" s="46" t="s">
        <v>328</v>
      </c>
      <c r="B33" s="46" t="s">
        <v>262</v>
      </c>
      <c r="C33" s="47" t="s">
        <v>264</v>
      </c>
      <c r="D33" s="48"/>
      <c r="E33" s="49"/>
      <c r="F33" s="70">
        <v>83071.399999999994</v>
      </c>
    </row>
    <row r="34" spans="1:6" x14ac:dyDescent="0.25">
      <c r="A34" s="46" t="s">
        <v>221</v>
      </c>
      <c r="B34" s="46" t="s">
        <v>262</v>
      </c>
      <c r="C34" s="47"/>
      <c r="D34" s="48"/>
      <c r="E34" s="49" t="s">
        <v>355</v>
      </c>
      <c r="F34" s="70">
        <v>55057.687499999993</v>
      </c>
    </row>
    <row r="35" spans="1:6" x14ac:dyDescent="0.25">
      <c r="A35" s="46" t="s">
        <v>194</v>
      </c>
      <c r="B35" s="46" t="s">
        <v>262</v>
      </c>
      <c r="C35" s="47"/>
      <c r="D35" s="48"/>
      <c r="E35" s="49" t="s">
        <v>356</v>
      </c>
      <c r="F35" s="70">
        <v>9129.16</v>
      </c>
    </row>
    <row r="36" spans="1:6" ht="22.5" x14ac:dyDescent="0.25">
      <c r="A36" s="46" t="s">
        <v>215</v>
      </c>
      <c r="B36" s="46" t="s">
        <v>262</v>
      </c>
      <c r="C36" s="47" t="s">
        <v>265</v>
      </c>
      <c r="D36" s="48"/>
      <c r="E36" s="49" t="s">
        <v>357</v>
      </c>
      <c r="F36" s="70">
        <v>25800.249999999996</v>
      </c>
    </row>
    <row r="37" spans="1:6" x14ac:dyDescent="0.25">
      <c r="A37" s="46" t="s">
        <v>216</v>
      </c>
      <c r="B37" s="46" t="s">
        <v>262</v>
      </c>
      <c r="C37" s="47"/>
      <c r="D37" s="48"/>
      <c r="E37" s="49" t="s">
        <v>364</v>
      </c>
      <c r="F37" s="70">
        <v>35500.959999999999</v>
      </c>
    </row>
    <row r="38" spans="1:6" x14ac:dyDescent="0.25">
      <c r="A38" s="46" t="s">
        <v>266</v>
      </c>
      <c r="B38" s="46" t="s">
        <v>262</v>
      </c>
      <c r="C38" s="47"/>
      <c r="D38" s="48"/>
      <c r="E38" s="49"/>
      <c r="F38" s="70">
        <v>42600.6</v>
      </c>
    </row>
    <row r="39" spans="1:6" x14ac:dyDescent="0.25">
      <c r="A39" s="46" t="s">
        <v>241</v>
      </c>
      <c r="B39" s="46" t="s">
        <v>262</v>
      </c>
      <c r="C39" s="47"/>
      <c r="D39" s="48"/>
      <c r="E39" s="49" t="s">
        <v>358</v>
      </c>
      <c r="F39" s="70">
        <v>53758.36</v>
      </c>
    </row>
    <row r="40" spans="1:6" x14ac:dyDescent="0.25">
      <c r="A40" s="46" t="s">
        <v>218</v>
      </c>
      <c r="B40" s="46" t="s">
        <v>262</v>
      </c>
      <c r="C40" s="47"/>
      <c r="D40" s="48"/>
      <c r="E40" s="49" t="s">
        <v>217</v>
      </c>
      <c r="F40" s="70">
        <v>44597.287499999999</v>
      </c>
    </row>
    <row r="41" spans="1:6" x14ac:dyDescent="0.25">
      <c r="A41" s="46" t="s">
        <v>329</v>
      </c>
      <c r="B41" s="46" t="s">
        <v>262</v>
      </c>
      <c r="C41" s="47"/>
      <c r="D41" s="48"/>
      <c r="E41" s="49" t="s">
        <v>219</v>
      </c>
      <c r="F41" s="70">
        <v>22299.074999999997</v>
      </c>
    </row>
    <row r="42" spans="1:6" x14ac:dyDescent="0.25">
      <c r="A42" s="46" t="s">
        <v>267</v>
      </c>
      <c r="B42" s="46" t="s">
        <v>262</v>
      </c>
      <c r="C42" s="47"/>
      <c r="D42" s="48"/>
      <c r="E42" s="49"/>
      <c r="F42" s="70">
        <v>17250</v>
      </c>
    </row>
    <row r="43" spans="1:6" x14ac:dyDescent="0.25">
      <c r="A43" s="46" t="s">
        <v>233</v>
      </c>
      <c r="B43" s="46" t="s">
        <v>262</v>
      </c>
      <c r="C43" s="47"/>
      <c r="D43" s="48"/>
      <c r="E43" s="49" t="s">
        <v>232</v>
      </c>
      <c r="F43" s="70">
        <v>17243.560000000001</v>
      </c>
    </row>
    <row r="44" spans="1:6" x14ac:dyDescent="0.25">
      <c r="A44" s="46" t="s">
        <v>268</v>
      </c>
      <c r="B44" s="46" t="s">
        <v>262</v>
      </c>
      <c r="C44" s="47"/>
      <c r="D44" s="48"/>
      <c r="E44" s="49"/>
      <c r="F44" s="70">
        <v>31443.759999999998</v>
      </c>
    </row>
    <row r="45" spans="1:6" ht="22.5" x14ac:dyDescent="0.25">
      <c r="A45" s="46" t="s">
        <v>234</v>
      </c>
      <c r="B45" s="46" t="s">
        <v>262</v>
      </c>
      <c r="C45" s="47"/>
      <c r="D45" s="48"/>
      <c r="E45" s="49" t="s">
        <v>359</v>
      </c>
      <c r="F45" s="70">
        <v>10143</v>
      </c>
    </row>
    <row r="46" spans="1:6" ht="22.5" x14ac:dyDescent="0.25">
      <c r="A46" s="46" t="s">
        <v>236</v>
      </c>
      <c r="B46" s="46" t="s">
        <v>262</v>
      </c>
      <c r="C46" s="47"/>
      <c r="D46" s="48"/>
      <c r="E46" s="49" t="s">
        <v>235</v>
      </c>
      <c r="F46" s="70">
        <v>12499.349999999999</v>
      </c>
    </row>
    <row r="47" spans="1:6" x14ac:dyDescent="0.25">
      <c r="A47" s="46" t="s">
        <v>238</v>
      </c>
      <c r="B47" s="46" t="s">
        <v>262</v>
      </c>
      <c r="C47" s="47"/>
      <c r="D47" s="48"/>
      <c r="E47" s="49" t="s">
        <v>237</v>
      </c>
      <c r="F47" s="70">
        <v>10400.599999999999</v>
      </c>
    </row>
    <row r="48" spans="1:6" x14ac:dyDescent="0.25">
      <c r="A48" s="46" t="s">
        <v>269</v>
      </c>
      <c r="B48" s="46" t="s">
        <v>262</v>
      </c>
      <c r="C48" s="47"/>
      <c r="D48" s="48"/>
      <c r="E48" s="49"/>
      <c r="F48" s="70">
        <v>5071.96</v>
      </c>
    </row>
    <row r="49" spans="1:6" x14ac:dyDescent="0.25">
      <c r="A49" s="50" t="s">
        <v>222</v>
      </c>
      <c r="B49" s="50" t="s">
        <v>270</v>
      </c>
      <c r="C49" s="51"/>
      <c r="D49" s="52"/>
      <c r="E49" s="53" t="s">
        <v>118</v>
      </c>
      <c r="F49" s="71">
        <v>65929.959999999992</v>
      </c>
    </row>
    <row r="50" spans="1:6" x14ac:dyDescent="0.25">
      <c r="A50" s="50" t="s">
        <v>271</v>
      </c>
      <c r="B50" s="50" t="s">
        <v>270</v>
      </c>
      <c r="C50" s="51"/>
      <c r="D50" s="52"/>
      <c r="E50" s="53" t="s">
        <v>360</v>
      </c>
      <c r="F50" s="71">
        <v>87229.799999999988</v>
      </c>
    </row>
    <row r="51" spans="1:6" x14ac:dyDescent="0.25">
      <c r="A51" s="50" t="s">
        <v>224</v>
      </c>
      <c r="B51" s="50" t="s">
        <v>270</v>
      </c>
      <c r="C51" s="51"/>
      <c r="D51" s="52"/>
      <c r="E51" s="53" t="s">
        <v>223</v>
      </c>
      <c r="F51" s="71">
        <v>40572</v>
      </c>
    </row>
    <row r="52" spans="1:6" x14ac:dyDescent="0.25">
      <c r="A52" s="50" t="s">
        <v>240</v>
      </c>
      <c r="B52" s="50" t="s">
        <v>270</v>
      </c>
      <c r="C52" s="51"/>
      <c r="D52" s="52"/>
      <c r="E52" s="53" t="s">
        <v>239</v>
      </c>
      <c r="F52" s="71">
        <v>19272.16</v>
      </c>
    </row>
    <row r="53" spans="1:6" x14ac:dyDescent="0.25">
      <c r="A53" s="50" t="s">
        <v>272</v>
      </c>
      <c r="B53" s="50" t="s">
        <v>270</v>
      </c>
      <c r="C53" s="51"/>
      <c r="D53" s="52"/>
      <c r="E53" s="53"/>
      <c r="F53" s="71">
        <v>23329.360000000001</v>
      </c>
    </row>
    <row r="54" spans="1:6" ht="45" x14ac:dyDescent="0.25">
      <c r="A54" s="22" t="s">
        <v>196</v>
      </c>
      <c r="B54" s="22" t="s">
        <v>344</v>
      </c>
      <c r="C54" s="54" t="s">
        <v>273</v>
      </c>
      <c r="D54" s="55"/>
      <c r="E54" s="56"/>
      <c r="F54" s="72">
        <v>110519.59999999999</v>
      </c>
    </row>
    <row r="55" spans="1:6" ht="45" x14ac:dyDescent="0.25">
      <c r="A55" s="22" t="s">
        <v>345</v>
      </c>
      <c r="B55" s="22" t="s">
        <v>344</v>
      </c>
      <c r="C55" s="54" t="s">
        <v>273</v>
      </c>
      <c r="D55" s="55"/>
      <c r="E55" s="56"/>
      <c r="F55" s="72">
        <v>204520.59999999998</v>
      </c>
    </row>
    <row r="56" spans="1:6" ht="22.5" x14ac:dyDescent="0.25">
      <c r="A56" s="22" t="s">
        <v>220</v>
      </c>
      <c r="B56" s="22" t="s">
        <v>344</v>
      </c>
      <c r="C56" s="54" t="s">
        <v>274</v>
      </c>
      <c r="D56" s="55"/>
      <c r="E56" s="56" t="s">
        <v>846</v>
      </c>
      <c r="F56" s="72">
        <v>334719</v>
      </c>
    </row>
    <row r="57" spans="1:6" ht="22.5" x14ac:dyDescent="0.25">
      <c r="A57" s="22" t="s">
        <v>185</v>
      </c>
      <c r="B57" s="22" t="s">
        <v>344</v>
      </c>
      <c r="C57" s="54" t="s">
        <v>275</v>
      </c>
      <c r="D57" s="55"/>
      <c r="E57" s="56" t="s">
        <v>184</v>
      </c>
      <c r="F57" s="72">
        <v>45643.96</v>
      </c>
    </row>
    <row r="58" spans="1:6" ht="22.5" x14ac:dyDescent="0.25">
      <c r="A58" s="22" t="s">
        <v>189</v>
      </c>
      <c r="B58" s="22" t="s">
        <v>344</v>
      </c>
      <c r="C58" s="54" t="s">
        <v>276</v>
      </c>
      <c r="D58" s="55"/>
      <c r="E58" s="56" t="s">
        <v>188</v>
      </c>
      <c r="F58" s="72">
        <v>42600.6</v>
      </c>
    </row>
    <row r="59" spans="1:6" ht="22.5" x14ac:dyDescent="0.25">
      <c r="A59" s="22" t="s">
        <v>213</v>
      </c>
      <c r="B59" s="22" t="s">
        <v>344</v>
      </c>
      <c r="C59" s="54" t="s">
        <v>277</v>
      </c>
      <c r="D59" s="55"/>
      <c r="E59" s="56" t="s">
        <v>361</v>
      </c>
      <c r="F59" s="72">
        <v>22314.6</v>
      </c>
    </row>
    <row r="60" spans="1:6" x14ac:dyDescent="0.25">
      <c r="A60" s="22" t="s">
        <v>278</v>
      </c>
      <c r="B60" s="22" t="s">
        <v>344</v>
      </c>
      <c r="C60" s="54" t="s">
        <v>346</v>
      </c>
      <c r="D60" s="55"/>
      <c r="E60" s="56" t="s">
        <v>362</v>
      </c>
      <c r="F60" s="72">
        <v>0</v>
      </c>
    </row>
    <row r="61" spans="1:6" ht="22.5" x14ac:dyDescent="0.25">
      <c r="A61" s="22" t="s">
        <v>279</v>
      </c>
      <c r="B61" s="22" t="s">
        <v>344</v>
      </c>
      <c r="C61" s="54" t="s">
        <v>347</v>
      </c>
      <c r="D61" s="55"/>
      <c r="E61" s="56"/>
      <c r="F61" s="72">
        <v>84000.599999999991</v>
      </c>
    </row>
    <row r="62" spans="1:6" ht="33.75" x14ac:dyDescent="0.25">
      <c r="A62" s="22" t="s">
        <v>280</v>
      </c>
      <c r="B62" s="22" t="s">
        <v>344</v>
      </c>
      <c r="C62" s="54" t="s">
        <v>348</v>
      </c>
      <c r="D62" s="55"/>
      <c r="E62" s="56"/>
      <c r="F62" s="72">
        <v>60519.899999999994</v>
      </c>
    </row>
    <row r="63" spans="1:6" x14ac:dyDescent="0.25">
      <c r="A63" s="22" t="s">
        <v>198</v>
      </c>
      <c r="B63" s="22" t="s">
        <v>344</v>
      </c>
      <c r="C63" s="54" t="s">
        <v>327</v>
      </c>
      <c r="D63" s="55"/>
      <c r="E63" s="56" t="s">
        <v>197</v>
      </c>
      <c r="F63" s="72">
        <v>2738.8399999999997</v>
      </c>
    </row>
    <row r="64" spans="1:6" x14ac:dyDescent="0.25">
      <c r="A64" s="22" t="s">
        <v>281</v>
      </c>
      <c r="B64" s="22" t="s">
        <v>344</v>
      </c>
      <c r="C64" s="54" t="s">
        <v>327</v>
      </c>
      <c r="D64" s="55"/>
      <c r="E64" s="56"/>
      <c r="F64" s="72">
        <v>5274.3600000000006</v>
      </c>
    </row>
    <row r="65" spans="1:6" x14ac:dyDescent="0.25">
      <c r="A65" s="22" t="s">
        <v>282</v>
      </c>
      <c r="B65" s="22" t="s">
        <v>344</v>
      </c>
      <c r="C65" s="54" t="s">
        <v>327</v>
      </c>
      <c r="D65" s="55"/>
      <c r="E65" s="56"/>
      <c r="F65" s="72">
        <v>0</v>
      </c>
    </row>
    <row r="66" spans="1:6" x14ac:dyDescent="0.25">
      <c r="A66" s="22" t="s">
        <v>283</v>
      </c>
      <c r="B66" s="22" t="s">
        <v>344</v>
      </c>
      <c r="C66" s="54" t="s">
        <v>327</v>
      </c>
      <c r="D66" s="55"/>
      <c r="E66" s="56"/>
      <c r="F66" s="72">
        <v>7100.56</v>
      </c>
    </row>
    <row r="67" spans="1:6" ht="33.75" x14ac:dyDescent="0.25">
      <c r="A67" s="22" t="s">
        <v>284</v>
      </c>
      <c r="B67" s="22" t="s">
        <v>344</v>
      </c>
      <c r="C67" s="54" t="s">
        <v>285</v>
      </c>
      <c r="D67" s="55"/>
      <c r="E67" s="56"/>
      <c r="F67" s="72">
        <v>632923.19999999995</v>
      </c>
    </row>
    <row r="68" spans="1:6" ht="33.75" x14ac:dyDescent="0.25">
      <c r="A68" s="22" t="s">
        <v>286</v>
      </c>
      <c r="B68" s="22" t="s">
        <v>344</v>
      </c>
      <c r="C68" s="54" t="s">
        <v>287</v>
      </c>
      <c r="D68" s="55"/>
      <c r="E68" s="56"/>
      <c r="F68" s="72">
        <v>547722</v>
      </c>
    </row>
    <row r="69" spans="1:6" ht="22.5" x14ac:dyDescent="0.25">
      <c r="A69" s="22" t="s">
        <v>200</v>
      </c>
      <c r="B69" s="22" t="s">
        <v>344</v>
      </c>
      <c r="C69" s="54"/>
      <c r="D69" s="55"/>
      <c r="E69" s="56" t="s">
        <v>199</v>
      </c>
      <c r="F69" s="72">
        <v>13997.8</v>
      </c>
    </row>
    <row r="70" spans="1:6" ht="22.5" x14ac:dyDescent="0.25">
      <c r="A70" s="22" t="s">
        <v>202</v>
      </c>
      <c r="B70" s="22" t="s">
        <v>344</v>
      </c>
      <c r="C70" s="54" t="s">
        <v>288</v>
      </c>
      <c r="D70" s="55"/>
      <c r="E70" s="56" t="s">
        <v>3123</v>
      </c>
      <c r="F70" s="72">
        <v>15721.88</v>
      </c>
    </row>
    <row r="71" spans="1:6" ht="33.75" x14ac:dyDescent="0.25">
      <c r="A71" s="22" t="s">
        <v>201</v>
      </c>
      <c r="B71" s="22" t="s">
        <v>344</v>
      </c>
      <c r="C71" s="54" t="s">
        <v>289</v>
      </c>
      <c r="D71" s="55"/>
      <c r="E71" s="56"/>
      <c r="F71" s="72">
        <v>16735.72</v>
      </c>
    </row>
    <row r="72" spans="1:6" ht="22.5" x14ac:dyDescent="0.25">
      <c r="A72" s="22" t="s">
        <v>290</v>
      </c>
      <c r="B72" s="22" t="s">
        <v>344</v>
      </c>
      <c r="C72" s="54"/>
      <c r="D72" s="55"/>
      <c r="E72" s="56"/>
      <c r="F72" s="72">
        <v>0</v>
      </c>
    </row>
    <row r="73" spans="1:6" x14ac:dyDescent="0.25">
      <c r="A73" s="22" t="s">
        <v>226</v>
      </c>
      <c r="B73" s="22" t="s">
        <v>344</v>
      </c>
      <c r="C73" s="54"/>
      <c r="D73" s="55"/>
      <c r="E73" s="56" t="s">
        <v>225</v>
      </c>
      <c r="F73" s="72">
        <v>8520.119999999999</v>
      </c>
    </row>
    <row r="74" spans="1:6" x14ac:dyDescent="0.25">
      <c r="A74" s="22" t="s">
        <v>229</v>
      </c>
      <c r="B74" s="22" t="s">
        <v>344</v>
      </c>
      <c r="C74" s="54"/>
      <c r="D74" s="55"/>
      <c r="E74" s="56" t="s">
        <v>228</v>
      </c>
      <c r="F74" s="72">
        <v>5274.3600000000006</v>
      </c>
    </row>
    <row r="75" spans="1:6" ht="22.5" x14ac:dyDescent="0.25">
      <c r="A75" s="22" t="s">
        <v>291</v>
      </c>
      <c r="B75" s="22" t="s">
        <v>344</v>
      </c>
      <c r="C75" s="54"/>
      <c r="D75" s="55"/>
      <c r="E75" s="56"/>
      <c r="F75" s="72">
        <v>0</v>
      </c>
    </row>
    <row r="76" spans="1:6" x14ac:dyDescent="0.25">
      <c r="A76" s="22" t="s">
        <v>292</v>
      </c>
      <c r="B76" s="22" t="s">
        <v>344</v>
      </c>
      <c r="C76" s="54"/>
      <c r="D76" s="55"/>
      <c r="E76" s="56"/>
      <c r="F76" s="72">
        <v>0</v>
      </c>
    </row>
    <row r="77" spans="1:6" x14ac:dyDescent="0.25">
      <c r="A77" s="22" t="s">
        <v>293</v>
      </c>
      <c r="B77" s="22" t="s">
        <v>344</v>
      </c>
      <c r="C77" s="54"/>
      <c r="D77" s="55"/>
      <c r="E77" s="56"/>
      <c r="F77" s="72">
        <v>32457.599999999999</v>
      </c>
    </row>
    <row r="78" spans="1:6" ht="33.75" x14ac:dyDescent="0.25">
      <c r="A78" s="76" t="s">
        <v>294</v>
      </c>
      <c r="B78" s="76" t="s">
        <v>350</v>
      </c>
      <c r="C78" s="77" t="s">
        <v>349</v>
      </c>
      <c r="D78" s="78"/>
      <c r="E78" s="79"/>
      <c r="F78" s="80">
        <v>17243.560000000001</v>
      </c>
    </row>
    <row r="79" spans="1:6" ht="33.75" x14ac:dyDescent="0.25">
      <c r="A79" s="76" t="s">
        <v>295</v>
      </c>
      <c r="B79" s="76" t="s">
        <v>350</v>
      </c>
      <c r="C79" s="77" t="s">
        <v>349</v>
      </c>
      <c r="D79" s="78"/>
      <c r="E79" s="79"/>
      <c r="F79" s="80">
        <v>14200.199999999999</v>
      </c>
    </row>
    <row r="80" spans="1:6" ht="33.75" x14ac:dyDescent="0.25">
      <c r="A80" s="76" t="s">
        <v>296</v>
      </c>
      <c r="B80" s="76" t="s">
        <v>350</v>
      </c>
      <c r="C80" s="77" t="s">
        <v>349</v>
      </c>
      <c r="D80" s="78"/>
      <c r="E80" s="79"/>
      <c r="F80" s="80">
        <v>17243.560000000001</v>
      </c>
    </row>
    <row r="81" spans="1:6" ht="33.75" x14ac:dyDescent="0.25">
      <c r="A81" s="76" t="s">
        <v>297</v>
      </c>
      <c r="B81" s="76" t="s">
        <v>350</v>
      </c>
      <c r="C81" s="77" t="s">
        <v>349</v>
      </c>
      <c r="D81" s="78"/>
      <c r="E81" s="79"/>
      <c r="F81" s="80">
        <v>12171.599999999999</v>
      </c>
    </row>
    <row r="82" spans="1:6" ht="33.75" x14ac:dyDescent="0.25">
      <c r="A82" s="76" t="s">
        <v>298</v>
      </c>
      <c r="B82" s="76" t="s">
        <v>350</v>
      </c>
      <c r="C82" s="77" t="s">
        <v>349</v>
      </c>
      <c r="D82" s="78"/>
      <c r="E82" s="79"/>
      <c r="F82" s="80">
        <v>8621.32</v>
      </c>
    </row>
    <row r="83" spans="1:6" ht="33.75" x14ac:dyDescent="0.25">
      <c r="A83" s="76" t="s">
        <v>299</v>
      </c>
      <c r="B83" s="76" t="s">
        <v>350</v>
      </c>
      <c r="C83" s="77" t="s">
        <v>349</v>
      </c>
      <c r="D83" s="78"/>
      <c r="E83" s="79"/>
      <c r="F83" s="80">
        <v>20286</v>
      </c>
    </row>
    <row r="84" spans="1:6" ht="33.75" x14ac:dyDescent="0.25">
      <c r="A84" s="76" t="s">
        <v>300</v>
      </c>
      <c r="B84" s="76" t="s">
        <v>350</v>
      </c>
      <c r="C84" s="77" t="s">
        <v>349</v>
      </c>
      <c r="D84" s="78"/>
      <c r="E84" s="79"/>
      <c r="F84" s="80">
        <v>20286</v>
      </c>
    </row>
    <row r="85" spans="1:6" x14ac:dyDescent="0.25">
      <c r="A85" s="60" t="s">
        <v>301</v>
      </c>
      <c r="B85" s="60" t="s">
        <v>351</v>
      </c>
      <c r="C85" s="61"/>
      <c r="D85" s="62"/>
      <c r="E85" s="63"/>
      <c r="F85" s="73">
        <v>35500.959999999999</v>
      </c>
    </row>
    <row r="86" spans="1:6" x14ac:dyDescent="0.25">
      <c r="A86" s="60" t="s">
        <v>302</v>
      </c>
      <c r="B86" s="60" t="s">
        <v>351</v>
      </c>
      <c r="C86" s="61"/>
      <c r="D86" s="62"/>
      <c r="E86" s="63"/>
      <c r="F86" s="73">
        <v>50714.999999999993</v>
      </c>
    </row>
    <row r="87" spans="1:6" x14ac:dyDescent="0.25">
      <c r="A87" s="60" t="s">
        <v>303</v>
      </c>
      <c r="B87" s="60" t="s">
        <v>351</v>
      </c>
      <c r="C87" s="61"/>
      <c r="D87" s="62"/>
      <c r="E87" s="63"/>
      <c r="F87" s="73">
        <v>15214.960000000001</v>
      </c>
    </row>
    <row r="88" spans="1:6" x14ac:dyDescent="0.25">
      <c r="A88" s="60" t="s">
        <v>304</v>
      </c>
      <c r="B88" s="60" t="s">
        <v>351</v>
      </c>
      <c r="C88" s="61"/>
      <c r="D88" s="62"/>
      <c r="E88" s="63"/>
      <c r="F88" s="73">
        <v>55786.96</v>
      </c>
    </row>
    <row r="89" spans="1:6" x14ac:dyDescent="0.25">
      <c r="A89" s="60" t="s">
        <v>305</v>
      </c>
      <c r="B89" s="60" t="s">
        <v>351</v>
      </c>
      <c r="C89" s="61"/>
      <c r="D89" s="62"/>
      <c r="E89" s="63"/>
      <c r="F89" s="73">
        <v>65929.959999999992</v>
      </c>
    </row>
    <row r="90" spans="1:6" x14ac:dyDescent="0.25">
      <c r="A90" s="60" t="s">
        <v>306</v>
      </c>
      <c r="B90" s="60" t="s">
        <v>351</v>
      </c>
      <c r="C90" s="61"/>
      <c r="D90" s="62"/>
      <c r="E90" s="63"/>
      <c r="F90" s="73">
        <v>65929.959999999992</v>
      </c>
    </row>
    <row r="91" spans="1:6" x14ac:dyDescent="0.25">
      <c r="A91" s="60" t="s">
        <v>307</v>
      </c>
      <c r="B91" s="60" t="s">
        <v>351</v>
      </c>
      <c r="C91" s="61"/>
      <c r="D91" s="62"/>
      <c r="E91" s="63"/>
      <c r="F91" s="73">
        <v>65929.959999999992</v>
      </c>
    </row>
    <row r="92" spans="1:6" x14ac:dyDescent="0.25">
      <c r="A92" s="60" t="s">
        <v>308</v>
      </c>
      <c r="B92" s="60" t="s">
        <v>351</v>
      </c>
      <c r="C92" s="61"/>
      <c r="D92" s="62"/>
      <c r="E92" s="63"/>
      <c r="F92" s="73">
        <v>35500.959999999999</v>
      </c>
    </row>
    <row r="93" spans="1:6" x14ac:dyDescent="0.25">
      <c r="A93" s="60" t="s">
        <v>309</v>
      </c>
      <c r="B93" s="60" t="s">
        <v>351</v>
      </c>
      <c r="C93" s="61"/>
      <c r="D93" s="62"/>
      <c r="E93" s="63"/>
      <c r="F93" s="73">
        <v>35500.959999999999</v>
      </c>
    </row>
    <row r="94" spans="1:6" x14ac:dyDescent="0.25">
      <c r="A94" s="60" t="s">
        <v>310</v>
      </c>
      <c r="B94" s="60" t="s">
        <v>351</v>
      </c>
      <c r="C94" s="61"/>
      <c r="D94" s="62"/>
      <c r="E94" s="63"/>
      <c r="F94" s="73">
        <v>45643.96</v>
      </c>
    </row>
    <row r="95" spans="1:6" x14ac:dyDescent="0.25">
      <c r="A95" s="60" t="s">
        <v>311</v>
      </c>
      <c r="B95" s="60" t="s">
        <v>351</v>
      </c>
      <c r="C95" s="61"/>
      <c r="D95" s="62"/>
      <c r="E95" s="63"/>
      <c r="F95" s="73">
        <v>45643.96</v>
      </c>
    </row>
    <row r="96" spans="1:6" x14ac:dyDescent="0.25">
      <c r="A96" s="60" t="s">
        <v>312</v>
      </c>
      <c r="B96" s="60" t="s">
        <v>351</v>
      </c>
      <c r="C96" s="61"/>
      <c r="D96" s="62"/>
      <c r="E96" s="63"/>
      <c r="F96" s="73">
        <v>30428.999999999996</v>
      </c>
    </row>
    <row r="97" spans="1:6" x14ac:dyDescent="0.25">
      <c r="A97" s="60" t="s">
        <v>227</v>
      </c>
      <c r="B97" s="60" t="s">
        <v>351</v>
      </c>
      <c r="C97" s="61"/>
      <c r="D97" s="62"/>
      <c r="E97" s="63"/>
      <c r="F97" s="73">
        <v>8114.4</v>
      </c>
    </row>
    <row r="98" spans="1:6" x14ac:dyDescent="0.25">
      <c r="A98" s="60" t="s">
        <v>313</v>
      </c>
      <c r="B98" s="60" t="s">
        <v>351</v>
      </c>
      <c r="C98" s="61"/>
      <c r="D98" s="62"/>
      <c r="E98" s="63"/>
      <c r="F98" s="73">
        <v>35500.959999999999</v>
      </c>
    </row>
    <row r="99" spans="1:6" x14ac:dyDescent="0.25">
      <c r="A99" s="60" t="s">
        <v>314</v>
      </c>
      <c r="B99" s="60" t="s">
        <v>351</v>
      </c>
      <c r="C99" s="61" t="s">
        <v>343</v>
      </c>
      <c r="D99" s="62"/>
      <c r="E99" s="63" t="s">
        <v>363</v>
      </c>
      <c r="F99" s="73">
        <v>9129.16</v>
      </c>
    </row>
    <row r="100" spans="1:6" x14ac:dyDescent="0.25">
      <c r="A100" s="60" t="s">
        <v>315</v>
      </c>
      <c r="B100" s="60" t="s">
        <v>351</v>
      </c>
      <c r="C100" s="61"/>
      <c r="D100" s="62"/>
      <c r="E100" s="63"/>
      <c r="F100" s="73">
        <v>18764.32</v>
      </c>
    </row>
    <row r="101" spans="1:6" x14ac:dyDescent="0.25">
      <c r="A101" s="60" t="s">
        <v>316</v>
      </c>
      <c r="B101" s="60" t="s">
        <v>351</v>
      </c>
      <c r="C101" s="61"/>
      <c r="D101" s="62"/>
      <c r="E101" s="63"/>
      <c r="F101" s="73">
        <v>22314.6</v>
      </c>
    </row>
    <row r="102" spans="1:6" x14ac:dyDescent="0.25">
      <c r="A102" s="60" t="s">
        <v>317</v>
      </c>
      <c r="B102" s="60" t="s">
        <v>351</v>
      </c>
      <c r="C102" s="61"/>
      <c r="D102" s="62"/>
      <c r="E102" s="63"/>
      <c r="F102" s="73">
        <v>33472.36</v>
      </c>
    </row>
    <row r="103" spans="1:6" x14ac:dyDescent="0.25">
      <c r="A103" s="60" t="s">
        <v>318</v>
      </c>
      <c r="B103" s="60" t="s">
        <v>351</v>
      </c>
      <c r="C103" s="61"/>
      <c r="D103" s="62"/>
      <c r="E103" s="63"/>
      <c r="F103" s="73">
        <v>40572</v>
      </c>
    </row>
    <row r="104" spans="1:6" x14ac:dyDescent="0.25">
      <c r="A104" s="60" t="s">
        <v>319</v>
      </c>
      <c r="B104" s="60" t="s">
        <v>351</v>
      </c>
      <c r="C104" s="61"/>
      <c r="D104" s="62"/>
      <c r="E104" s="63"/>
      <c r="F104" s="73">
        <v>33472.36</v>
      </c>
    </row>
    <row r="105" spans="1:6" x14ac:dyDescent="0.25">
      <c r="A105" s="60" t="s">
        <v>320</v>
      </c>
      <c r="B105" s="60" t="s">
        <v>351</v>
      </c>
      <c r="C105" s="61"/>
      <c r="D105" s="62"/>
      <c r="E105" s="63"/>
      <c r="F105" s="73">
        <v>15214.960000000001</v>
      </c>
    </row>
    <row r="106" spans="1:6" x14ac:dyDescent="0.25">
      <c r="A106" s="60" t="s">
        <v>321</v>
      </c>
      <c r="B106" s="60" t="s">
        <v>351</v>
      </c>
      <c r="C106" s="61"/>
      <c r="D106" s="62"/>
      <c r="E106" s="63"/>
      <c r="F106" s="73">
        <v>22314.6</v>
      </c>
    </row>
    <row r="107" spans="1:6" x14ac:dyDescent="0.25">
      <c r="A107" s="60" t="s">
        <v>322</v>
      </c>
      <c r="B107" s="60" t="s">
        <v>351</v>
      </c>
      <c r="C107" s="61"/>
      <c r="D107" s="62"/>
      <c r="E107" s="63"/>
      <c r="F107" s="73">
        <v>15214.960000000001</v>
      </c>
    </row>
    <row r="108" spans="1:6" x14ac:dyDescent="0.25">
      <c r="A108" s="60" t="s">
        <v>323</v>
      </c>
      <c r="B108" s="60" t="s">
        <v>351</v>
      </c>
      <c r="C108" s="61"/>
      <c r="D108" s="62"/>
      <c r="E108" s="63"/>
      <c r="F108" s="73">
        <v>25357.96</v>
      </c>
    </row>
    <row r="109" spans="1:6" x14ac:dyDescent="0.25">
      <c r="A109" s="60" t="s">
        <v>324</v>
      </c>
      <c r="B109" s="60" t="s">
        <v>351</v>
      </c>
      <c r="C109" s="61"/>
      <c r="D109" s="62"/>
      <c r="E109" s="63"/>
      <c r="F109" s="73">
        <v>30428.999999999996</v>
      </c>
    </row>
    <row r="110" spans="1:6" x14ac:dyDescent="0.25">
      <c r="A110" s="60" t="s">
        <v>325</v>
      </c>
      <c r="B110" s="60" t="s">
        <v>351</v>
      </c>
      <c r="C110" s="61"/>
      <c r="D110" s="62"/>
      <c r="E110" s="63"/>
      <c r="F110" s="73">
        <v>35500.959999999999</v>
      </c>
    </row>
    <row r="111" spans="1:6" x14ac:dyDescent="0.25">
      <c r="A111" s="21" t="s">
        <v>209</v>
      </c>
      <c r="B111" s="21" t="s">
        <v>326</v>
      </c>
      <c r="C111" s="57"/>
      <c r="D111" s="58"/>
      <c r="E111" s="59" t="s">
        <v>209</v>
      </c>
      <c r="F111" s="74">
        <v>18764.32</v>
      </c>
    </row>
    <row r="112" spans="1:6" x14ac:dyDescent="0.25">
      <c r="A112" s="21" t="s">
        <v>214</v>
      </c>
      <c r="B112" s="21" t="s">
        <v>326</v>
      </c>
      <c r="C112" s="57"/>
      <c r="D112" s="58"/>
      <c r="E112" s="59" t="s">
        <v>214</v>
      </c>
      <c r="F112" s="74">
        <v>18764.32</v>
      </c>
    </row>
    <row r="113" spans="1:6" x14ac:dyDescent="0.25">
      <c r="A113" s="21" t="s">
        <v>242</v>
      </c>
      <c r="B113" s="21" t="s">
        <v>326</v>
      </c>
      <c r="C113" s="57"/>
      <c r="D113" s="58"/>
      <c r="E113" s="59" t="s">
        <v>242</v>
      </c>
      <c r="F113" s="74">
        <v>14200.199999999999</v>
      </c>
    </row>
    <row r="114" spans="1:6" x14ac:dyDescent="0.25">
      <c r="A114" s="21" t="s">
        <v>195</v>
      </c>
      <c r="B114" s="21" t="s">
        <v>326</v>
      </c>
      <c r="C114" s="57"/>
      <c r="D114" s="58"/>
      <c r="E114" s="59" t="s">
        <v>195</v>
      </c>
      <c r="F114" s="74">
        <v>36514.799999999996</v>
      </c>
    </row>
    <row r="115" spans="1:6" ht="33.75" x14ac:dyDescent="0.25">
      <c r="A115" s="21" t="s">
        <v>169</v>
      </c>
      <c r="B115" s="21" t="s">
        <v>326</v>
      </c>
      <c r="C115" s="57" t="s">
        <v>170</v>
      </c>
      <c r="D115" s="58"/>
      <c r="E115" s="59" t="s">
        <v>169</v>
      </c>
      <c r="F115" s="74">
        <v>22310</v>
      </c>
    </row>
    <row r="116" spans="1:6" ht="90" x14ac:dyDescent="0.25">
      <c r="A116" s="21" t="s">
        <v>171</v>
      </c>
      <c r="B116" s="21" t="s">
        <v>326</v>
      </c>
      <c r="C116" s="57" t="s">
        <v>172</v>
      </c>
      <c r="D116" s="58"/>
      <c r="E116" s="59" t="s">
        <v>171</v>
      </c>
      <c r="F116" s="74">
        <v>18764</v>
      </c>
    </row>
    <row r="117" spans="1:6" ht="67.5" x14ac:dyDescent="0.25">
      <c r="A117" s="21" t="s">
        <v>173</v>
      </c>
      <c r="B117" s="21" t="s">
        <v>326</v>
      </c>
      <c r="C117" s="57" t="s">
        <v>174</v>
      </c>
      <c r="D117" s="58"/>
      <c r="E117" s="59" t="s">
        <v>173</v>
      </c>
      <c r="F117" s="74">
        <v>18764</v>
      </c>
    </row>
    <row r="118" spans="1:6" x14ac:dyDescent="0.25">
      <c r="A118" s="21" t="s">
        <v>177</v>
      </c>
      <c r="B118" s="21" t="s">
        <v>326</v>
      </c>
      <c r="C118" s="57"/>
      <c r="D118" s="58"/>
      <c r="E118" s="59" t="s">
        <v>177</v>
      </c>
      <c r="F118" s="74">
        <v>4521</v>
      </c>
    </row>
    <row r="119" spans="1:6" x14ac:dyDescent="0.25">
      <c r="A119" s="21" t="s">
        <v>178</v>
      </c>
      <c r="B119" s="21" t="s">
        <v>326</v>
      </c>
      <c r="C119" s="57"/>
      <c r="D119" s="58"/>
      <c r="E119" s="59" t="s">
        <v>178</v>
      </c>
      <c r="F119" s="74">
        <v>12374</v>
      </c>
    </row>
    <row r="120" spans="1:6" x14ac:dyDescent="0.25">
      <c r="A120" s="21" t="s">
        <v>209</v>
      </c>
      <c r="B120" s="21" t="s">
        <v>326</v>
      </c>
      <c r="C120" s="57"/>
      <c r="D120" s="58"/>
      <c r="E120" s="59" t="s">
        <v>209</v>
      </c>
      <c r="F120" s="74">
        <v>18764.32</v>
      </c>
    </row>
    <row r="121" spans="1:6" x14ac:dyDescent="0.25">
      <c r="A121" s="21" t="s">
        <v>242</v>
      </c>
      <c r="B121" s="21" t="s">
        <v>326</v>
      </c>
      <c r="C121" s="57"/>
      <c r="D121" s="58"/>
      <c r="E121" s="59" t="s">
        <v>242</v>
      </c>
      <c r="F121" s="74">
        <v>14200.199999999999</v>
      </c>
    </row>
    <row r="122" spans="1:6" x14ac:dyDescent="0.25">
      <c r="A122" s="21" t="s">
        <v>179</v>
      </c>
      <c r="B122" s="21" t="s">
        <v>326</v>
      </c>
      <c r="C122" s="57"/>
      <c r="D122" s="58"/>
      <c r="E122" s="59" t="s">
        <v>179</v>
      </c>
      <c r="F122" s="74">
        <v>18764</v>
      </c>
    </row>
    <row r="123" spans="1:6" x14ac:dyDescent="0.25">
      <c r="A123" s="21" t="s">
        <v>195</v>
      </c>
      <c r="B123" s="21" t="s">
        <v>326</v>
      </c>
      <c r="C123" s="57"/>
      <c r="D123" s="58"/>
      <c r="E123" s="59" t="s">
        <v>195</v>
      </c>
      <c r="F123" s="74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4"/>
  <sheetViews>
    <sheetView zoomScale="90" zoomScaleNormal="90" workbookViewId="0">
      <pane ySplit="1" topLeftCell="A5" activePane="bottomLeft" state="frozen"/>
      <selection pane="bottomLeft" activeCell="D6" sqref="D6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411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35</v>
      </c>
      <c r="B6" s="2" t="s">
        <v>122</v>
      </c>
      <c r="C6" s="3" t="s">
        <v>49</v>
      </c>
      <c r="D6" s="2" t="s">
        <v>128</v>
      </c>
      <c r="E6" s="2" t="s">
        <v>50</v>
      </c>
      <c r="F6" s="2" t="s">
        <v>138</v>
      </c>
      <c r="G6" s="2"/>
      <c r="H6" s="1" t="s">
        <v>144</v>
      </c>
      <c r="I6" s="4" t="s">
        <v>51</v>
      </c>
      <c r="J6" s="3" t="s">
        <v>52</v>
      </c>
      <c r="K6" s="2" t="s">
        <v>53</v>
      </c>
      <c r="L6" s="4"/>
      <c r="M6" s="3"/>
      <c r="N6" s="4"/>
    </row>
    <row r="7" spans="1:14" ht="33" customHeight="1" x14ac:dyDescent="0.25">
      <c r="A7" s="8" t="s">
        <v>34</v>
      </c>
      <c r="B7" s="2" t="s">
        <v>44</v>
      </c>
      <c r="C7" s="3" t="s">
        <v>45</v>
      </c>
      <c r="D7" s="2" t="s">
        <v>46</v>
      </c>
      <c r="E7" s="2" t="s">
        <v>11</v>
      </c>
      <c r="F7" s="2" t="s">
        <v>137</v>
      </c>
      <c r="G7" s="2"/>
      <c r="H7" s="1" t="s">
        <v>143</v>
      </c>
      <c r="I7" s="4" t="s">
        <v>47</v>
      </c>
      <c r="J7" s="3"/>
      <c r="K7" s="2" t="s">
        <v>150</v>
      </c>
      <c r="L7" s="4"/>
      <c r="M7" s="5" t="s">
        <v>66</v>
      </c>
      <c r="N7" s="4" t="s">
        <v>48</v>
      </c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372</v>
      </c>
      <c r="I10" s="4" t="s">
        <v>69</v>
      </c>
      <c r="J10" s="97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</sheetData>
  <autoFilter ref="A1:N1">
    <sortState ref="A2:N14">
      <sortCondition ref="A1"/>
    </sortState>
  </autoFilter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</hyperlinks>
  <pageMargins left="0.7" right="0.7" top="0.75" bottom="0.75" header="0.3" footer="0.3"/>
  <pageSetup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1148" activePane="bottomLeft" state="frozen"/>
      <selection activeCell="E23" sqref="E23"/>
      <selection pane="bottomLeft" activeCell="B1173" sqref="B1173"/>
    </sheetView>
  </sheetViews>
  <sheetFormatPr baseColWidth="10" defaultRowHeight="12.75" outlineLevelRow="1" x14ac:dyDescent="0.2"/>
  <cols>
    <col min="1" max="1" width="5" style="217" customWidth="1"/>
    <col min="2" max="2" width="13.28515625" style="217" customWidth="1"/>
    <col min="3" max="3" width="15" style="218" customWidth="1"/>
    <col min="4" max="4" width="23.28515625" style="217" customWidth="1"/>
    <col min="5" max="5" width="13" style="217" customWidth="1"/>
    <col min="6" max="6" width="29.28515625" style="217" customWidth="1"/>
    <col min="7" max="7" width="13.85546875" style="218" customWidth="1"/>
    <col min="8" max="8" width="10.7109375" style="218" hidden="1" customWidth="1"/>
    <col min="9" max="9" width="12.42578125" style="217" customWidth="1"/>
    <col min="10" max="10" width="13.5703125" style="217" customWidth="1"/>
    <col min="11" max="11" width="13.85546875" style="217" customWidth="1"/>
    <col min="12" max="12" width="16.7109375" style="219" customWidth="1"/>
    <col min="13" max="13" width="13" style="217" customWidth="1"/>
    <col min="14" max="14" width="10.42578125" style="132" customWidth="1"/>
    <col min="15" max="15" width="53.140625" style="133" customWidth="1"/>
    <col min="16" max="16" width="11.140625" style="133" customWidth="1"/>
    <col min="17" max="17" width="9.7109375" style="133" customWidth="1"/>
    <col min="18" max="18" width="12.85546875" style="133" customWidth="1"/>
    <col min="19" max="19" width="12.140625" style="133" customWidth="1"/>
    <col min="20" max="20" width="11.42578125" style="133"/>
    <col min="21" max="21" width="12.28515625" style="133" customWidth="1"/>
    <col min="22" max="22" width="43.5703125" style="133" customWidth="1"/>
    <col min="23" max="28" width="11.42578125" style="133"/>
    <col min="29" max="16384" width="11.42578125" style="217"/>
  </cols>
  <sheetData>
    <row r="1" spans="1:28" s="134" customFormat="1" ht="18.75" customHeight="1" outlineLevel="1" x14ac:dyDescent="0.2">
      <c r="A1" s="122">
        <v>1</v>
      </c>
      <c r="B1" s="122">
        <v>89909</v>
      </c>
      <c r="C1" s="123">
        <v>41659</v>
      </c>
      <c r="D1" s="124" t="s">
        <v>553</v>
      </c>
      <c r="E1" s="122"/>
      <c r="F1" s="125" t="s">
        <v>118</v>
      </c>
      <c r="G1" s="126" t="s">
        <v>371</v>
      </c>
      <c r="H1" s="127" t="s">
        <v>554</v>
      </c>
      <c r="I1" s="128">
        <v>1</v>
      </c>
      <c r="J1" s="129">
        <v>65930</v>
      </c>
      <c r="K1" s="129">
        <v>65930</v>
      </c>
      <c r="L1" s="130" t="s">
        <v>555</v>
      </c>
      <c r="M1" s="131" t="s">
        <v>7</v>
      </c>
      <c r="N1" s="132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</row>
    <row r="2" spans="1:28" s="145" customFormat="1" ht="15" customHeight="1" outlineLevel="1" x14ac:dyDescent="0.2">
      <c r="A2" s="135">
        <v>18</v>
      </c>
      <c r="B2" s="135">
        <v>95867</v>
      </c>
      <c r="C2" s="136">
        <v>41684</v>
      </c>
      <c r="D2" s="137" t="s">
        <v>556</v>
      </c>
      <c r="E2" s="135" t="s">
        <v>381</v>
      </c>
      <c r="F2" s="138" t="s">
        <v>116</v>
      </c>
      <c r="G2" s="139" t="s">
        <v>407</v>
      </c>
      <c r="H2" s="140" t="s">
        <v>557</v>
      </c>
      <c r="I2" s="141">
        <v>1</v>
      </c>
      <c r="J2" s="142">
        <v>5274</v>
      </c>
      <c r="K2" s="142">
        <v>5274</v>
      </c>
      <c r="L2" s="130" t="s">
        <v>558</v>
      </c>
      <c r="M2" s="131" t="s">
        <v>7</v>
      </c>
      <c r="N2" s="143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</row>
    <row r="3" spans="1:28" s="145" customFormat="1" ht="15" customHeight="1" outlineLevel="1" x14ac:dyDescent="0.2">
      <c r="A3" s="135">
        <v>19</v>
      </c>
      <c r="B3" s="135">
        <v>97661</v>
      </c>
      <c r="C3" s="136">
        <v>41690</v>
      </c>
      <c r="D3" s="137" t="s">
        <v>559</v>
      </c>
      <c r="E3" s="135" t="s">
        <v>381</v>
      </c>
      <c r="F3" s="138" t="s">
        <v>537</v>
      </c>
      <c r="G3" s="139" t="s">
        <v>404</v>
      </c>
      <c r="H3" s="140" t="s">
        <v>560</v>
      </c>
      <c r="I3" s="141">
        <v>1</v>
      </c>
      <c r="J3" s="142">
        <v>30429</v>
      </c>
      <c r="K3" s="142">
        <v>30429</v>
      </c>
      <c r="L3" s="130" t="s">
        <v>558</v>
      </c>
      <c r="M3" s="131" t="s">
        <v>7</v>
      </c>
      <c r="N3" s="143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</row>
    <row r="4" spans="1:28" s="145" customFormat="1" ht="15" customHeight="1" outlineLevel="1" x14ac:dyDescent="0.2">
      <c r="A4" s="135">
        <v>20</v>
      </c>
      <c r="B4" s="135">
        <v>97364</v>
      </c>
      <c r="C4" s="136">
        <v>41689</v>
      </c>
      <c r="D4" s="137" t="s">
        <v>561</v>
      </c>
      <c r="E4" s="135" t="s">
        <v>381</v>
      </c>
      <c r="F4" s="138" t="s">
        <v>537</v>
      </c>
      <c r="G4" s="139" t="s">
        <v>562</v>
      </c>
      <c r="H4" s="140" t="s">
        <v>563</v>
      </c>
      <c r="I4" s="141">
        <v>1</v>
      </c>
      <c r="J4" s="142">
        <v>30429</v>
      </c>
      <c r="K4" s="142">
        <v>30429</v>
      </c>
      <c r="L4" s="130" t="s">
        <v>558</v>
      </c>
      <c r="M4" s="131" t="s">
        <v>7</v>
      </c>
      <c r="N4" s="143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</row>
    <row r="5" spans="1:28" s="145" customFormat="1" ht="15" customHeight="1" outlineLevel="1" x14ac:dyDescent="0.2">
      <c r="A5" s="135">
        <v>21</v>
      </c>
      <c r="B5" s="135">
        <v>98310</v>
      </c>
      <c r="C5" s="136">
        <v>41695</v>
      </c>
      <c r="D5" s="137" t="s">
        <v>564</v>
      </c>
      <c r="E5" s="135" t="s">
        <v>565</v>
      </c>
      <c r="F5" s="138" t="s">
        <v>182</v>
      </c>
      <c r="G5" s="139" t="s">
        <v>400</v>
      </c>
      <c r="H5" s="140" t="s">
        <v>566</v>
      </c>
      <c r="I5" s="141">
        <v>2</v>
      </c>
      <c r="J5" s="142">
        <v>55062</v>
      </c>
      <c r="K5" s="142">
        <v>110124</v>
      </c>
      <c r="L5" s="130" t="s">
        <v>558</v>
      </c>
      <c r="M5" s="131" t="s">
        <v>7</v>
      </c>
      <c r="N5" s="143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</row>
    <row r="6" spans="1:28" s="145" customFormat="1" ht="15" customHeight="1" outlineLevel="1" x14ac:dyDescent="0.2">
      <c r="A6" s="135">
        <v>22</v>
      </c>
      <c r="B6" s="135">
        <v>96659</v>
      </c>
      <c r="C6" s="136">
        <v>41691</v>
      </c>
      <c r="D6" s="137" t="s">
        <v>567</v>
      </c>
      <c r="E6" s="135" t="s">
        <v>565</v>
      </c>
      <c r="F6" s="138" t="s">
        <v>207</v>
      </c>
      <c r="G6" s="139" t="s">
        <v>568</v>
      </c>
      <c r="H6" s="140" t="s">
        <v>569</v>
      </c>
      <c r="I6" s="141">
        <v>1</v>
      </c>
      <c r="J6" s="142">
        <v>55062</v>
      </c>
      <c r="K6" s="142">
        <v>55062</v>
      </c>
      <c r="L6" s="130" t="s">
        <v>558</v>
      </c>
      <c r="M6" s="131" t="s">
        <v>7</v>
      </c>
      <c r="N6" s="143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</row>
    <row r="7" spans="1:28" s="145" customFormat="1" ht="15" customHeight="1" outlineLevel="1" x14ac:dyDescent="0.2">
      <c r="A7" s="135">
        <v>23</v>
      </c>
      <c r="B7" s="135">
        <v>96590</v>
      </c>
      <c r="C7" s="136">
        <v>41687</v>
      </c>
      <c r="D7" s="137" t="s">
        <v>570</v>
      </c>
      <c r="E7" s="135" t="s">
        <v>565</v>
      </c>
      <c r="F7" s="138" t="s">
        <v>116</v>
      </c>
      <c r="G7" s="139" t="s">
        <v>400</v>
      </c>
      <c r="H7" s="140" t="s">
        <v>569</v>
      </c>
      <c r="I7" s="141">
        <v>2</v>
      </c>
      <c r="J7" s="142">
        <v>5274</v>
      </c>
      <c r="K7" s="142">
        <v>10548</v>
      </c>
      <c r="L7" s="130" t="s">
        <v>558</v>
      </c>
      <c r="M7" s="131" t="s">
        <v>7</v>
      </c>
      <c r="N7" s="143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</row>
    <row r="8" spans="1:28" s="145" customFormat="1" ht="15" customHeight="1" outlineLevel="1" x14ac:dyDescent="0.2">
      <c r="A8" s="135">
        <v>24</v>
      </c>
      <c r="B8" s="135">
        <v>97159</v>
      </c>
      <c r="C8" s="136">
        <v>41689</v>
      </c>
      <c r="D8" s="137" t="s">
        <v>571</v>
      </c>
      <c r="E8" s="135" t="s">
        <v>572</v>
      </c>
      <c r="F8" s="138" t="s">
        <v>116</v>
      </c>
      <c r="G8" s="139" t="s">
        <v>415</v>
      </c>
      <c r="H8" s="140" t="s">
        <v>573</v>
      </c>
      <c r="I8" s="141">
        <v>1</v>
      </c>
      <c r="J8" s="142">
        <v>5274</v>
      </c>
      <c r="K8" s="142">
        <v>5274</v>
      </c>
      <c r="L8" s="130" t="s">
        <v>558</v>
      </c>
      <c r="M8" s="131" t="s">
        <v>7</v>
      </c>
      <c r="N8" s="143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</row>
    <row r="9" spans="1:28" s="145" customFormat="1" ht="15" customHeight="1" outlineLevel="1" x14ac:dyDescent="0.2">
      <c r="A9" s="135">
        <v>25</v>
      </c>
      <c r="B9" s="135">
        <v>96300</v>
      </c>
      <c r="C9" s="136">
        <v>41684</v>
      </c>
      <c r="D9" s="137" t="s">
        <v>574</v>
      </c>
      <c r="E9" s="135" t="s">
        <v>381</v>
      </c>
      <c r="F9" s="138" t="s">
        <v>115</v>
      </c>
      <c r="G9" s="139" t="s">
        <v>527</v>
      </c>
      <c r="H9" s="140" t="s">
        <v>575</v>
      </c>
      <c r="I9" s="141">
        <v>1</v>
      </c>
      <c r="J9" s="142">
        <v>33370</v>
      </c>
      <c r="K9" s="142">
        <v>33370</v>
      </c>
      <c r="L9" s="130" t="s">
        <v>558</v>
      </c>
      <c r="M9" s="131" t="s">
        <v>7</v>
      </c>
      <c r="N9" s="143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</row>
    <row r="10" spans="1:28" s="145" customFormat="1" ht="15" customHeight="1" outlineLevel="1" x14ac:dyDescent="0.2">
      <c r="A10" s="135">
        <v>26</v>
      </c>
      <c r="B10" s="135">
        <v>98350</v>
      </c>
      <c r="C10" s="136">
        <v>41695</v>
      </c>
      <c r="D10" s="137" t="s">
        <v>576</v>
      </c>
      <c r="E10" s="135" t="s">
        <v>565</v>
      </c>
      <c r="F10" s="138" t="s">
        <v>577</v>
      </c>
      <c r="G10" s="139" t="s">
        <v>568</v>
      </c>
      <c r="H10" s="140" t="s">
        <v>554</v>
      </c>
      <c r="I10" s="141">
        <v>1</v>
      </c>
      <c r="J10" s="142">
        <v>49701</v>
      </c>
      <c r="K10" s="142">
        <v>49701</v>
      </c>
      <c r="L10" s="130" t="s">
        <v>558</v>
      </c>
      <c r="M10" s="131" t="s">
        <v>7</v>
      </c>
      <c r="N10" s="143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</row>
    <row r="11" spans="1:28" s="134" customFormat="1" ht="15" customHeight="1" outlineLevel="1" x14ac:dyDescent="0.2">
      <c r="A11" s="135">
        <v>10</v>
      </c>
      <c r="B11" s="135">
        <v>96530</v>
      </c>
      <c r="C11" s="136">
        <v>41687</v>
      </c>
      <c r="D11" s="137" t="s">
        <v>578</v>
      </c>
      <c r="E11" s="135" t="s">
        <v>579</v>
      </c>
      <c r="F11" s="138" t="s">
        <v>580</v>
      </c>
      <c r="G11" s="139" t="s">
        <v>371</v>
      </c>
      <c r="H11" s="140"/>
      <c r="I11" s="141">
        <v>1</v>
      </c>
      <c r="J11" s="142">
        <v>25800</v>
      </c>
      <c r="K11" s="146">
        <v>25800</v>
      </c>
      <c r="L11" s="147" t="s">
        <v>581</v>
      </c>
      <c r="M11" s="131" t="s">
        <v>7</v>
      </c>
      <c r="N11" s="132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</row>
    <row r="12" spans="1:28" s="134" customFormat="1" ht="15" customHeight="1" outlineLevel="1" x14ac:dyDescent="0.2">
      <c r="A12" s="135">
        <v>11</v>
      </c>
      <c r="B12" s="135">
        <v>98367</v>
      </c>
      <c r="C12" s="136">
        <v>41695</v>
      </c>
      <c r="D12" s="137" t="s">
        <v>582</v>
      </c>
      <c r="E12" s="135" t="s">
        <v>565</v>
      </c>
      <c r="F12" s="138" t="s">
        <v>537</v>
      </c>
      <c r="G12" s="139" t="s">
        <v>417</v>
      </c>
      <c r="H12" s="140" t="s">
        <v>583</v>
      </c>
      <c r="I12" s="141">
        <v>1</v>
      </c>
      <c r="J12" s="142">
        <v>30429</v>
      </c>
      <c r="K12" s="146">
        <v>30429</v>
      </c>
      <c r="L12" s="147" t="s">
        <v>581</v>
      </c>
      <c r="M12" s="131" t="s">
        <v>7</v>
      </c>
      <c r="N12" s="132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</row>
    <row r="13" spans="1:28" s="134" customFormat="1" ht="15" customHeight="1" outlineLevel="1" x14ac:dyDescent="0.2">
      <c r="A13" s="135">
        <v>12</v>
      </c>
      <c r="B13" s="135">
        <v>94817</v>
      </c>
      <c r="C13" s="136">
        <v>41676</v>
      </c>
      <c r="D13" s="137" t="s">
        <v>584</v>
      </c>
      <c r="E13" s="135" t="s">
        <v>505</v>
      </c>
      <c r="F13" s="138" t="s">
        <v>580</v>
      </c>
      <c r="G13" s="139" t="s">
        <v>371</v>
      </c>
      <c r="H13" s="140"/>
      <c r="I13" s="141">
        <v>1</v>
      </c>
      <c r="J13" s="142">
        <v>25800</v>
      </c>
      <c r="K13" s="146">
        <v>25800</v>
      </c>
      <c r="L13" s="147" t="s">
        <v>581</v>
      </c>
      <c r="M13" s="131" t="s">
        <v>7</v>
      </c>
      <c r="N13" s="132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</row>
    <row r="14" spans="1:28" s="134" customFormat="1" ht="15" customHeight="1" outlineLevel="1" x14ac:dyDescent="0.2">
      <c r="A14" s="135">
        <v>13</v>
      </c>
      <c r="B14" s="135">
        <v>2950</v>
      </c>
      <c r="C14" s="136">
        <v>41717</v>
      </c>
      <c r="D14" s="137" t="s">
        <v>585</v>
      </c>
      <c r="E14" s="135" t="s">
        <v>586</v>
      </c>
      <c r="F14" s="138" t="s">
        <v>223</v>
      </c>
      <c r="G14" s="139" t="s">
        <v>371</v>
      </c>
      <c r="H14" s="140" t="s">
        <v>554</v>
      </c>
      <c r="I14" s="141">
        <v>1</v>
      </c>
      <c r="J14" s="142">
        <v>40572</v>
      </c>
      <c r="K14" s="142">
        <v>40572</v>
      </c>
      <c r="L14" s="147" t="s">
        <v>581</v>
      </c>
      <c r="M14" s="131" t="s">
        <v>7</v>
      </c>
      <c r="N14" s="132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</row>
    <row r="15" spans="1:28" s="134" customFormat="1" ht="15" customHeight="1" outlineLevel="1" x14ac:dyDescent="0.2">
      <c r="A15" s="135">
        <v>14</v>
      </c>
      <c r="B15" s="135">
        <v>96844</v>
      </c>
      <c r="C15" s="136">
        <v>41688</v>
      </c>
      <c r="D15" s="137" t="s">
        <v>587</v>
      </c>
      <c r="E15" s="135" t="s">
        <v>381</v>
      </c>
      <c r="F15" s="138" t="s">
        <v>116</v>
      </c>
      <c r="G15" s="139" t="s">
        <v>527</v>
      </c>
      <c r="H15" s="140" t="s">
        <v>489</v>
      </c>
      <c r="I15" s="141">
        <v>1</v>
      </c>
      <c r="J15" s="142">
        <v>5274</v>
      </c>
      <c r="K15" s="146">
        <v>5274</v>
      </c>
      <c r="L15" s="147" t="s">
        <v>581</v>
      </c>
      <c r="M15" s="131" t="s">
        <v>7</v>
      </c>
      <c r="N15" s="132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</row>
    <row r="16" spans="1:28" s="134" customFormat="1" ht="15" customHeight="1" outlineLevel="1" x14ac:dyDescent="0.2">
      <c r="A16" s="135">
        <v>15</v>
      </c>
      <c r="B16" s="135">
        <v>95692</v>
      </c>
      <c r="C16" s="136">
        <v>41682</v>
      </c>
      <c r="D16" s="137" t="s">
        <v>588</v>
      </c>
      <c r="E16" s="135" t="s">
        <v>381</v>
      </c>
      <c r="F16" s="138" t="s">
        <v>537</v>
      </c>
      <c r="G16" s="139" t="s">
        <v>472</v>
      </c>
      <c r="H16" s="140" t="s">
        <v>583</v>
      </c>
      <c r="I16" s="141">
        <v>1</v>
      </c>
      <c r="J16" s="142">
        <v>30429</v>
      </c>
      <c r="K16" s="146">
        <v>30429</v>
      </c>
      <c r="L16" s="147" t="s">
        <v>581</v>
      </c>
      <c r="M16" s="131" t="s">
        <v>7</v>
      </c>
      <c r="N16" s="132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</row>
    <row r="17" spans="1:28" s="134" customFormat="1" ht="15" customHeight="1" outlineLevel="1" x14ac:dyDescent="0.2">
      <c r="A17" s="135">
        <v>16</v>
      </c>
      <c r="B17" s="135">
        <v>98784</v>
      </c>
      <c r="C17" s="136">
        <v>41698</v>
      </c>
      <c r="D17" s="137" t="s">
        <v>589</v>
      </c>
      <c r="E17" s="135" t="s">
        <v>590</v>
      </c>
      <c r="F17" s="138" t="s">
        <v>580</v>
      </c>
      <c r="G17" s="139" t="s">
        <v>371</v>
      </c>
      <c r="H17" s="140"/>
      <c r="I17" s="141">
        <v>1</v>
      </c>
      <c r="J17" s="142">
        <v>25800</v>
      </c>
      <c r="K17" s="146">
        <v>25800</v>
      </c>
      <c r="L17" s="147" t="s">
        <v>581</v>
      </c>
      <c r="M17" s="131" t="s">
        <v>7</v>
      </c>
      <c r="N17" s="132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</row>
    <row r="18" spans="1:28" s="134" customFormat="1" ht="15" customHeight="1" outlineLevel="1" x14ac:dyDescent="0.2">
      <c r="A18" s="135">
        <v>17</v>
      </c>
      <c r="B18" s="135">
        <v>95561</v>
      </c>
      <c r="C18" s="136">
        <v>41682</v>
      </c>
      <c r="D18" s="137" t="s">
        <v>591</v>
      </c>
      <c r="E18" s="135" t="s">
        <v>381</v>
      </c>
      <c r="F18" s="138" t="s">
        <v>116</v>
      </c>
      <c r="G18" s="139" t="s">
        <v>592</v>
      </c>
      <c r="H18" s="140" t="s">
        <v>489</v>
      </c>
      <c r="I18" s="141">
        <v>2</v>
      </c>
      <c r="J18" s="142">
        <v>5274</v>
      </c>
      <c r="K18" s="146">
        <v>10548</v>
      </c>
      <c r="L18" s="147" t="s">
        <v>581</v>
      </c>
      <c r="M18" s="131" t="s">
        <v>7</v>
      </c>
      <c r="N18" s="132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</row>
    <row r="19" spans="1:28" s="134" customFormat="1" ht="15" customHeight="1" outlineLevel="1" x14ac:dyDescent="0.2">
      <c r="A19" s="135">
        <v>18</v>
      </c>
      <c r="B19" s="135">
        <v>94866</v>
      </c>
      <c r="C19" s="136">
        <v>41677</v>
      </c>
      <c r="D19" s="137" t="s">
        <v>593</v>
      </c>
      <c r="E19" s="135" t="s">
        <v>381</v>
      </c>
      <c r="F19" s="138" t="s">
        <v>116</v>
      </c>
      <c r="G19" s="139" t="s">
        <v>594</v>
      </c>
      <c r="H19" s="140" t="s">
        <v>489</v>
      </c>
      <c r="I19" s="141">
        <v>1</v>
      </c>
      <c r="J19" s="142">
        <v>5274</v>
      </c>
      <c r="K19" s="146">
        <v>5274</v>
      </c>
      <c r="L19" s="147" t="s">
        <v>581</v>
      </c>
      <c r="M19" s="131" t="s">
        <v>7</v>
      </c>
      <c r="N19" s="132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</row>
    <row r="20" spans="1:28" s="134" customFormat="1" ht="15" customHeight="1" outlineLevel="1" x14ac:dyDescent="0.2">
      <c r="A20" s="135">
        <v>19</v>
      </c>
      <c r="B20" s="135">
        <v>959</v>
      </c>
      <c r="C20" s="136">
        <v>41710</v>
      </c>
      <c r="D20" s="137" t="s">
        <v>595</v>
      </c>
      <c r="E20" s="135" t="s">
        <v>381</v>
      </c>
      <c r="F20" s="138" t="s">
        <v>115</v>
      </c>
      <c r="G20" s="139" t="s">
        <v>596</v>
      </c>
      <c r="H20" s="140" t="s">
        <v>597</v>
      </c>
      <c r="I20" s="141">
        <v>2</v>
      </c>
      <c r="J20" s="142">
        <v>33370</v>
      </c>
      <c r="K20" s="142">
        <v>66740</v>
      </c>
      <c r="L20" s="147" t="s">
        <v>581</v>
      </c>
      <c r="M20" s="131" t="s">
        <v>7</v>
      </c>
      <c r="N20" s="132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</row>
    <row r="21" spans="1:28" s="134" customFormat="1" ht="15" customHeight="1" outlineLevel="1" x14ac:dyDescent="0.2">
      <c r="A21" s="148">
        <v>2</v>
      </c>
      <c r="B21" s="148">
        <v>96008</v>
      </c>
      <c r="C21" s="149">
        <v>41682</v>
      </c>
      <c r="D21" s="150" t="s">
        <v>598</v>
      </c>
      <c r="E21" s="148" t="s">
        <v>599</v>
      </c>
      <c r="F21" s="151" t="s">
        <v>217</v>
      </c>
      <c r="G21" s="152" t="s">
        <v>371</v>
      </c>
      <c r="H21" s="153" t="s">
        <v>573</v>
      </c>
      <c r="I21" s="154">
        <v>1</v>
      </c>
      <c r="J21" s="129">
        <v>44597</v>
      </c>
      <c r="K21" s="129">
        <v>44597</v>
      </c>
      <c r="L21" s="155" t="s">
        <v>600</v>
      </c>
      <c r="M21" s="131" t="s">
        <v>7</v>
      </c>
      <c r="N21" s="132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</row>
    <row r="22" spans="1:28" s="134" customFormat="1" ht="15" customHeight="1" outlineLevel="1" x14ac:dyDescent="0.2">
      <c r="A22" s="148">
        <v>4</v>
      </c>
      <c r="B22" s="148">
        <v>94891</v>
      </c>
      <c r="C22" s="149">
        <v>41677</v>
      </c>
      <c r="D22" s="150" t="s">
        <v>601</v>
      </c>
      <c r="E22" s="148" t="s">
        <v>505</v>
      </c>
      <c r="F22" s="151" t="s">
        <v>580</v>
      </c>
      <c r="G22" s="152" t="s">
        <v>371</v>
      </c>
      <c r="H22" s="153"/>
      <c r="I22" s="154">
        <v>1</v>
      </c>
      <c r="J22" s="129">
        <v>25800</v>
      </c>
      <c r="K22" s="129">
        <v>25800</v>
      </c>
      <c r="L22" s="155" t="s">
        <v>600</v>
      </c>
      <c r="M22" s="131" t="s">
        <v>7</v>
      </c>
      <c r="N22" s="132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</row>
    <row r="23" spans="1:28" s="134" customFormat="1" ht="15" customHeight="1" outlineLevel="1" x14ac:dyDescent="0.2">
      <c r="A23" s="148">
        <v>5</v>
      </c>
      <c r="B23" s="122">
        <v>7883</v>
      </c>
      <c r="C23" s="123">
        <v>41732</v>
      </c>
      <c r="D23" s="124" t="s">
        <v>602</v>
      </c>
      <c r="E23" s="122" t="s">
        <v>579</v>
      </c>
      <c r="F23" s="125" t="s">
        <v>580</v>
      </c>
      <c r="G23" s="126" t="s">
        <v>371</v>
      </c>
      <c r="H23" s="127"/>
      <c r="I23" s="128">
        <v>1</v>
      </c>
      <c r="J23" s="129">
        <v>25800</v>
      </c>
      <c r="K23" s="129">
        <v>25800</v>
      </c>
      <c r="L23" s="155" t="s">
        <v>600</v>
      </c>
      <c r="M23" s="131" t="s">
        <v>7</v>
      </c>
      <c r="N23" s="132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</row>
    <row r="24" spans="1:28" s="134" customFormat="1" ht="15" customHeight="1" outlineLevel="1" x14ac:dyDescent="0.2">
      <c r="A24" s="148">
        <v>8</v>
      </c>
      <c r="B24" s="148">
        <v>95561</v>
      </c>
      <c r="C24" s="149">
        <v>41682</v>
      </c>
      <c r="D24" s="150" t="s">
        <v>591</v>
      </c>
      <c r="E24" s="148" t="s">
        <v>381</v>
      </c>
      <c r="F24" s="151" t="s">
        <v>210</v>
      </c>
      <c r="G24" s="152" t="s">
        <v>592</v>
      </c>
      <c r="H24" s="153" t="s">
        <v>489</v>
      </c>
      <c r="I24" s="154">
        <v>2</v>
      </c>
      <c r="J24" s="129">
        <v>14099</v>
      </c>
      <c r="K24" s="129">
        <v>28198</v>
      </c>
      <c r="L24" s="155" t="s">
        <v>600</v>
      </c>
      <c r="M24" s="131" t="s">
        <v>7</v>
      </c>
      <c r="N24" s="132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</row>
    <row r="25" spans="1:28" s="134" customFormat="1" ht="15" customHeight="1" outlineLevel="1" x14ac:dyDescent="0.2">
      <c r="A25" s="148">
        <v>9</v>
      </c>
      <c r="B25" s="122">
        <v>8593</v>
      </c>
      <c r="C25" s="123">
        <v>41736</v>
      </c>
      <c r="D25" s="124" t="s">
        <v>603</v>
      </c>
      <c r="E25" s="122" t="s">
        <v>590</v>
      </c>
      <c r="F25" s="125" t="s">
        <v>580</v>
      </c>
      <c r="G25" s="126" t="s">
        <v>371</v>
      </c>
      <c r="H25" s="127"/>
      <c r="I25" s="128">
        <v>1</v>
      </c>
      <c r="J25" s="129">
        <v>25800</v>
      </c>
      <c r="K25" s="129">
        <v>25800</v>
      </c>
      <c r="L25" s="155" t="s">
        <v>600</v>
      </c>
      <c r="M25" s="131" t="s">
        <v>7</v>
      </c>
      <c r="N25" s="132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</row>
    <row r="26" spans="1:28" s="134" customFormat="1" ht="15" customHeight="1" outlineLevel="1" x14ac:dyDescent="0.2">
      <c r="A26" s="122">
        <v>10</v>
      </c>
      <c r="B26" s="148">
        <v>94782</v>
      </c>
      <c r="C26" s="149">
        <v>41676</v>
      </c>
      <c r="D26" s="150" t="s">
        <v>604</v>
      </c>
      <c r="E26" s="148" t="s">
        <v>381</v>
      </c>
      <c r="F26" s="151" t="s">
        <v>537</v>
      </c>
      <c r="G26" s="152" t="s">
        <v>419</v>
      </c>
      <c r="H26" s="153" t="s">
        <v>566</v>
      </c>
      <c r="I26" s="154">
        <v>1</v>
      </c>
      <c r="J26" s="129">
        <v>30429</v>
      </c>
      <c r="K26" s="129">
        <v>30429</v>
      </c>
      <c r="L26" s="155" t="s">
        <v>600</v>
      </c>
      <c r="M26" s="131" t="s">
        <v>7</v>
      </c>
      <c r="N26" s="132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</row>
    <row r="27" spans="1:28" s="134" customFormat="1" ht="15" customHeight="1" outlineLevel="1" x14ac:dyDescent="0.2">
      <c r="A27" s="122">
        <v>11</v>
      </c>
      <c r="B27" s="148">
        <v>94866</v>
      </c>
      <c r="C27" s="149">
        <v>41677</v>
      </c>
      <c r="D27" s="150" t="s">
        <v>593</v>
      </c>
      <c r="E27" s="148" t="s">
        <v>381</v>
      </c>
      <c r="F27" s="151" t="s">
        <v>210</v>
      </c>
      <c r="G27" s="152" t="s">
        <v>594</v>
      </c>
      <c r="H27" s="153" t="s">
        <v>489</v>
      </c>
      <c r="I27" s="154">
        <v>1</v>
      </c>
      <c r="J27" s="129">
        <v>14099</v>
      </c>
      <c r="K27" s="129">
        <v>14099</v>
      </c>
      <c r="L27" s="155" t="s">
        <v>600</v>
      </c>
      <c r="M27" s="131" t="s">
        <v>7</v>
      </c>
      <c r="N27" s="132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</row>
    <row r="28" spans="1:28" s="134" customFormat="1" ht="18.75" customHeight="1" outlineLevel="1" x14ac:dyDescent="0.2">
      <c r="A28" s="122">
        <v>1</v>
      </c>
      <c r="B28" s="122">
        <v>17473</v>
      </c>
      <c r="C28" s="123">
        <v>41771</v>
      </c>
      <c r="D28" s="124" t="s">
        <v>605</v>
      </c>
      <c r="E28" s="122" t="s">
        <v>586</v>
      </c>
      <c r="F28" s="125" t="s">
        <v>118</v>
      </c>
      <c r="G28" s="126" t="s">
        <v>371</v>
      </c>
      <c r="H28" s="127" t="s">
        <v>554</v>
      </c>
      <c r="I28" s="128">
        <v>1</v>
      </c>
      <c r="J28" s="129">
        <v>65930</v>
      </c>
      <c r="K28" s="129">
        <v>65930</v>
      </c>
      <c r="L28" s="156" t="s">
        <v>606</v>
      </c>
      <c r="M28" s="131" t="s">
        <v>7</v>
      </c>
      <c r="N28" s="132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</row>
    <row r="29" spans="1:28" s="134" customFormat="1" ht="15" customHeight="1" outlineLevel="1" x14ac:dyDescent="0.2">
      <c r="A29" s="148">
        <v>1</v>
      </c>
      <c r="B29" s="148">
        <v>97359</v>
      </c>
      <c r="C29" s="149">
        <v>41690</v>
      </c>
      <c r="D29" s="150" t="s">
        <v>607</v>
      </c>
      <c r="E29" s="148" t="s">
        <v>381</v>
      </c>
      <c r="F29" s="151" t="s">
        <v>537</v>
      </c>
      <c r="G29" s="152" t="s">
        <v>511</v>
      </c>
      <c r="H29" s="153" t="s">
        <v>597</v>
      </c>
      <c r="I29" s="154">
        <v>1</v>
      </c>
      <c r="J29" s="129">
        <v>30429</v>
      </c>
      <c r="K29" s="129">
        <v>30429</v>
      </c>
      <c r="L29" s="156" t="s">
        <v>608</v>
      </c>
      <c r="M29" s="131" t="s">
        <v>7</v>
      </c>
      <c r="N29" s="132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</row>
    <row r="30" spans="1:28" s="134" customFormat="1" ht="21" customHeight="1" outlineLevel="1" x14ac:dyDescent="0.2">
      <c r="A30" s="148">
        <v>2</v>
      </c>
      <c r="B30" s="148">
        <v>95309</v>
      </c>
      <c r="C30" s="149">
        <v>41680</v>
      </c>
      <c r="D30" s="150" t="s">
        <v>609</v>
      </c>
      <c r="E30" s="148" t="s">
        <v>505</v>
      </c>
      <c r="F30" s="151" t="s">
        <v>580</v>
      </c>
      <c r="G30" s="152" t="s">
        <v>371</v>
      </c>
      <c r="H30" s="153"/>
      <c r="I30" s="154">
        <v>1</v>
      </c>
      <c r="J30" s="129">
        <v>25800</v>
      </c>
      <c r="K30" s="129">
        <v>25800</v>
      </c>
      <c r="L30" s="156" t="s">
        <v>608</v>
      </c>
      <c r="M30" s="131" t="s">
        <v>7</v>
      </c>
      <c r="N30" s="132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</row>
    <row r="31" spans="1:28" s="134" customFormat="1" ht="15" customHeight="1" outlineLevel="1" x14ac:dyDescent="0.2">
      <c r="A31" s="148">
        <v>2</v>
      </c>
      <c r="B31" s="148">
        <v>95391</v>
      </c>
      <c r="C31" s="149">
        <v>41680</v>
      </c>
      <c r="D31" s="150" t="s">
        <v>610</v>
      </c>
      <c r="E31" s="148" t="s">
        <v>505</v>
      </c>
      <c r="F31" s="151" t="s">
        <v>580</v>
      </c>
      <c r="G31" s="152" t="s">
        <v>371</v>
      </c>
      <c r="H31" s="153"/>
      <c r="I31" s="154">
        <v>1</v>
      </c>
      <c r="J31" s="129">
        <v>25800</v>
      </c>
      <c r="K31" s="129">
        <v>25800</v>
      </c>
      <c r="L31" s="156" t="s">
        <v>608</v>
      </c>
      <c r="M31" s="131" t="s">
        <v>7</v>
      </c>
      <c r="N31" s="132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</row>
    <row r="32" spans="1:28" s="134" customFormat="1" ht="15" customHeight="1" outlineLevel="1" x14ac:dyDescent="0.2">
      <c r="A32" s="148">
        <v>4</v>
      </c>
      <c r="B32" s="122">
        <v>27078</v>
      </c>
      <c r="C32" s="123">
        <v>41806</v>
      </c>
      <c r="D32" s="124" t="s">
        <v>611</v>
      </c>
      <c r="E32" s="122" t="s">
        <v>586</v>
      </c>
      <c r="F32" s="125" t="s">
        <v>223</v>
      </c>
      <c r="G32" s="126" t="s">
        <v>371</v>
      </c>
      <c r="H32" s="127"/>
      <c r="I32" s="128">
        <v>1</v>
      </c>
      <c r="J32" s="129">
        <v>40572</v>
      </c>
      <c r="K32" s="129">
        <v>40572</v>
      </c>
      <c r="L32" s="156" t="s">
        <v>608</v>
      </c>
      <c r="M32" s="131" t="s">
        <v>7</v>
      </c>
      <c r="N32" s="132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</row>
    <row r="33" spans="1:28" s="134" customFormat="1" ht="15" customHeight="1" outlineLevel="1" x14ac:dyDescent="0.2">
      <c r="A33" s="122">
        <v>5</v>
      </c>
      <c r="B33" s="148">
        <v>95002</v>
      </c>
      <c r="C33" s="149">
        <v>41677</v>
      </c>
      <c r="D33" s="150" t="s">
        <v>612</v>
      </c>
      <c r="E33" s="148" t="s">
        <v>579</v>
      </c>
      <c r="F33" s="151" t="s">
        <v>580</v>
      </c>
      <c r="G33" s="152" t="s">
        <v>371</v>
      </c>
      <c r="H33" s="153"/>
      <c r="I33" s="154">
        <v>1</v>
      </c>
      <c r="J33" s="129">
        <v>25800</v>
      </c>
      <c r="K33" s="129">
        <v>25800</v>
      </c>
      <c r="L33" s="156" t="s">
        <v>608</v>
      </c>
      <c r="M33" s="131" t="s">
        <v>7</v>
      </c>
      <c r="N33" s="132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</row>
    <row r="34" spans="1:28" s="134" customFormat="1" ht="15" customHeight="1" outlineLevel="1" x14ac:dyDescent="0.2">
      <c r="A34" s="122">
        <v>1</v>
      </c>
      <c r="B34" s="122">
        <v>32333</v>
      </c>
      <c r="C34" s="123">
        <v>41823</v>
      </c>
      <c r="D34" s="124" t="s">
        <v>613</v>
      </c>
      <c r="E34" s="122" t="s">
        <v>614</v>
      </c>
      <c r="F34" s="125" t="s">
        <v>223</v>
      </c>
      <c r="G34" s="126" t="s">
        <v>371</v>
      </c>
      <c r="H34" s="127"/>
      <c r="I34" s="128">
        <v>1</v>
      </c>
      <c r="J34" s="129">
        <v>40572</v>
      </c>
      <c r="K34" s="129">
        <v>40572</v>
      </c>
      <c r="L34" s="156" t="s">
        <v>608</v>
      </c>
      <c r="M34" s="131" t="s">
        <v>7</v>
      </c>
      <c r="N34" s="132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</row>
    <row r="35" spans="1:28" s="134" customFormat="1" ht="15" customHeight="1" outlineLevel="1" x14ac:dyDescent="0.2">
      <c r="A35" s="122">
        <v>2</v>
      </c>
      <c r="B35" s="122">
        <v>36672</v>
      </c>
      <c r="C35" s="123">
        <v>41838</v>
      </c>
      <c r="D35" s="124" t="s">
        <v>615</v>
      </c>
      <c r="E35" s="122" t="s">
        <v>590</v>
      </c>
      <c r="F35" s="125" t="s">
        <v>118</v>
      </c>
      <c r="G35" s="126" t="s">
        <v>371</v>
      </c>
      <c r="H35" s="127"/>
      <c r="I35" s="128">
        <v>1</v>
      </c>
      <c r="J35" s="129">
        <v>65930</v>
      </c>
      <c r="K35" s="129">
        <v>65930</v>
      </c>
      <c r="L35" s="156" t="s">
        <v>608</v>
      </c>
      <c r="M35" s="131" t="s">
        <v>7</v>
      </c>
      <c r="N35" s="132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</row>
    <row r="36" spans="1:28" s="134" customFormat="1" ht="15" customHeight="1" outlineLevel="1" x14ac:dyDescent="0.2">
      <c r="A36" s="122">
        <v>3</v>
      </c>
      <c r="B36" s="122">
        <v>36672</v>
      </c>
      <c r="C36" s="123">
        <v>41838</v>
      </c>
      <c r="D36" s="124" t="s">
        <v>615</v>
      </c>
      <c r="E36" s="122" t="s">
        <v>590</v>
      </c>
      <c r="F36" s="125" t="s">
        <v>223</v>
      </c>
      <c r="G36" s="126" t="s">
        <v>369</v>
      </c>
      <c r="H36" s="127"/>
      <c r="I36" s="128">
        <v>1</v>
      </c>
      <c r="J36" s="129">
        <v>40572</v>
      </c>
      <c r="K36" s="129">
        <v>40572</v>
      </c>
      <c r="L36" s="156" t="s">
        <v>608</v>
      </c>
      <c r="M36" s="131" t="s">
        <v>7</v>
      </c>
      <c r="N36" s="132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</row>
    <row r="37" spans="1:28" s="134" customFormat="1" ht="15" customHeight="1" outlineLevel="1" x14ac:dyDescent="0.2">
      <c r="A37" s="122">
        <v>1</v>
      </c>
      <c r="B37" s="122">
        <v>50080</v>
      </c>
      <c r="C37" s="123">
        <v>41886</v>
      </c>
      <c r="D37" s="124" t="s">
        <v>616</v>
      </c>
      <c r="E37" s="122" t="s">
        <v>590</v>
      </c>
      <c r="F37" s="125" t="s">
        <v>217</v>
      </c>
      <c r="G37" s="126" t="s">
        <v>369</v>
      </c>
      <c r="H37" s="127"/>
      <c r="I37" s="128">
        <v>1</v>
      </c>
      <c r="J37" s="129">
        <v>44597</v>
      </c>
      <c r="K37" s="129">
        <v>44597</v>
      </c>
      <c r="L37" s="156" t="s">
        <v>617</v>
      </c>
      <c r="M37" s="131" t="s">
        <v>7</v>
      </c>
      <c r="N37" s="132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</row>
    <row r="38" spans="1:28" s="134" customFormat="1" ht="15.75" customHeight="1" outlineLevel="1" x14ac:dyDescent="0.2">
      <c r="A38" s="122">
        <v>2</v>
      </c>
      <c r="B38" s="122">
        <v>55788</v>
      </c>
      <c r="C38" s="123">
        <v>41912</v>
      </c>
      <c r="D38" s="124" t="s">
        <v>618</v>
      </c>
      <c r="E38" s="122" t="s">
        <v>614</v>
      </c>
      <c r="F38" s="125" t="s">
        <v>223</v>
      </c>
      <c r="G38" s="126" t="s">
        <v>371</v>
      </c>
      <c r="H38" s="127"/>
      <c r="I38" s="128">
        <v>1</v>
      </c>
      <c r="J38" s="129">
        <v>40572</v>
      </c>
      <c r="K38" s="129">
        <v>40572</v>
      </c>
      <c r="L38" s="156" t="s">
        <v>617</v>
      </c>
      <c r="M38" s="131" t="s">
        <v>7</v>
      </c>
      <c r="N38" s="132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</row>
    <row r="39" spans="1:28" s="134" customFormat="1" ht="15" customHeight="1" outlineLevel="1" x14ac:dyDescent="0.2">
      <c r="A39" s="122">
        <v>1</v>
      </c>
      <c r="B39" s="122">
        <v>58899</v>
      </c>
      <c r="C39" s="123">
        <v>41922</v>
      </c>
      <c r="D39" s="124" t="s">
        <v>619</v>
      </c>
      <c r="E39" s="122" t="s">
        <v>586</v>
      </c>
      <c r="F39" s="125" t="s">
        <v>223</v>
      </c>
      <c r="G39" s="126" t="s">
        <v>371</v>
      </c>
      <c r="H39" s="127"/>
      <c r="I39" s="128">
        <v>1</v>
      </c>
      <c r="J39" s="129">
        <v>40572</v>
      </c>
      <c r="K39" s="129">
        <v>40572</v>
      </c>
      <c r="L39" s="130" t="s">
        <v>620</v>
      </c>
      <c r="M39" s="131" t="s">
        <v>7</v>
      </c>
      <c r="N39" s="132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</row>
    <row r="40" spans="1:28" s="134" customFormat="1" ht="4.5" hidden="1" customHeight="1" outlineLevel="1" x14ac:dyDescent="0.2">
      <c r="A40" s="157"/>
      <c r="B40" s="157"/>
      <c r="C40" s="158"/>
      <c r="D40" s="159"/>
      <c r="E40" s="157"/>
      <c r="F40" s="159"/>
      <c r="G40" s="158"/>
      <c r="H40" s="158"/>
      <c r="I40" s="157"/>
      <c r="J40" s="160"/>
      <c r="K40" s="161"/>
      <c r="L40" s="162"/>
      <c r="M40" s="131" t="s">
        <v>7</v>
      </c>
      <c r="N40" s="132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</row>
    <row r="41" spans="1:28" s="134" customFormat="1" ht="15" customHeight="1" outlineLevel="1" x14ac:dyDescent="0.2">
      <c r="A41" s="122">
        <v>1</v>
      </c>
      <c r="B41" s="122">
        <v>73439</v>
      </c>
      <c r="C41" s="123">
        <v>41978</v>
      </c>
      <c r="D41" s="124" t="s">
        <v>621</v>
      </c>
      <c r="E41" s="122" t="s">
        <v>590</v>
      </c>
      <c r="F41" s="125" t="s">
        <v>622</v>
      </c>
      <c r="G41" s="126" t="s">
        <v>387</v>
      </c>
      <c r="H41" s="127"/>
      <c r="I41" s="128">
        <v>2</v>
      </c>
      <c r="J41" s="129">
        <v>15722</v>
      </c>
      <c r="K41" s="129">
        <v>31444</v>
      </c>
      <c r="L41" s="156" t="s">
        <v>623</v>
      </c>
      <c r="M41" s="131" t="s">
        <v>7</v>
      </c>
      <c r="N41" s="132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</row>
    <row r="42" spans="1:28" s="134" customFormat="1" ht="15" customHeight="1" outlineLevel="1" x14ac:dyDescent="0.2">
      <c r="A42" s="122">
        <v>2</v>
      </c>
      <c r="B42" s="122">
        <v>74744</v>
      </c>
      <c r="C42" s="123">
        <v>41983</v>
      </c>
      <c r="D42" s="124" t="s">
        <v>621</v>
      </c>
      <c r="E42" s="122" t="s">
        <v>590</v>
      </c>
      <c r="F42" s="125" t="s">
        <v>217</v>
      </c>
      <c r="G42" s="126" t="s">
        <v>387</v>
      </c>
      <c r="H42" s="127"/>
      <c r="I42" s="128">
        <v>2</v>
      </c>
      <c r="J42" s="129">
        <v>44597</v>
      </c>
      <c r="K42" s="129">
        <v>89194</v>
      </c>
      <c r="L42" s="156" t="s">
        <v>623</v>
      </c>
      <c r="M42" s="131" t="s">
        <v>7</v>
      </c>
      <c r="N42" s="132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</row>
    <row r="43" spans="1:28" s="134" customFormat="1" ht="15" customHeight="1" outlineLevel="1" x14ac:dyDescent="0.2">
      <c r="A43" s="122">
        <v>3</v>
      </c>
      <c r="B43" s="122">
        <v>74744</v>
      </c>
      <c r="C43" s="123">
        <v>41983</v>
      </c>
      <c r="D43" s="124" t="s">
        <v>621</v>
      </c>
      <c r="E43" s="122" t="s">
        <v>590</v>
      </c>
      <c r="F43" s="125" t="s">
        <v>624</v>
      </c>
      <c r="G43" s="126" t="s">
        <v>522</v>
      </c>
      <c r="H43" s="127"/>
      <c r="I43" s="128">
        <v>6</v>
      </c>
      <c r="J43" s="129">
        <v>45147</v>
      </c>
      <c r="K43" s="129">
        <v>270882</v>
      </c>
      <c r="L43" s="156" t="s">
        <v>623</v>
      </c>
      <c r="M43" s="131" t="s">
        <v>7</v>
      </c>
      <c r="N43" s="132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</row>
    <row r="44" spans="1:28" s="134" customFormat="1" ht="15" customHeight="1" outlineLevel="1" x14ac:dyDescent="0.2">
      <c r="A44" s="122">
        <v>4</v>
      </c>
      <c r="B44" s="122">
        <v>83773</v>
      </c>
      <c r="C44" s="123">
        <v>41634</v>
      </c>
      <c r="D44" s="124" t="s">
        <v>625</v>
      </c>
      <c r="E44" s="122" t="s">
        <v>626</v>
      </c>
      <c r="F44" s="125" t="s">
        <v>537</v>
      </c>
      <c r="G44" s="126" t="s">
        <v>511</v>
      </c>
      <c r="H44" s="127" t="s">
        <v>563</v>
      </c>
      <c r="I44" s="128">
        <v>1</v>
      </c>
      <c r="J44" s="129">
        <v>30429</v>
      </c>
      <c r="K44" s="129">
        <v>30429</v>
      </c>
      <c r="L44" s="163" t="s">
        <v>555</v>
      </c>
      <c r="M44" s="164" t="s">
        <v>21</v>
      </c>
      <c r="N44" s="132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</row>
    <row r="45" spans="1:28" s="134" customFormat="1" ht="15" customHeight="1" outlineLevel="1" x14ac:dyDescent="0.2">
      <c r="A45" s="122">
        <v>5</v>
      </c>
      <c r="B45" s="122">
        <v>87934</v>
      </c>
      <c r="C45" s="123">
        <v>41652</v>
      </c>
      <c r="D45" s="124" t="s">
        <v>627</v>
      </c>
      <c r="E45" s="122" t="s">
        <v>376</v>
      </c>
      <c r="F45" s="125" t="s">
        <v>217</v>
      </c>
      <c r="G45" s="126" t="s">
        <v>371</v>
      </c>
      <c r="H45" s="127" t="s">
        <v>489</v>
      </c>
      <c r="I45" s="128">
        <v>1</v>
      </c>
      <c r="J45" s="129">
        <v>44597</v>
      </c>
      <c r="K45" s="129">
        <v>44597</v>
      </c>
      <c r="L45" s="163" t="s">
        <v>555</v>
      </c>
      <c r="M45" s="164" t="s">
        <v>21</v>
      </c>
      <c r="N45" s="132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134" customFormat="1" ht="15" customHeight="1" outlineLevel="1" x14ac:dyDescent="0.2">
      <c r="A46" s="122">
        <v>6</v>
      </c>
      <c r="B46" s="122">
        <v>90208</v>
      </c>
      <c r="C46" s="123">
        <v>41660</v>
      </c>
      <c r="D46" s="165" t="s">
        <v>628</v>
      </c>
      <c r="E46" s="122" t="s">
        <v>545</v>
      </c>
      <c r="F46" s="125" t="s">
        <v>537</v>
      </c>
      <c r="G46" s="126" t="s">
        <v>415</v>
      </c>
      <c r="H46" s="127" t="s">
        <v>629</v>
      </c>
      <c r="I46" s="128">
        <v>1</v>
      </c>
      <c r="J46" s="129">
        <v>30429</v>
      </c>
      <c r="K46" s="129">
        <v>30429</v>
      </c>
      <c r="L46" s="163" t="s">
        <v>555</v>
      </c>
      <c r="M46" s="164" t="s">
        <v>21</v>
      </c>
      <c r="N46" s="132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134" customFormat="1" ht="15" customHeight="1" outlineLevel="1" x14ac:dyDescent="0.2">
      <c r="A47" s="122">
        <v>7</v>
      </c>
      <c r="B47" s="122">
        <v>92756</v>
      </c>
      <c r="C47" s="123">
        <v>41669</v>
      </c>
      <c r="D47" s="124" t="s">
        <v>630</v>
      </c>
      <c r="E47" s="122" t="s">
        <v>545</v>
      </c>
      <c r="F47" s="125" t="s">
        <v>115</v>
      </c>
      <c r="G47" s="126" t="s">
        <v>472</v>
      </c>
      <c r="H47" s="127" t="s">
        <v>629</v>
      </c>
      <c r="I47" s="128">
        <v>1</v>
      </c>
      <c r="J47" s="129">
        <v>33370</v>
      </c>
      <c r="K47" s="129">
        <v>33370</v>
      </c>
      <c r="L47" s="163" t="s">
        <v>555</v>
      </c>
      <c r="M47" s="164" t="s">
        <v>21</v>
      </c>
      <c r="N47" s="132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</row>
    <row r="48" spans="1:28" s="134" customFormat="1" ht="15" customHeight="1" outlineLevel="1" x14ac:dyDescent="0.2">
      <c r="A48" s="122">
        <v>9</v>
      </c>
      <c r="B48" s="122">
        <v>90948</v>
      </c>
      <c r="C48" s="123">
        <v>41662</v>
      </c>
      <c r="D48" s="124" t="s">
        <v>631</v>
      </c>
      <c r="E48" s="122" t="s">
        <v>545</v>
      </c>
      <c r="F48" s="125" t="s">
        <v>537</v>
      </c>
      <c r="G48" s="126" t="s">
        <v>562</v>
      </c>
      <c r="H48" s="127" t="s">
        <v>629</v>
      </c>
      <c r="I48" s="128">
        <v>1</v>
      </c>
      <c r="J48" s="129">
        <v>30429</v>
      </c>
      <c r="K48" s="129">
        <v>30429</v>
      </c>
      <c r="L48" s="163" t="s">
        <v>555</v>
      </c>
      <c r="M48" s="164" t="s">
        <v>21</v>
      </c>
      <c r="N48" s="132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</row>
    <row r="49" spans="1:28" s="134" customFormat="1" ht="15" customHeight="1" outlineLevel="1" x14ac:dyDescent="0.2">
      <c r="A49" s="122">
        <v>10</v>
      </c>
      <c r="B49" s="122">
        <v>86066</v>
      </c>
      <c r="C49" s="123">
        <v>41645</v>
      </c>
      <c r="D49" s="124" t="s">
        <v>632</v>
      </c>
      <c r="E49" s="122" t="s">
        <v>545</v>
      </c>
      <c r="F49" s="125" t="s">
        <v>116</v>
      </c>
      <c r="G49" s="126" t="s">
        <v>417</v>
      </c>
      <c r="H49" s="127" t="s">
        <v>573</v>
      </c>
      <c r="I49" s="128">
        <v>1</v>
      </c>
      <c r="J49" s="129">
        <v>5274</v>
      </c>
      <c r="K49" s="129">
        <v>5274</v>
      </c>
      <c r="L49" s="163" t="s">
        <v>555</v>
      </c>
      <c r="M49" s="164" t="s">
        <v>21</v>
      </c>
      <c r="N49" s="132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</row>
    <row r="50" spans="1:28" s="134" customFormat="1" ht="15" customHeight="1" outlineLevel="1" x14ac:dyDescent="0.2">
      <c r="A50" s="122">
        <v>11</v>
      </c>
      <c r="B50" s="122">
        <v>85483</v>
      </c>
      <c r="C50" s="123">
        <v>41646</v>
      </c>
      <c r="D50" s="124" t="s">
        <v>633</v>
      </c>
      <c r="E50" s="122" t="s">
        <v>545</v>
      </c>
      <c r="F50" s="125" t="s">
        <v>217</v>
      </c>
      <c r="G50" s="126" t="s">
        <v>371</v>
      </c>
      <c r="H50" s="127" t="s">
        <v>573</v>
      </c>
      <c r="I50" s="128">
        <v>1</v>
      </c>
      <c r="J50" s="129">
        <v>44597</v>
      </c>
      <c r="K50" s="129">
        <v>44597</v>
      </c>
      <c r="L50" s="163" t="s">
        <v>555</v>
      </c>
      <c r="M50" s="164" t="s">
        <v>21</v>
      </c>
      <c r="N50" s="132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</row>
    <row r="51" spans="1:28" s="134" customFormat="1" ht="15" customHeight="1" outlineLevel="1" x14ac:dyDescent="0.2">
      <c r="A51" s="122">
        <v>12</v>
      </c>
      <c r="B51" s="122">
        <v>90950</v>
      </c>
      <c r="C51" s="123">
        <v>41662</v>
      </c>
      <c r="D51" s="124" t="s">
        <v>634</v>
      </c>
      <c r="E51" s="122" t="s">
        <v>545</v>
      </c>
      <c r="F51" s="125" t="s">
        <v>537</v>
      </c>
      <c r="G51" s="126" t="s">
        <v>562</v>
      </c>
      <c r="H51" s="127" t="s">
        <v>629</v>
      </c>
      <c r="I51" s="128">
        <v>1</v>
      </c>
      <c r="J51" s="129">
        <v>30429</v>
      </c>
      <c r="K51" s="129">
        <v>30429</v>
      </c>
      <c r="L51" s="163" t="s">
        <v>555</v>
      </c>
      <c r="M51" s="164" t="s">
        <v>21</v>
      </c>
      <c r="N51" s="132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</row>
    <row r="52" spans="1:28" s="134" customFormat="1" ht="15" customHeight="1" outlineLevel="1" x14ac:dyDescent="0.2">
      <c r="A52" s="122">
        <v>13</v>
      </c>
      <c r="B52" s="122">
        <v>85863</v>
      </c>
      <c r="C52" s="123">
        <v>41641</v>
      </c>
      <c r="D52" s="124" t="s">
        <v>635</v>
      </c>
      <c r="E52" s="122" t="s">
        <v>478</v>
      </c>
      <c r="F52" s="125" t="s">
        <v>217</v>
      </c>
      <c r="G52" s="126" t="s">
        <v>371</v>
      </c>
      <c r="H52" s="127" t="s">
        <v>489</v>
      </c>
      <c r="I52" s="128">
        <v>1</v>
      </c>
      <c r="J52" s="129">
        <v>44597</v>
      </c>
      <c r="K52" s="129">
        <v>44597</v>
      </c>
      <c r="L52" s="163" t="s">
        <v>555</v>
      </c>
      <c r="M52" s="164" t="s">
        <v>21</v>
      </c>
      <c r="N52" s="132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</row>
    <row r="53" spans="1:28" s="134" customFormat="1" ht="15" customHeight="1" outlineLevel="1" x14ac:dyDescent="0.2">
      <c r="A53" s="122">
        <v>14</v>
      </c>
      <c r="B53" s="122">
        <v>89858</v>
      </c>
      <c r="C53" s="123">
        <v>41659</v>
      </c>
      <c r="D53" s="124" t="s">
        <v>636</v>
      </c>
      <c r="E53" s="122" t="s">
        <v>545</v>
      </c>
      <c r="F53" s="125" t="s">
        <v>217</v>
      </c>
      <c r="G53" s="126" t="s">
        <v>371</v>
      </c>
      <c r="H53" s="127" t="s">
        <v>486</v>
      </c>
      <c r="I53" s="128">
        <v>1</v>
      </c>
      <c r="J53" s="129">
        <v>44597</v>
      </c>
      <c r="K53" s="129">
        <v>44597</v>
      </c>
      <c r="L53" s="163" t="s">
        <v>555</v>
      </c>
      <c r="M53" s="164" t="s">
        <v>21</v>
      </c>
      <c r="N53" s="132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</row>
    <row r="54" spans="1:28" s="134" customFormat="1" ht="15" customHeight="1" outlineLevel="1" x14ac:dyDescent="0.2">
      <c r="A54" s="122">
        <v>15</v>
      </c>
      <c r="B54" s="122">
        <v>90559</v>
      </c>
      <c r="C54" s="123">
        <v>41661</v>
      </c>
      <c r="D54" s="124" t="s">
        <v>637</v>
      </c>
      <c r="E54" s="122" t="s">
        <v>545</v>
      </c>
      <c r="F54" s="125" t="s">
        <v>537</v>
      </c>
      <c r="G54" s="126" t="s">
        <v>404</v>
      </c>
      <c r="H54" s="127" t="s">
        <v>563</v>
      </c>
      <c r="I54" s="128">
        <v>1</v>
      </c>
      <c r="J54" s="129">
        <v>30429</v>
      </c>
      <c r="K54" s="129">
        <v>30429</v>
      </c>
      <c r="L54" s="163" t="s">
        <v>555</v>
      </c>
      <c r="M54" s="164" t="s">
        <v>21</v>
      </c>
      <c r="N54" s="132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</row>
    <row r="55" spans="1:28" s="134" customFormat="1" ht="15" customHeight="1" outlineLevel="1" x14ac:dyDescent="0.2">
      <c r="A55" s="122">
        <v>16</v>
      </c>
      <c r="B55" s="122">
        <v>89631</v>
      </c>
      <c r="C55" s="123">
        <v>41659</v>
      </c>
      <c r="D55" s="124" t="s">
        <v>638</v>
      </c>
      <c r="E55" s="122" t="s">
        <v>545</v>
      </c>
      <c r="F55" s="125" t="s">
        <v>537</v>
      </c>
      <c r="G55" s="126" t="s">
        <v>415</v>
      </c>
      <c r="H55" s="127" t="s">
        <v>629</v>
      </c>
      <c r="I55" s="128">
        <v>1</v>
      </c>
      <c r="J55" s="129">
        <v>30429</v>
      </c>
      <c r="K55" s="129">
        <v>30429</v>
      </c>
      <c r="L55" s="163" t="s">
        <v>555</v>
      </c>
      <c r="M55" s="164" t="s">
        <v>21</v>
      </c>
      <c r="N55" s="132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</row>
    <row r="56" spans="1:28" s="134" customFormat="1" ht="15" customHeight="1" outlineLevel="1" x14ac:dyDescent="0.2">
      <c r="A56" s="122">
        <v>17</v>
      </c>
      <c r="B56" s="122">
        <v>88299</v>
      </c>
      <c r="C56" s="123">
        <v>41653</v>
      </c>
      <c r="D56" s="124" t="s">
        <v>639</v>
      </c>
      <c r="E56" s="122" t="s">
        <v>545</v>
      </c>
      <c r="F56" s="125" t="s">
        <v>537</v>
      </c>
      <c r="G56" s="126" t="s">
        <v>562</v>
      </c>
      <c r="H56" s="127" t="s">
        <v>563</v>
      </c>
      <c r="I56" s="128">
        <v>1</v>
      </c>
      <c r="J56" s="129">
        <v>30429</v>
      </c>
      <c r="K56" s="129">
        <v>30429</v>
      </c>
      <c r="L56" s="163" t="s">
        <v>555</v>
      </c>
      <c r="M56" s="164" t="s">
        <v>21</v>
      </c>
      <c r="N56" s="132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</row>
    <row r="57" spans="1:28" s="134" customFormat="1" ht="15" customHeight="1" outlineLevel="1" x14ac:dyDescent="0.2">
      <c r="A57" s="122">
        <v>18</v>
      </c>
      <c r="B57" s="122">
        <v>92776</v>
      </c>
      <c r="C57" s="123">
        <v>41669</v>
      </c>
      <c r="D57" s="124" t="s">
        <v>640</v>
      </c>
      <c r="E57" s="122" t="s">
        <v>545</v>
      </c>
      <c r="F57" s="125" t="s">
        <v>537</v>
      </c>
      <c r="G57" s="126" t="s">
        <v>431</v>
      </c>
      <c r="H57" s="127" t="s">
        <v>629</v>
      </c>
      <c r="I57" s="128">
        <v>1</v>
      </c>
      <c r="J57" s="129">
        <v>30429</v>
      </c>
      <c r="K57" s="129">
        <v>30429</v>
      </c>
      <c r="L57" s="163" t="s">
        <v>555</v>
      </c>
      <c r="M57" s="164" t="s">
        <v>21</v>
      </c>
      <c r="N57" s="132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</row>
    <row r="58" spans="1:28" s="134" customFormat="1" ht="15" customHeight="1" outlineLevel="1" x14ac:dyDescent="0.2">
      <c r="A58" s="122">
        <v>19</v>
      </c>
      <c r="B58" s="122">
        <v>87628</v>
      </c>
      <c r="C58" s="123">
        <v>41652</v>
      </c>
      <c r="D58" s="124" t="s">
        <v>641</v>
      </c>
      <c r="E58" s="122" t="s">
        <v>545</v>
      </c>
      <c r="F58" s="125" t="s">
        <v>115</v>
      </c>
      <c r="G58" s="126" t="s">
        <v>417</v>
      </c>
      <c r="H58" s="127" t="s">
        <v>642</v>
      </c>
      <c r="I58" s="128">
        <v>1</v>
      </c>
      <c r="J58" s="129">
        <v>33370</v>
      </c>
      <c r="K58" s="129">
        <v>33370</v>
      </c>
      <c r="L58" s="163" t="s">
        <v>555</v>
      </c>
      <c r="M58" s="164" t="s">
        <v>21</v>
      </c>
      <c r="N58" s="132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</row>
    <row r="59" spans="1:28" s="134" customFormat="1" ht="15" customHeight="1" outlineLevel="1" x14ac:dyDescent="0.2">
      <c r="A59" s="122">
        <v>20</v>
      </c>
      <c r="B59" s="122">
        <v>89082</v>
      </c>
      <c r="C59" s="123">
        <v>41655</v>
      </c>
      <c r="D59" s="124" t="s">
        <v>643</v>
      </c>
      <c r="E59" s="122" t="s">
        <v>545</v>
      </c>
      <c r="F59" s="125" t="s">
        <v>644</v>
      </c>
      <c r="G59" s="126" t="s">
        <v>645</v>
      </c>
      <c r="H59" s="127" t="s">
        <v>629</v>
      </c>
      <c r="I59" s="128">
        <v>1</v>
      </c>
      <c r="J59" s="129">
        <v>29440</v>
      </c>
      <c r="K59" s="129">
        <v>29440</v>
      </c>
      <c r="L59" s="163" t="s">
        <v>555</v>
      </c>
      <c r="M59" s="164" t="s">
        <v>21</v>
      </c>
      <c r="N59" s="132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</row>
    <row r="60" spans="1:28" s="134" customFormat="1" ht="15" customHeight="1" outlineLevel="1" x14ac:dyDescent="0.2">
      <c r="A60" s="122">
        <v>21</v>
      </c>
      <c r="B60" s="122">
        <v>86188</v>
      </c>
      <c r="C60" s="123">
        <v>41645</v>
      </c>
      <c r="D60" s="124" t="s">
        <v>646</v>
      </c>
      <c r="E60" s="122" t="s">
        <v>545</v>
      </c>
      <c r="F60" s="125" t="s">
        <v>537</v>
      </c>
      <c r="G60" s="126" t="s">
        <v>511</v>
      </c>
      <c r="H60" s="127" t="s">
        <v>629</v>
      </c>
      <c r="I60" s="128">
        <v>1</v>
      </c>
      <c r="J60" s="129">
        <v>30429</v>
      </c>
      <c r="K60" s="129">
        <v>30429</v>
      </c>
      <c r="L60" s="163" t="s">
        <v>555</v>
      </c>
      <c r="M60" s="164" t="s">
        <v>21</v>
      </c>
      <c r="N60" s="132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</row>
    <row r="61" spans="1:28" s="134" customFormat="1" ht="15" customHeight="1" outlineLevel="1" x14ac:dyDescent="0.2">
      <c r="A61" s="122">
        <v>22</v>
      </c>
      <c r="B61" s="122">
        <v>87157</v>
      </c>
      <c r="C61" s="123">
        <v>41652</v>
      </c>
      <c r="D61" s="124" t="s">
        <v>647</v>
      </c>
      <c r="E61" s="122" t="s">
        <v>545</v>
      </c>
      <c r="F61" s="125" t="s">
        <v>537</v>
      </c>
      <c r="G61" s="126" t="s">
        <v>404</v>
      </c>
      <c r="H61" s="127" t="s">
        <v>563</v>
      </c>
      <c r="I61" s="128">
        <v>1</v>
      </c>
      <c r="J61" s="129">
        <v>30429</v>
      </c>
      <c r="K61" s="129">
        <v>30429</v>
      </c>
      <c r="L61" s="163" t="s">
        <v>555</v>
      </c>
      <c r="M61" s="164" t="s">
        <v>21</v>
      </c>
      <c r="N61" s="132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</row>
    <row r="62" spans="1:28" s="134" customFormat="1" ht="15" customHeight="1" outlineLevel="1" x14ac:dyDescent="0.2">
      <c r="A62" s="122">
        <v>23</v>
      </c>
      <c r="B62" s="122">
        <v>80142</v>
      </c>
      <c r="C62" s="123">
        <v>41663</v>
      </c>
      <c r="D62" s="124" t="s">
        <v>648</v>
      </c>
      <c r="E62" s="122" t="s">
        <v>376</v>
      </c>
      <c r="F62" s="125" t="s">
        <v>115</v>
      </c>
      <c r="G62" s="126" t="s">
        <v>538</v>
      </c>
      <c r="H62" s="127" t="s">
        <v>629</v>
      </c>
      <c r="I62" s="128">
        <v>1</v>
      </c>
      <c r="J62" s="129">
        <v>33370</v>
      </c>
      <c r="K62" s="129">
        <v>33370</v>
      </c>
      <c r="L62" s="163" t="s">
        <v>555</v>
      </c>
      <c r="M62" s="164" t="s">
        <v>21</v>
      </c>
      <c r="N62" s="132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</row>
    <row r="63" spans="1:28" s="134" customFormat="1" ht="15" customHeight="1" outlineLevel="1" x14ac:dyDescent="0.2">
      <c r="A63" s="122">
        <v>24</v>
      </c>
      <c r="B63" s="122">
        <v>80970</v>
      </c>
      <c r="C63" s="123">
        <v>41622</v>
      </c>
      <c r="D63" s="124" t="s">
        <v>649</v>
      </c>
      <c r="E63" s="122" t="s">
        <v>376</v>
      </c>
      <c r="F63" s="125" t="s">
        <v>537</v>
      </c>
      <c r="G63" s="126" t="s">
        <v>431</v>
      </c>
      <c r="H63" s="127" t="s">
        <v>650</v>
      </c>
      <c r="I63" s="128">
        <v>1</v>
      </c>
      <c r="J63" s="129">
        <v>30429</v>
      </c>
      <c r="K63" s="129">
        <v>30429</v>
      </c>
      <c r="L63" s="163" t="s">
        <v>555</v>
      </c>
      <c r="M63" s="164" t="s">
        <v>21</v>
      </c>
      <c r="N63" s="132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</row>
    <row r="64" spans="1:28" s="134" customFormat="1" ht="15" customHeight="1" outlineLevel="1" x14ac:dyDescent="0.2">
      <c r="A64" s="122">
        <v>25</v>
      </c>
      <c r="B64" s="122">
        <v>92055</v>
      </c>
      <c r="C64" s="123">
        <v>41667</v>
      </c>
      <c r="D64" s="124" t="s">
        <v>651</v>
      </c>
      <c r="E64" s="122" t="s">
        <v>545</v>
      </c>
      <c r="F64" s="125" t="s">
        <v>537</v>
      </c>
      <c r="G64" s="126" t="s">
        <v>472</v>
      </c>
      <c r="H64" s="127" t="s">
        <v>629</v>
      </c>
      <c r="I64" s="128">
        <v>1</v>
      </c>
      <c r="J64" s="129">
        <v>30429</v>
      </c>
      <c r="K64" s="129">
        <v>30429</v>
      </c>
      <c r="L64" s="163" t="s">
        <v>555</v>
      </c>
      <c r="M64" s="164" t="s">
        <v>21</v>
      </c>
      <c r="N64" s="132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</row>
    <row r="65" spans="1:28" s="134" customFormat="1" ht="15" customHeight="1" outlineLevel="1" x14ac:dyDescent="0.2">
      <c r="A65" s="122">
        <v>26</v>
      </c>
      <c r="B65" s="122">
        <v>92789</v>
      </c>
      <c r="C65" s="123">
        <v>41668</v>
      </c>
      <c r="D65" s="124" t="s">
        <v>652</v>
      </c>
      <c r="E65" s="122" t="s">
        <v>545</v>
      </c>
      <c r="F65" s="125" t="s">
        <v>217</v>
      </c>
      <c r="G65" s="126" t="s">
        <v>369</v>
      </c>
      <c r="H65" s="127" t="s">
        <v>489</v>
      </c>
      <c r="I65" s="128">
        <v>1</v>
      </c>
      <c r="J65" s="129">
        <v>44597</v>
      </c>
      <c r="K65" s="129">
        <v>44597</v>
      </c>
      <c r="L65" s="163" t="s">
        <v>555</v>
      </c>
      <c r="M65" s="164" t="s">
        <v>21</v>
      </c>
      <c r="N65" s="132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</row>
    <row r="66" spans="1:28" s="134" customFormat="1" ht="15" customHeight="1" outlineLevel="1" x14ac:dyDescent="0.2">
      <c r="A66" s="122">
        <v>27</v>
      </c>
      <c r="B66" s="122">
        <v>87627</v>
      </c>
      <c r="C66" s="123">
        <v>41652</v>
      </c>
      <c r="D66" s="124" t="s">
        <v>653</v>
      </c>
      <c r="E66" s="122" t="s">
        <v>545</v>
      </c>
      <c r="F66" s="125" t="s">
        <v>115</v>
      </c>
      <c r="G66" s="126" t="s">
        <v>392</v>
      </c>
      <c r="H66" s="127" t="s">
        <v>629</v>
      </c>
      <c r="I66" s="128">
        <v>1</v>
      </c>
      <c r="J66" s="129">
        <v>33370</v>
      </c>
      <c r="K66" s="129">
        <v>33370</v>
      </c>
      <c r="L66" s="163" t="s">
        <v>555</v>
      </c>
      <c r="M66" s="164" t="s">
        <v>21</v>
      </c>
      <c r="N66" s="132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</row>
    <row r="67" spans="1:28" s="134" customFormat="1" ht="15" customHeight="1" outlineLevel="1" x14ac:dyDescent="0.2">
      <c r="A67" s="122">
        <v>28</v>
      </c>
      <c r="B67" s="122">
        <v>85878</v>
      </c>
      <c r="C67" s="123">
        <v>41641</v>
      </c>
      <c r="D67" s="124" t="s">
        <v>654</v>
      </c>
      <c r="E67" s="122" t="s">
        <v>478</v>
      </c>
      <c r="F67" s="125" t="s">
        <v>188</v>
      </c>
      <c r="G67" s="126" t="s">
        <v>442</v>
      </c>
      <c r="H67" s="127" t="s">
        <v>642</v>
      </c>
      <c r="I67" s="128">
        <v>1</v>
      </c>
      <c r="J67" s="129">
        <v>42601</v>
      </c>
      <c r="K67" s="129">
        <v>42601</v>
      </c>
      <c r="L67" s="163" t="s">
        <v>555</v>
      </c>
      <c r="M67" s="164" t="s">
        <v>21</v>
      </c>
      <c r="N67" s="132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</row>
    <row r="68" spans="1:28" s="134" customFormat="1" ht="15" customHeight="1" outlineLevel="1" x14ac:dyDescent="0.2">
      <c r="A68" s="122">
        <v>29</v>
      </c>
      <c r="B68" s="122">
        <v>92480</v>
      </c>
      <c r="C68" s="123">
        <v>41669</v>
      </c>
      <c r="D68" s="124" t="s">
        <v>655</v>
      </c>
      <c r="E68" s="122" t="s">
        <v>545</v>
      </c>
      <c r="F68" s="125" t="s">
        <v>204</v>
      </c>
      <c r="G68" s="126" t="s">
        <v>472</v>
      </c>
      <c r="H68" s="127"/>
      <c r="I68" s="128">
        <v>1</v>
      </c>
      <c r="J68" s="129">
        <v>17244</v>
      </c>
      <c r="K68" s="129">
        <v>17244</v>
      </c>
      <c r="L68" s="163" t="s">
        <v>555</v>
      </c>
      <c r="M68" s="164" t="s">
        <v>21</v>
      </c>
      <c r="N68" s="132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</row>
    <row r="69" spans="1:28" s="134" customFormat="1" ht="15" customHeight="1" outlineLevel="1" x14ac:dyDescent="0.2">
      <c r="A69" s="122">
        <v>30</v>
      </c>
      <c r="B69" s="122">
        <v>89625</v>
      </c>
      <c r="C69" s="123">
        <v>41659</v>
      </c>
      <c r="D69" s="124" t="s">
        <v>656</v>
      </c>
      <c r="E69" s="122" t="s">
        <v>545</v>
      </c>
      <c r="F69" s="125" t="s">
        <v>537</v>
      </c>
      <c r="G69" s="126" t="s">
        <v>562</v>
      </c>
      <c r="H69" s="127" t="s">
        <v>629</v>
      </c>
      <c r="I69" s="128">
        <v>1</v>
      </c>
      <c r="J69" s="129">
        <v>30429</v>
      </c>
      <c r="K69" s="129">
        <v>30429</v>
      </c>
      <c r="L69" s="163" t="s">
        <v>555</v>
      </c>
      <c r="M69" s="164" t="s">
        <v>21</v>
      </c>
      <c r="N69" s="132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</row>
    <row r="70" spans="1:28" s="134" customFormat="1" ht="15" customHeight="1" outlineLevel="1" x14ac:dyDescent="0.2">
      <c r="A70" s="122">
        <v>31</v>
      </c>
      <c r="B70" s="122">
        <v>92771</v>
      </c>
      <c r="C70" s="123">
        <v>41669</v>
      </c>
      <c r="D70" s="124" t="s">
        <v>657</v>
      </c>
      <c r="E70" s="122" t="s">
        <v>545</v>
      </c>
      <c r="F70" s="125" t="s">
        <v>537</v>
      </c>
      <c r="G70" s="126" t="s">
        <v>594</v>
      </c>
      <c r="H70" s="127" t="s">
        <v>658</v>
      </c>
      <c r="I70" s="128">
        <v>1</v>
      </c>
      <c r="J70" s="129">
        <v>30429</v>
      </c>
      <c r="K70" s="129">
        <v>30429</v>
      </c>
      <c r="L70" s="163" t="s">
        <v>555</v>
      </c>
      <c r="M70" s="164" t="s">
        <v>21</v>
      </c>
      <c r="N70" s="132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</row>
    <row r="71" spans="1:28" s="134" customFormat="1" ht="15" customHeight="1" outlineLevel="1" x14ac:dyDescent="0.2">
      <c r="A71" s="122">
        <v>32</v>
      </c>
      <c r="B71" s="122">
        <v>86232</v>
      </c>
      <c r="C71" s="123">
        <v>41645</v>
      </c>
      <c r="D71" s="124" t="s">
        <v>659</v>
      </c>
      <c r="E71" s="122" t="s">
        <v>545</v>
      </c>
      <c r="F71" s="125" t="s">
        <v>537</v>
      </c>
      <c r="G71" s="126" t="s">
        <v>419</v>
      </c>
      <c r="H71" s="127" t="s">
        <v>629</v>
      </c>
      <c r="I71" s="128">
        <v>1</v>
      </c>
      <c r="J71" s="129">
        <v>30429</v>
      </c>
      <c r="K71" s="129">
        <v>30429</v>
      </c>
      <c r="L71" s="163" t="s">
        <v>555</v>
      </c>
      <c r="M71" s="164" t="s">
        <v>21</v>
      </c>
      <c r="N71" s="132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</row>
    <row r="72" spans="1:28" s="134" customFormat="1" ht="15" customHeight="1" outlineLevel="1" x14ac:dyDescent="0.2">
      <c r="A72" s="122">
        <v>33</v>
      </c>
      <c r="B72" s="122">
        <v>88330</v>
      </c>
      <c r="C72" s="123">
        <v>41654</v>
      </c>
      <c r="D72" s="124" t="s">
        <v>660</v>
      </c>
      <c r="E72" s="122" t="s">
        <v>545</v>
      </c>
      <c r="F72" s="125" t="s">
        <v>116</v>
      </c>
      <c r="G72" s="126" t="s">
        <v>383</v>
      </c>
      <c r="H72" s="127"/>
      <c r="I72" s="128">
        <v>1</v>
      </c>
      <c r="J72" s="129">
        <v>5274</v>
      </c>
      <c r="K72" s="129">
        <v>5274</v>
      </c>
      <c r="L72" s="163" t="s">
        <v>555</v>
      </c>
      <c r="M72" s="164" t="s">
        <v>21</v>
      </c>
      <c r="N72" s="132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</row>
    <row r="73" spans="1:28" s="134" customFormat="1" ht="15" customHeight="1" outlineLevel="1" x14ac:dyDescent="0.2">
      <c r="A73" s="122">
        <v>34</v>
      </c>
      <c r="B73" s="122">
        <v>88330</v>
      </c>
      <c r="C73" s="123">
        <v>41654</v>
      </c>
      <c r="D73" s="124" t="s">
        <v>660</v>
      </c>
      <c r="E73" s="122" t="s">
        <v>545</v>
      </c>
      <c r="F73" s="125" t="s">
        <v>210</v>
      </c>
      <c r="G73" s="126" t="s">
        <v>383</v>
      </c>
      <c r="H73" s="127"/>
      <c r="I73" s="128">
        <v>1</v>
      </c>
      <c r="J73" s="129">
        <v>14099</v>
      </c>
      <c r="K73" s="129">
        <v>14099</v>
      </c>
      <c r="L73" s="163" t="s">
        <v>555</v>
      </c>
      <c r="M73" s="164" t="s">
        <v>21</v>
      </c>
      <c r="N73" s="132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</row>
    <row r="74" spans="1:28" s="134" customFormat="1" ht="15" customHeight="1" outlineLevel="1" x14ac:dyDescent="0.2">
      <c r="A74" s="166">
        <v>35</v>
      </c>
      <c r="B74" s="122">
        <v>91881</v>
      </c>
      <c r="C74" s="123">
        <v>41669</v>
      </c>
      <c r="D74" s="124" t="s">
        <v>660</v>
      </c>
      <c r="E74" s="122" t="s">
        <v>545</v>
      </c>
      <c r="F74" s="125" t="s">
        <v>115</v>
      </c>
      <c r="G74" s="126" t="s">
        <v>383</v>
      </c>
      <c r="H74" s="127" t="s">
        <v>563</v>
      </c>
      <c r="I74" s="128">
        <v>1</v>
      </c>
      <c r="J74" s="129">
        <v>33370</v>
      </c>
      <c r="K74" s="129">
        <v>33370</v>
      </c>
      <c r="L74" s="163" t="s">
        <v>555</v>
      </c>
      <c r="M74" s="164" t="s">
        <v>21</v>
      </c>
      <c r="N74" s="132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</row>
    <row r="75" spans="1:28" s="134" customFormat="1" ht="15" customHeight="1" outlineLevel="1" x14ac:dyDescent="0.2">
      <c r="A75" s="122">
        <v>36</v>
      </c>
      <c r="B75" s="122">
        <v>92287</v>
      </c>
      <c r="C75" s="123">
        <v>41669</v>
      </c>
      <c r="D75" s="124" t="s">
        <v>660</v>
      </c>
      <c r="E75" s="122" t="s">
        <v>545</v>
      </c>
      <c r="F75" s="125" t="s">
        <v>116</v>
      </c>
      <c r="G75" s="126" t="s">
        <v>442</v>
      </c>
      <c r="H75" s="127" t="s">
        <v>489</v>
      </c>
      <c r="I75" s="128">
        <v>1</v>
      </c>
      <c r="J75" s="129">
        <v>5274</v>
      </c>
      <c r="K75" s="129">
        <v>5274</v>
      </c>
      <c r="L75" s="163" t="s">
        <v>555</v>
      </c>
      <c r="M75" s="164" t="s">
        <v>21</v>
      </c>
      <c r="N75" s="132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</row>
    <row r="76" spans="1:28" s="134" customFormat="1" ht="15" customHeight="1" outlineLevel="1" x14ac:dyDescent="0.2">
      <c r="A76" s="122">
        <v>37</v>
      </c>
      <c r="B76" s="122">
        <v>89929</v>
      </c>
      <c r="C76" s="123">
        <v>41660</v>
      </c>
      <c r="D76" s="124" t="s">
        <v>661</v>
      </c>
      <c r="E76" s="122" t="s">
        <v>545</v>
      </c>
      <c r="F76" s="125" t="s">
        <v>537</v>
      </c>
      <c r="G76" s="126" t="s">
        <v>417</v>
      </c>
      <c r="H76" s="127" t="s">
        <v>563</v>
      </c>
      <c r="I76" s="128">
        <v>1</v>
      </c>
      <c r="J76" s="129">
        <v>30429</v>
      </c>
      <c r="K76" s="129">
        <v>30429</v>
      </c>
      <c r="L76" s="163" t="s">
        <v>555</v>
      </c>
      <c r="M76" s="164" t="s">
        <v>21</v>
      </c>
      <c r="N76" s="132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</row>
    <row r="77" spans="1:28" s="134" customFormat="1" ht="15" customHeight="1" outlineLevel="1" x14ac:dyDescent="0.2">
      <c r="A77" s="122">
        <v>38</v>
      </c>
      <c r="B77" s="122">
        <v>85656</v>
      </c>
      <c r="C77" s="123">
        <v>41641</v>
      </c>
      <c r="D77" s="124" t="s">
        <v>662</v>
      </c>
      <c r="E77" s="122" t="s">
        <v>545</v>
      </c>
      <c r="F77" s="125" t="s">
        <v>197</v>
      </c>
      <c r="G77" s="126" t="s">
        <v>663</v>
      </c>
      <c r="H77" s="127"/>
      <c r="I77" s="128">
        <v>5</v>
      </c>
      <c r="J77" s="129">
        <v>2739</v>
      </c>
      <c r="K77" s="129">
        <v>13695</v>
      </c>
      <c r="L77" s="163" t="s">
        <v>555</v>
      </c>
      <c r="M77" s="164" t="s">
        <v>21</v>
      </c>
      <c r="N77" s="132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</row>
    <row r="78" spans="1:28" s="134" customFormat="1" ht="15" customHeight="1" outlineLevel="1" x14ac:dyDescent="0.2">
      <c r="A78" s="122">
        <v>39</v>
      </c>
      <c r="B78" s="122">
        <v>88467</v>
      </c>
      <c r="C78" s="123">
        <v>41654</v>
      </c>
      <c r="D78" s="124" t="s">
        <v>664</v>
      </c>
      <c r="E78" s="122" t="s">
        <v>665</v>
      </c>
      <c r="F78" s="125" t="s">
        <v>580</v>
      </c>
      <c r="G78" s="126" t="s">
        <v>371</v>
      </c>
      <c r="H78" s="127"/>
      <c r="I78" s="128">
        <v>1</v>
      </c>
      <c r="J78" s="129">
        <v>25800</v>
      </c>
      <c r="K78" s="129">
        <v>25800</v>
      </c>
      <c r="L78" s="163" t="s">
        <v>555</v>
      </c>
      <c r="M78" s="164" t="s">
        <v>21</v>
      </c>
      <c r="N78" s="132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</row>
    <row r="79" spans="1:28" s="134" customFormat="1" ht="15" customHeight="1" outlineLevel="1" x14ac:dyDescent="0.2">
      <c r="A79" s="122">
        <v>40</v>
      </c>
      <c r="B79" s="122">
        <v>90928</v>
      </c>
      <c r="C79" s="123">
        <v>41662</v>
      </c>
      <c r="D79" s="124" t="s">
        <v>666</v>
      </c>
      <c r="E79" s="122" t="s">
        <v>545</v>
      </c>
      <c r="F79" s="125" t="s">
        <v>580</v>
      </c>
      <c r="G79" s="126" t="s">
        <v>371</v>
      </c>
      <c r="H79" s="127"/>
      <c r="I79" s="128">
        <v>1</v>
      </c>
      <c r="J79" s="129">
        <v>25800</v>
      </c>
      <c r="K79" s="129">
        <v>25800</v>
      </c>
      <c r="L79" s="163" t="s">
        <v>555</v>
      </c>
      <c r="M79" s="164" t="s">
        <v>21</v>
      </c>
      <c r="N79" s="132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</row>
    <row r="80" spans="1:28" s="145" customFormat="1" ht="18" customHeight="1" outlineLevel="1" x14ac:dyDescent="0.2">
      <c r="A80" s="135">
        <v>1</v>
      </c>
      <c r="B80" s="135">
        <v>83041</v>
      </c>
      <c r="C80" s="136">
        <v>41681</v>
      </c>
      <c r="D80" s="137" t="s">
        <v>667</v>
      </c>
      <c r="E80" s="135" t="s">
        <v>545</v>
      </c>
      <c r="F80" s="138" t="s">
        <v>116</v>
      </c>
      <c r="G80" s="139" t="s">
        <v>562</v>
      </c>
      <c r="H80" s="140" t="s">
        <v>489</v>
      </c>
      <c r="I80" s="141">
        <v>1</v>
      </c>
      <c r="J80" s="142">
        <v>5274</v>
      </c>
      <c r="K80" s="142">
        <v>5274</v>
      </c>
      <c r="L80" s="167" t="s">
        <v>558</v>
      </c>
      <c r="M80" s="168" t="s">
        <v>21</v>
      </c>
      <c r="N80" s="143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</row>
    <row r="81" spans="1:28" s="145" customFormat="1" ht="15" customHeight="1" outlineLevel="1" x14ac:dyDescent="0.2">
      <c r="A81" s="135">
        <v>2</v>
      </c>
      <c r="B81" s="135">
        <v>88674</v>
      </c>
      <c r="C81" s="136">
        <v>41681</v>
      </c>
      <c r="D81" s="137" t="s">
        <v>667</v>
      </c>
      <c r="E81" s="135" t="s">
        <v>545</v>
      </c>
      <c r="F81" s="138" t="s">
        <v>210</v>
      </c>
      <c r="G81" s="139" t="s">
        <v>562</v>
      </c>
      <c r="H81" s="140" t="s">
        <v>489</v>
      </c>
      <c r="I81" s="141">
        <v>1</v>
      </c>
      <c r="J81" s="142">
        <v>14099</v>
      </c>
      <c r="K81" s="142">
        <v>14099</v>
      </c>
      <c r="L81" s="167" t="s">
        <v>558</v>
      </c>
      <c r="M81" s="168" t="s">
        <v>21</v>
      </c>
      <c r="N81" s="143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</row>
    <row r="82" spans="1:28" s="145" customFormat="1" ht="15" customHeight="1" outlineLevel="1" x14ac:dyDescent="0.2">
      <c r="A82" s="135">
        <v>3</v>
      </c>
      <c r="B82" s="135">
        <v>78054</v>
      </c>
      <c r="C82" s="136">
        <v>41628</v>
      </c>
      <c r="D82" s="137" t="s">
        <v>668</v>
      </c>
      <c r="E82" s="135" t="s">
        <v>626</v>
      </c>
      <c r="F82" s="138" t="s">
        <v>537</v>
      </c>
      <c r="G82" s="139" t="s">
        <v>431</v>
      </c>
      <c r="H82" s="140" t="s">
        <v>629</v>
      </c>
      <c r="I82" s="141">
        <v>1</v>
      </c>
      <c r="J82" s="142">
        <v>30429</v>
      </c>
      <c r="K82" s="169">
        <v>30429</v>
      </c>
      <c r="L82" s="167" t="s">
        <v>558</v>
      </c>
      <c r="M82" s="168" t="s">
        <v>21</v>
      </c>
      <c r="N82" s="143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</row>
    <row r="83" spans="1:28" s="145" customFormat="1" ht="15" customHeight="1" outlineLevel="1" x14ac:dyDescent="0.2">
      <c r="A83" s="135">
        <v>4</v>
      </c>
      <c r="B83" s="135">
        <v>95518</v>
      </c>
      <c r="C83" s="136">
        <v>41689</v>
      </c>
      <c r="D83" s="137" t="s">
        <v>669</v>
      </c>
      <c r="E83" s="135" t="s">
        <v>545</v>
      </c>
      <c r="F83" s="138" t="s">
        <v>192</v>
      </c>
      <c r="G83" s="139" t="s">
        <v>431</v>
      </c>
      <c r="H83" s="140"/>
      <c r="I83" s="141">
        <v>1</v>
      </c>
      <c r="J83" s="142">
        <v>57960</v>
      </c>
      <c r="K83" s="142">
        <v>57960</v>
      </c>
      <c r="L83" s="167" t="s">
        <v>558</v>
      </c>
      <c r="M83" s="168" t="s">
        <v>21</v>
      </c>
      <c r="N83" s="143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</row>
    <row r="84" spans="1:28" s="145" customFormat="1" ht="15" customHeight="1" outlineLevel="1" x14ac:dyDescent="0.2">
      <c r="A84" s="135">
        <v>5</v>
      </c>
      <c r="B84" s="135">
        <v>93986</v>
      </c>
      <c r="C84" s="136">
        <v>41687</v>
      </c>
      <c r="D84" s="137" t="s">
        <v>670</v>
      </c>
      <c r="E84" s="135" t="s">
        <v>545</v>
      </c>
      <c r="F84" s="138" t="s">
        <v>537</v>
      </c>
      <c r="G84" s="139" t="s">
        <v>419</v>
      </c>
      <c r="H84" s="140" t="s">
        <v>629</v>
      </c>
      <c r="I84" s="141">
        <v>1</v>
      </c>
      <c r="J84" s="142">
        <v>30429</v>
      </c>
      <c r="K84" s="142">
        <v>30429</v>
      </c>
      <c r="L84" s="167" t="s">
        <v>558</v>
      </c>
      <c r="M84" s="168" t="s">
        <v>21</v>
      </c>
      <c r="N84" s="143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</row>
    <row r="85" spans="1:28" s="145" customFormat="1" ht="15" customHeight="1" outlineLevel="1" x14ac:dyDescent="0.2">
      <c r="A85" s="135">
        <v>6</v>
      </c>
      <c r="B85" s="135">
        <v>93986</v>
      </c>
      <c r="C85" s="136">
        <v>41675</v>
      </c>
      <c r="D85" s="137" t="s">
        <v>671</v>
      </c>
      <c r="E85" s="135" t="s">
        <v>478</v>
      </c>
      <c r="F85" s="138" t="s">
        <v>622</v>
      </c>
      <c r="G85" s="139" t="s">
        <v>371</v>
      </c>
      <c r="H85" s="140"/>
      <c r="I85" s="141">
        <v>1</v>
      </c>
      <c r="J85" s="142">
        <v>15722</v>
      </c>
      <c r="K85" s="142">
        <v>15722</v>
      </c>
      <c r="L85" s="167" t="s">
        <v>558</v>
      </c>
      <c r="M85" s="168" t="s">
        <v>21</v>
      </c>
      <c r="N85" s="143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</row>
    <row r="86" spans="1:28" s="145" customFormat="1" ht="15" customHeight="1" outlineLevel="1" x14ac:dyDescent="0.2">
      <c r="A86" s="135">
        <v>7</v>
      </c>
      <c r="B86" s="135">
        <v>93986</v>
      </c>
      <c r="C86" s="136">
        <v>41687</v>
      </c>
      <c r="D86" s="137" t="s">
        <v>672</v>
      </c>
      <c r="E86" s="135" t="s">
        <v>376</v>
      </c>
      <c r="F86" s="138" t="s">
        <v>197</v>
      </c>
      <c r="G86" s="139" t="s">
        <v>400</v>
      </c>
      <c r="H86" s="140"/>
      <c r="I86" s="141">
        <v>2</v>
      </c>
      <c r="J86" s="142">
        <v>2739</v>
      </c>
      <c r="K86" s="142">
        <v>5478</v>
      </c>
      <c r="L86" s="167" t="s">
        <v>558</v>
      </c>
      <c r="M86" s="168" t="s">
        <v>21</v>
      </c>
      <c r="N86" s="143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</row>
    <row r="87" spans="1:28" s="145" customFormat="1" ht="15" customHeight="1" outlineLevel="1" x14ac:dyDescent="0.2">
      <c r="A87" s="135">
        <v>8</v>
      </c>
      <c r="B87" s="135">
        <v>94373</v>
      </c>
      <c r="C87" s="136">
        <v>41684</v>
      </c>
      <c r="D87" s="137" t="s">
        <v>673</v>
      </c>
      <c r="E87" s="135" t="s">
        <v>478</v>
      </c>
      <c r="F87" s="138" t="s">
        <v>237</v>
      </c>
      <c r="G87" s="139" t="s">
        <v>369</v>
      </c>
      <c r="H87" s="140"/>
      <c r="I87" s="141">
        <v>1</v>
      </c>
      <c r="J87" s="142">
        <v>10401</v>
      </c>
      <c r="K87" s="142">
        <v>10401</v>
      </c>
      <c r="L87" s="167" t="s">
        <v>558</v>
      </c>
      <c r="M87" s="168" t="s">
        <v>21</v>
      </c>
      <c r="N87" s="143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</row>
    <row r="88" spans="1:28" s="145" customFormat="1" ht="15" customHeight="1" outlineLevel="1" x14ac:dyDescent="0.2">
      <c r="A88" s="135">
        <v>9</v>
      </c>
      <c r="B88" s="135">
        <v>94390</v>
      </c>
      <c r="C88" s="136">
        <v>41681</v>
      </c>
      <c r="D88" s="137" t="s">
        <v>674</v>
      </c>
      <c r="E88" s="135" t="s">
        <v>376</v>
      </c>
      <c r="F88" s="138" t="s">
        <v>537</v>
      </c>
      <c r="G88" s="139" t="s">
        <v>392</v>
      </c>
      <c r="H88" s="140" t="s">
        <v>563</v>
      </c>
      <c r="I88" s="141">
        <v>1</v>
      </c>
      <c r="J88" s="142">
        <v>30429</v>
      </c>
      <c r="K88" s="142">
        <v>30429</v>
      </c>
      <c r="L88" s="167" t="s">
        <v>558</v>
      </c>
      <c r="M88" s="168" t="s">
        <v>21</v>
      </c>
      <c r="N88" s="143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</row>
    <row r="89" spans="1:28" s="145" customFormat="1" ht="15" customHeight="1" outlineLevel="1" x14ac:dyDescent="0.2">
      <c r="A89" s="135">
        <v>10</v>
      </c>
      <c r="B89" s="135">
        <v>94694</v>
      </c>
      <c r="C89" s="136">
        <v>41689</v>
      </c>
      <c r="D89" s="137" t="s">
        <v>675</v>
      </c>
      <c r="E89" s="135" t="s">
        <v>545</v>
      </c>
      <c r="F89" s="138" t="s">
        <v>537</v>
      </c>
      <c r="G89" s="139" t="s">
        <v>417</v>
      </c>
      <c r="H89" s="140" t="s">
        <v>563</v>
      </c>
      <c r="I89" s="141">
        <v>1</v>
      </c>
      <c r="J89" s="142">
        <v>30429</v>
      </c>
      <c r="K89" s="142">
        <v>30429</v>
      </c>
      <c r="L89" s="167" t="s">
        <v>558</v>
      </c>
      <c r="M89" s="168" t="s">
        <v>21</v>
      </c>
      <c r="N89" s="143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</row>
    <row r="90" spans="1:28" s="145" customFormat="1" ht="15" customHeight="1" outlineLevel="1" x14ac:dyDescent="0.2">
      <c r="A90" s="135">
        <v>11</v>
      </c>
      <c r="B90" s="135">
        <v>94729</v>
      </c>
      <c r="C90" s="136">
        <v>41654</v>
      </c>
      <c r="D90" s="137" t="s">
        <v>676</v>
      </c>
      <c r="E90" s="135" t="s">
        <v>478</v>
      </c>
      <c r="F90" s="138" t="s">
        <v>217</v>
      </c>
      <c r="G90" s="139" t="s">
        <v>371</v>
      </c>
      <c r="H90" s="140" t="s">
        <v>489</v>
      </c>
      <c r="I90" s="141">
        <v>1</v>
      </c>
      <c r="J90" s="142">
        <v>44597</v>
      </c>
      <c r="K90" s="169">
        <v>44597</v>
      </c>
      <c r="L90" s="167" t="s">
        <v>558</v>
      </c>
      <c r="M90" s="168" t="s">
        <v>21</v>
      </c>
      <c r="N90" s="143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</row>
    <row r="91" spans="1:28" s="145" customFormat="1" ht="15" customHeight="1" outlineLevel="1" x14ac:dyDescent="0.2">
      <c r="A91" s="135">
        <v>12</v>
      </c>
      <c r="B91" s="135">
        <v>94729</v>
      </c>
      <c r="C91" s="136">
        <v>41676</v>
      </c>
      <c r="D91" s="137" t="s">
        <v>677</v>
      </c>
      <c r="E91" s="135" t="s">
        <v>545</v>
      </c>
      <c r="F91" s="138" t="s">
        <v>210</v>
      </c>
      <c r="G91" s="139" t="s">
        <v>534</v>
      </c>
      <c r="H91" s="140"/>
      <c r="I91" s="141">
        <v>1</v>
      </c>
      <c r="J91" s="142">
        <v>14099</v>
      </c>
      <c r="K91" s="142">
        <v>14099</v>
      </c>
      <c r="L91" s="167" t="s">
        <v>558</v>
      </c>
      <c r="M91" s="168" t="s">
        <v>21</v>
      </c>
      <c r="N91" s="143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</row>
    <row r="92" spans="1:28" s="145" customFormat="1" ht="15" customHeight="1" outlineLevel="1" x14ac:dyDescent="0.2">
      <c r="A92" s="135">
        <v>13</v>
      </c>
      <c r="B92" s="135">
        <v>95106</v>
      </c>
      <c r="C92" s="136">
        <v>41687</v>
      </c>
      <c r="D92" s="137" t="s">
        <v>677</v>
      </c>
      <c r="E92" s="135" t="s">
        <v>545</v>
      </c>
      <c r="F92" s="138" t="s">
        <v>115</v>
      </c>
      <c r="G92" s="139" t="s">
        <v>534</v>
      </c>
      <c r="H92" s="140" t="s">
        <v>678</v>
      </c>
      <c r="I92" s="141">
        <v>1</v>
      </c>
      <c r="J92" s="142">
        <v>33370</v>
      </c>
      <c r="K92" s="142">
        <v>33370</v>
      </c>
      <c r="L92" s="167" t="s">
        <v>558</v>
      </c>
      <c r="M92" s="168" t="s">
        <v>21</v>
      </c>
      <c r="N92" s="143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</row>
    <row r="93" spans="1:28" s="145" customFormat="1" ht="15" customHeight="1" outlineLevel="1" x14ac:dyDescent="0.2">
      <c r="A93" s="135">
        <v>14</v>
      </c>
      <c r="B93" s="135">
        <v>95106</v>
      </c>
      <c r="C93" s="136">
        <v>41678</v>
      </c>
      <c r="D93" s="137" t="s">
        <v>679</v>
      </c>
      <c r="E93" s="135" t="s">
        <v>376</v>
      </c>
      <c r="F93" s="138" t="s">
        <v>217</v>
      </c>
      <c r="G93" s="139" t="s">
        <v>371</v>
      </c>
      <c r="H93" s="140" t="s">
        <v>489</v>
      </c>
      <c r="I93" s="141">
        <v>1</v>
      </c>
      <c r="J93" s="142">
        <v>44597</v>
      </c>
      <c r="K93" s="142">
        <v>44597</v>
      </c>
      <c r="L93" s="167" t="s">
        <v>558</v>
      </c>
      <c r="M93" s="168" t="s">
        <v>21</v>
      </c>
      <c r="N93" s="143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</row>
    <row r="94" spans="1:28" s="145" customFormat="1" ht="15" customHeight="1" outlineLevel="1" x14ac:dyDescent="0.2">
      <c r="A94" s="135">
        <v>15</v>
      </c>
      <c r="B94" s="135">
        <v>95218</v>
      </c>
      <c r="C94" s="136">
        <v>41691</v>
      </c>
      <c r="D94" s="137" t="s">
        <v>679</v>
      </c>
      <c r="E94" s="135" t="s">
        <v>478</v>
      </c>
      <c r="F94" s="138" t="s">
        <v>622</v>
      </c>
      <c r="G94" s="139" t="s">
        <v>371</v>
      </c>
      <c r="H94" s="140" t="s">
        <v>489</v>
      </c>
      <c r="I94" s="141">
        <v>1</v>
      </c>
      <c r="J94" s="142">
        <v>15722</v>
      </c>
      <c r="K94" s="142">
        <v>15722</v>
      </c>
      <c r="L94" s="167" t="s">
        <v>558</v>
      </c>
      <c r="M94" s="168" t="s">
        <v>21</v>
      </c>
      <c r="N94" s="143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</row>
    <row r="95" spans="1:28" s="145" customFormat="1" ht="15" customHeight="1" outlineLevel="1" x14ac:dyDescent="0.2">
      <c r="A95" s="135">
        <v>16</v>
      </c>
      <c r="B95" s="135">
        <v>95288</v>
      </c>
      <c r="C95" s="136">
        <v>41674</v>
      </c>
      <c r="D95" s="137" t="s">
        <v>680</v>
      </c>
      <c r="E95" s="135" t="s">
        <v>545</v>
      </c>
      <c r="F95" s="138" t="s">
        <v>116</v>
      </c>
      <c r="G95" s="139" t="s">
        <v>562</v>
      </c>
      <c r="H95" s="140" t="s">
        <v>573</v>
      </c>
      <c r="I95" s="141">
        <v>1</v>
      </c>
      <c r="J95" s="142">
        <v>5274</v>
      </c>
      <c r="K95" s="142">
        <v>5274</v>
      </c>
      <c r="L95" s="167" t="s">
        <v>558</v>
      </c>
      <c r="M95" s="168" t="s">
        <v>21</v>
      </c>
      <c r="N95" s="143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</row>
    <row r="96" spans="1:28" s="145" customFormat="1" ht="15" customHeight="1" outlineLevel="1" x14ac:dyDescent="0.2">
      <c r="A96" s="135">
        <v>17</v>
      </c>
      <c r="B96" s="135">
        <v>95449</v>
      </c>
      <c r="C96" s="136">
        <v>41674</v>
      </c>
      <c r="D96" s="137" t="s">
        <v>680</v>
      </c>
      <c r="E96" s="135" t="s">
        <v>545</v>
      </c>
      <c r="F96" s="138" t="s">
        <v>210</v>
      </c>
      <c r="G96" s="139" t="s">
        <v>562</v>
      </c>
      <c r="H96" s="140" t="s">
        <v>563</v>
      </c>
      <c r="I96" s="141">
        <v>1</v>
      </c>
      <c r="J96" s="142">
        <v>14099</v>
      </c>
      <c r="K96" s="142">
        <v>14099</v>
      </c>
      <c r="L96" s="167" t="s">
        <v>558</v>
      </c>
      <c r="M96" s="168" t="s">
        <v>21</v>
      </c>
      <c r="N96" s="143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</row>
    <row r="97" spans="1:28" s="145" customFormat="1" ht="15" customHeight="1" outlineLevel="1" x14ac:dyDescent="0.2">
      <c r="A97" s="135">
        <v>18</v>
      </c>
      <c r="B97" s="135">
        <v>96588</v>
      </c>
      <c r="C97" s="136">
        <v>41674</v>
      </c>
      <c r="D97" s="137" t="s">
        <v>680</v>
      </c>
      <c r="E97" s="135" t="s">
        <v>545</v>
      </c>
      <c r="F97" s="138" t="s">
        <v>537</v>
      </c>
      <c r="G97" s="139" t="s">
        <v>417</v>
      </c>
      <c r="H97" s="140" t="s">
        <v>563</v>
      </c>
      <c r="I97" s="141">
        <v>1</v>
      </c>
      <c r="J97" s="142">
        <v>30429</v>
      </c>
      <c r="K97" s="142">
        <v>30429</v>
      </c>
      <c r="L97" s="167" t="s">
        <v>558</v>
      </c>
      <c r="M97" s="168" t="s">
        <v>21</v>
      </c>
      <c r="N97" s="143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</row>
    <row r="98" spans="1:28" s="145" customFormat="1" ht="15" customHeight="1" outlineLevel="1" x14ac:dyDescent="0.2">
      <c r="A98" s="135">
        <v>19</v>
      </c>
      <c r="B98" s="135">
        <v>95864</v>
      </c>
      <c r="C98" s="136">
        <v>41689</v>
      </c>
      <c r="D98" s="137" t="s">
        <v>681</v>
      </c>
      <c r="E98" s="135" t="s">
        <v>545</v>
      </c>
      <c r="F98" s="138" t="s">
        <v>682</v>
      </c>
      <c r="G98" s="139" t="s">
        <v>371</v>
      </c>
      <c r="H98" s="140" t="s">
        <v>486</v>
      </c>
      <c r="I98" s="141">
        <v>1</v>
      </c>
      <c r="J98" s="142">
        <v>55058</v>
      </c>
      <c r="K98" s="142">
        <v>55058</v>
      </c>
      <c r="L98" s="167" t="s">
        <v>558</v>
      </c>
      <c r="M98" s="168" t="s">
        <v>21</v>
      </c>
      <c r="N98" s="143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</row>
    <row r="99" spans="1:28" s="145" customFormat="1" ht="15" customHeight="1" outlineLevel="1" x14ac:dyDescent="0.2">
      <c r="A99" s="135">
        <v>20</v>
      </c>
      <c r="B99" s="135">
        <v>86375</v>
      </c>
      <c r="C99" s="136">
        <v>41680</v>
      </c>
      <c r="D99" s="137" t="s">
        <v>683</v>
      </c>
      <c r="E99" s="135" t="s">
        <v>545</v>
      </c>
      <c r="F99" s="138" t="s">
        <v>580</v>
      </c>
      <c r="G99" s="139" t="s">
        <v>371</v>
      </c>
      <c r="H99" s="140"/>
      <c r="I99" s="141">
        <v>1</v>
      </c>
      <c r="J99" s="142">
        <v>25800</v>
      </c>
      <c r="K99" s="142">
        <v>25800</v>
      </c>
      <c r="L99" s="167" t="s">
        <v>558</v>
      </c>
      <c r="M99" s="168" t="s">
        <v>21</v>
      </c>
      <c r="N99" s="143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</row>
    <row r="100" spans="1:28" s="145" customFormat="1" ht="15" customHeight="1" outlineLevel="1" x14ac:dyDescent="0.2">
      <c r="A100" s="135">
        <v>22</v>
      </c>
      <c r="B100" s="135">
        <v>96709</v>
      </c>
      <c r="C100" s="136">
        <v>41680</v>
      </c>
      <c r="D100" s="137" t="s">
        <v>660</v>
      </c>
      <c r="E100" s="135" t="s">
        <v>545</v>
      </c>
      <c r="F100" s="138" t="s">
        <v>116</v>
      </c>
      <c r="G100" s="139" t="s">
        <v>442</v>
      </c>
      <c r="H100" s="140" t="s">
        <v>489</v>
      </c>
      <c r="I100" s="141">
        <v>1</v>
      </c>
      <c r="J100" s="142">
        <v>5274</v>
      </c>
      <c r="K100" s="142">
        <v>5274</v>
      </c>
      <c r="L100" s="167" t="s">
        <v>558</v>
      </c>
      <c r="M100" s="168" t="s">
        <v>21</v>
      </c>
      <c r="N100" s="143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</row>
    <row r="101" spans="1:28" s="145" customFormat="1" ht="15" customHeight="1" outlineLevel="1" x14ac:dyDescent="0.2">
      <c r="A101" s="135">
        <v>23</v>
      </c>
      <c r="B101" s="135">
        <v>96698</v>
      </c>
      <c r="C101" s="136">
        <v>41680</v>
      </c>
      <c r="D101" s="137" t="s">
        <v>660</v>
      </c>
      <c r="E101" s="135" t="s">
        <v>545</v>
      </c>
      <c r="F101" s="138" t="s">
        <v>210</v>
      </c>
      <c r="G101" s="139" t="s">
        <v>442</v>
      </c>
      <c r="H101" s="140" t="s">
        <v>489</v>
      </c>
      <c r="I101" s="141">
        <v>1</v>
      </c>
      <c r="J101" s="142">
        <v>14099</v>
      </c>
      <c r="K101" s="142">
        <v>14099</v>
      </c>
      <c r="L101" s="167" t="s">
        <v>558</v>
      </c>
      <c r="M101" s="168" t="s">
        <v>21</v>
      </c>
      <c r="N101" s="143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</row>
    <row r="102" spans="1:28" s="145" customFormat="1" ht="15" customHeight="1" outlineLevel="1" x14ac:dyDescent="0.2">
      <c r="A102" s="135">
        <v>24</v>
      </c>
      <c r="B102" s="135">
        <v>97011</v>
      </c>
      <c r="C102" s="136">
        <v>41687</v>
      </c>
      <c r="D102" s="137" t="s">
        <v>660</v>
      </c>
      <c r="E102" s="135" t="s">
        <v>545</v>
      </c>
      <c r="F102" s="138" t="s">
        <v>115</v>
      </c>
      <c r="G102" s="139" t="s">
        <v>442</v>
      </c>
      <c r="H102" s="140" t="s">
        <v>629</v>
      </c>
      <c r="I102" s="141">
        <v>1</v>
      </c>
      <c r="J102" s="142">
        <v>33370</v>
      </c>
      <c r="K102" s="142">
        <v>33370</v>
      </c>
      <c r="L102" s="167" t="s">
        <v>558</v>
      </c>
      <c r="M102" s="168" t="s">
        <v>21</v>
      </c>
      <c r="N102" s="143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</row>
    <row r="103" spans="1:28" s="145" customFormat="1" ht="15" customHeight="1" outlineLevel="1" x14ac:dyDescent="0.2">
      <c r="A103" s="135">
        <v>25</v>
      </c>
      <c r="B103" s="135">
        <v>97113</v>
      </c>
      <c r="C103" s="136">
        <v>41688</v>
      </c>
      <c r="D103" s="137" t="s">
        <v>684</v>
      </c>
      <c r="E103" s="135" t="s">
        <v>545</v>
      </c>
      <c r="F103" s="138" t="s">
        <v>537</v>
      </c>
      <c r="G103" s="139" t="s">
        <v>472</v>
      </c>
      <c r="H103" s="140" t="s">
        <v>563</v>
      </c>
      <c r="I103" s="141">
        <v>1</v>
      </c>
      <c r="J103" s="142">
        <v>30429</v>
      </c>
      <c r="K103" s="142">
        <v>30429</v>
      </c>
      <c r="L103" s="167" t="s">
        <v>558</v>
      </c>
      <c r="M103" s="168" t="s">
        <v>21</v>
      </c>
      <c r="N103" s="143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</row>
    <row r="104" spans="1:28" s="145" customFormat="1" ht="15" customHeight="1" outlineLevel="1" x14ac:dyDescent="0.2">
      <c r="A104" s="135">
        <v>26</v>
      </c>
      <c r="B104" s="135">
        <v>96901</v>
      </c>
      <c r="C104" s="136">
        <v>41675</v>
      </c>
      <c r="D104" s="137" t="s">
        <v>685</v>
      </c>
      <c r="E104" s="135" t="s">
        <v>545</v>
      </c>
      <c r="F104" s="138" t="s">
        <v>537</v>
      </c>
      <c r="G104" s="139" t="s">
        <v>645</v>
      </c>
      <c r="H104" s="140" t="s">
        <v>629</v>
      </c>
      <c r="I104" s="141">
        <v>1</v>
      </c>
      <c r="J104" s="142">
        <v>30429</v>
      </c>
      <c r="K104" s="142">
        <v>30429</v>
      </c>
      <c r="L104" s="167" t="s">
        <v>558</v>
      </c>
      <c r="M104" s="168" t="s">
        <v>21</v>
      </c>
      <c r="N104" s="143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</row>
    <row r="105" spans="1:28" s="145" customFormat="1" ht="15" customHeight="1" outlineLevel="1" x14ac:dyDescent="0.2">
      <c r="A105" s="135">
        <v>27</v>
      </c>
      <c r="B105" s="135">
        <v>96860</v>
      </c>
      <c r="C105" s="136">
        <v>41680</v>
      </c>
      <c r="D105" s="137" t="s">
        <v>686</v>
      </c>
      <c r="E105" s="135" t="s">
        <v>545</v>
      </c>
      <c r="F105" s="138" t="s">
        <v>580</v>
      </c>
      <c r="G105" s="139" t="s">
        <v>371</v>
      </c>
      <c r="H105" s="140"/>
      <c r="I105" s="141">
        <v>1</v>
      </c>
      <c r="J105" s="142">
        <v>25800</v>
      </c>
      <c r="K105" s="142">
        <v>25800</v>
      </c>
      <c r="L105" s="167" t="s">
        <v>558</v>
      </c>
      <c r="M105" s="168" t="s">
        <v>21</v>
      </c>
      <c r="N105" s="143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</row>
    <row r="106" spans="1:28" s="145" customFormat="1" ht="15" customHeight="1" outlineLevel="1" x14ac:dyDescent="0.2">
      <c r="A106" s="135">
        <v>28</v>
      </c>
      <c r="B106" s="135">
        <v>97398</v>
      </c>
      <c r="C106" s="136">
        <v>41683</v>
      </c>
      <c r="D106" s="137" t="s">
        <v>687</v>
      </c>
      <c r="E106" s="135" t="s">
        <v>376</v>
      </c>
      <c r="F106" s="138" t="s">
        <v>217</v>
      </c>
      <c r="G106" s="139" t="s">
        <v>371</v>
      </c>
      <c r="H106" s="140" t="s">
        <v>573</v>
      </c>
      <c r="I106" s="141">
        <v>1</v>
      </c>
      <c r="J106" s="142">
        <v>44597</v>
      </c>
      <c r="K106" s="142">
        <v>44597</v>
      </c>
      <c r="L106" s="167" t="s">
        <v>558</v>
      </c>
      <c r="M106" s="168" t="s">
        <v>21</v>
      </c>
      <c r="N106" s="143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</row>
    <row r="107" spans="1:28" s="145" customFormat="1" ht="15" customHeight="1" outlineLevel="1" x14ac:dyDescent="0.2">
      <c r="A107" s="135">
        <v>29</v>
      </c>
      <c r="B107" s="135">
        <v>99064</v>
      </c>
      <c r="C107" s="136">
        <v>41698</v>
      </c>
      <c r="D107" s="137" t="s">
        <v>688</v>
      </c>
      <c r="E107" s="135" t="s">
        <v>389</v>
      </c>
      <c r="F107" s="138" t="s">
        <v>115</v>
      </c>
      <c r="G107" s="139" t="s">
        <v>404</v>
      </c>
      <c r="H107" s="140"/>
      <c r="I107" s="141">
        <v>1</v>
      </c>
      <c r="J107" s="142">
        <v>33370</v>
      </c>
      <c r="K107" s="142">
        <v>33370</v>
      </c>
      <c r="L107" s="167" t="s">
        <v>558</v>
      </c>
      <c r="M107" s="168" t="s">
        <v>21</v>
      </c>
      <c r="N107" s="143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</row>
    <row r="108" spans="1:28" s="134" customFormat="1" ht="15" customHeight="1" outlineLevel="1" x14ac:dyDescent="0.2">
      <c r="A108" s="135">
        <v>1</v>
      </c>
      <c r="B108" s="135">
        <v>100136</v>
      </c>
      <c r="C108" s="136">
        <v>41703</v>
      </c>
      <c r="D108" s="137" t="s">
        <v>625</v>
      </c>
      <c r="E108" s="135" t="s">
        <v>689</v>
      </c>
      <c r="F108" s="138" t="s">
        <v>116</v>
      </c>
      <c r="G108" s="139" t="s">
        <v>562</v>
      </c>
      <c r="H108" s="140" t="s">
        <v>573</v>
      </c>
      <c r="I108" s="141">
        <v>1</v>
      </c>
      <c r="J108" s="142">
        <v>5274</v>
      </c>
      <c r="K108" s="142">
        <v>5274</v>
      </c>
      <c r="L108" s="170" t="s">
        <v>581</v>
      </c>
      <c r="M108" s="168" t="s">
        <v>21</v>
      </c>
      <c r="N108" s="132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</row>
    <row r="109" spans="1:28" s="134" customFormat="1" ht="15" customHeight="1" outlineLevel="1" x14ac:dyDescent="0.2">
      <c r="A109" s="135">
        <v>2</v>
      </c>
      <c r="B109" s="135">
        <v>3803</v>
      </c>
      <c r="C109" s="136">
        <v>41718</v>
      </c>
      <c r="D109" s="137" t="s">
        <v>625</v>
      </c>
      <c r="E109" s="135" t="s">
        <v>689</v>
      </c>
      <c r="F109" s="138" t="s">
        <v>115</v>
      </c>
      <c r="G109" s="139" t="s">
        <v>562</v>
      </c>
      <c r="H109" s="140" t="s">
        <v>690</v>
      </c>
      <c r="I109" s="141">
        <v>1</v>
      </c>
      <c r="J109" s="142">
        <v>33370</v>
      </c>
      <c r="K109" s="142">
        <v>33370</v>
      </c>
      <c r="L109" s="170" t="s">
        <v>581</v>
      </c>
      <c r="M109" s="168" t="s">
        <v>21</v>
      </c>
      <c r="N109" s="132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</row>
    <row r="110" spans="1:28" s="134" customFormat="1" ht="15" customHeight="1" outlineLevel="1" x14ac:dyDescent="0.2">
      <c r="A110" s="135">
        <v>3</v>
      </c>
      <c r="B110" s="135">
        <v>5606</v>
      </c>
      <c r="C110" s="136">
        <v>41725</v>
      </c>
      <c r="D110" s="137" t="s">
        <v>691</v>
      </c>
      <c r="E110" s="135" t="s">
        <v>381</v>
      </c>
      <c r="F110" s="138" t="s">
        <v>537</v>
      </c>
      <c r="G110" s="139" t="s">
        <v>419</v>
      </c>
      <c r="H110" s="140" t="s">
        <v>563</v>
      </c>
      <c r="I110" s="141">
        <v>1</v>
      </c>
      <c r="J110" s="142">
        <v>30429</v>
      </c>
      <c r="K110" s="142">
        <v>30429</v>
      </c>
      <c r="L110" s="170" t="s">
        <v>581</v>
      </c>
      <c r="M110" s="168" t="s">
        <v>21</v>
      </c>
      <c r="N110" s="132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</row>
    <row r="111" spans="1:28" s="134" customFormat="1" ht="15" customHeight="1" outlineLevel="1" x14ac:dyDescent="0.2">
      <c r="A111" s="135">
        <v>4</v>
      </c>
      <c r="B111" s="135">
        <v>3072</v>
      </c>
      <c r="C111" s="136">
        <v>41715</v>
      </c>
      <c r="D111" s="137" t="s">
        <v>692</v>
      </c>
      <c r="E111" s="135" t="s">
        <v>478</v>
      </c>
      <c r="F111" s="138" t="s">
        <v>116</v>
      </c>
      <c r="G111" s="139" t="s">
        <v>410</v>
      </c>
      <c r="H111" s="140" t="s">
        <v>486</v>
      </c>
      <c r="I111" s="141">
        <v>1</v>
      </c>
      <c r="J111" s="142">
        <v>5274</v>
      </c>
      <c r="K111" s="142">
        <v>5274</v>
      </c>
      <c r="L111" s="170" t="s">
        <v>581</v>
      </c>
      <c r="M111" s="168" t="s">
        <v>21</v>
      </c>
      <c r="N111" s="132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</row>
    <row r="112" spans="1:28" s="134" customFormat="1" ht="15" customHeight="1" outlineLevel="1" x14ac:dyDescent="0.2">
      <c r="A112" s="135">
        <v>5</v>
      </c>
      <c r="B112" s="135">
        <v>100037</v>
      </c>
      <c r="C112" s="136">
        <v>41704</v>
      </c>
      <c r="D112" s="137" t="s">
        <v>375</v>
      </c>
      <c r="E112" s="135" t="s">
        <v>689</v>
      </c>
      <c r="F112" s="138" t="s">
        <v>116</v>
      </c>
      <c r="G112" s="139" t="s">
        <v>445</v>
      </c>
      <c r="H112" s="140" t="s">
        <v>693</v>
      </c>
      <c r="I112" s="141">
        <v>1</v>
      </c>
      <c r="J112" s="142">
        <v>5274</v>
      </c>
      <c r="K112" s="142">
        <v>5274</v>
      </c>
      <c r="L112" s="170" t="s">
        <v>581</v>
      </c>
      <c r="M112" s="168" t="s">
        <v>21</v>
      </c>
      <c r="N112" s="132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</row>
    <row r="113" spans="1:28" s="134" customFormat="1" ht="15" customHeight="1" outlineLevel="1" x14ac:dyDescent="0.2">
      <c r="A113" s="135">
        <v>6</v>
      </c>
      <c r="B113" s="135">
        <v>7061</v>
      </c>
      <c r="C113" s="136">
        <v>41729</v>
      </c>
      <c r="D113" s="137" t="s">
        <v>694</v>
      </c>
      <c r="E113" s="135" t="s">
        <v>376</v>
      </c>
      <c r="F113" s="138" t="s">
        <v>217</v>
      </c>
      <c r="G113" s="139" t="s">
        <v>371</v>
      </c>
      <c r="H113" s="140" t="s">
        <v>486</v>
      </c>
      <c r="I113" s="141">
        <v>1</v>
      </c>
      <c r="J113" s="142">
        <v>44597</v>
      </c>
      <c r="K113" s="142">
        <v>44597</v>
      </c>
      <c r="L113" s="170" t="s">
        <v>581</v>
      </c>
      <c r="M113" s="168" t="s">
        <v>21</v>
      </c>
      <c r="N113" s="132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</row>
    <row r="114" spans="1:28" s="134" customFormat="1" ht="15" customHeight="1" outlineLevel="1" x14ac:dyDescent="0.2">
      <c r="A114" s="135">
        <v>7</v>
      </c>
      <c r="B114" s="135">
        <v>1986</v>
      </c>
      <c r="C114" s="136">
        <v>41711</v>
      </c>
      <c r="D114" s="137" t="s">
        <v>695</v>
      </c>
      <c r="E114" s="135" t="s">
        <v>689</v>
      </c>
      <c r="F114" s="138" t="s">
        <v>580</v>
      </c>
      <c r="G114" s="139" t="s">
        <v>371</v>
      </c>
      <c r="H114" s="140"/>
      <c r="I114" s="141">
        <v>1</v>
      </c>
      <c r="J114" s="142">
        <v>25800</v>
      </c>
      <c r="K114" s="142">
        <v>25800</v>
      </c>
      <c r="L114" s="170" t="s">
        <v>581</v>
      </c>
      <c r="M114" s="168" t="s">
        <v>21</v>
      </c>
      <c r="N114" s="132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</row>
    <row r="115" spans="1:28" s="134" customFormat="1" ht="15" customHeight="1" outlineLevel="1" x14ac:dyDescent="0.2">
      <c r="A115" s="135">
        <v>9</v>
      </c>
      <c r="B115" s="135">
        <v>3908</v>
      </c>
      <c r="C115" s="136">
        <v>41718</v>
      </c>
      <c r="D115" s="137" t="s">
        <v>628</v>
      </c>
      <c r="E115" s="135" t="s">
        <v>389</v>
      </c>
      <c r="F115" s="138" t="s">
        <v>682</v>
      </c>
      <c r="G115" s="139" t="s">
        <v>485</v>
      </c>
      <c r="H115" s="140" t="s">
        <v>489</v>
      </c>
      <c r="I115" s="141">
        <v>2</v>
      </c>
      <c r="J115" s="142">
        <v>55058</v>
      </c>
      <c r="K115" s="142">
        <v>110116</v>
      </c>
      <c r="L115" s="170" t="s">
        <v>581</v>
      </c>
      <c r="M115" s="168" t="s">
        <v>21</v>
      </c>
      <c r="N115" s="132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</row>
    <row r="116" spans="1:28" s="134" customFormat="1" ht="15" customHeight="1" outlineLevel="1" x14ac:dyDescent="0.2">
      <c r="A116" s="135">
        <v>10</v>
      </c>
      <c r="B116" s="135">
        <v>859</v>
      </c>
      <c r="C116" s="136">
        <v>41709</v>
      </c>
      <c r="D116" s="137" t="s">
        <v>696</v>
      </c>
      <c r="E116" s="135" t="s">
        <v>697</v>
      </c>
      <c r="F116" s="138" t="s">
        <v>580</v>
      </c>
      <c r="G116" s="139" t="s">
        <v>371</v>
      </c>
      <c r="H116" s="140"/>
      <c r="I116" s="141">
        <v>1</v>
      </c>
      <c r="J116" s="142">
        <v>25800</v>
      </c>
      <c r="K116" s="142">
        <v>25800</v>
      </c>
      <c r="L116" s="170" t="s">
        <v>581</v>
      </c>
      <c r="M116" s="168" t="s">
        <v>21</v>
      </c>
      <c r="N116" s="132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</row>
    <row r="117" spans="1:28" s="134" customFormat="1" ht="15" customHeight="1" outlineLevel="1" x14ac:dyDescent="0.2">
      <c r="A117" s="135">
        <v>11</v>
      </c>
      <c r="B117" s="135">
        <v>778</v>
      </c>
      <c r="C117" s="136">
        <v>41708</v>
      </c>
      <c r="D117" s="137" t="s">
        <v>698</v>
      </c>
      <c r="E117" s="135" t="s">
        <v>689</v>
      </c>
      <c r="F117" s="138" t="s">
        <v>537</v>
      </c>
      <c r="G117" s="139" t="s">
        <v>527</v>
      </c>
      <c r="H117" s="140" t="s">
        <v>569</v>
      </c>
      <c r="I117" s="141">
        <v>1</v>
      </c>
      <c r="J117" s="142">
        <v>30429</v>
      </c>
      <c r="K117" s="142">
        <v>30429</v>
      </c>
      <c r="L117" s="170" t="s">
        <v>581</v>
      </c>
      <c r="M117" s="168" t="s">
        <v>21</v>
      </c>
      <c r="N117" s="132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</row>
    <row r="118" spans="1:28" s="134" customFormat="1" ht="15" customHeight="1" outlineLevel="1" x14ac:dyDescent="0.2">
      <c r="A118" s="135">
        <v>12</v>
      </c>
      <c r="B118" s="135">
        <v>3883</v>
      </c>
      <c r="C118" s="136">
        <v>41717</v>
      </c>
      <c r="D118" s="137" t="s">
        <v>699</v>
      </c>
      <c r="E118" s="135" t="s">
        <v>389</v>
      </c>
      <c r="F118" s="138" t="s">
        <v>217</v>
      </c>
      <c r="G118" s="139" t="s">
        <v>485</v>
      </c>
      <c r="H118" s="140" t="s">
        <v>489</v>
      </c>
      <c r="I118" s="141">
        <v>2</v>
      </c>
      <c r="J118" s="142">
        <v>44597</v>
      </c>
      <c r="K118" s="142">
        <v>89194</v>
      </c>
      <c r="L118" s="170" t="s">
        <v>581</v>
      </c>
      <c r="M118" s="168" t="s">
        <v>21</v>
      </c>
      <c r="N118" s="132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</row>
    <row r="119" spans="1:28" s="134" customFormat="1" ht="15" customHeight="1" outlineLevel="1" x14ac:dyDescent="0.2">
      <c r="A119" s="135">
        <v>13</v>
      </c>
      <c r="B119" s="135">
        <v>3482</v>
      </c>
      <c r="C119" s="136">
        <v>41717</v>
      </c>
      <c r="D119" s="137" t="s">
        <v>700</v>
      </c>
      <c r="E119" s="135" t="s">
        <v>389</v>
      </c>
      <c r="F119" s="138" t="s">
        <v>217</v>
      </c>
      <c r="G119" s="139" t="s">
        <v>387</v>
      </c>
      <c r="H119" s="140" t="s">
        <v>489</v>
      </c>
      <c r="I119" s="141">
        <v>2</v>
      </c>
      <c r="J119" s="142">
        <v>44597</v>
      </c>
      <c r="K119" s="142">
        <v>89194</v>
      </c>
      <c r="L119" s="170" t="s">
        <v>581</v>
      </c>
      <c r="M119" s="168" t="s">
        <v>21</v>
      </c>
      <c r="N119" s="132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</row>
    <row r="120" spans="1:28" s="134" customFormat="1" ht="15" customHeight="1" outlineLevel="1" x14ac:dyDescent="0.2">
      <c r="A120" s="135">
        <v>14</v>
      </c>
      <c r="B120" s="135">
        <v>99961</v>
      </c>
      <c r="C120" s="136">
        <v>41702</v>
      </c>
      <c r="D120" s="137" t="s">
        <v>701</v>
      </c>
      <c r="E120" s="135" t="s">
        <v>689</v>
      </c>
      <c r="F120" s="138" t="s">
        <v>237</v>
      </c>
      <c r="G120" s="139" t="s">
        <v>369</v>
      </c>
      <c r="H120" s="140"/>
      <c r="I120" s="141">
        <v>1</v>
      </c>
      <c r="J120" s="142">
        <v>10401</v>
      </c>
      <c r="K120" s="142">
        <v>10401</v>
      </c>
      <c r="L120" s="170" t="s">
        <v>581</v>
      </c>
      <c r="M120" s="168" t="s">
        <v>21</v>
      </c>
      <c r="N120" s="132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</row>
    <row r="121" spans="1:28" s="134" customFormat="1" ht="15" customHeight="1" outlineLevel="1" x14ac:dyDescent="0.2">
      <c r="A121" s="135">
        <v>16</v>
      </c>
      <c r="B121" s="135">
        <v>5851</v>
      </c>
      <c r="C121" s="136">
        <v>41725</v>
      </c>
      <c r="D121" s="137" t="s">
        <v>702</v>
      </c>
      <c r="E121" s="135" t="s">
        <v>389</v>
      </c>
      <c r="F121" s="138" t="s">
        <v>217</v>
      </c>
      <c r="G121" s="139" t="s">
        <v>485</v>
      </c>
      <c r="H121" s="140" t="s">
        <v>703</v>
      </c>
      <c r="I121" s="141">
        <v>2</v>
      </c>
      <c r="J121" s="142">
        <v>44597</v>
      </c>
      <c r="K121" s="142">
        <v>89194</v>
      </c>
      <c r="L121" s="170" t="s">
        <v>581</v>
      </c>
      <c r="M121" s="168" t="s">
        <v>21</v>
      </c>
      <c r="N121" s="132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</row>
    <row r="122" spans="1:28" s="134" customFormat="1" ht="15" customHeight="1" outlineLevel="1" x14ac:dyDescent="0.2">
      <c r="A122" s="135">
        <v>17</v>
      </c>
      <c r="B122" s="135">
        <v>99552</v>
      </c>
      <c r="C122" s="136">
        <v>41703</v>
      </c>
      <c r="D122" s="137" t="s">
        <v>704</v>
      </c>
      <c r="E122" s="135" t="s">
        <v>689</v>
      </c>
      <c r="F122" s="138" t="s">
        <v>217</v>
      </c>
      <c r="G122" s="139" t="s">
        <v>485</v>
      </c>
      <c r="H122" s="140"/>
      <c r="I122" s="141">
        <v>1</v>
      </c>
      <c r="J122" s="142">
        <v>44597</v>
      </c>
      <c r="K122" s="142">
        <v>44597</v>
      </c>
      <c r="L122" s="170" t="s">
        <v>581</v>
      </c>
      <c r="M122" s="168" t="s">
        <v>21</v>
      </c>
      <c r="N122" s="132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</row>
    <row r="123" spans="1:28" s="134" customFormat="1" ht="15" customHeight="1" outlineLevel="1" x14ac:dyDescent="0.2">
      <c r="A123" s="135">
        <v>18</v>
      </c>
      <c r="B123" s="135">
        <v>2261</v>
      </c>
      <c r="C123" s="136">
        <v>41712</v>
      </c>
      <c r="D123" s="137" t="s">
        <v>705</v>
      </c>
      <c r="E123" s="135" t="s">
        <v>389</v>
      </c>
      <c r="F123" s="138" t="s">
        <v>537</v>
      </c>
      <c r="G123" s="139" t="s">
        <v>527</v>
      </c>
      <c r="H123" s="140" t="s">
        <v>629</v>
      </c>
      <c r="I123" s="141">
        <v>1</v>
      </c>
      <c r="J123" s="142">
        <v>30429</v>
      </c>
      <c r="K123" s="142">
        <v>30429</v>
      </c>
      <c r="L123" s="170" t="s">
        <v>581</v>
      </c>
      <c r="M123" s="168" t="s">
        <v>21</v>
      </c>
      <c r="N123" s="132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</row>
    <row r="124" spans="1:28" s="134" customFormat="1" ht="15" customHeight="1" outlineLevel="1" x14ac:dyDescent="0.2">
      <c r="A124" s="135">
        <v>19</v>
      </c>
      <c r="B124" s="135">
        <v>3356</v>
      </c>
      <c r="C124" s="136">
        <v>41717</v>
      </c>
      <c r="D124" s="137" t="s">
        <v>706</v>
      </c>
      <c r="E124" s="135" t="s">
        <v>478</v>
      </c>
      <c r="F124" s="138" t="s">
        <v>217</v>
      </c>
      <c r="G124" s="139" t="s">
        <v>387</v>
      </c>
      <c r="H124" s="140" t="s">
        <v>489</v>
      </c>
      <c r="I124" s="141">
        <v>2</v>
      </c>
      <c r="J124" s="142">
        <v>44597</v>
      </c>
      <c r="K124" s="142">
        <v>89194</v>
      </c>
      <c r="L124" s="170" t="s">
        <v>581</v>
      </c>
      <c r="M124" s="168" t="s">
        <v>21</v>
      </c>
      <c r="N124" s="132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</row>
    <row r="125" spans="1:28" s="134" customFormat="1" ht="15" customHeight="1" outlineLevel="1" x14ac:dyDescent="0.2">
      <c r="A125" s="135">
        <v>20</v>
      </c>
      <c r="B125" s="135">
        <v>3099</v>
      </c>
      <c r="C125" s="136">
        <v>41716</v>
      </c>
      <c r="D125" s="137" t="s">
        <v>707</v>
      </c>
      <c r="E125" s="135" t="s">
        <v>689</v>
      </c>
      <c r="F125" s="138" t="s">
        <v>537</v>
      </c>
      <c r="G125" s="139" t="s">
        <v>511</v>
      </c>
      <c r="H125" s="140" t="s">
        <v>569</v>
      </c>
      <c r="I125" s="141">
        <v>1</v>
      </c>
      <c r="J125" s="171">
        <v>30429</v>
      </c>
      <c r="K125" s="142">
        <v>30429</v>
      </c>
      <c r="L125" s="170" t="s">
        <v>581</v>
      </c>
      <c r="M125" s="168" t="s">
        <v>21</v>
      </c>
      <c r="N125" s="132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</row>
    <row r="126" spans="1:28" s="134" customFormat="1" ht="15" customHeight="1" outlineLevel="1" x14ac:dyDescent="0.2">
      <c r="A126" s="135">
        <v>21</v>
      </c>
      <c r="B126" s="135">
        <v>3928</v>
      </c>
      <c r="C126" s="136">
        <v>41719</v>
      </c>
      <c r="D126" s="137" t="s">
        <v>707</v>
      </c>
      <c r="E126" s="135" t="s">
        <v>376</v>
      </c>
      <c r="F126" s="138" t="s">
        <v>188</v>
      </c>
      <c r="G126" s="139" t="s">
        <v>708</v>
      </c>
      <c r="H126" s="140" t="s">
        <v>629</v>
      </c>
      <c r="I126" s="141">
        <v>2</v>
      </c>
      <c r="J126" s="142">
        <v>42601</v>
      </c>
      <c r="K126" s="142">
        <v>85202</v>
      </c>
      <c r="L126" s="170" t="s">
        <v>581</v>
      </c>
      <c r="M126" s="168" t="s">
        <v>21</v>
      </c>
      <c r="N126" s="132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</row>
    <row r="127" spans="1:28" s="134" customFormat="1" ht="15" customHeight="1" outlineLevel="1" x14ac:dyDescent="0.2">
      <c r="A127" s="135">
        <v>22</v>
      </c>
      <c r="B127" s="135">
        <v>154</v>
      </c>
      <c r="C127" s="136">
        <v>41704</v>
      </c>
      <c r="D127" s="137" t="s">
        <v>680</v>
      </c>
      <c r="E127" s="135" t="s">
        <v>389</v>
      </c>
      <c r="F127" s="138" t="s">
        <v>115</v>
      </c>
      <c r="G127" s="139" t="s">
        <v>562</v>
      </c>
      <c r="H127" s="140" t="s">
        <v>563</v>
      </c>
      <c r="I127" s="141">
        <v>1</v>
      </c>
      <c r="J127" s="142">
        <v>33370</v>
      </c>
      <c r="K127" s="142">
        <v>33370</v>
      </c>
      <c r="L127" s="170" t="s">
        <v>581</v>
      </c>
      <c r="M127" s="168" t="s">
        <v>21</v>
      </c>
      <c r="N127" s="132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</row>
    <row r="128" spans="1:28" s="134" customFormat="1" ht="15" customHeight="1" outlineLevel="1" x14ac:dyDescent="0.2">
      <c r="A128" s="135">
        <v>23</v>
      </c>
      <c r="B128" s="135">
        <v>4254</v>
      </c>
      <c r="C128" s="136">
        <v>41718</v>
      </c>
      <c r="D128" s="137" t="s">
        <v>709</v>
      </c>
      <c r="E128" s="135" t="s">
        <v>389</v>
      </c>
      <c r="F128" s="138" t="s">
        <v>217</v>
      </c>
      <c r="G128" s="139" t="s">
        <v>369</v>
      </c>
      <c r="H128" s="140" t="s">
        <v>489</v>
      </c>
      <c r="I128" s="141">
        <v>1</v>
      </c>
      <c r="J128" s="142">
        <v>44597</v>
      </c>
      <c r="K128" s="142">
        <v>44597</v>
      </c>
      <c r="L128" s="170" t="s">
        <v>581</v>
      </c>
      <c r="M128" s="168" t="s">
        <v>21</v>
      </c>
      <c r="N128" s="132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</row>
    <row r="129" spans="1:28" s="134" customFormat="1" ht="15" customHeight="1" outlineLevel="1" x14ac:dyDescent="0.2">
      <c r="A129" s="135">
        <v>24</v>
      </c>
      <c r="B129" s="135">
        <v>773</v>
      </c>
      <c r="C129" s="136">
        <v>41708</v>
      </c>
      <c r="D129" s="137" t="s">
        <v>710</v>
      </c>
      <c r="E129" s="135" t="s">
        <v>689</v>
      </c>
      <c r="F129" s="138" t="s">
        <v>580</v>
      </c>
      <c r="G129" s="139" t="s">
        <v>371</v>
      </c>
      <c r="H129" s="140"/>
      <c r="I129" s="141">
        <v>1</v>
      </c>
      <c r="J129" s="142">
        <v>25800</v>
      </c>
      <c r="K129" s="142">
        <v>25800</v>
      </c>
      <c r="L129" s="170" t="s">
        <v>581</v>
      </c>
      <c r="M129" s="168" t="s">
        <v>21</v>
      </c>
      <c r="N129" s="132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</row>
    <row r="130" spans="1:28" s="134" customFormat="1" ht="15" customHeight="1" outlineLevel="1" x14ac:dyDescent="0.2">
      <c r="A130" s="135">
        <v>26</v>
      </c>
      <c r="B130" s="135">
        <v>1870</v>
      </c>
      <c r="C130" s="136">
        <v>41711</v>
      </c>
      <c r="D130" s="137" t="s">
        <v>711</v>
      </c>
      <c r="E130" s="135" t="s">
        <v>478</v>
      </c>
      <c r="F130" s="138" t="s">
        <v>237</v>
      </c>
      <c r="G130" s="139" t="s">
        <v>369</v>
      </c>
      <c r="H130" s="140"/>
      <c r="I130" s="141">
        <v>1</v>
      </c>
      <c r="J130" s="142">
        <v>10401</v>
      </c>
      <c r="K130" s="142">
        <v>10401</v>
      </c>
      <c r="L130" s="170" t="s">
        <v>581</v>
      </c>
      <c r="M130" s="168" t="s">
        <v>21</v>
      </c>
      <c r="N130" s="132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</row>
    <row r="131" spans="1:28" s="134" customFormat="1" ht="15" customHeight="1" outlineLevel="1" x14ac:dyDescent="0.2">
      <c r="A131" s="135">
        <v>27</v>
      </c>
      <c r="B131" s="135">
        <v>2071</v>
      </c>
      <c r="C131" s="136">
        <v>41711</v>
      </c>
      <c r="D131" s="137" t="s">
        <v>712</v>
      </c>
      <c r="E131" s="135" t="s">
        <v>689</v>
      </c>
      <c r="F131" s="138" t="s">
        <v>115</v>
      </c>
      <c r="G131" s="139" t="s">
        <v>419</v>
      </c>
      <c r="H131" s="140" t="s">
        <v>629</v>
      </c>
      <c r="I131" s="141">
        <v>1</v>
      </c>
      <c r="J131" s="142">
        <v>33370</v>
      </c>
      <c r="K131" s="142">
        <v>33370</v>
      </c>
      <c r="L131" s="170" t="s">
        <v>581</v>
      </c>
      <c r="M131" s="168" t="s">
        <v>21</v>
      </c>
      <c r="N131" s="132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</row>
    <row r="132" spans="1:28" s="134" customFormat="1" ht="15" customHeight="1" outlineLevel="1" x14ac:dyDescent="0.2">
      <c r="A132" s="135">
        <v>28</v>
      </c>
      <c r="B132" s="135">
        <v>99967</v>
      </c>
      <c r="C132" s="136">
        <v>41703</v>
      </c>
      <c r="D132" s="137" t="s">
        <v>713</v>
      </c>
      <c r="E132" s="135" t="s">
        <v>689</v>
      </c>
      <c r="F132" s="138" t="s">
        <v>537</v>
      </c>
      <c r="G132" s="139" t="s">
        <v>415</v>
      </c>
      <c r="H132" s="140" t="s">
        <v>569</v>
      </c>
      <c r="I132" s="141">
        <v>1</v>
      </c>
      <c r="J132" s="142">
        <v>30429</v>
      </c>
      <c r="K132" s="142">
        <v>30429</v>
      </c>
      <c r="L132" s="170" t="s">
        <v>581</v>
      </c>
      <c r="M132" s="168" t="s">
        <v>21</v>
      </c>
      <c r="N132" s="132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</row>
    <row r="133" spans="1:28" s="134" customFormat="1" ht="15" customHeight="1" outlineLevel="1" x14ac:dyDescent="0.2">
      <c r="A133" s="135">
        <v>29</v>
      </c>
      <c r="B133" s="135">
        <v>5941</v>
      </c>
      <c r="C133" s="136">
        <v>41725</v>
      </c>
      <c r="D133" s="137" t="s">
        <v>714</v>
      </c>
      <c r="E133" s="135" t="s">
        <v>381</v>
      </c>
      <c r="F133" s="138" t="s">
        <v>537</v>
      </c>
      <c r="G133" s="139" t="s">
        <v>431</v>
      </c>
      <c r="H133" s="140" t="s">
        <v>583</v>
      </c>
      <c r="I133" s="141">
        <v>1</v>
      </c>
      <c r="J133" s="142">
        <v>30429</v>
      </c>
      <c r="K133" s="142">
        <v>30429</v>
      </c>
      <c r="L133" s="170" t="s">
        <v>581</v>
      </c>
      <c r="M133" s="168" t="s">
        <v>21</v>
      </c>
      <c r="N133" s="132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</row>
    <row r="134" spans="1:28" s="134" customFormat="1" ht="15" customHeight="1" outlineLevel="1" x14ac:dyDescent="0.2">
      <c r="A134" s="122">
        <v>1</v>
      </c>
      <c r="B134" s="135">
        <v>15073</v>
      </c>
      <c r="C134" s="136">
        <v>41759</v>
      </c>
      <c r="D134" s="172" t="s">
        <v>715</v>
      </c>
      <c r="E134" s="135" t="s">
        <v>376</v>
      </c>
      <c r="F134" s="138" t="s">
        <v>219</v>
      </c>
      <c r="G134" s="139" t="s">
        <v>371</v>
      </c>
      <c r="H134" s="140" t="s">
        <v>486</v>
      </c>
      <c r="I134" s="141">
        <v>1</v>
      </c>
      <c r="J134" s="142">
        <v>22299</v>
      </c>
      <c r="K134" s="142">
        <v>22299</v>
      </c>
      <c r="L134" s="173" t="s">
        <v>600</v>
      </c>
      <c r="M134" s="168" t="s">
        <v>21</v>
      </c>
      <c r="N134" s="132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</row>
    <row r="135" spans="1:28" s="134" customFormat="1" ht="15" customHeight="1" outlineLevel="1" x14ac:dyDescent="0.2">
      <c r="A135" s="122">
        <v>2</v>
      </c>
      <c r="B135" s="135">
        <v>9676</v>
      </c>
      <c r="C135" s="136">
        <v>41739</v>
      </c>
      <c r="D135" s="172" t="s">
        <v>716</v>
      </c>
      <c r="E135" s="135" t="s">
        <v>376</v>
      </c>
      <c r="F135" s="138" t="s">
        <v>217</v>
      </c>
      <c r="G135" s="139" t="s">
        <v>371</v>
      </c>
      <c r="H135" s="140" t="s">
        <v>489</v>
      </c>
      <c r="I135" s="141">
        <v>1</v>
      </c>
      <c r="J135" s="142">
        <v>44597</v>
      </c>
      <c r="K135" s="142">
        <v>44597</v>
      </c>
      <c r="L135" s="173" t="s">
        <v>600</v>
      </c>
      <c r="M135" s="168" t="s">
        <v>21</v>
      </c>
      <c r="N135" s="132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</row>
    <row r="136" spans="1:28" s="134" customFormat="1" ht="15" customHeight="1" outlineLevel="1" x14ac:dyDescent="0.2">
      <c r="A136" s="122">
        <v>5</v>
      </c>
      <c r="B136" s="174">
        <v>2272</v>
      </c>
      <c r="C136" s="175">
        <v>41712</v>
      </c>
      <c r="D136" s="172" t="s">
        <v>717</v>
      </c>
      <c r="E136" s="174" t="s">
        <v>389</v>
      </c>
      <c r="F136" s="176" t="s">
        <v>237</v>
      </c>
      <c r="G136" s="177" t="s">
        <v>369</v>
      </c>
      <c r="H136" s="178"/>
      <c r="I136" s="179">
        <v>1</v>
      </c>
      <c r="J136" s="142">
        <v>10401</v>
      </c>
      <c r="K136" s="142">
        <v>10401</v>
      </c>
      <c r="L136" s="173" t="s">
        <v>600</v>
      </c>
      <c r="M136" s="168" t="s">
        <v>21</v>
      </c>
      <c r="N136" s="132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</row>
    <row r="137" spans="1:28" s="134" customFormat="1" ht="15" customHeight="1" outlineLevel="1" x14ac:dyDescent="0.2">
      <c r="A137" s="122">
        <v>6</v>
      </c>
      <c r="B137" s="135">
        <v>13196</v>
      </c>
      <c r="C137" s="136">
        <v>41752</v>
      </c>
      <c r="D137" s="172" t="s">
        <v>717</v>
      </c>
      <c r="E137" s="135" t="s">
        <v>389</v>
      </c>
      <c r="F137" s="138" t="s">
        <v>682</v>
      </c>
      <c r="G137" s="139" t="s">
        <v>369</v>
      </c>
      <c r="H137" s="140" t="s">
        <v>718</v>
      </c>
      <c r="I137" s="141">
        <v>1</v>
      </c>
      <c r="J137" s="142">
        <v>55058</v>
      </c>
      <c r="K137" s="142">
        <v>55058</v>
      </c>
      <c r="L137" s="173" t="s">
        <v>600</v>
      </c>
      <c r="M137" s="168" t="s">
        <v>21</v>
      </c>
      <c r="N137" s="132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</row>
    <row r="138" spans="1:28" s="134" customFormat="1" ht="15" customHeight="1" outlineLevel="1" x14ac:dyDescent="0.2">
      <c r="A138" s="122">
        <v>7</v>
      </c>
      <c r="B138" s="135">
        <v>11962</v>
      </c>
      <c r="C138" s="136">
        <v>41746</v>
      </c>
      <c r="D138" s="172" t="s">
        <v>719</v>
      </c>
      <c r="E138" s="135" t="s">
        <v>376</v>
      </c>
      <c r="F138" s="138" t="s">
        <v>580</v>
      </c>
      <c r="G138" s="139" t="s">
        <v>371</v>
      </c>
      <c r="H138" s="140" t="s">
        <v>629</v>
      </c>
      <c r="I138" s="141">
        <v>1</v>
      </c>
      <c r="J138" s="142">
        <v>25800</v>
      </c>
      <c r="K138" s="142">
        <v>25800</v>
      </c>
      <c r="L138" s="173" t="s">
        <v>600</v>
      </c>
      <c r="M138" s="168" t="s">
        <v>21</v>
      </c>
      <c r="N138" s="132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</row>
    <row r="139" spans="1:28" s="134" customFormat="1" ht="15" customHeight="1" outlineLevel="1" x14ac:dyDescent="0.2">
      <c r="A139" s="122">
        <v>8</v>
      </c>
      <c r="B139" s="135">
        <v>14526</v>
      </c>
      <c r="C139" s="136">
        <v>41758</v>
      </c>
      <c r="D139" s="172" t="s">
        <v>720</v>
      </c>
      <c r="E139" s="135" t="s">
        <v>381</v>
      </c>
      <c r="F139" s="138" t="s">
        <v>217</v>
      </c>
      <c r="G139" s="139" t="s">
        <v>369</v>
      </c>
      <c r="H139" s="140" t="s">
        <v>721</v>
      </c>
      <c r="I139" s="141">
        <v>1</v>
      </c>
      <c r="J139" s="142">
        <v>44597</v>
      </c>
      <c r="K139" s="142">
        <v>44597</v>
      </c>
      <c r="L139" s="173" t="s">
        <v>600</v>
      </c>
      <c r="M139" s="168" t="s">
        <v>21</v>
      </c>
      <c r="N139" s="132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</row>
    <row r="140" spans="1:28" s="134" customFormat="1" ht="15" customHeight="1" outlineLevel="1" x14ac:dyDescent="0.2">
      <c r="A140" s="122">
        <v>9</v>
      </c>
      <c r="B140" s="135">
        <v>8907</v>
      </c>
      <c r="C140" s="136">
        <v>41743</v>
      </c>
      <c r="D140" s="172" t="s">
        <v>722</v>
      </c>
      <c r="E140" s="135" t="s">
        <v>376</v>
      </c>
      <c r="F140" s="138" t="s">
        <v>682</v>
      </c>
      <c r="G140" s="139" t="s">
        <v>371</v>
      </c>
      <c r="H140" s="140" t="s">
        <v>489</v>
      </c>
      <c r="I140" s="141">
        <v>1</v>
      </c>
      <c r="J140" s="142">
        <v>55058</v>
      </c>
      <c r="K140" s="142">
        <v>55058</v>
      </c>
      <c r="L140" s="173" t="s">
        <v>600</v>
      </c>
      <c r="M140" s="168" t="s">
        <v>21</v>
      </c>
      <c r="N140" s="132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</row>
    <row r="141" spans="1:28" s="134" customFormat="1" ht="15" customHeight="1" outlineLevel="1" x14ac:dyDescent="0.2">
      <c r="A141" s="122">
        <v>10</v>
      </c>
      <c r="B141" s="135">
        <v>68889</v>
      </c>
      <c r="C141" s="136">
        <v>41583</v>
      </c>
      <c r="D141" s="137" t="s">
        <v>723</v>
      </c>
      <c r="E141" s="135" t="s">
        <v>724</v>
      </c>
      <c r="F141" s="138" t="s">
        <v>115</v>
      </c>
      <c r="G141" s="139" t="s">
        <v>725</v>
      </c>
      <c r="H141" s="140"/>
      <c r="I141" s="141">
        <v>3</v>
      </c>
      <c r="J141" s="142">
        <v>33370</v>
      </c>
      <c r="K141" s="142">
        <v>100110</v>
      </c>
      <c r="L141" s="173" t="s">
        <v>600</v>
      </c>
      <c r="M141" s="168" t="s">
        <v>21</v>
      </c>
      <c r="N141" s="132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</row>
    <row r="142" spans="1:28" s="134" customFormat="1" ht="15" customHeight="1" outlineLevel="1" x14ac:dyDescent="0.2">
      <c r="A142" s="122">
        <v>11</v>
      </c>
      <c r="B142" s="135">
        <v>12758</v>
      </c>
      <c r="C142" s="136">
        <v>41751</v>
      </c>
      <c r="D142" s="172" t="s">
        <v>726</v>
      </c>
      <c r="E142" s="135" t="s">
        <v>376</v>
      </c>
      <c r="F142" s="138" t="s">
        <v>217</v>
      </c>
      <c r="G142" s="139" t="s">
        <v>485</v>
      </c>
      <c r="H142" s="140" t="s">
        <v>489</v>
      </c>
      <c r="I142" s="141">
        <v>2</v>
      </c>
      <c r="J142" s="142">
        <v>44597</v>
      </c>
      <c r="K142" s="142">
        <v>89194</v>
      </c>
      <c r="L142" s="173" t="s">
        <v>600</v>
      </c>
      <c r="M142" s="168" t="s">
        <v>21</v>
      </c>
      <c r="N142" s="132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</row>
    <row r="143" spans="1:28" s="134" customFormat="1" ht="15" customHeight="1" outlineLevel="1" x14ac:dyDescent="0.2">
      <c r="A143" s="122">
        <v>15</v>
      </c>
      <c r="B143" s="135">
        <v>10281</v>
      </c>
      <c r="C143" s="136">
        <v>41740</v>
      </c>
      <c r="D143" s="172" t="s">
        <v>727</v>
      </c>
      <c r="E143" s="135" t="s">
        <v>376</v>
      </c>
      <c r="F143" s="138" t="s">
        <v>682</v>
      </c>
      <c r="G143" s="139" t="s">
        <v>371</v>
      </c>
      <c r="H143" s="140" t="s">
        <v>718</v>
      </c>
      <c r="I143" s="141">
        <v>1</v>
      </c>
      <c r="J143" s="142">
        <v>55058</v>
      </c>
      <c r="K143" s="142">
        <v>55058</v>
      </c>
      <c r="L143" s="173" t="s">
        <v>600</v>
      </c>
      <c r="M143" s="168" t="s">
        <v>21</v>
      </c>
      <c r="N143" s="132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</row>
    <row r="144" spans="1:28" s="134" customFormat="1" ht="15" customHeight="1" outlineLevel="1" x14ac:dyDescent="0.2">
      <c r="A144" s="122">
        <v>1</v>
      </c>
      <c r="B144" s="135">
        <v>22714</v>
      </c>
      <c r="C144" s="136">
        <v>41788</v>
      </c>
      <c r="D144" s="137" t="s">
        <v>728</v>
      </c>
      <c r="E144" s="135" t="s">
        <v>389</v>
      </c>
      <c r="F144" s="138" t="s">
        <v>537</v>
      </c>
      <c r="G144" s="139" t="s">
        <v>472</v>
      </c>
      <c r="H144" s="140" t="s">
        <v>729</v>
      </c>
      <c r="I144" s="141">
        <v>1</v>
      </c>
      <c r="J144" s="142">
        <v>30429</v>
      </c>
      <c r="K144" s="142">
        <v>30429</v>
      </c>
      <c r="L144" s="173" t="s">
        <v>606</v>
      </c>
      <c r="M144" s="168" t="s">
        <v>21</v>
      </c>
      <c r="N144" s="132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</row>
    <row r="145" spans="1:28" s="134" customFormat="1" ht="15" customHeight="1" outlineLevel="1" x14ac:dyDescent="0.2">
      <c r="A145" s="122">
        <v>2</v>
      </c>
      <c r="B145" s="135">
        <v>15328</v>
      </c>
      <c r="C145" s="136">
        <v>41761</v>
      </c>
      <c r="D145" s="137" t="s">
        <v>730</v>
      </c>
      <c r="E145" s="135" t="s">
        <v>381</v>
      </c>
      <c r="F145" s="138" t="s">
        <v>580</v>
      </c>
      <c r="G145" s="139" t="s">
        <v>371</v>
      </c>
      <c r="H145" s="140"/>
      <c r="I145" s="141">
        <v>1</v>
      </c>
      <c r="J145" s="142">
        <v>25800</v>
      </c>
      <c r="K145" s="142">
        <v>25800</v>
      </c>
      <c r="L145" s="173" t="s">
        <v>606</v>
      </c>
      <c r="M145" s="168" t="s">
        <v>21</v>
      </c>
      <c r="N145" s="132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</row>
    <row r="146" spans="1:28" s="134" customFormat="1" ht="15" customHeight="1" outlineLevel="1" x14ac:dyDescent="0.2">
      <c r="A146" s="122">
        <v>3</v>
      </c>
      <c r="B146" s="135">
        <v>16585</v>
      </c>
      <c r="C146" s="136">
        <v>41766</v>
      </c>
      <c r="D146" s="137" t="s">
        <v>393</v>
      </c>
      <c r="E146" s="135" t="s">
        <v>381</v>
      </c>
      <c r="F146" s="138" t="s">
        <v>217</v>
      </c>
      <c r="G146" s="139" t="s">
        <v>371</v>
      </c>
      <c r="H146" s="140" t="s">
        <v>489</v>
      </c>
      <c r="I146" s="141">
        <v>1</v>
      </c>
      <c r="J146" s="142">
        <v>44597</v>
      </c>
      <c r="K146" s="142">
        <v>44597</v>
      </c>
      <c r="L146" s="173" t="s">
        <v>606</v>
      </c>
      <c r="M146" s="168" t="s">
        <v>21</v>
      </c>
      <c r="N146" s="132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</row>
    <row r="147" spans="1:28" s="134" customFormat="1" ht="15" customHeight="1" outlineLevel="1" x14ac:dyDescent="0.2">
      <c r="A147" s="122">
        <v>4</v>
      </c>
      <c r="B147" s="135">
        <v>23073</v>
      </c>
      <c r="C147" s="136">
        <v>41789</v>
      </c>
      <c r="D147" s="137" t="s">
        <v>731</v>
      </c>
      <c r="E147" s="135" t="s">
        <v>376</v>
      </c>
      <c r="F147" s="138" t="s">
        <v>217</v>
      </c>
      <c r="G147" s="139" t="s">
        <v>371</v>
      </c>
      <c r="H147" s="140"/>
      <c r="I147" s="141">
        <v>1</v>
      </c>
      <c r="J147" s="142">
        <v>44597</v>
      </c>
      <c r="K147" s="142">
        <v>44597</v>
      </c>
      <c r="L147" s="173" t="s">
        <v>606</v>
      </c>
      <c r="M147" s="168" t="s">
        <v>21</v>
      </c>
      <c r="N147" s="132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</row>
    <row r="148" spans="1:28" s="134" customFormat="1" ht="15" customHeight="1" outlineLevel="1" x14ac:dyDescent="0.2">
      <c r="A148" s="122">
        <v>5</v>
      </c>
      <c r="B148" s="135">
        <v>15171</v>
      </c>
      <c r="C148" s="136">
        <v>41761</v>
      </c>
      <c r="D148" s="172" t="s">
        <v>732</v>
      </c>
      <c r="E148" s="135" t="s">
        <v>389</v>
      </c>
      <c r="F148" s="138" t="s">
        <v>116</v>
      </c>
      <c r="G148" s="139" t="s">
        <v>419</v>
      </c>
      <c r="H148" s="140" t="s">
        <v>718</v>
      </c>
      <c r="I148" s="141">
        <v>1</v>
      </c>
      <c r="J148" s="142">
        <v>5274</v>
      </c>
      <c r="K148" s="142">
        <v>5274</v>
      </c>
      <c r="L148" s="173" t="s">
        <v>606</v>
      </c>
      <c r="M148" s="168" t="s">
        <v>21</v>
      </c>
      <c r="N148" s="132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</row>
    <row r="149" spans="1:28" s="134" customFormat="1" ht="15" customHeight="1" outlineLevel="1" x14ac:dyDescent="0.2">
      <c r="A149" s="122">
        <v>6</v>
      </c>
      <c r="B149" s="135">
        <v>15171</v>
      </c>
      <c r="C149" s="136">
        <v>41761</v>
      </c>
      <c r="D149" s="172" t="s">
        <v>732</v>
      </c>
      <c r="E149" s="135" t="s">
        <v>389</v>
      </c>
      <c r="F149" s="138" t="s">
        <v>210</v>
      </c>
      <c r="G149" s="139" t="s">
        <v>419</v>
      </c>
      <c r="H149" s="140"/>
      <c r="I149" s="141">
        <v>1</v>
      </c>
      <c r="J149" s="142">
        <v>14099</v>
      </c>
      <c r="K149" s="142">
        <v>14099</v>
      </c>
      <c r="L149" s="173" t="s">
        <v>606</v>
      </c>
      <c r="M149" s="168" t="s">
        <v>21</v>
      </c>
      <c r="N149" s="132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</row>
    <row r="150" spans="1:28" s="134" customFormat="1" ht="15" customHeight="1" outlineLevel="1" x14ac:dyDescent="0.2">
      <c r="A150" s="122">
        <v>7</v>
      </c>
      <c r="B150" s="135">
        <v>21511</v>
      </c>
      <c r="C150" s="136">
        <v>41785</v>
      </c>
      <c r="D150" s="137" t="s">
        <v>733</v>
      </c>
      <c r="E150" s="135" t="s">
        <v>376</v>
      </c>
      <c r="F150" s="138" t="s">
        <v>217</v>
      </c>
      <c r="G150" s="139" t="s">
        <v>371</v>
      </c>
      <c r="H150" s="140" t="s">
        <v>573</v>
      </c>
      <c r="I150" s="141">
        <v>1</v>
      </c>
      <c r="J150" s="142">
        <v>44597</v>
      </c>
      <c r="K150" s="142">
        <v>44597</v>
      </c>
      <c r="L150" s="173" t="s">
        <v>606</v>
      </c>
      <c r="M150" s="168" t="s">
        <v>21</v>
      </c>
      <c r="N150" s="132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</row>
    <row r="151" spans="1:28" s="134" customFormat="1" ht="15" customHeight="1" outlineLevel="1" x14ac:dyDescent="0.2">
      <c r="A151" s="122">
        <v>8</v>
      </c>
      <c r="B151" s="135">
        <v>16226</v>
      </c>
      <c r="C151" s="136">
        <v>41766</v>
      </c>
      <c r="D151" s="137" t="s">
        <v>635</v>
      </c>
      <c r="E151" s="135" t="s">
        <v>478</v>
      </c>
      <c r="F151" s="138" t="s">
        <v>217</v>
      </c>
      <c r="G151" s="139" t="s">
        <v>369</v>
      </c>
      <c r="H151" s="140" t="s">
        <v>489</v>
      </c>
      <c r="I151" s="141">
        <v>1</v>
      </c>
      <c r="J151" s="142">
        <v>44597</v>
      </c>
      <c r="K151" s="142">
        <v>44597</v>
      </c>
      <c r="L151" s="173" t="s">
        <v>606</v>
      </c>
      <c r="M151" s="168" t="s">
        <v>21</v>
      </c>
      <c r="N151" s="132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</row>
    <row r="152" spans="1:28" s="134" customFormat="1" ht="15" customHeight="1" outlineLevel="1" x14ac:dyDescent="0.2">
      <c r="A152" s="122">
        <v>9</v>
      </c>
      <c r="B152" s="135">
        <v>22495</v>
      </c>
      <c r="C152" s="136">
        <v>41788</v>
      </c>
      <c r="D152" s="137" t="s">
        <v>734</v>
      </c>
      <c r="E152" s="135" t="s">
        <v>389</v>
      </c>
      <c r="F152" s="138" t="s">
        <v>537</v>
      </c>
      <c r="G152" s="139" t="s">
        <v>472</v>
      </c>
      <c r="H152" s="140" t="s">
        <v>735</v>
      </c>
      <c r="I152" s="141">
        <v>1</v>
      </c>
      <c r="J152" s="142">
        <v>30429</v>
      </c>
      <c r="K152" s="142">
        <v>30429</v>
      </c>
      <c r="L152" s="173" t="s">
        <v>606</v>
      </c>
      <c r="M152" s="168" t="s">
        <v>21</v>
      </c>
      <c r="N152" s="132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</row>
    <row r="153" spans="1:28" s="134" customFormat="1" ht="15" customHeight="1" outlineLevel="1" x14ac:dyDescent="0.2">
      <c r="A153" s="122">
        <v>10</v>
      </c>
      <c r="B153" s="135">
        <v>22549</v>
      </c>
      <c r="C153" s="136">
        <v>41788</v>
      </c>
      <c r="D153" s="137" t="s">
        <v>736</v>
      </c>
      <c r="E153" s="135" t="s">
        <v>389</v>
      </c>
      <c r="F153" s="138" t="s">
        <v>537</v>
      </c>
      <c r="G153" s="139" t="s">
        <v>431</v>
      </c>
      <c r="H153" s="140" t="s">
        <v>737</v>
      </c>
      <c r="I153" s="141">
        <v>1</v>
      </c>
      <c r="J153" s="142">
        <v>30429</v>
      </c>
      <c r="K153" s="142">
        <v>30429</v>
      </c>
      <c r="L153" s="173" t="s">
        <v>606</v>
      </c>
      <c r="M153" s="168" t="s">
        <v>21</v>
      </c>
      <c r="N153" s="132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</row>
    <row r="154" spans="1:28" s="134" customFormat="1" ht="15" customHeight="1" outlineLevel="1" x14ac:dyDescent="0.2">
      <c r="A154" s="122">
        <v>11</v>
      </c>
      <c r="B154" s="135">
        <v>19288</v>
      </c>
      <c r="C154" s="136">
        <v>41775</v>
      </c>
      <c r="D154" s="137" t="s">
        <v>738</v>
      </c>
      <c r="E154" s="135" t="s">
        <v>381</v>
      </c>
      <c r="F154" s="138" t="s">
        <v>682</v>
      </c>
      <c r="G154" s="139" t="s">
        <v>371</v>
      </c>
      <c r="H154" s="140" t="s">
        <v>489</v>
      </c>
      <c r="I154" s="141">
        <v>1</v>
      </c>
      <c r="J154" s="142">
        <v>55058</v>
      </c>
      <c r="K154" s="142">
        <v>55058</v>
      </c>
      <c r="L154" s="173" t="s">
        <v>606</v>
      </c>
      <c r="M154" s="168" t="s">
        <v>21</v>
      </c>
      <c r="N154" s="132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</row>
    <row r="155" spans="1:28" s="134" customFormat="1" ht="15" customHeight="1" outlineLevel="1" x14ac:dyDescent="0.2">
      <c r="A155" s="122">
        <v>12</v>
      </c>
      <c r="B155" s="135">
        <v>21035</v>
      </c>
      <c r="C155" s="136">
        <v>41782</v>
      </c>
      <c r="D155" s="137" t="s">
        <v>739</v>
      </c>
      <c r="E155" s="135" t="s">
        <v>381</v>
      </c>
      <c r="F155" s="138" t="s">
        <v>537</v>
      </c>
      <c r="G155" s="139" t="s">
        <v>472</v>
      </c>
      <c r="H155" s="140" t="s">
        <v>642</v>
      </c>
      <c r="I155" s="141">
        <v>1</v>
      </c>
      <c r="J155" s="142">
        <v>30429</v>
      </c>
      <c r="K155" s="142">
        <v>30429</v>
      </c>
      <c r="L155" s="173" t="s">
        <v>606</v>
      </c>
      <c r="M155" s="168" t="s">
        <v>21</v>
      </c>
      <c r="N155" s="132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</row>
    <row r="156" spans="1:28" s="134" customFormat="1" ht="15" customHeight="1" outlineLevel="1" x14ac:dyDescent="0.2">
      <c r="A156" s="122">
        <v>13</v>
      </c>
      <c r="B156" s="135">
        <v>16713</v>
      </c>
      <c r="C156" s="136">
        <v>41767</v>
      </c>
      <c r="D156" s="137" t="s">
        <v>740</v>
      </c>
      <c r="E156" s="135" t="s">
        <v>376</v>
      </c>
      <c r="F156" s="138" t="s">
        <v>682</v>
      </c>
      <c r="G156" s="139" t="s">
        <v>371</v>
      </c>
      <c r="H156" s="140" t="s">
        <v>573</v>
      </c>
      <c r="I156" s="141">
        <v>1</v>
      </c>
      <c r="J156" s="142">
        <v>55058</v>
      </c>
      <c r="K156" s="142">
        <v>55058</v>
      </c>
      <c r="L156" s="173" t="s">
        <v>606</v>
      </c>
      <c r="M156" s="168" t="s">
        <v>21</v>
      </c>
      <c r="N156" s="132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</row>
    <row r="157" spans="1:28" s="134" customFormat="1" ht="15" customHeight="1" outlineLevel="1" x14ac:dyDescent="0.2">
      <c r="A157" s="122">
        <v>14</v>
      </c>
      <c r="B157" s="135">
        <v>14125</v>
      </c>
      <c r="C157" s="136">
        <v>41755</v>
      </c>
      <c r="D157" s="172" t="s">
        <v>741</v>
      </c>
      <c r="E157" s="135" t="s">
        <v>376</v>
      </c>
      <c r="F157" s="138" t="s">
        <v>217</v>
      </c>
      <c r="G157" s="139" t="s">
        <v>371</v>
      </c>
      <c r="H157" s="140" t="s">
        <v>573</v>
      </c>
      <c r="I157" s="141">
        <v>1</v>
      </c>
      <c r="J157" s="142">
        <v>44597</v>
      </c>
      <c r="K157" s="142">
        <v>44597</v>
      </c>
      <c r="L157" s="173" t="s">
        <v>606</v>
      </c>
      <c r="M157" s="168" t="s">
        <v>21</v>
      </c>
      <c r="N157" s="132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</row>
    <row r="158" spans="1:28" s="134" customFormat="1" ht="15" customHeight="1" outlineLevel="1" x14ac:dyDescent="0.2">
      <c r="A158" s="122">
        <v>15</v>
      </c>
      <c r="B158" s="174">
        <v>96589</v>
      </c>
      <c r="C158" s="175">
        <v>41613</v>
      </c>
      <c r="D158" s="172" t="s">
        <v>742</v>
      </c>
      <c r="E158" s="174" t="s">
        <v>545</v>
      </c>
      <c r="F158" s="176" t="s">
        <v>217</v>
      </c>
      <c r="G158" s="177" t="s">
        <v>485</v>
      </c>
      <c r="H158" s="178" t="s">
        <v>743</v>
      </c>
      <c r="I158" s="179">
        <v>2</v>
      </c>
      <c r="J158" s="142">
        <v>44597</v>
      </c>
      <c r="K158" s="180" t="s">
        <v>744</v>
      </c>
      <c r="L158" s="173" t="s">
        <v>606</v>
      </c>
      <c r="M158" s="168" t="s">
        <v>21</v>
      </c>
      <c r="N158" s="132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</row>
    <row r="159" spans="1:28" s="134" customFormat="1" ht="15" customHeight="1" outlineLevel="1" x14ac:dyDescent="0.2">
      <c r="A159" s="122">
        <v>16</v>
      </c>
      <c r="B159" s="135">
        <v>14944</v>
      </c>
      <c r="C159" s="136">
        <v>41758</v>
      </c>
      <c r="D159" s="172" t="s">
        <v>745</v>
      </c>
      <c r="E159" s="135" t="s">
        <v>746</v>
      </c>
      <c r="F159" s="138" t="s">
        <v>217</v>
      </c>
      <c r="G159" s="139" t="s">
        <v>371</v>
      </c>
      <c r="H159" s="140"/>
      <c r="I159" s="141">
        <v>1</v>
      </c>
      <c r="J159" s="142">
        <v>44597</v>
      </c>
      <c r="K159" s="142">
        <v>44597</v>
      </c>
      <c r="L159" s="173" t="s">
        <v>606</v>
      </c>
      <c r="M159" s="168" t="s">
        <v>21</v>
      </c>
      <c r="N159" s="132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</row>
    <row r="160" spans="1:28" s="134" customFormat="1" ht="15" customHeight="1" outlineLevel="1" x14ac:dyDescent="0.2">
      <c r="A160" s="122">
        <v>17</v>
      </c>
      <c r="B160" s="135">
        <v>21030</v>
      </c>
      <c r="C160" s="136">
        <v>41782</v>
      </c>
      <c r="D160" s="137" t="s">
        <v>747</v>
      </c>
      <c r="E160" s="135" t="s">
        <v>376</v>
      </c>
      <c r="F160" s="138" t="s">
        <v>537</v>
      </c>
      <c r="G160" s="139" t="s">
        <v>415</v>
      </c>
      <c r="H160" s="140" t="s">
        <v>554</v>
      </c>
      <c r="I160" s="141">
        <v>1</v>
      </c>
      <c r="J160" s="142">
        <v>30429</v>
      </c>
      <c r="K160" s="142">
        <v>30429</v>
      </c>
      <c r="L160" s="173" t="s">
        <v>606</v>
      </c>
      <c r="M160" s="168" t="s">
        <v>21</v>
      </c>
      <c r="N160" s="132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</row>
    <row r="161" spans="1:28" s="134" customFormat="1" ht="15" customHeight="1" outlineLevel="1" x14ac:dyDescent="0.2">
      <c r="A161" s="122">
        <v>18</v>
      </c>
      <c r="B161" s="135">
        <v>19326</v>
      </c>
      <c r="C161" s="136">
        <v>41775</v>
      </c>
      <c r="D161" s="137" t="s">
        <v>748</v>
      </c>
      <c r="E161" s="135" t="s">
        <v>389</v>
      </c>
      <c r="F161" s="138" t="s">
        <v>537</v>
      </c>
      <c r="G161" s="139" t="s">
        <v>527</v>
      </c>
      <c r="H161" s="140" t="s">
        <v>554</v>
      </c>
      <c r="I161" s="141">
        <v>1</v>
      </c>
      <c r="J161" s="142">
        <v>30429</v>
      </c>
      <c r="K161" s="142">
        <v>30429</v>
      </c>
      <c r="L161" s="173" t="s">
        <v>606</v>
      </c>
      <c r="M161" s="168" t="s">
        <v>21</v>
      </c>
      <c r="N161" s="132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</row>
    <row r="162" spans="1:28" s="134" customFormat="1" ht="15" customHeight="1" outlineLevel="1" x14ac:dyDescent="0.2">
      <c r="A162" s="122">
        <v>1</v>
      </c>
      <c r="B162" s="135">
        <v>31404</v>
      </c>
      <c r="C162" s="136">
        <v>41820</v>
      </c>
      <c r="D162" s="137" t="s">
        <v>749</v>
      </c>
      <c r="E162" s="135" t="s">
        <v>376</v>
      </c>
      <c r="F162" s="138" t="s">
        <v>217</v>
      </c>
      <c r="G162" s="139" t="s">
        <v>371</v>
      </c>
      <c r="H162" s="140"/>
      <c r="I162" s="141">
        <v>1</v>
      </c>
      <c r="J162" s="142">
        <v>44597</v>
      </c>
      <c r="K162" s="142">
        <v>44597</v>
      </c>
      <c r="L162" s="181" t="s">
        <v>608</v>
      </c>
      <c r="M162" s="168" t="s">
        <v>21</v>
      </c>
      <c r="N162" s="132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</row>
    <row r="163" spans="1:28" s="134" customFormat="1" ht="15" customHeight="1" outlineLevel="1" x14ac:dyDescent="0.2">
      <c r="A163" s="122">
        <v>2</v>
      </c>
      <c r="B163" s="135">
        <v>23896</v>
      </c>
      <c r="C163" s="136">
        <v>41794</v>
      </c>
      <c r="D163" s="137" t="s">
        <v>750</v>
      </c>
      <c r="E163" s="135" t="s">
        <v>376</v>
      </c>
      <c r="F163" s="138" t="s">
        <v>219</v>
      </c>
      <c r="G163" s="139" t="s">
        <v>371</v>
      </c>
      <c r="H163" s="140"/>
      <c r="I163" s="141">
        <v>1</v>
      </c>
      <c r="J163" s="142">
        <v>22299</v>
      </c>
      <c r="K163" s="142">
        <v>22299</v>
      </c>
      <c r="L163" s="181" t="s">
        <v>608</v>
      </c>
      <c r="M163" s="168" t="s">
        <v>21</v>
      </c>
      <c r="N163" s="132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</row>
    <row r="164" spans="1:28" s="134" customFormat="1" ht="15" customHeight="1" outlineLevel="1" x14ac:dyDescent="0.2">
      <c r="A164" s="122">
        <v>3</v>
      </c>
      <c r="B164" s="135">
        <v>26663</v>
      </c>
      <c r="C164" s="136">
        <v>41802</v>
      </c>
      <c r="D164" s="137" t="s">
        <v>751</v>
      </c>
      <c r="E164" s="135" t="s">
        <v>376</v>
      </c>
      <c r="F164" s="138" t="s">
        <v>116</v>
      </c>
      <c r="G164" s="139" t="s">
        <v>562</v>
      </c>
      <c r="H164" s="140"/>
      <c r="I164" s="141">
        <v>1</v>
      </c>
      <c r="J164" s="142">
        <v>5274</v>
      </c>
      <c r="K164" s="142">
        <v>5274</v>
      </c>
      <c r="L164" s="181" t="s">
        <v>608</v>
      </c>
      <c r="M164" s="168" t="s">
        <v>21</v>
      </c>
      <c r="N164" s="132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</row>
    <row r="165" spans="1:28" s="134" customFormat="1" ht="15" customHeight="1" outlineLevel="1" x14ac:dyDescent="0.2">
      <c r="A165" s="122">
        <v>4</v>
      </c>
      <c r="B165" s="135">
        <v>28220</v>
      </c>
      <c r="C165" s="136">
        <v>41808</v>
      </c>
      <c r="D165" s="137" t="s">
        <v>752</v>
      </c>
      <c r="E165" s="135" t="s">
        <v>376</v>
      </c>
      <c r="F165" s="138" t="s">
        <v>217</v>
      </c>
      <c r="G165" s="139" t="s">
        <v>369</v>
      </c>
      <c r="H165" s="140"/>
      <c r="I165" s="141">
        <v>1</v>
      </c>
      <c r="J165" s="142">
        <v>44597</v>
      </c>
      <c r="K165" s="142">
        <v>44597</v>
      </c>
      <c r="L165" s="181" t="s">
        <v>608</v>
      </c>
      <c r="M165" s="168" t="s">
        <v>21</v>
      </c>
      <c r="N165" s="132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</row>
    <row r="166" spans="1:28" s="134" customFormat="1" ht="15" customHeight="1" outlineLevel="1" x14ac:dyDescent="0.2">
      <c r="A166" s="122">
        <v>5</v>
      </c>
      <c r="B166" s="135">
        <v>28028</v>
      </c>
      <c r="C166" s="136">
        <v>41807</v>
      </c>
      <c r="D166" s="137" t="s">
        <v>753</v>
      </c>
      <c r="E166" s="135" t="s">
        <v>376</v>
      </c>
      <c r="F166" s="138" t="s">
        <v>217</v>
      </c>
      <c r="G166" s="139" t="s">
        <v>371</v>
      </c>
      <c r="H166" s="140"/>
      <c r="I166" s="141">
        <v>1</v>
      </c>
      <c r="J166" s="142">
        <v>44597</v>
      </c>
      <c r="K166" s="142">
        <v>44597</v>
      </c>
      <c r="L166" s="181" t="s">
        <v>608</v>
      </c>
      <c r="M166" s="168" t="s">
        <v>21</v>
      </c>
      <c r="N166" s="132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</row>
    <row r="167" spans="1:28" s="134" customFormat="1" ht="15" customHeight="1" outlineLevel="1" x14ac:dyDescent="0.2">
      <c r="A167" s="122">
        <v>6</v>
      </c>
      <c r="B167" s="135">
        <v>25110</v>
      </c>
      <c r="C167" s="136">
        <v>41801</v>
      </c>
      <c r="D167" s="137" t="s">
        <v>652</v>
      </c>
      <c r="E167" s="135" t="s">
        <v>376</v>
      </c>
      <c r="F167" s="138" t="s">
        <v>217</v>
      </c>
      <c r="G167" s="139" t="s">
        <v>371</v>
      </c>
      <c r="H167" s="140"/>
      <c r="I167" s="141">
        <v>1</v>
      </c>
      <c r="J167" s="142">
        <v>44597</v>
      </c>
      <c r="K167" s="142">
        <v>44597</v>
      </c>
      <c r="L167" s="181" t="s">
        <v>608</v>
      </c>
      <c r="M167" s="168" t="s">
        <v>21</v>
      </c>
      <c r="N167" s="132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</row>
    <row r="168" spans="1:28" s="134" customFormat="1" ht="15" customHeight="1" outlineLevel="1" x14ac:dyDescent="0.2">
      <c r="A168" s="122">
        <v>7</v>
      </c>
      <c r="B168" s="135">
        <v>25881</v>
      </c>
      <c r="C168" s="136">
        <v>41808</v>
      </c>
      <c r="D168" s="137" t="s">
        <v>754</v>
      </c>
      <c r="E168" s="135" t="s">
        <v>381</v>
      </c>
      <c r="F168" s="138" t="s">
        <v>217</v>
      </c>
      <c r="G168" s="139" t="s">
        <v>369</v>
      </c>
      <c r="H168" s="140"/>
      <c r="I168" s="141">
        <v>1</v>
      </c>
      <c r="J168" s="142">
        <v>44597</v>
      </c>
      <c r="K168" s="142">
        <v>44597</v>
      </c>
      <c r="L168" s="181" t="s">
        <v>608</v>
      </c>
      <c r="M168" s="168" t="s">
        <v>21</v>
      </c>
      <c r="N168" s="132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</row>
    <row r="169" spans="1:28" s="134" customFormat="1" ht="15" customHeight="1" outlineLevel="1" x14ac:dyDescent="0.2">
      <c r="A169" s="122">
        <v>8</v>
      </c>
      <c r="B169" s="135">
        <v>25466</v>
      </c>
      <c r="C169" s="136">
        <v>41799</v>
      </c>
      <c r="D169" s="137" t="s">
        <v>755</v>
      </c>
      <c r="E169" s="135" t="s">
        <v>376</v>
      </c>
      <c r="F169" s="138" t="s">
        <v>580</v>
      </c>
      <c r="G169" s="139" t="s">
        <v>371</v>
      </c>
      <c r="H169" s="140"/>
      <c r="I169" s="141">
        <v>1</v>
      </c>
      <c r="J169" s="142">
        <v>25800</v>
      </c>
      <c r="K169" s="142">
        <v>25800</v>
      </c>
      <c r="L169" s="181" t="s">
        <v>608</v>
      </c>
      <c r="M169" s="168" t="s">
        <v>21</v>
      </c>
      <c r="N169" s="132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</row>
    <row r="170" spans="1:28" s="134" customFormat="1" ht="15" customHeight="1" outlineLevel="1" x14ac:dyDescent="0.2">
      <c r="A170" s="122">
        <v>9</v>
      </c>
      <c r="B170" s="135">
        <v>30869</v>
      </c>
      <c r="C170" s="136">
        <v>41810</v>
      </c>
      <c r="D170" s="137" t="s">
        <v>756</v>
      </c>
      <c r="E170" s="135" t="s">
        <v>381</v>
      </c>
      <c r="F170" s="138" t="s">
        <v>580</v>
      </c>
      <c r="G170" s="139" t="s">
        <v>371</v>
      </c>
      <c r="H170" s="140"/>
      <c r="I170" s="141">
        <v>1</v>
      </c>
      <c r="J170" s="142">
        <v>25800</v>
      </c>
      <c r="K170" s="142">
        <v>25800</v>
      </c>
      <c r="L170" s="181" t="s">
        <v>608</v>
      </c>
      <c r="M170" s="168" t="s">
        <v>21</v>
      </c>
      <c r="N170" s="132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</row>
    <row r="171" spans="1:28" s="134" customFormat="1" ht="15" customHeight="1" outlineLevel="1" x14ac:dyDescent="0.2">
      <c r="A171" s="122">
        <v>10</v>
      </c>
      <c r="B171" s="135">
        <v>27529</v>
      </c>
      <c r="C171" s="136">
        <v>41807</v>
      </c>
      <c r="D171" s="137" t="s">
        <v>757</v>
      </c>
      <c r="E171" s="135" t="s">
        <v>381</v>
      </c>
      <c r="F171" s="138" t="s">
        <v>217</v>
      </c>
      <c r="G171" s="139" t="s">
        <v>369</v>
      </c>
      <c r="H171" s="140"/>
      <c r="I171" s="141">
        <v>1</v>
      </c>
      <c r="J171" s="142">
        <v>44597</v>
      </c>
      <c r="K171" s="142">
        <v>44597</v>
      </c>
      <c r="L171" s="181" t="s">
        <v>608</v>
      </c>
      <c r="M171" s="168" t="s">
        <v>21</v>
      </c>
      <c r="N171" s="132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</row>
    <row r="172" spans="1:28" s="134" customFormat="1" ht="15" customHeight="1" outlineLevel="1" x14ac:dyDescent="0.2">
      <c r="A172" s="122">
        <v>11</v>
      </c>
      <c r="B172" s="135">
        <v>31161</v>
      </c>
      <c r="C172" s="136">
        <v>41820</v>
      </c>
      <c r="D172" s="137" t="s">
        <v>758</v>
      </c>
      <c r="E172" s="135" t="s">
        <v>376</v>
      </c>
      <c r="F172" s="138" t="s">
        <v>217</v>
      </c>
      <c r="G172" s="139" t="s">
        <v>371</v>
      </c>
      <c r="H172" s="140"/>
      <c r="I172" s="141">
        <v>1</v>
      </c>
      <c r="J172" s="142">
        <v>44597</v>
      </c>
      <c r="K172" s="142">
        <v>44597</v>
      </c>
      <c r="L172" s="181" t="s">
        <v>608</v>
      </c>
      <c r="M172" s="168" t="s">
        <v>21</v>
      </c>
      <c r="N172" s="132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</row>
    <row r="173" spans="1:28" s="134" customFormat="1" ht="15" customHeight="1" outlineLevel="1" x14ac:dyDescent="0.2">
      <c r="A173" s="122">
        <v>1</v>
      </c>
      <c r="B173" s="135">
        <v>35164</v>
      </c>
      <c r="C173" s="136">
        <v>41831</v>
      </c>
      <c r="D173" s="137" t="s">
        <v>759</v>
      </c>
      <c r="E173" s="135" t="s">
        <v>389</v>
      </c>
      <c r="F173" s="138" t="s">
        <v>217</v>
      </c>
      <c r="G173" s="139" t="s">
        <v>387</v>
      </c>
      <c r="H173" s="140"/>
      <c r="I173" s="141">
        <v>2</v>
      </c>
      <c r="J173" s="142">
        <v>44597</v>
      </c>
      <c r="K173" s="142">
        <v>89194</v>
      </c>
      <c r="L173" s="182" t="s">
        <v>760</v>
      </c>
      <c r="M173" s="167" t="s">
        <v>21</v>
      </c>
      <c r="N173" s="132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</row>
    <row r="174" spans="1:28" s="134" customFormat="1" ht="15" customHeight="1" outlineLevel="1" x14ac:dyDescent="0.2">
      <c r="A174" s="122">
        <v>2</v>
      </c>
      <c r="B174" s="135">
        <v>38000</v>
      </c>
      <c r="C174" s="136">
        <v>41845</v>
      </c>
      <c r="D174" s="137" t="s">
        <v>761</v>
      </c>
      <c r="E174" s="135" t="s">
        <v>381</v>
      </c>
      <c r="F174" s="138" t="s">
        <v>217</v>
      </c>
      <c r="G174" s="139" t="s">
        <v>371</v>
      </c>
      <c r="H174" s="140"/>
      <c r="I174" s="141">
        <v>1</v>
      </c>
      <c r="J174" s="142">
        <v>44597</v>
      </c>
      <c r="K174" s="142">
        <v>44597</v>
      </c>
      <c r="L174" s="182" t="s">
        <v>760</v>
      </c>
      <c r="M174" s="167" t="s">
        <v>21</v>
      </c>
      <c r="N174" s="132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</row>
    <row r="175" spans="1:28" s="134" customFormat="1" ht="15" customHeight="1" outlineLevel="1" x14ac:dyDescent="0.2">
      <c r="A175" s="122">
        <v>3</v>
      </c>
      <c r="B175" s="135">
        <v>32800</v>
      </c>
      <c r="C175" s="136">
        <v>41824</v>
      </c>
      <c r="D175" s="137" t="s">
        <v>762</v>
      </c>
      <c r="E175" s="135" t="s">
        <v>381</v>
      </c>
      <c r="F175" s="138" t="s">
        <v>537</v>
      </c>
      <c r="G175" s="139" t="s">
        <v>562</v>
      </c>
      <c r="H175" s="140"/>
      <c r="I175" s="141">
        <v>1</v>
      </c>
      <c r="J175" s="142">
        <v>30429</v>
      </c>
      <c r="K175" s="142">
        <v>30429</v>
      </c>
      <c r="L175" s="182" t="s">
        <v>760</v>
      </c>
      <c r="M175" s="167" t="s">
        <v>21</v>
      </c>
      <c r="N175" s="132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</row>
    <row r="176" spans="1:28" s="134" customFormat="1" ht="15" customHeight="1" outlineLevel="1" x14ac:dyDescent="0.2">
      <c r="A176" s="122">
        <v>4</v>
      </c>
      <c r="B176" s="135">
        <v>34210</v>
      </c>
      <c r="C176" s="136">
        <v>41829</v>
      </c>
      <c r="D176" s="137" t="s">
        <v>763</v>
      </c>
      <c r="E176" s="135" t="s">
        <v>376</v>
      </c>
      <c r="F176" s="138" t="s">
        <v>580</v>
      </c>
      <c r="G176" s="139" t="s">
        <v>371</v>
      </c>
      <c r="H176" s="140"/>
      <c r="I176" s="141">
        <v>1</v>
      </c>
      <c r="J176" s="142">
        <v>25800</v>
      </c>
      <c r="K176" s="142">
        <v>25800</v>
      </c>
      <c r="L176" s="182" t="s">
        <v>760</v>
      </c>
      <c r="M176" s="167" t="s">
        <v>21</v>
      </c>
      <c r="N176" s="132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</row>
    <row r="177" spans="1:28" s="134" customFormat="1" ht="15" customHeight="1" outlineLevel="1" x14ac:dyDescent="0.2">
      <c r="A177" s="122">
        <v>5</v>
      </c>
      <c r="B177" s="135">
        <v>39394</v>
      </c>
      <c r="C177" s="136">
        <v>41851</v>
      </c>
      <c r="D177" s="137" t="s">
        <v>764</v>
      </c>
      <c r="E177" s="135" t="s">
        <v>478</v>
      </c>
      <c r="F177" s="138" t="s">
        <v>219</v>
      </c>
      <c r="G177" s="139" t="s">
        <v>369</v>
      </c>
      <c r="H177" s="140"/>
      <c r="I177" s="141">
        <v>1</v>
      </c>
      <c r="J177" s="142">
        <v>22299</v>
      </c>
      <c r="K177" s="142">
        <v>22299</v>
      </c>
      <c r="L177" s="182" t="s">
        <v>760</v>
      </c>
      <c r="M177" s="167" t="s">
        <v>21</v>
      </c>
      <c r="N177" s="132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</row>
    <row r="178" spans="1:28" s="134" customFormat="1" ht="15" customHeight="1" outlineLevel="1" x14ac:dyDescent="0.2">
      <c r="A178" s="122">
        <v>6</v>
      </c>
      <c r="B178" s="135">
        <v>37592</v>
      </c>
      <c r="C178" s="136">
        <v>41844</v>
      </c>
      <c r="D178" s="137" t="s">
        <v>765</v>
      </c>
      <c r="E178" s="135" t="s">
        <v>389</v>
      </c>
      <c r="F178" s="138" t="s">
        <v>217</v>
      </c>
      <c r="G178" s="139" t="s">
        <v>371</v>
      </c>
      <c r="H178" s="140"/>
      <c r="I178" s="141">
        <v>1</v>
      </c>
      <c r="J178" s="142">
        <v>44597</v>
      </c>
      <c r="K178" s="142">
        <v>44597</v>
      </c>
      <c r="L178" s="182" t="s">
        <v>760</v>
      </c>
      <c r="M178" s="167" t="s">
        <v>21</v>
      </c>
      <c r="N178" s="132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</row>
    <row r="179" spans="1:28" s="134" customFormat="1" ht="15" customHeight="1" outlineLevel="1" x14ac:dyDescent="0.2">
      <c r="A179" s="122">
        <v>7</v>
      </c>
      <c r="B179" s="135">
        <v>39614</v>
      </c>
      <c r="C179" s="136">
        <v>41851</v>
      </c>
      <c r="D179" s="137" t="s">
        <v>766</v>
      </c>
      <c r="E179" s="135" t="s">
        <v>381</v>
      </c>
      <c r="F179" s="138" t="s">
        <v>537</v>
      </c>
      <c r="G179" s="139" t="s">
        <v>472</v>
      </c>
      <c r="H179" s="140"/>
      <c r="I179" s="141">
        <v>1</v>
      </c>
      <c r="J179" s="142">
        <v>30429</v>
      </c>
      <c r="K179" s="142">
        <v>30429</v>
      </c>
      <c r="L179" s="182" t="s">
        <v>760</v>
      </c>
      <c r="M179" s="167" t="s">
        <v>21</v>
      </c>
      <c r="N179" s="132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</row>
    <row r="180" spans="1:28" s="134" customFormat="1" ht="15" customHeight="1" outlineLevel="1" x14ac:dyDescent="0.2">
      <c r="A180" s="122">
        <v>8</v>
      </c>
      <c r="B180" s="135">
        <v>33185</v>
      </c>
      <c r="C180" s="136">
        <v>41827</v>
      </c>
      <c r="D180" s="137" t="s">
        <v>767</v>
      </c>
      <c r="E180" s="135" t="s">
        <v>376</v>
      </c>
      <c r="F180" s="138" t="s">
        <v>217</v>
      </c>
      <c r="G180" s="139" t="s">
        <v>387</v>
      </c>
      <c r="H180" s="140"/>
      <c r="I180" s="141">
        <v>2</v>
      </c>
      <c r="J180" s="142">
        <v>44597</v>
      </c>
      <c r="K180" s="142">
        <v>89194</v>
      </c>
      <c r="L180" s="182" t="s">
        <v>760</v>
      </c>
      <c r="M180" s="167" t="s">
        <v>21</v>
      </c>
      <c r="N180" s="132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</row>
    <row r="181" spans="1:28" s="134" customFormat="1" ht="15" customHeight="1" outlineLevel="1" x14ac:dyDescent="0.2">
      <c r="A181" s="122">
        <v>9</v>
      </c>
      <c r="B181" s="135">
        <v>32392</v>
      </c>
      <c r="C181" s="136">
        <v>41823</v>
      </c>
      <c r="D181" s="137" t="s">
        <v>768</v>
      </c>
      <c r="E181" s="135" t="s">
        <v>389</v>
      </c>
      <c r="F181" s="138" t="s">
        <v>237</v>
      </c>
      <c r="G181" s="139" t="s">
        <v>369</v>
      </c>
      <c r="H181" s="140"/>
      <c r="I181" s="141">
        <v>1</v>
      </c>
      <c r="J181" s="142">
        <v>10401</v>
      </c>
      <c r="K181" s="142">
        <v>10401</v>
      </c>
      <c r="L181" s="182" t="s">
        <v>760</v>
      </c>
      <c r="M181" s="167" t="s">
        <v>21</v>
      </c>
      <c r="N181" s="132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</row>
    <row r="182" spans="1:28" s="134" customFormat="1" ht="15" customHeight="1" outlineLevel="1" x14ac:dyDescent="0.2">
      <c r="A182" s="122">
        <v>10</v>
      </c>
      <c r="B182" s="135">
        <v>39211</v>
      </c>
      <c r="C182" s="136">
        <v>41851</v>
      </c>
      <c r="D182" s="137" t="s">
        <v>769</v>
      </c>
      <c r="E182" s="135" t="s">
        <v>376</v>
      </c>
      <c r="F182" s="138" t="s">
        <v>682</v>
      </c>
      <c r="G182" s="139" t="s">
        <v>371</v>
      </c>
      <c r="H182" s="140"/>
      <c r="I182" s="141">
        <v>1</v>
      </c>
      <c r="J182" s="142">
        <v>55058</v>
      </c>
      <c r="K182" s="142">
        <v>55058</v>
      </c>
      <c r="L182" s="182" t="s">
        <v>760</v>
      </c>
      <c r="M182" s="167" t="s">
        <v>21</v>
      </c>
      <c r="N182" s="132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</row>
    <row r="183" spans="1:28" s="134" customFormat="1" ht="15" customHeight="1" outlineLevel="1" x14ac:dyDescent="0.2">
      <c r="A183" s="122">
        <v>11</v>
      </c>
      <c r="B183" s="135">
        <v>35241</v>
      </c>
      <c r="C183" s="136">
        <v>41834</v>
      </c>
      <c r="D183" s="137" t="s">
        <v>752</v>
      </c>
      <c r="E183" s="135" t="s">
        <v>376</v>
      </c>
      <c r="F183" s="138" t="s">
        <v>217</v>
      </c>
      <c r="G183" s="139" t="s">
        <v>371</v>
      </c>
      <c r="H183" s="140"/>
      <c r="I183" s="141">
        <v>1</v>
      </c>
      <c r="J183" s="142">
        <v>44597</v>
      </c>
      <c r="K183" s="142">
        <v>44597</v>
      </c>
      <c r="L183" s="182" t="s">
        <v>760</v>
      </c>
      <c r="M183" s="167" t="s">
        <v>21</v>
      </c>
      <c r="N183" s="132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</row>
    <row r="184" spans="1:28" s="134" customFormat="1" ht="15" customHeight="1" outlineLevel="1" x14ac:dyDescent="0.2">
      <c r="A184" s="122">
        <v>12</v>
      </c>
      <c r="B184" s="135">
        <v>31839</v>
      </c>
      <c r="C184" s="136">
        <v>41822</v>
      </c>
      <c r="D184" s="137" t="s">
        <v>770</v>
      </c>
      <c r="E184" s="135" t="s">
        <v>389</v>
      </c>
      <c r="F184" s="138" t="s">
        <v>580</v>
      </c>
      <c r="G184" s="139" t="s">
        <v>371</v>
      </c>
      <c r="H184" s="140"/>
      <c r="I184" s="141">
        <v>1</v>
      </c>
      <c r="J184" s="142">
        <v>25800</v>
      </c>
      <c r="K184" s="142">
        <v>25800</v>
      </c>
      <c r="L184" s="182" t="s">
        <v>760</v>
      </c>
      <c r="M184" s="167" t="s">
        <v>21</v>
      </c>
      <c r="N184" s="132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</row>
    <row r="185" spans="1:28" s="134" customFormat="1" ht="15" customHeight="1" outlineLevel="1" x14ac:dyDescent="0.2">
      <c r="A185" s="122">
        <v>13</v>
      </c>
      <c r="B185" s="135">
        <v>34948</v>
      </c>
      <c r="C185" s="136">
        <v>41834</v>
      </c>
      <c r="D185" s="137" t="s">
        <v>673</v>
      </c>
      <c r="E185" s="135" t="s">
        <v>381</v>
      </c>
      <c r="F185" s="138" t="s">
        <v>217</v>
      </c>
      <c r="G185" s="139" t="s">
        <v>369</v>
      </c>
      <c r="H185" s="140"/>
      <c r="I185" s="141">
        <v>1</v>
      </c>
      <c r="J185" s="142">
        <v>44597</v>
      </c>
      <c r="K185" s="142">
        <v>44597</v>
      </c>
      <c r="L185" s="182" t="s">
        <v>760</v>
      </c>
      <c r="M185" s="167" t="s">
        <v>21</v>
      </c>
      <c r="N185" s="132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</row>
    <row r="186" spans="1:28" s="134" customFormat="1" ht="15" customHeight="1" outlineLevel="1" x14ac:dyDescent="0.2">
      <c r="A186" s="122">
        <v>14</v>
      </c>
      <c r="B186" s="135">
        <v>38480</v>
      </c>
      <c r="C186" s="136">
        <v>41850</v>
      </c>
      <c r="D186" s="137" t="s">
        <v>771</v>
      </c>
      <c r="E186" s="135" t="s">
        <v>478</v>
      </c>
      <c r="F186" s="138" t="s">
        <v>217</v>
      </c>
      <c r="G186" s="139" t="s">
        <v>371</v>
      </c>
      <c r="H186" s="140"/>
      <c r="I186" s="141">
        <v>1</v>
      </c>
      <c r="J186" s="142">
        <v>44597</v>
      </c>
      <c r="K186" s="142">
        <v>44597</v>
      </c>
      <c r="L186" s="182" t="s">
        <v>760</v>
      </c>
      <c r="M186" s="167" t="s">
        <v>21</v>
      </c>
      <c r="N186" s="132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</row>
    <row r="187" spans="1:28" s="134" customFormat="1" ht="18" customHeight="1" outlineLevel="1" x14ac:dyDescent="0.2">
      <c r="A187" s="122">
        <v>15</v>
      </c>
      <c r="B187" s="135">
        <v>31665</v>
      </c>
      <c r="C187" s="136">
        <v>41823</v>
      </c>
      <c r="D187" s="137" t="s">
        <v>704</v>
      </c>
      <c r="E187" s="135" t="s">
        <v>381</v>
      </c>
      <c r="F187" s="138" t="s">
        <v>682</v>
      </c>
      <c r="G187" s="139" t="s">
        <v>371</v>
      </c>
      <c r="H187" s="140"/>
      <c r="I187" s="141">
        <v>1</v>
      </c>
      <c r="J187" s="142">
        <v>55058</v>
      </c>
      <c r="K187" s="142">
        <v>55058</v>
      </c>
      <c r="L187" s="182" t="s">
        <v>760</v>
      </c>
      <c r="M187" s="167" t="s">
        <v>21</v>
      </c>
      <c r="N187" s="132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</row>
    <row r="188" spans="1:28" s="134" customFormat="1" ht="21.75" customHeight="1" outlineLevel="1" x14ac:dyDescent="0.2">
      <c r="A188" s="122">
        <v>16</v>
      </c>
      <c r="B188" s="135">
        <v>35427</v>
      </c>
      <c r="C188" s="136">
        <v>41837</v>
      </c>
      <c r="D188" s="137" t="s">
        <v>772</v>
      </c>
      <c r="E188" s="135" t="s">
        <v>478</v>
      </c>
      <c r="F188" s="138" t="s">
        <v>116</v>
      </c>
      <c r="G188" s="139" t="s">
        <v>445</v>
      </c>
      <c r="H188" s="140"/>
      <c r="I188" s="141">
        <v>1</v>
      </c>
      <c r="J188" s="142">
        <v>5274</v>
      </c>
      <c r="K188" s="142">
        <v>5274</v>
      </c>
      <c r="L188" s="182" t="s">
        <v>760</v>
      </c>
      <c r="M188" s="167" t="s">
        <v>21</v>
      </c>
      <c r="N188" s="132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</row>
    <row r="189" spans="1:28" s="134" customFormat="1" ht="15" customHeight="1" outlineLevel="1" x14ac:dyDescent="0.2">
      <c r="A189" s="122">
        <v>17</v>
      </c>
      <c r="B189" s="135">
        <v>38438</v>
      </c>
      <c r="C189" s="136">
        <v>41848</v>
      </c>
      <c r="D189" s="137" t="s">
        <v>773</v>
      </c>
      <c r="E189" s="135" t="s">
        <v>376</v>
      </c>
      <c r="F189" s="138" t="s">
        <v>217</v>
      </c>
      <c r="G189" s="139" t="s">
        <v>371</v>
      </c>
      <c r="H189" s="140"/>
      <c r="I189" s="141">
        <v>1</v>
      </c>
      <c r="J189" s="142">
        <v>44597</v>
      </c>
      <c r="K189" s="142">
        <v>44597</v>
      </c>
      <c r="L189" s="182" t="s">
        <v>760</v>
      </c>
      <c r="M189" s="167" t="s">
        <v>21</v>
      </c>
      <c r="N189" s="132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</row>
    <row r="190" spans="1:28" s="134" customFormat="1" ht="15" customHeight="1" outlineLevel="1" x14ac:dyDescent="0.2">
      <c r="A190" s="122">
        <v>18</v>
      </c>
      <c r="B190" s="135">
        <v>34788</v>
      </c>
      <c r="C190" s="136">
        <v>41831</v>
      </c>
      <c r="D190" s="137" t="s">
        <v>774</v>
      </c>
      <c r="E190" s="135" t="s">
        <v>381</v>
      </c>
      <c r="F190" s="138" t="s">
        <v>115</v>
      </c>
      <c r="G190" s="139" t="s">
        <v>511</v>
      </c>
      <c r="H190" s="140"/>
      <c r="I190" s="141">
        <v>1</v>
      </c>
      <c r="J190" s="142">
        <v>33370</v>
      </c>
      <c r="K190" s="142">
        <v>33370</v>
      </c>
      <c r="L190" s="182" t="s">
        <v>760</v>
      </c>
      <c r="M190" s="167" t="s">
        <v>21</v>
      </c>
      <c r="N190" s="132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</row>
    <row r="191" spans="1:28" s="134" customFormat="1" ht="15" customHeight="1" outlineLevel="1" x14ac:dyDescent="0.2">
      <c r="A191" s="122">
        <v>19</v>
      </c>
      <c r="B191" s="135">
        <v>35220</v>
      </c>
      <c r="C191" s="136">
        <v>41834</v>
      </c>
      <c r="D191" s="137" t="s">
        <v>775</v>
      </c>
      <c r="E191" s="135" t="s">
        <v>381</v>
      </c>
      <c r="F191" s="138" t="s">
        <v>537</v>
      </c>
      <c r="G191" s="139" t="s">
        <v>431</v>
      </c>
      <c r="H191" s="140"/>
      <c r="I191" s="141">
        <v>1</v>
      </c>
      <c r="J191" s="142">
        <v>30429</v>
      </c>
      <c r="K191" s="142">
        <v>30429</v>
      </c>
      <c r="L191" s="182" t="s">
        <v>760</v>
      </c>
      <c r="M191" s="167" t="s">
        <v>21</v>
      </c>
      <c r="N191" s="132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</row>
    <row r="192" spans="1:28" s="134" customFormat="1" ht="15" customHeight="1" outlineLevel="1" x14ac:dyDescent="0.2">
      <c r="A192" s="122">
        <v>20</v>
      </c>
      <c r="B192" s="135">
        <v>36780</v>
      </c>
      <c r="C192" s="136">
        <v>41838</v>
      </c>
      <c r="D192" s="137" t="s">
        <v>776</v>
      </c>
      <c r="E192" s="135" t="s">
        <v>389</v>
      </c>
      <c r="F192" s="138" t="s">
        <v>537</v>
      </c>
      <c r="G192" s="139" t="s">
        <v>562</v>
      </c>
      <c r="H192" s="140"/>
      <c r="I192" s="141">
        <v>1</v>
      </c>
      <c r="J192" s="142">
        <v>30429</v>
      </c>
      <c r="K192" s="142">
        <v>30429</v>
      </c>
      <c r="L192" s="182" t="s">
        <v>760</v>
      </c>
      <c r="M192" s="167" t="s">
        <v>21</v>
      </c>
      <c r="N192" s="132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</row>
    <row r="193" spans="1:28" s="134" customFormat="1" ht="15" customHeight="1" outlineLevel="1" x14ac:dyDescent="0.2">
      <c r="A193" s="122">
        <v>21</v>
      </c>
      <c r="B193" s="135">
        <v>37589</v>
      </c>
      <c r="C193" s="136">
        <v>41844</v>
      </c>
      <c r="D193" s="137" t="s">
        <v>777</v>
      </c>
      <c r="E193" s="135" t="s">
        <v>381</v>
      </c>
      <c r="F193" s="138" t="s">
        <v>217</v>
      </c>
      <c r="G193" s="139" t="s">
        <v>371</v>
      </c>
      <c r="H193" s="140"/>
      <c r="I193" s="141">
        <v>1</v>
      </c>
      <c r="J193" s="142">
        <v>44597</v>
      </c>
      <c r="K193" s="142">
        <v>44597</v>
      </c>
      <c r="L193" s="182" t="s">
        <v>760</v>
      </c>
      <c r="M193" s="167" t="s">
        <v>21</v>
      </c>
      <c r="N193" s="132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</row>
    <row r="194" spans="1:28" s="134" customFormat="1" ht="15" customHeight="1" outlineLevel="1" x14ac:dyDescent="0.2">
      <c r="A194" s="122">
        <v>22</v>
      </c>
      <c r="B194" s="135">
        <v>37640</v>
      </c>
      <c r="C194" s="136">
        <v>41845</v>
      </c>
      <c r="D194" s="137" t="s">
        <v>778</v>
      </c>
      <c r="E194" s="135" t="s">
        <v>521</v>
      </c>
      <c r="F194" s="138" t="s">
        <v>580</v>
      </c>
      <c r="G194" s="139" t="s">
        <v>371</v>
      </c>
      <c r="H194" s="140"/>
      <c r="I194" s="141">
        <v>1</v>
      </c>
      <c r="J194" s="142">
        <v>25800</v>
      </c>
      <c r="K194" s="142">
        <v>25800</v>
      </c>
      <c r="L194" s="182" t="s">
        <v>760</v>
      </c>
      <c r="M194" s="167" t="s">
        <v>21</v>
      </c>
      <c r="N194" s="132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</row>
    <row r="195" spans="1:28" s="134" customFormat="1" ht="15" customHeight="1" outlineLevel="1" x14ac:dyDescent="0.2">
      <c r="A195" s="122">
        <v>23</v>
      </c>
      <c r="B195" s="135">
        <v>33616</v>
      </c>
      <c r="C195" s="136">
        <v>41828</v>
      </c>
      <c r="D195" s="137" t="s">
        <v>779</v>
      </c>
      <c r="E195" s="135" t="s">
        <v>376</v>
      </c>
      <c r="F195" s="138" t="s">
        <v>217</v>
      </c>
      <c r="G195" s="139" t="s">
        <v>369</v>
      </c>
      <c r="H195" s="140"/>
      <c r="I195" s="141">
        <v>1</v>
      </c>
      <c r="J195" s="142">
        <v>44597</v>
      </c>
      <c r="K195" s="142">
        <v>44597</v>
      </c>
      <c r="L195" s="182" t="s">
        <v>760</v>
      </c>
      <c r="M195" s="167" t="s">
        <v>21</v>
      </c>
      <c r="N195" s="132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</row>
    <row r="196" spans="1:28" s="134" customFormat="1" ht="15" customHeight="1" outlineLevel="1" x14ac:dyDescent="0.2">
      <c r="A196" s="122">
        <v>24</v>
      </c>
      <c r="B196" s="135">
        <v>39306</v>
      </c>
      <c r="C196" s="136">
        <v>41851</v>
      </c>
      <c r="D196" s="137" t="s">
        <v>780</v>
      </c>
      <c r="E196" s="135" t="s">
        <v>389</v>
      </c>
      <c r="F196" s="138" t="s">
        <v>192</v>
      </c>
      <c r="G196" s="139" t="s">
        <v>410</v>
      </c>
      <c r="H196" s="140"/>
      <c r="I196" s="141">
        <v>1</v>
      </c>
      <c r="J196" s="142">
        <v>57960</v>
      </c>
      <c r="K196" s="142">
        <v>57960</v>
      </c>
      <c r="L196" s="182" t="s">
        <v>760</v>
      </c>
      <c r="M196" s="167" t="s">
        <v>21</v>
      </c>
      <c r="N196" s="132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</row>
    <row r="197" spans="1:28" s="134" customFormat="1" ht="15" customHeight="1" outlineLevel="1" x14ac:dyDescent="0.2">
      <c r="A197" s="122">
        <v>25</v>
      </c>
      <c r="B197" s="135">
        <v>31525</v>
      </c>
      <c r="C197" s="136">
        <v>41822</v>
      </c>
      <c r="D197" s="137" t="s">
        <v>781</v>
      </c>
      <c r="E197" s="135" t="s">
        <v>478</v>
      </c>
      <c r="F197" s="138" t="s">
        <v>217</v>
      </c>
      <c r="G197" s="139" t="s">
        <v>371</v>
      </c>
      <c r="H197" s="140"/>
      <c r="I197" s="141">
        <v>1</v>
      </c>
      <c r="J197" s="142">
        <v>44597</v>
      </c>
      <c r="K197" s="142">
        <v>44597</v>
      </c>
      <c r="L197" s="182" t="s">
        <v>760</v>
      </c>
      <c r="M197" s="167" t="s">
        <v>21</v>
      </c>
      <c r="N197" s="132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</row>
    <row r="198" spans="1:28" s="134" customFormat="1" ht="15" customHeight="1" outlineLevel="1" x14ac:dyDescent="0.2">
      <c r="A198" s="122">
        <v>26</v>
      </c>
      <c r="B198" s="135">
        <v>35275</v>
      </c>
      <c r="C198" s="136">
        <v>41834</v>
      </c>
      <c r="D198" s="137" t="s">
        <v>742</v>
      </c>
      <c r="E198" s="135" t="s">
        <v>381</v>
      </c>
      <c r="F198" s="138" t="s">
        <v>682</v>
      </c>
      <c r="G198" s="139" t="s">
        <v>369</v>
      </c>
      <c r="H198" s="140"/>
      <c r="I198" s="141">
        <v>1</v>
      </c>
      <c r="J198" s="142">
        <v>55058</v>
      </c>
      <c r="K198" s="142">
        <v>55058</v>
      </c>
      <c r="L198" s="182" t="s">
        <v>760</v>
      </c>
      <c r="M198" s="167" t="s">
        <v>21</v>
      </c>
      <c r="N198" s="132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</row>
    <row r="199" spans="1:28" s="134" customFormat="1" ht="15" customHeight="1" outlineLevel="1" x14ac:dyDescent="0.2">
      <c r="A199" s="122">
        <v>27</v>
      </c>
      <c r="B199" s="135">
        <v>32382</v>
      </c>
      <c r="C199" s="136">
        <v>41823</v>
      </c>
      <c r="D199" s="137" t="s">
        <v>782</v>
      </c>
      <c r="E199" s="135" t="s">
        <v>389</v>
      </c>
      <c r="F199" s="138" t="s">
        <v>682</v>
      </c>
      <c r="G199" s="139" t="s">
        <v>371</v>
      </c>
      <c r="H199" s="140"/>
      <c r="I199" s="141">
        <v>1</v>
      </c>
      <c r="J199" s="142">
        <v>55058</v>
      </c>
      <c r="K199" s="142">
        <v>55058</v>
      </c>
      <c r="L199" s="182" t="s">
        <v>760</v>
      </c>
      <c r="M199" s="167" t="s">
        <v>21</v>
      </c>
      <c r="N199" s="132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</row>
    <row r="200" spans="1:28" s="134" customFormat="1" ht="15" customHeight="1" outlineLevel="1" x14ac:dyDescent="0.2">
      <c r="A200" s="122">
        <v>28</v>
      </c>
      <c r="B200" s="135">
        <v>31664</v>
      </c>
      <c r="C200" s="136">
        <v>41823</v>
      </c>
      <c r="D200" s="137" t="s">
        <v>783</v>
      </c>
      <c r="E200" s="135" t="s">
        <v>381</v>
      </c>
      <c r="F200" s="138" t="s">
        <v>682</v>
      </c>
      <c r="G200" s="139" t="s">
        <v>387</v>
      </c>
      <c r="H200" s="140"/>
      <c r="I200" s="141">
        <v>2</v>
      </c>
      <c r="J200" s="142">
        <v>55058</v>
      </c>
      <c r="K200" s="142">
        <v>110116</v>
      </c>
      <c r="L200" s="182" t="s">
        <v>760</v>
      </c>
      <c r="M200" s="167" t="s">
        <v>21</v>
      </c>
      <c r="N200" s="132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</row>
    <row r="201" spans="1:28" s="134" customFormat="1" ht="15" customHeight="1" outlineLevel="1" x14ac:dyDescent="0.2">
      <c r="A201" s="122">
        <v>29</v>
      </c>
      <c r="B201" s="135">
        <v>36836</v>
      </c>
      <c r="C201" s="136">
        <v>41841</v>
      </c>
      <c r="D201" s="137" t="s">
        <v>784</v>
      </c>
      <c r="E201" s="135" t="s">
        <v>376</v>
      </c>
      <c r="F201" s="138" t="s">
        <v>217</v>
      </c>
      <c r="G201" s="139" t="s">
        <v>371</v>
      </c>
      <c r="H201" s="140"/>
      <c r="I201" s="141">
        <v>1</v>
      </c>
      <c r="J201" s="142">
        <v>44597</v>
      </c>
      <c r="K201" s="142">
        <v>44597</v>
      </c>
      <c r="L201" s="182" t="s">
        <v>760</v>
      </c>
      <c r="M201" s="167" t="s">
        <v>21</v>
      </c>
      <c r="N201" s="132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</row>
    <row r="202" spans="1:28" s="134" customFormat="1" ht="15" customHeight="1" outlineLevel="1" x14ac:dyDescent="0.2">
      <c r="A202" s="122">
        <v>30</v>
      </c>
      <c r="B202" s="135">
        <v>37397</v>
      </c>
      <c r="C202" s="136">
        <v>41844</v>
      </c>
      <c r="D202" s="137" t="s">
        <v>785</v>
      </c>
      <c r="E202" s="135" t="s">
        <v>389</v>
      </c>
      <c r="F202" s="138" t="s">
        <v>116</v>
      </c>
      <c r="G202" s="139" t="s">
        <v>445</v>
      </c>
      <c r="H202" s="140"/>
      <c r="I202" s="141">
        <v>1</v>
      </c>
      <c r="J202" s="142">
        <v>5274</v>
      </c>
      <c r="K202" s="142">
        <v>5274</v>
      </c>
      <c r="L202" s="182" t="s">
        <v>760</v>
      </c>
      <c r="M202" s="167" t="s">
        <v>21</v>
      </c>
      <c r="N202" s="132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</row>
    <row r="203" spans="1:28" s="134" customFormat="1" ht="15" customHeight="1" outlineLevel="1" x14ac:dyDescent="0.2">
      <c r="A203" s="122">
        <v>31</v>
      </c>
      <c r="B203" s="135">
        <v>37397</v>
      </c>
      <c r="C203" s="136">
        <v>41844</v>
      </c>
      <c r="D203" s="137" t="s">
        <v>785</v>
      </c>
      <c r="E203" s="135" t="s">
        <v>389</v>
      </c>
      <c r="F203" s="138" t="s">
        <v>210</v>
      </c>
      <c r="G203" s="139" t="s">
        <v>445</v>
      </c>
      <c r="H203" s="140"/>
      <c r="I203" s="141">
        <v>1</v>
      </c>
      <c r="J203" s="142">
        <v>14099</v>
      </c>
      <c r="K203" s="142">
        <v>14099</v>
      </c>
      <c r="L203" s="182" t="s">
        <v>760</v>
      </c>
      <c r="M203" s="167" t="s">
        <v>21</v>
      </c>
      <c r="N203" s="132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</row>
    <row r="204" spans="1:28" s="185" customFormat="1" ht="15" customHeight="1" outlineLevel="1" x14ac:dyDescent="0.2">
      <c r="A204" s="122">
        <v>32</v>
      </c>
      <c r="B204" s="135">
        <v>36439</v>
      </c>
      <c r="C204" s="136">
        <v>41838</v>
      </c>
      <c r="D204" s="137" t="s">
        <v>786</v>
      </c>
      <c r="E204" s="135" t="s">
        <v>376</v>
      </c>
      <c r="F204" s="138" t="s">
        <v>537</v>
      </c>
      <c r="G204" s="139" t="s">
        <v>472</v>
      </c>
      <c r="H204" s="140"/>
      <c r="I204" s="141">
        <v>1</v>
      </c>
      <c r="J204" s="142">
        <v>30429</v>
      </c>
      <c r="K204" s="142">
        <v>30429</v>
      </c>
      <c r="L204" s="182" t="s">
        <v>760</v>
      </c>
      <c r="M204" s="167" t="s">
        <v>21</v>
      </c>
      <c r="N204" s="183"/>
      <c r="O204" s="184"/>
      <c r="P204" s="184"/>
      <c r="Q204" s="184"/>
      <c r="R204" s="184"/>
      <c r="S204" s="184"/>
      <c r="T204" s="184"/>
      <c r="U204" s="184"/>
      <c r="V204" s="184"/>
      <c r="W204" s="184"/>
      <c r="X204" s="184"/>
      <c r="Y204" s="184"/>
      <c r="Z204" s="184"/>
      <c r="AA204" s="184"/>
      <c r="AB204" s="184"/>
    </row>
    <row r="205" spans="1:28" s="134" customFormat="1" ht="15" customHeight="1" outlineLevel="1" x14ac:dyDescent="0.2">
      <c r="A205" s="122">
        <v>1</v>
      </c>
      <c r="B205" s="135">
        <v>46814</v>
      </c>
      <c r="C205" s="136">
        <v>41878</v>
      </c>
      <c r="D205" s="137" t="s">
        <v>787</v>
      </c>
      <c r="E205" s="135" t="s">
        <v>478</v>
      </c>
      <c r="F205" s="138" t="s">
        <v>116</v>
      </c>
      <c r="G205" s="139" t="s">
        <v>419</v>
      </c>
      <c r="H205" s="140"/>
      <c r="I205" s="141">
        <v>1</v>
      </c>
      <c r="J205" s="142">
        <v>5274</v>
      </c>
      <c r="K205" s="142">
        <v>5274</v>
      </c>
      <c r="L205" s="182" t="s">
        <v>788</v>
      </c>
      <c r="M205" s="167" t="s">
        <v>21</v>
      </c>
      <c r="N205" s="132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</row>
    <row r="206" spans="1:28" s="134" customFormat="1" ht="15" customHeight="1" outlineLevel="1" x14ac:dyDescent="0.2">
      <c r="A206" s="122">
        <v>2</v>
      </c>
      <c r="B206" s="135">
        <v>42569</v>
      </c>
      <c r="C206" s="136">
        <v>41863</v>
      </c>
      <c r="D206" s="137" t="s">
        <v>789</v>
      </c>
      <c r="E206" s="135" t="s">
        <v>697</v>
      </c>
      <c r="F206" s="138" t="s">
        <v>217</v>
      </c>
      <c r="G206" s="139" t="s">
        <v>371</v>
      </c>
      <c r="H206" s="140"/>
      <c r="I206" s="141">
        <v>1</v>
      </c>
      <c r="J206" s="142">
        <v>44597</v>
      </c>
      <c r="K206" s="142">
        <v>44597</v>
      </c>
      <c r="L206" s="182" t="s">
        <v>788</v>
      </c>
      <c r="M206" s="167" t="s">
        <v>21</v>
      </c>
      <c r="N206" s="132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</row>
    <row r="207" spans="1:28" s="134" customFormat="1" ht="15" customHeight="1" outlineLevel="1" x14ac:dyDescent="0.2">
      <c r="A207" s="122">
        <v>3</v>
      </c>
      <c r="B207" s="135">
        <v>47120</v>
      </c>
      <c r="C207" s="136">
        <v>41878</v>
      </c>
      <c r="D207" s="137" t="s">
        <v>790</v>
      </c>
      <c r="E207" s="135" t="s">
        <v>389</v>
      </c>
      <c r="F207" s="138" t="s">
        <v>537</v>
      </c>
      <c r="G207" s="139" t="s">
        <v>472</v>
      </c>
      <c r="H207" s="140"/>
      <c r="I207" s="141">
        <v>1</v>
      </c>
      <c r="J207" s="142">
        <v>30429</v>
      </c>
      <c r="K207" s="142">
        <v>30429</v>
      </c>
      <c r="L207" s="182" t="s">
        <v>788</v>
      </c>
      <c r="M207" s="167" t="s">
        <v>21</v>
      </c>
      <c r="N207" s="132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</row>
    <row r="208" spans="1:28" s="134" customFormat="1" ht="15" customHeight="1" outlineLevel="1" x14ac:dyDescent="0.2">
      <c r="A208" s="122">
        <v>5</v>
      </c>
      <c r="B208" s="135">
        <v>41365</v>
      </c>
      <c r="C208" s="136">
        <v>41858</v>
      </c>
      <c r="D208" s="137" t="s">
        <v>791</v>
      </c>
      <c r="E208" s="135" t="s">
        <v>381</v>
      </c>
      <c r="F208" s="138" t="s">
        <v>217</v>
      </c>
      <c r="G208" s="139" t="s">
        <v>371</v>
      </c>
      <c r="H208" s="140"/>
      <c r="I208" s="141">
        <v>1</v>
      </c>
      <c r="J208" s="142">
        <v>44597</v>
      </c>
      <c r="K208" s="142">
        <v>44597</v>
      </c>
      <c r="L208" s="182" t="s">
        <v>788</v>
      </c>
      <c r="M208" s="167" t="s">
        <v>21</v>
      </c>
      <c r="N208" s="132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</row>
    <row r="209" spans="1:28" s="134" customFormat="1" ht="15" customHeight="1" outlineLevel="1" x14ac:dyDescent="0.2">
      <c r="A209" s="122">
        <v>6</v>
      </c>
      <c r="B209" s="135">
        <v>45788</v>
      </c>
      <c r="C209" s="136">
        <v>41873</v>
      </c>
      <c r="D209" s="137" t="s">
        <v>792</v>
      </c>
      <c r="E209" s="135" t="s">
        <v>478</v>
      </c>
      <c r="F209" s="138" t="s">
        <v>116</v>
      </c>
      <c r="G209" s="139" t="s">
        <v>410</v>
      </c>
      <c r="H209" s="140"/>
      <c r="I209" s="141">
        <v>1</v>
      </c>
      <c r="J209" s="142">
        <v>5274</v>
      </c>
      <c r="K209" s="142">
        <v>5274</v>
      </c>
      <c r="L209" s="182" t="s">
        <v>788</v>
      </c>
      <c r="M209" s="167" t="s">
        <v>21</v>
      </c>
      <c r="N209" s="132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</row>
    <row r="210" spans="1:28" s="134" customFormat="1" ht="15" customHeight="1" outlineLevel="1" x14ac:dyDescent="0.2">
      <c r="A210" s="122">
        <v>7</v>
      </c>
      <c r="B210" s="135">
        <v>47042</v>
      </c>
      <c r="C210" s="136">
        <v>41878</v>
      </c>
      <c r="D210" s="137" t="s">
        <v>793</v>
      </c>
      <c r="E210" s="135" t="s">
        <v>381</v>
      </c>
      <c r="F210" s="138" t="s">
        <v>217</v>
      </c>
      <c r="G210" s="139" t="s">
        <v>371</v>
      </c>
      <c r="H210" s="140"/>
      <c r="I210" s="141">
        <v>1</v>
      </c>
      <c r="J210" s="142">
        <v>44597</v>
      </c>
      <c r="K210" s="142">
        <v>44597</v>
      </c>
      <c r="L210" s="182" t="s">
        <v>788</v>
      </c>
      <c r="M210" s="167" t="s">
        <v>21</v>
      </c>
      <c r="N210" s="132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</row>
    <row r="211" spans="1:28" s="134" customFormat="1" ht="15" customHeight="1" outlineLevel="1" x14ac:dyDescent="0.2">
      <c r="A211" s="122">
        <v>8</v>
      </c>
      <c r="B211" s="135">
        <v>47235</v>
      </c>
      <c r="C211" s="136">
        <v>41878</v>
      </c>
      <c r="D211" s="137" t="s">
        <v>794</v>
      </c>
      <c r="E211" s="135" t="s">
        <v>376</v>
      </c>
      <c r="F211" s="138" t="s">
        <v>116</v>
      </c>
      <c r="G211" s="139" t="s">
        <v>410</v>
      </c>
      <c r="H211" s="140"/>
      <c r="I211" s="141">
        <v>1</v>
      </c>
      <c r="J211" s="142">
        <v>5274</v>
      </c>
      <c r="K211" s="142">
        <v>5274</v>
      </c>
      <c r="L211" s="182" t="s">
        <v>788</v>
      </c>
      <c r="M211" s="167" t="s">
        <v>21</v>
      </c>
      <c r="N211" s="132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</row>
    <row r="212" spans="1:28" s="134" customFormat="1" ht="15" customHeight="1" outlineLevel="1" x14ac:dyDescent="0.2">
      <c r="A212" s="122">
        <v>10</v>
      </c>
      <c r="B212" s="135">
        <v>41287</v>
      </c>
      <c r="C212" s="136">
        <v>41858</v>
      </c>
      <c r="D212" s="137" t="s">
        <v>795</v>
      </c>
      <c r="E212" s="135" t="s">
        <v>381</v>
      </c>
      <c r="F212" s="138" t="s">
        <v>682</v>
      </c>
      <c r="G212" s="139" t="s">
        <v>371</v>
      </c>
      <c r="H212" s="140"/>
      <c r="I212" s="141">
        <v>1</v>
      </c>
      <c r="J212" s="142">
        <v>55058</v>
      </c>
      <c r="K212" s="142">
        <v>55058</v>
      </c>
      <c r="L212" s="182" t="s">
        <v>788</v>
      </c>
      <c r="M212" s="167" t="s">
        <v>21</v>
      </c>
      <c r="N212" s="132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</row>
    <row r="213" spans="1:28" s="134" customFormat="1" ht="15" customHeight="1" outlineLevel="1" x14ac:dyDescent="0.2">
      <c r="A213" s="122">
        <v>11</v>
      </c>
      <c r="B213" s="135">
        <v>48407</v>
      </c>
      <c r="C213" s="136">
        <v>41881</v>
      </c>
      <c r="D213" s="137" t="s">
        <v>796</v>
      </c>
      <c r="E213" s="135" t="s">
        <v>376</v>
      </c>
      <c r="F213" s="138" t="s">
        <v>580</v>
      </c>
      <c r="G213" s="139" t="s">
        <v>371</v>
      </c>
      <c r="H213" s="140"/>
      <c r="I213" s="141">
        <v>1</v>
      </c>
      <c r="J213" s="142">
        <v>25800</v>
      </c>
      <c r="K213" s="142">
        <v>25800</v>
      </c>
      <c r="L213" s="182" t="s">
        <v>788</v>
      </c>
      <c r="M213" s="167" t="s">
        <v>21</v>
      </c>
      <c r="N213" s="132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</row>
    <row r="214" spans="1:28" s="134" customFormat="1" ht="15" customHeight="1" outlineLevel="1" x14ac:dyDescent="0.2">
      <c r="A214" s="122">
        <v>12</v>
      </c>
      <c r="B214" s="135">
        <v>46503</v>
      </c>
      <c r="C214" s="136">
        <v>41876</v>
      </c>
      <c r="D214" s="137" t="s">
        <v>797</v>
      </c>
      <c r="E214" s="135" t="s">
        <v>381</v>
      </c>
      <c r="F214" s="138" t="s">
        <v>682</v>
      </c>
      <c r="G214" s="139" t="s">
        <v>371</v>
      </c>
      <c r="H214" s="140"/>
      <c r="I214" s="141">
        <v>1</v>
      </c>
      <c r="J214" s="142">
        <v>55058</v>
      </c>
      <c r="K214" s="142">
        <v>55058</v>
      </c>
      <c r="L214" s="182" t="s">
        <v>788</v>
      </c>
      <c r="M214" s="167" t="s">
        <v>21</v>
      </c>
      <c r="N214" s="132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</row>
    <row r="215" spans="1:28" s="134" customFormat="1" ht="15" customHeight="1" outlineLevel="1" x14ac:dyDescent="0.2">
      <c r="A215" s="122">
        <v>13</v>
      </c>
      <c r="B215" s="135">
        <v>41253</v>
      </c>
      <c r="C215" s="136">
        <v>41858</v>
      </c>
      <c r="D215" s="137" t="s">
        <v>798</v>
      </c>
      <c r="E215" s="135" t="s">
        <v>389</v>
      </c>
      <c r="F215" s="138" t="s">
        <v>537</v>
      </c>
      <c r="G215" s="139" t="s">
        <v>415</v>
      </c>
      <c r="H215" s="140"/>
      <c r="I215" s="141">
        <v>1</v>
      </c>
      <c r="J215" s="142">
        <v>30429</v>
      </c>
      <c r="K215" s="142">
        <v>30429</v>
      </c>
      <c r="L215" s="182" t="s">
        <v>788</v>
      </c>
      <c r="M215" s="167" t="s">
        <v>21</v>
      </c>
      <c r="N215" s="132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</row>
    <row r="216" spans="1:28" s="134" customFormat="1" ht="15" customHeight="1" outlineLevel="1" x14ac:dyDescent="0.2">
      <c r="A216" s="122">
        <v>14</v>
      </c>
      <c r="B216" s="135">
        <v>45700</v>
      </c>
      <c r="C216" s="136">
        <v>41873</v>
      </c>
      <c r="D216" s="137" t="s">
        <v>799</v>
      </c>
      <c r="E216" s="135" t="s">
        <v>376</v>
      </c>
      <c r="F216" s="138" t="s">
        <v>682</v>
      </c>
      <c r="G216" s="139" t="s">
        <v>369</v>
      </c>
      <c r="H216" s="140"/>
      <c r="I216" s="141">
        <v>1</v>
      </c>
      <c r="J216" s="142">
        <v>55058</v>
      </c>
      <c r="K216" s="142">
        <v>55058</v>
      </c>
      <c r="L216" s="182" t="s">
        <v>788</v>
      </c>
      <c r="M216" s="167" t="s">
        <v>21</v>
      </c>
      <c r="N216" s="132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</row>
    <row r="217" spans="1:28" s="134" customFormat="1" ht="15" customHeight="1" outlineLevel="1" x14ac:dyDescent="0.2">
      <c r="A217" s="122">
        <v>15</v>
      </c>
      <c r="B217" s="135">
        <v>47864</v>
      </c>
      <c r="C217" s="136">
        <v>41879</v>
      </c>
      <c r="D217" s="137" t="s">
        <v>800</v>
      </c>
      <c r="E217" s="135" t="s">
        <v>381</v>
      </c>
      <c r="F217" s="138" t="s">
        <v>682</v>
      </c>
      <c r="G217" s="139" t="s">
        <v>369</v>
      </c>
      <c r="H217" s="140"/>
      <c r="I217" s="141">
        <v>1</v>
      </c>
      <c r="J217" s="142">
        <v>55058</v>
      </c>
      <c r="K217" s="142">
        <v>55058</v>
      </c>
      <c r="L217" s="182" t="s">
        <v>788</v>
      </c>
      <c r="M217" s="167" t="s">
        <v>21</v>
      </c>
      <c r="N217" s="132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</row>
    <row r="218" spans="1:28" s="134" customFormat="1" ht="15" customHeight="1" outlineLevel="1" x14ac:dyDescent="0.2">
      <c r="A218" s="122">
        <v>16</v>
      </c>
      <c r="B218" s="135">
        <v>44907</v>
      </c>
      <c r="C218" s="136">
        <v>41870</v>
      </c>
      <c r="D218" s="137" t="s">
        <v>801</v>
      </c>
      <c r="E218" s="135" t="s">
        <v>802</v>
      </c>
      <c r="F218" s="138" t="s">
        <v>237</v>
      </c>
      <c r="G218" s="139" t="s">
        <v>371</v>
      </c>
      <c r="H218" s="140"/>
      <c r="I218" s="141">
        <v>1</v>
      </c>
      <c r="J218" s="142">
        <v>10401</v>
      </c>
      <c r="K218" s="142">
        <v>10401</v>
      </c>
      <c r="L218" s="182" t="s">
        <v>788</v>
      </c>
      <c r="M218" s="167" t="s">
        <v>21</v>
      </c>
      <c r="N218" s="132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</row>
    <row r="219" spans="1:28" s="134" customFormat="1" ht="15" customHeight="1" outlineLevel="1" x14ac:dyDescent="0.2">
      <c r="A219" s="122">
        <v>17</v>
      </c>
      <c r="B219" s="135">
        <v>41854</v>
      </c>
      <c r="C219" s="136">
        <v>41859</v>
      </c>
      <c r="D219" s="137" t="s">
        <v>803</v>
      </c>
      <c r="E219" s="135" t="s">
        <v>381</v>
      </c>
      <c r="F219" s="138" t="s">
        <v>682</v>
      </c>
      <c r="G219" s="139" t="s">
        <v>371</v>
      </c>
      <c r="H219" s="140"/>
      <c r="I219" s="141">
        <v>1</v>
      </c>
      <c r="J219" s="142">
        <v>55058</v>
      </c>
      <c r="K219" s="142">
        <v>55058</v>
      </c>
      <c r="L219" s="182" t="s">
        <v>788</v>
      </c>
      <c r="M219" s="167" t="s">
        <v>21</v>
      </c>
      <c r="N219" s="132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</row>
    <row r="220" spans="1:28" s="134" customFormat="1" ht="15" customHeight="1" outlineLevel="1" x14ac:dyDescent="0.2">
      <c r="A220" s="122">
        <v>18</v>
      </c>
      <c r="B220" s="135">
        <v>41386</v>
      </c>
      <c r="C220" s="136">
        <v>41858</v>
      </c>
      <c r="D220" s="137" t="s">
        <v>804</v>
      </c>
      <c r="E220" s="135" t="s">
        <v>381</v>
      </c>
      <c r="F220" s="138" t="s">
        <v>115</v>
      </c>
      <c r="G220" s="139" t="s">
        <v>805</v>
      </c>
      <c r="H220" s="140"/>
      <c r="I220" s="141">
        <v>1</v>
      </c>
      <c r="J220" s="142">
        <v>33370</v>
      </c>
      <c r="K220" s="142">
        <v>33370</v>
      </c>
      <c r="L220" s="182" t="s">
        <v>788</v>
      </c>
      <c r="M220" s="167" t="s">
        <v>21</v>
      </c>
      <c r="N220" s="132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</row>
    <row r="221" spans="1:28" s="134" customFormat="1" ht="15" customHeight="1" outlineLevel="1" x14ac:dyDescent="0.2">
      <c r="A221" s="122">
        <v>19</v>
      </c>
      <c r="B221" s="135">
        <v>40785</v>
      </c>
      <c r="C221" s="136">
        <v>41856</v>
      </c>
      <c r="D221" s="137" t="s">
        <v>806</v>
      </c>
      <c r="E221" s="135" t="s">
        <v>376</v>
      </c>
      <c r="F221" s="138" t="s">
        <v>580</v>
      </c>
      <c r="G221" s="139" t="s">
        <v>371</v>
      </c>
      <c r="H221" s="140"/>
      <c r="I221" s="141">
        <v>1</v>
      </c>
      <c r="J221" s="142">
        <v>25800</v>
      </c>
      <c r="K221" s="142">
        <v>25800</v>
      </c>
      <c r="L221" s="182" t="s">
        <v>788</v>
      </c>
      <c r="M221" s="167" t="s">
        <v>21</v>
      </c>
      <c r="N221" s="132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</row>
    <row r="222" spans="1:28" s="134" customFormat="1" ht="15" customHeight="1" outlineLevel="1" x14ac:dyDescent="0.2">
      <c r="A222" s="122">
        <v>20</v>
      </c>
      <c r="B222" s="135">
        <v>41517</v>
      </c>
      <c r="C222" s="136">
        <v>41858</v>
      </c>
      <c r="D222" s="137" t="s">
        <v>807</v>
      </c>
      <c r="E222" s="135" t="s">
        <v>381</v>
      </c>
      <c r="F222" s="138" t="s">
        <v>115</v>
      </c>
      <c r="G222" s="139" t="s">
        <v>404</v>
      </c>
      <c r="H222" s="140"/>
      <c r="I222" s="141">
        <v>1</v>
      </c>
      <c r="J222" s="142">
        <v>33370</v>
      </c>
      <c r="K222" s="142">
        <v>33370</v>
      </c>
      <c r="L222" s="182" t="s">
        <v>788</v>
      </c>
      <c r="M222" s="167" t="s">
        <v>21</v>
      </c>
      <c r="N222" s="132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</row>
    <row r="223" spans="1:28" s="134" customFormat="1" ht="15" customHeight="1" outlineLevel="1" x14ac:dyDescent="0.2">
      <c r="A223" s="122">
        <v>21</v>
      </c>
      <c r="B223" s="135">
        <v>46978</v>
      </c>
      <c r="C223" s="136">
        <v>41877</v>
      </c>
      <c r="D223" s="137" t="s">
        <v>808</v>
      </c>
      <c r="E223" s="135" t="s">
        <v>376</v>
      </c>
      <c r="F223" s="138" t="s">
        <v>219</v>
      </c>
      <c r="G223" s="139" t="s">
        <v>371</v>
      </c>
      <c r="H223" s="140"/>
      <c r="I223" s="141">
        <v>1</v>
      </c>
      <c r="J223" s="142">
        <v>22299</v>
      </c>
      <c r="K223" s="142">
        <v>22299</v>
      </c>
      <c r="L223" s="182" t="s">
        <v>788</v>
      </c>
      <c r="M223" s="167" t="s">
        <v>21</v>
      </c>
      <c r="N223" s="132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</row>
    <row r="224" spans="1:28" s="134" customFormat="1" ht="15" customHeight="1" outlineLevel="1" x14ac:dyDescent="0.2">
      <c r="A224" s="122">
        <v>22</v>
      </c>
      <c r="B224" s="135">
        <v>46514</v>
      </c>
      <c r="C224" s="136">
        <v>41876</v>
      </c>
      <c r="D224" s="137" t="s">
        <v>809</v>
      </c>
      <c r="E224" s="135" t="s">
        <v>376</v>
      </c>
      <c r="F224" s="138" t="s">
        <v>217</v>
      </c>
      <c r="G224" s="139" t="s">
        <v>369</v>
      </c>
      <c r="H224" s="140"/>
      <c r="I224" s="141">
        <v>1</v>
      </c>
      <c r="J224" s="142">
        <v>44597</v>
      </c>
      <c r="K224" s="142">
        <v>44597</v>
      </c>
      <c r="L224" s="182" t="s">
        <v>788</v>
      </c>
      <c r="M224" s="167" t="s">
        <v>21</v>
      </c>
      <c r="N224" s="132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</row>
    <row r="225" spans="1:28" s="134" customFormat="1" ht="15" customHeight="1" outlineLevel="1" x14ac:dyDescent="0.2">
      <c r="A225" s="122">
        <v>23</v>
      </c>
      <c r="B225" s="135">
        <v>40498</v>
      </c>
      <c r="C225" s="136">
        <v>41858</v>
      </c>
      <c r="D225" s="137" t="s">
        <v>810</v>
      </c>
      <c r="E225" s="135" t="s">
        <v>381</v>
      </c>
      <c r="F225" s="138" t="s">
        <v>217</v>
      </c>
      <c r="G225" s="139" t="s">
        <v>371</v>
      </c>
      <c r="H225" s="140"/>
      <c r="I225" s="141">
        <v>1</v>
      </c>
      <c r="J225" s="142">
        <v>44597</v>
      </c>
      <c r="K225" s="142">
        <v>44597</v>
      </c>
      <c r="L225" s="182" t="s">
        <v>788</v>
      </c>
      <c r="M225" s="167" t="s">
        <v>21</v>
      </c>
      <c r="N225" s="132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</row>
    <row r="226" spans="1:28" s="134" customFormat="1" ht="15" customHeight="1" outlineLevel="1" x14ac:dyDescent="0.2">
      <c r="A226" s="122">
        <v>24</v>
      </c>
      <c r="B226" s="135">
        <v>43053</v>
      </c>
      <c r="C226" s="136">
        <v>41863</v>
      </c>
      <c r="D226" s="137" t="s">
        <v>811</v>
      </c>
      <c r="E226" s="135" t="s">
        <v>389</v>
      </c>
      <c r="F226" s="138" t="s">
        <v>116</v>
      </c>
      <c r="G226" s="139" t="s">
        <v>812</v>
      </c>
      <c r="H226" s="140"/>
      <c r="I226" s="141">
        <v>3</v>
      </c>
      <c r="J226" s="142">
        <v>5274</v>
      </c>
      <c r="K226" s="142">
        <v>15822</v>
      </c>
      <c r="L226" s="182" t="s">
        <v>788</v>
      </c>
      <c r="M226" s="167" t="s">
        <v>21</v>
      </c>
      <c r="N226" s="132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</row>
    <row r="227" spans="1:28" s="134" customFormat="1" ht="15" customHeight="1" outlineLevel="1" x14ac:dyDescent="0.2">
      <c r="A227" s="122">
        <v>25</v>
      </c>
      <c r="B227" s="135">
        <v>47712</v>
      </c>
      <c r="C227" s="136">
        <v>41879</v>
      </c>
      <c r="D227" s="137" t="s">
        <v>785</v>
      </c>
      <c r="E227" s="135" t="s">
        <v>389</v>
      </c>
      <c r="F227" s="138" t="s">
        <v>192</v>
      </c>
      <c r="G227" s="139" t="s">
        <v>445</v>
      </c>
      <c r="H227" s="140"/>
      <c r="I227" s="141">
        <v>1</v>
      </c>
      <c r="J227" s="142">
        <v>57960</v>
      </c>
      <c r="K227" s="142">
        <v>57960</v>
      </c>
      <c r="L227" s="182" t="s">
        <v>788</v>
      </c>
      <c r="M227" s="167" t="s">
        <v>21</v>
      </c>
      <c r="N227" s="132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</row>
    <row r="228" spans="1:28" s="134" customFormat="1" ht="15" customHeight="1" outlineLevel="1" x14ac:dyDescent="0.2">
      <c r="A228" s="122">
        <v>1</v>
      </c>
      <c r="B228" s="135">
        <v>52055</v>
      </c>
      <c r="C228" s="136">
        <v>41894</v>
      </c>
      <c r="D228" s="137" t="s">
        <v>813</v>
      </c>
      <c r="E228" s="135" t="s">
        <v>381</v>
      </c>
      <c r="F228" s="138" t="s">
        <v>217</v>
      </c>
      <c r="G228" s="139" t="s">
        <v>369</v>
      </c>
      <c r="H228" s="140"/>
      <c r="I228" s="141">
        <v>1</v>
      </c>
      <c r="J228" s="142">
        <v>44597</v>
      </c>
      <c r="K228" s="142">
        <v>44597</v>
      </c>
      <c r="L228" s="182" t="s">
        <v>617</v>
      </c>
      <c r="M228" s="168" t="s">
        <v>21</v>
      </c>
      <c r="N228" s="132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</row>
    <row r="229" spans="1:28" s="134" customFormat="1" ht="15" customHeight="1" outlineLevel="1" x14ac:dyDescent="0.2">
      <c r="A229" s="122">
        <v>2</v>
      </c>
      <c r="B229" s="135">
        <v>53984</v>
      </c>
      <c r="C229" s="136">
        <v>41898</v>
      </c>
      <c r="D229" s="137" t="s">
        <v>814</v>
      </c>
      <c r="E229" s="135" t="s">
        <v>371</v>
      </c>
      <c r="F229" s="138" t="s">
        <v>217</v>
      </c>
      <c r="G229" s="139" t="s">
        <v>371</v>
      </c>
      <c r="H229" s="140"/>
      <c r="I229" s="141">
        <v>1</v>
      </c>
      <c r="J229" s="142">
        <v>44597</v>
      </c>
      <c r="K229" s="142">
        <v>44597</v>
      </c>
      <c r="L229" s="182" t="s">
        <v>617</v>
      </c>
      <c r="M229" s="168" t="s">
        <v>21</v>
      </c>
      <c r="N229" s="132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</row>
    <row r="230" spans="1:28" s="134" customFormat="1" ht="15" customHeight="1" outlineLevel="1" x14ac:dyDescent="0.2">
      <c r="A230" s="122">
        <v>3</v>
      </c>
      <c r="B230" s="135">
        <v>50318</v>
      </c>
      <c r="C230" s="136">
        <v>41887</v>
      </c>
      <c r="D230" s="137" t="s">
        <v>815</v>
      </c>
      <c r="E230" s="135" t="s">
        <v>376</v>
      </c>
      <c r="F230" s="138" t="s">
        <v>116</v>
      </c>
      <c r="G230" s="139" t="s">
        <v>816</v>
      </c>
      <c r="H230" s="140"/>
      <c r="I230" s="141">
        <v>3</v>
      </c>
      <c r="J230" s="142">
        <v>5274</v>
      </c>
      <c r="K230" s="142">
        <v>15822</v>
      </c>
      <c r="L230" s="182" t="s">
        <v>617</v>
      </c>
      <c r="M230" s="168" t="s">
        <v>21</v>
      </c>
      <c r="N230" s="132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</row>
    <row r="231" spans="1:28" s="134" customFormat="1" ht="15" customHeight="1" outlineLevel="1" x14ac:dyDescent="0.2">
      <c r="A231" s="122">
        <v>4</v>
      </c>
      <c r="B231" s="135">
        <v>50440</v>
      </c>
      <c r="C231" s="136">
        <v>41887</v>
      </c>
      <c r="D231" s="137" t="s">
        <v>817</v>
      </c>
      <c r="E231" s="135" t="s">
        <v>521</v>
      </c>
      <c r="F231" s="138" t="s">
        <v>580</v>
      </c>
      <c r="G231" s="139" t="s">
        <v>371</v>
      </c>
      <c r="H231" s="140"/>
      <c r="I231" s="141">
        <v>1</v>
      </c>
      <c r="J231" s="142">
        <v>25800</v>
      </c>
      <c r="K231" s="142">
        <v>25800</v>
      </c>
      <c r="L231" s="182" t="s">
        <v>617</v>
      </c>
      <c r="M231" s="168" t="s">
        <v>21</v>
      </c>
      <c r="N231" s="132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</row>
    <row r="232" spans="1:28" s="134" customFormat="1" ht="15" customHeight="1" outlineLevel="1" x14ac:dyDescent="0.2">
      <c r="A232" s="122">
        <v>5</v>
      </c>
      <c r="B232" s="135">
        <v>51505</v>
      </c>
      <c r="C232" s="136">
        <v>41892</v>
      </c>
      <c r="D232" s="137" t="s">
        <v>818</v>
      </c>
      <c r="E232" s="135" t="s">
        <v>381</v>
      </c>
      <c r="F232" s="138" t="s">
        <v>217</v>
      </c>
      <c r="G232" s="139" t="s">
        <v>371</v>
      </c>
      <c r="H232" s="140"/>
      <c r="I232" s="141">
        <v>1</v>
      </c>
      <c r="J232" s="142">
        <v>44597</v>
      </c>
      <c r="K232" s="142">
        <v>44597</v>
      </c>
      <c r="L232" s="182" t="s">
        <v>617</v>
      </c>
      <c r="M232" s="168" t="s">
        <v>21</v>
      </c>
      <c r="N232" s="132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</row>
    <row r="233" spans="1:28" s="134" customFormat="1" ht="15" customHeight="1" outlineLevel="1" x14ac:dyDescent="0.2">
      <c r="A233" s="122">
        <v>7</v>
      </c>
      <c r="B233" s="135">
        <v>50050</v>
      </c>
      <c r="C233" s="136">
        <v>41886</v>
      </c>
      <c r="D233" s="137" t="s">
        <v>819</v>
      </c>
      <c r="E233" s="135" t="s">
        <v>381</v>
      </c>
      <c r="F233" s="138" t="s">
        <v>217</v>
      </c>
      <c r="G233" s="139" t="s">
        <v>371</v>
      </c>
      <c r="H233" s="140"/>
      <c r="I233" s="141">
        <v>1</v>
      </c>
      <c r="J233" s="142">
        <v>44597</v>
      </c>
      <c r="K233" s="142">
        <v>44597</v>
      </c>
      <c r="L233" s="182" t="s">
        <v>617</v>
      </c>
      <c r="M233" s="168" t="s">
        <v>21</v>
      </c>
      <c r="N233" s="132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</row>
    <row r="234" spans="1:28" s="134" customFormat="1" ht="15" customHeight="1" outlineLevel="1" x14ac:dyDescent="0.2">
      <c r="A234" s="122">
        <v>8</v>
      </c>
      <c r="B234" s="135">
        <v>44286</v>
      </c>
      <c r="C234" s="136">
        <v>41870</v>
      </c>
      <c r="D234" s="137" t="s">
        <v>820</v>
      </c>
      <c r="E234" s="135" t="s">
        <v>381</v>
      </c>
      <c r="F234" s="138" t="s">
        <v>115</v>
      </c>
      <c r="G234" s="139" t="s">
        <v>472</v>
      </c>
      <c r="H234" s="140"/>
      <c r="I234" s="141">
        <v>1</v>
      </c>
      <c r="J234" s="142">
        <v>33370</v>
      </c>
      <c r="K234" s="180">
        <v>33370</v>
      </c>
      <c r="L234" s="182" t="s">
        <v>617</v>
      </c>
      <c r="M234" s="168" t="s">
        <v>21</v>
      </c>
      <c r="N234" s="132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</row>
    <row r="235" spans="1:28" s="134" customFormat="1" ht="15" customHeight="1" outlineLevel="1" x14ac:dyDescent="0.2">
      <c r="A235" s="122">
        <v>9</v>
      </c>
      <c r="B235" s="135">
        <v>48697</v>
      </c>
      <c r="C235" s="136">
        <v>41883</v>
      </c>
      <c r="D235" s="137" t="s">
        <v>821</v>
      </c>
      <c r="E235" s="135" t="s">
        <v>376</v>
      </c>
      <c r="F235" s="138" t="s">
        <v>217</v>
      </c>
      <c r="G235" s="139" t="s">
        <v>371</v>
      </c>
      <c r="H235" s="140"/>
      <c r="I235" s="141">
        <v>1</v>
      </c>
      <c r="J235" s="142">
        <v>44597</v>
      </c>
      <c r="K235" s="142">
        <v>44597</v>
      </c>
      <c r="L235" s="182" t="s">
        <v>617</v>
      </c>
      <c r="M235" s="168" t="s">
        <v>21</v>
      </c>
      <c r="N235" s="132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</row>
    <row r="236" spans="1:28" s="134" customFormat="1" ht="15" customHeight="1" outlineLevel="1" x14ac:dyDescent="0.2">
      <c r="A236" s="122">
        <v>10</v>
      </c>
      <c r="B236" s="135">
        <v>55850</v>
      </c>
      <c r="C236" s="136">
        <v>41913</v>
      </c>
      <c r="D236" s="137" t="s">
        <v>822</v>
      </c>
      <c r="E236" s="135" t="s">
        <v>376</v>
      </c>
      <c r="F236" s="138" t="s">
        <v>217</v>
      </c>
      <c r="G236" s="139" t="s">
        <v>369</v>
      </c>
      <c r="H236" s="140"/>
      <c r="I236" s="141">
        <v>1</v>
      </c>
      <c r="J236" s="142">
        <v>44597</v>
      </c>
      <c r="K236" s="142">
        <v>44597</v>
      </c>
      <c r="L236" s="182" t="s">
        <v>617</v>
      </c>
      <c r="M236" s="168" t="s">
        <v>21</v>
      </c>
      <c r="N236" s="132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</row>
    <row r="237" spans="1:28" s="134" customFormat="1" ht="15" customHeight="1" outlineLevel="1" x14ac:dyDescent="0.2">
      <c r="A237" s="122">
        <v>11</v>
      </c>
      <c r="B237" s="135">
        <v>49220</v>
      </c>
      <c r="C237" s="136">
        <v>41885</v>
      </c>
      <c r="D237" s="137" t="s">
        <v>823</v>
      </c>
      <c r="E237" s="135" t="s">
        <v>381</v>
      </c>
      <c r="F237" s="138" t="s">
        <v>682</v>
      </c>
      <c r="G237" s="139" t="s">
        <v>371</v>
      </c>
      <c r="H237" s="140"/>
      <c r="I237" s="141">
        <v>1</v>
      </c>
      <c r="J237" s="142">
        <v>55058</v>
      </c>
      <c r="K237" s="142">
        <v>55058</v>
      </c>
      <c r="L237" s="182" t="s">
        <v>617</v>
      </c>
      <c r="M237" s="168" t="s">
        <v>21</v>
      </c>
      <c r="N237" s="132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</row>
    <row r="238" spans="1:28" s="134" customFormat="1" ht="15" customHeight="1" outlineLevel="1" x14ac:dyDescent="0.2">
      <c r="A238" s="122">
        <v>12</v>
      </c>
      <c r="B238" s="135">
        <v>54698</v>
      </c>
      <c r="C238" s="136">
        <v>41905</v>
      </c>
      <c r="D238" s="137" t="s">
        <v>824</v>
      </c>
      <c r="E238" s="135" t="s">
        <v>376</v>
      </c>
      <c r="F238" s="138" t="s">
        <v>217</v>
      </c>
      <c r="G238" s="139" t="s">
        <v>371</v>
      </c>
      <c r="H238" s="140"/>
      <c r="I238" s="141">
        <v>1</v>
      </c>
      <c r="J238" s="142">
        <v>44597</v>
      </c>
      <c r="K238" s="142">
        <v>44597</v>
      </c>
      <c r="L238" s="182" t="s">
        <v>617</v>
      </c>
      <c r="M238" s="168" t="s">
        <v>21</v>
      </c>
      <c r="N238" s="132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</row>
    <row r="239" spans="1:28" s="134" customFormat="1" ht="15" customHeight="1" outlineLevel="1" x14ac:dyDescent="0.2">
      <c r="A239" s="122">
        <v>13</v>
      </c>
      <c r="B239" s="135">
        <v>48410</v>
      </c>
      <c r="C239" s="136">
        <v>41881</v>
      </c>
      <c r="D239" s="137" t="s">
        <v>825</v>
      </c>
      <c r="E239" s="135" t="s">
        <v>521</v>
      </c>
      <c r="F239" s="138" t="s">
        <v>580</v>
      </c>
      <c r="G239" s="139" t="s">
        <v>371</v>
      </c>
      <c r="H239" s="140"/>
      <c r="I239" s="141">
        <v>1</v>
      </c>
      <c r="J239" s="142">
        <v>25800</v>
      </c>
      <c r="K239" s="180">
        <v>25800</v>
      </c>
      <c r="L239" s="182" t="s">
        <v>617</v>
      </c>
      <c r="M239" s="168" t="s">
        <v>21</v>
      </c>
      <c r="N239" s="132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</row>
    <row r="240" spans="1:28" s="134" customFormat="1" ht="15" customHeight="1" outlineLevel="1" x14ac:dyDescent="0.2">
      <c r="A240" s="122">
        <v>14</v>
      </c>
      <c r="B240" s="135">
        <v>55116</v>
      </c>
      <c r="C240" s="136">
        <v>41906</v>
      </c>
      <c r="D240" s="137" t="s">
        <v>826</v>
      </c>
      <c r="E240" s="135" t="s">
        <v>381</v>
      </c>
      <c r="F240" s="138" t="s">
        <v>580</v>
      </c>
      <c r="G240" s="139" t="s">
        <v>371</v>
      </c>
      <c r="H240" s="140"/>
      <c r="I240" s="141">
        <v>1</v>
      </c>
      <c r="J240" s="142">
        <v>25800</v>
      </c>
      <c r="K240" s="142">
        <v>25800</v>
      </c>
      <c r="L240" s="182" t="s">
        <v>617</v>
      </c>
      <c r="M240" s="168" t="s">
        <v>21</v>
      </c>
      <c r="N240" s="132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</row>
    <row r="241" spans="1:28" s="134" customFormat="1" ht="15" customHeight="1" outlineLevel="1" x14ac:dyDescent="0.2">
      <c r="A241" s="122">
        <v>15</v>
      </c>
      <c r="B241" s="135">
        <v>53768</v>
      </c>
      <c r="C241" s="136">
        <v>41898</v>
      </c>
      <c r="D241" s="137" t="s">
        <v>827</v>
      </c>
      <c r="E241" s="135" t="s">
        <v>381</v>
      </c>
      <c r="F241" s="138" t="s">
        <v>116</v>
      </c>
      <c r="G241" s="139" t="s">
        <v>511</v>
      </c>
      <c r="H241" s="140"/>
      <c r="I241" s="141">
        <v>1</v>
      </c>
      <c r="J241" s="142">
        <v>5274</v>
      </c>
      <c r="K241" s="142">
        <v>5274</v>
      </c>
      <c r="L241" s="182" t="s">
        <v>617</v>
      </c>
      <c r="M241" s="168" t="s">
        <v>21</v>
      </c>
      <c r="N241" s="132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</row>
    <row r="242" spans="1:28" s="134" customFormat="1" ht="15" customHeight="1" outlineLevel="1" x14ac:dyDescent="0.2">
      <c r="A242" s="122">
        <v>16</v>
      </c>
      <c r="B242" s="135">
        <v>53768</v>
      </c>
      <c r="C242" s="136">
        <v>41898</v>
      </c>
      <c r="D242" s="137" t="s">
        <v>827</v>
      </c>
      <c r="E242" s="135" t="s">
        <v>381</v>
      </c>
      <c r="F242" s="138" t="s">
        <v>210</v>
      </c>
      <c r="G242" s="139" t="s">
        <v>511</v>
      </c>
      <c r="H242" s="140"/>
      <c r="I242" s="141">
        <v>1</v>
      </c>
      <c r="J242" s="142">
        <v>14099</v>
      </c>
      <c r="K242" s="142">
        <v>14099</v>
      </c>
      <c r="L242" s="182" t="s">
        <v>617</v>
      </c>
      <c r="M242" s="168" t="s">
        <v>21</v>
      </c>
      <c r="N242" s="132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</row>
    <row r="243" spans="1:28" s="134" customFormat="1" ht="15" customHeight="1" outlineLevel="1" x14ac:dyDescent="0.2">
      <c r="A243" s="122">
        <v>17</v>
      </c>
      <c r="B243" s="135">
        <v>50557</v>
      </c>
      <c r="C243" s="136">
        <v>41888</v>
      </c>
      <c r="D243" s="137" t="s">
        <v>828</v>
      </c>
      <c r="E243" s="135" t="s">
        <v>802</v>
      </c>
      <c r="F243" s="138" t="s">
        <v>197</v>
      </c>
      <c r="G243" s="139" t="s">
        <v>829</v>
      </c>
      <c r="H243" s="140"/>
      <c r="I243" s="141">
        <v>4</v>
      </c>
      <c r="J243" s="142">
        <v>2739</v>
      </c>
      <c r="K243" s="142">
        <v>10956</v>
      </c>
      <c r="L243" s="182" t="s">
        <v>617</v>
      </c>
      <c r="M243" s="168" t="s">
        <v>21</v>
      </c>
      <c r="N243" s="132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</row>
    <row r="244" spans="1:28" s="134" customFormat="1" ht="15" customHeight="1" outlineLevel="1" x14ac:dyDescent="0.2">
      <c r="A244" s="122">
        <v>18</v>
      </c>
      <c r="B244" s="135">
        <v>48761</v>
      </c>
      <c r="C244" s="136">
        <v>41886</v>
      </c>
      <c r="D244" s="137" t="s">
        <v>830</v>
      </c>
      <c r="E244" s="135" t="s">
        <v>389</v>
      </c>
      <c r="F244" s="138" t="s">
        <v>116</v>
      </c>
      <c r="G244" s="139" t="s">
        <v>392</v>
      </c>
      <c r="H244" s="140"/>
      <c r="I244" s="141">
        <v>1</v>
      </c>
      <c r="J244" s="142">
        <v>5274</v>
      </c>
      <c r="K244" s="142">
        <v>5274</v>
      </c>
      <c r="L244" s="182" t="s">
        <v>617</v>
      </c>
      <c r="M244" s="168" t="s">
        <v>21</v>
      </c>
      <c r="N244" s="132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</row>
    <row r="245" spans="1:28" s="134" customFormat="1" ht="15" customHeight="1" outlineLevel="1" x14ac:dyDescent="0.2">
      <c r="A245" s="122">
        <v>19</v>
      </c>
      <c r="B245" s="135">
        <v>51783</v>
      </c>
      <c r="C245" s="136">
        <v>41892</v>
      </c>
      <c r="D245" s="137" t="s">
        <v>831</v>
      </c>
      <c r="E245" s="135" t="s">
        <v>381</v>
      </c>
      <c r="F245" s="138" t="s">
        <v>682</v>
      </c>
      <c r="G245" s="139" t="s">
        <v>387</v>
      </c>
      <c r="H245" s="140"/>
      <c r="I245" s="141">
        <v>2</v>
      </c>
      <c r="J245" s="142">
        <v>55058</v>
      </c>
      <c r="K245" s="142">
        <v>110116</v>
      </c>
      <c r="L245" s="182" t="s">
        <v>617</v>
      </c>
      <c r="M245" s="168" t="s">
        <v>21</v>
      </c>
      <c r="N245" s="132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</row>
    <row r="246" spans="1:28" s="134" customFormat="1" ht="15" customHeight="1" outlineLevel="1" x14ac:dyDescent="0.2">
      <c r="A246" s="122">
        <v>20</v>
      </c>
      <c r="B246" s="135">
        <v>56809</v>
      </c>
      <c r="C246" s="136">
        <v>41912</v>
      </c>
      <c r="D246" s="137" t="s">
        <v>832</v>
      </c>
      <c r="E246" s="135" t="s">
        <v>376</v>
      </c>
      <c r="F246" s="138" t="s">
        <v>217</v>
      </c>
      <c r="G246" s="139" t="s">
        <v>369</v>
      </c>
      <c r="H246" s="140"/>
      <c r="I246" s="141">
        <v>1</v>
      </c>
      <c r="J246" s="142">
        <v>44597</v>
      </c>
      <c r="K246" s="142">
        <v>44597</v>
      </c>
      <c r="L246" s="182" t="s">
        <v>617</v>
      </c>
      <c r="M246" s="168" t="s">
        <v>21</v>
      </c>
      <c r="N246" s="132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</row>
    <row r="247" spans="1:28" s="134" customFormat="1" ht="15" customHeight="1" outlineLevel="1" x14ac:dyDescent="0.2">
      <c r="A247" s="122">
        <v>22</v>
      </c>
      <c r="B247" s="135">
        <v>55365</v>
      </c>
      <c r="C247" s="136">
        <v>41908</v>
      </c>
      <c r="D247" s="137" t="s">
        <v>833</v>
      </c>
      <c r="E247" s="135" t="s">
        <v>376</v>
      </c>
      <c r="F247" s="138" t="s">
        <v>235</v>
      </c>
      <c r="G247" s="139" t="s">
        <v>369</v>
      </c>
      <c r="H247" s="140"/>
      <c r="I247" s="141">
        <v>1</v>
      </c>
      <c r="J247" s="142">
        <v>12499</v>
      </c>
      <c r="K247" s="142">
        <v>12499</v>
      </c>
      <c r="L247" s="182" t="s">
        <v>617</v>
      </c>
      <c r="M247" s="168" t="s">
        <v>21</v>
      </c>
      <c r="N247" s="132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</row>
    <row r="248" spans="1:28" s="134" customFormat="1" ht="15" customHeight="1" outlineLevel="1" x14ac:dyDescent="0.2">
      <c r="A248" s="122">
        <v>23</v>
      </c>
      <c r="B248" s="135">
        <v>56098</v>
      </c>
      <c r="C248" s="136">
        <v>41912</v>
      </c>
      <c r="D248" s="137" t="s">
        <v>834</v>
      </c>
      <c r="E248" s="135" t="s">
        <v>381</v>
      </c>
      <c r="F248" s="138" t="s">
        <v>537</v>
      </c>
      <c r="G248" s="139" t="s">
        <v>417</v>
      </c>
      <c r="H248" s="140"/>
      <c r="I248" s="141">
        <v>1</v>
      </c>
      <c r="J248" s="142">
        <v>30429</v>
      </c>
      <c r="K248" s="142">
        <v>30429</v>
      </c>
      <c r="L248" s="182" t="s">
        <v>617</v>
      </c>
      <c r="M248" s="168" t="s">
        <v>21</v>
      </c>
      <c r="N248" s="132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</row>
    <row r="249" spans="1:28" s="134" customFormat="1" ht="15" customHeight="1" outlineLevel="1" x14ac:dyDescent="0.2">
      <c r="A249" s="122">
        <v>25</v>
      </c>
      <c r="B249" s="135">
        <v>50101</v>
      </c>
      <c r="C249" s="136">
        <v>41887</v>
      </c>
      <c r="D249" s="137" t="s">
        <v>835</v>
      </c>
      <c r="E249" s="135" t="s">
        <v>381</v>
      </c>
      <c r="F249" s="138" t="s">
        <v>682</v>
      </c>
      <c r="G249" s="139" t="s">
        <v>371</v>
      </c>
      <c r="H249" s="140"/>
      <c r="I249" s="141">
        <v>1</v>
      </c>
      <c r="J249" s="142">
        <v>55058</v>
      </c>
      <c r="K249" s="142">
        <v>55058</v>
      </c>
      <c r="L249" s="182" t="s">
        <v>617</v>
      </c>
      <c r="M249" s="168" t="s">
        <v>21</v>
      </c>
      <c r="N249" s="132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</row>
    <row r="250" spans="1:28" s="134" customFormat="1" ht="15" customHeight="1" outlineLevel="1" x14ac:dyDescent="0.2">
      <c r="A250" s="122">
        <v>26</v>
      </c>
      <c r="B250" s="135">
        <v>55891</v>
      </c>
      <c r="C250" s="136">
        <v>41911</v>
      </c>
      <c r="D250" s="137" t="s">
        <v>836</v>
      </c>
      <c r="E250" s="135" t="s">
        <v>389</v>
      </c>
      <c r="F250" s="138" t="s">
        <v>682</v>
      </c>
      <c r="G250" s="139" t="s">
        <v>387</v>
      </c>
      <c r="H250" s="140"/>
      <c r="I250" s="141">
        <v>2</v>
      </c>
      <c r="J250" s="142">
        <v>55058</v>
      </c>
      <c r="K250" s="142">
        <v>110116</v>
      </c>
      <c r="L250" s="182" t="s">
        <v>617</v>
      </c>
      <c r="M250" s="168" t="s">
        <v>21</v>
      </c>
      <c r="N250" s="132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</row>
    <row r="251" spans="1:28" s="134" customFormat="1" ht="15" customHeight="1" outlineLevel="1" x14ac:dyDescent="0.2">
      <c r="A251" s="122">
        <v>27</v>
      </c>
      <c r="B251" s="135">
        <v>51949</v>
      </c>
      <c r="C251" s="136">
        <v>41892</v>
      </c>
      <c r="D251" s="137" t="s">
        <v>711</v>
      </c>
      <c r="E251" s="135" t="s">
        <v>381</v>
      </c>
      <c r="F251" s="138" t="s">
        <v>837</v>
      </c>
      <c r="G251" s="139" t="s">
        <v>369</v>
      </c>
      <c r="H251" s="140"/>
      <c r="I251" s="141">
        <v>1</v>
      </c>
      <c r="J251" s="142">
        <v>110520</v>
      </c>
      <c r="K251" s="142">
        <v>110520</v>
      </c>
      <c r="L251" s="182" t="s">
        <v>617</v>
      </c>
      <c r="M251" s="168" t="s">
        <v>21</v>
      </c>
      <c r="N251" s="132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</row>
    <row r="252" spans="1:28" s="134" customFormat="1" ht="15" customHeight="1" outlineLevel="1" x14ac:dyDescent="0.2">
      <c r="A252" s="122">
        <v>28</v>
      </c>
      <c r="B252" s="135">
        <v>52581</v>
      </c>
      <c r="C252" s="136">
        <v>41897</v>
      </c>
      <c r="D252" s="137" t="s">
        <v>394</v>
      </c>
      <c r="E252" s="135" t="s">
        <v>376</v>
      </c>
      <c r="F252" s="138" t="s">
        <v>217</v>
      </c>
      <c r="G252" s="139" t="s">
        <v>371</v>
      </c>
      <c r="H252" s="140"/>
      <c r="I252" s="141">
        <v>1</v>
      </c>
      <c r="J252" s="142">
        <v>44597</v>
      </c>
      <c r="K252" s="142">
        <v>44597</v>
      </c>
      <c r="L252" s="182" t="s">
        <v>617</v>
      </c>
      <c r="M252" s="168" t="s">
        <v>21</v>
      </c>
      <c r="N252" s="132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</row>
    <row r="253" spans="1:28" s="134" customFormat="1" ht="15" customHeight="1" outlineLevel="1" x14ac:dyDescent="0.2">
      <c r="A253" s="122">
        <v>29</v>
      </c>
      <c r="B253" s="135">
        <v>51946</v>
      </c>
      <c r="C253" s="136">
        <v>41892</v>
      </c>
      <c r="D253" s="137" t="s">
        <v>838</v>
      </c>
      <c r="E253" s="135" t="s">
        <v>381</v>
      </c>
      <c r="F253" s="138" t="s">
        <v>537</v>
      </c>
      <c r="G253" s="139" t="s">
        <v>472</v>
      </c>
      <c r="H253" s="140"/>
      <c r="I253" s="141">
        <v>1</v>
      </c>
      <c r="J253" s="142">
        <v>30429</v>
      </c>
      <c r="K253" s="142">
        <v>30429</v>
      </c>
      <c r="L253" s="182" t="s">
        <v>617</v>
      </c>
      <c r="M253" s="168" t="s">
        <v>21</v>
      </c>
      <c r="N253" s="132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</row>
    <row r="254" spans="1:28" s="134" customFormat="1" ht="15" customHeight="1" outlineLevel="1" x14ac:dyDescent="0.2">
      <c r="A254" s="122">
        <v>1</v>
      </c>
      <c r="B254" s="135">
        <v>56142</v>
      </c>
      <c r="C254" s="136">
        <v>41934</v>
      </c>
      <c r="D254" s="137" t="s">
        <v>406</v>
      </c>
      <c r="E254" s="135" t="s">
        <v>389</v>
      </c>
      <c r="F254" s="138" t="s">
        <v>115</v>
      </c>
      <c r="G254" s="139" t="s">
        <v>410</v>
      </c>
      <c r="H254" s="140"/>
      <c r="I254" s="141">
        <v>1</v>
      </c>
      <c r="J254" s="142">
        <v>33370</v>
      </c>
      <c r="K254" s="142">
        <v>33370</v>
      </c>
      <c r="L254" s="186" t="s">
        <v>620</v>
      </c>
      <c r="M254" s="187" t="s">
        <v>21</v>
      </c>
      <c r="N254" s="132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</row>
    <row r="255" spans="1:28" s="134" customFormat="1" ht="15" customHeight="1" outlineLevel="1" x14ac:dyDescent="0.2">
      <c r="A255" s="122">
        <v>2</v>
      </c>
      <c r="B255" s="135">
        <v>55058</v>
      </c>
      <c r="C255" s="136">
        <v>41928</v>
      </c>
      <c r="D255" s="137" t="s">
        <v>839</v>
      </c>
      <c r="E255" s="135" t="s">
        <v>389</v>
      </c>
      <c r="F255" s="138" t="s">
        <v>217</v>
      </c>
      <c r="G255" s="139" t="s">
        <v>371</v>
      </c>
      <c r="H255" s="140"/>
      <c r="I255" s="141">
        <v>1</v>
      </c>
      <c r="J255" s="142">
        <v>44597</v>
      </c>
      <c r="K255" s="142">
        <v>44597</v>
      </c>
      <c r="L255" s="186" t="s">
        <v>620</v>
      </c>
      <c r="M255" s="187" t="s">
        <v>21</v>
      </c>
      <c r="N255" s="132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</row>
    <row r="256" spans="1:28" s="134" customFormat="1" ht="15" customHeight="1" outlineLevel="1" x14ac:dyDescent="0.2">
      <c r="A256" s="122">
        <v>3</v>
      </c>
      <c r="B256" s="135">
        <v>57849</v>
      </c>
      <c r="C256" s="136">
        <v>41939</v>
      </c>
      <c r="D256" s="137" t="s">
        <v>840</v>
      </c>
      <c r="E256" s="135" t="s">
        <v>376</v>
      </c>
      <c r="F256" s="138" t="s">
        <v>217</v>
      </c>
      <c r="G256" s="139" t="s">
        <v>371</v>
      </c>
      <c r="H256" s="140"/>
      <c r="I256" s="141">
        <v>1</v>
      </c>
      <c r="J256" s="142">
        <v>44597</v>
      </c>
      <c r="K256" s="142">
        <v>44597</v>
      </c>
      <c r="L256" s="186" t="s">
        <v>620</v>
      </c>
      <c r="M256" s="187" t="s">
        <v>21</v>
      </c>
      <c r="N256" s="132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</row>
    <row r="257" spans="1:28" s="134" customFormat="1" ht="15" customHeight="1" outlineLevel="1" x14ac:dyDescent="0.2">
      <c r="A257" s="122">
        <v>4</v>
      </c>
      <c r="B257" s="135">
        <v>60286</v>
      </c>
      <c r="C257" s="136">
        <v>41942</v>
      </c>
      <c r="D257" s="137" t="s">
        <v>841</v>
      </c>
      <c r="E257" s="135" t="s">
        <v>376</v>
      </c>
      <c r="F257" s="138" t="s">
        <v>217</v>
      </c>
      <c r="G257" s="139" t="s">
        <v>371</v>
      </c>
      <c r="H257" s="140"/>
      <c r="I257" s="141">
        <v>1</v>
      </c>
      <c r="J257" s="142">
        <v>44597</v>
      </c>
      <c r="K257" s="142">
        <v>44597</v>
      </c>
      <c r="L257" s="186" t="s">
        <v>620</v>
      </c>
      <c r="M257" s="187" t="s">
        <v>21</v>
      </c>
      <c r="N257" s="132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</row>
    <row r="258" spans="1:28" s="134" customFormat="1" ht="15" customHeight="1" outlineLevel="1" x14ac:dyDescent="0.2">
      <c r="A258" s="122">
        <v>5</v>
      </c>
      <c r="B258" s="135">
        <v>56758</v>
      </c>
      <c r="C258" s="136">
        <v>41935</v>
      </c>
      <c r="D258" s="137" t="s">
        <v>393</v>
      </c>
      <c r="E258" s="135" t="s">
        <v>381</v>
      </c>
      <c r="F258" s="138" t="s">
        <v>217</v>
      </c>
      <c r="G258" s="139" t="s">
        <v>371</v>
      </c>
      <c r="H258" s="140"/>
      <c r="I258" s="141">
        <v>1</v>
      </c>
      <c r="J258" s="142">
        <v>44597</v>
      </c>
      <c r="K258" s="142">
        <v>44597</v>
      </c>
      <c r="L258" s="186" t="s">
        <v>620</v>
      </c>
      <c r="M258" s="187" t="s">
        <v>21</v>
      </c>
      <c r="N258" s="132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</row>
    <row r="259" spans="1:28" s="134" customFormat="1" ht="15" customHeight="1" outlineLevel="1" x14ac:dyDescent="0.2">
      <c r="A259" s="122">
        <v>6</v>
      </c>
      <c r="B259" s="135">
        <v>57363</v>
      </c>
      <c r="C259" s="136">
        <v>41936</v>
      </c>
      <c r="D259" s="137" t="s">
        <v>842</v>
      </c>
      <c r="E259" s="135" t="s">
        <v>376</v>
      </c>
      <c r="F259" s="138" t="s">
        <v>217</v>
      </c>
      <c r="G259" s="139" t="s">
        <v>371</v>
      </c>
      <c r="H259" s="140"/>
      <c r="I259" s="141">
        <v>1</v>
      </c>
      <c r="J259" s="142">
        <v>44597</v>
      </c>
      <c r="K259" s="142">
        <v>44597</v>
      </c>
      <c r="L259" s="186" t="s">
        <v>620</v>
      </c>
      <c r="M259" s="187" t="s">
        <v>21</v>
      </c>
      <c r="N259" s="132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</row>
    <row r="260" spans="1:28" s="134" customFormat="1" ht="15" customHeight="1" outlineLevel="1" x14ac:dyDescent="0.2">
      <c r="A260" s="122">
        <v>7</v>
      </c>
      <c r="B260" s="135">
        <v>50880</v>
      </c>
      <c r="C260" s="136">
        <v>41890</v>
      </c>
      <c r="D260" s="137" t="s">
        <v>843</v>
      </c>
      <c r="E260" s="135" t="s">
        <v>376</v>
      </c>
      <c r="F260" s="138" t="s">
        <v>217</v>
      </c>
      <c r="G260" s="139" t="s">
        <v>371</v>
      </c>
      <c r="H260" s="140"/>
      <c r="I260" s="141">
        <v>1</v>
      </c>
      <c r="J260" s="142">
        <v>44597</v>
      </c>
      <c r="K260" s="142">
        <v>44597</v>
      </c>
      <c r="L260" s="186" t="s">
        <v>620</v>
      </c>
      <c r="M260" s="187" t="s">
        <v>21</v>
      </c>
      <c r="N260" s="132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</row>
    <row r="261" spans="1:28" s="134" customFormat="1" ht="15" customHeight="1" outlineLevel="1" x14ac:dyDescent="0.2">
      <c r="A261" s="122">
        <v>8</v>
      </c>
      <c r="B261" s="135">
        <v>58073</v>
      </c>
      <c r="C261" s="136">
        <v>41939</v>
      </c>
      <c r="D261" s="137" t="s">
        <v>844</v>
      </c>
      <c r="E261" s="135" t="s">
        <v>381</v>
      </c>
      <c r="F261" s="138" t="s">
        <v>217</v>
      </c>
      <c r="G261" s="139" t="s">
        <v>371</v>
      </c>
      <c r="H261" s="140"/>
      <c r="I261" s="141">
        <v>1</v>
      </c>
      <c r="J261" s="142">
        <v>44597</v>
      </c>
      <c r="K261" s="142">
        <v>44597</v>
      </c>
      <c r="L261" s="186" t="s">
        <v>620</v>
      </c>
      <c r="M261" s="187" t="s">
        <v>21</v>
      </c>
      <c r="N261" s="132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</row>
    <row r="262" spans="1:28" s="134" customFormat="1" ht="15.75" customHeight="1" outlineLevel="1" x14ac:dyDescent="0.2">
      <c r="A262" s="122">
        <v>9</v>
      </c>
      <c r="B262" s="135">
        <v>55911</v>
      </c>
      <c r="C262" s="136">
        <v>41930</v>
      </c>
      <c r="D262" s="137" t="s">
        <v>845</v>
      </c>
      <c r="E262" s="135" t="s">
        <v>376</v>
      </c>
      <c r="F262" s="138" t="s">
        <v>217</v>
      </c>
      <c r="G262" s="139" t="s">
        <v>369</v>
      </c>
      <c r="H262" s="140"/>
      <c r="I262" s="141">
        <v>1</v>
      </c>
      <c r="J262" s="142">
        <v>44597</v>
      </c>
      <c r="K262" s="142">
        <v>44597</v>
      </c>
      <c r="L262" s="186" t="s">
        <v>620</v>
      </c>
      <c r="M262" s="187" t="s">
        <v>21</v>
      </c>
      <c r="N262" s="132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</row>
    <row r="263" spans="1:28" s="134" customFormat="1" ht="15" customHeight="1" outlineLevel="1" x14ac:dyDescent="0.2">
      <c r="A263" s="122">
        <v>10</v>
      </c>
      <c r="B263" s="135">
        <v>57077</v>
      </c>
      <c r="C263" s="136">
        <v>41915</v>
      </c>
      <c r="D263" s="137" t="s">
        <v>845</v>
      </c>
      <c r="E263" s="135" t="s">
        <v>376</v>
      </c>
      <c r="F263" s="138" t="s">
        <v>217</v>
      </c>
      <c r="G263" s="139" t="s">
        <v>371</v>
      </c>
      <c r="H263" s="140"/>
      <c r="I263" s="141">
        <v>1</v>
      </c>
      <c r="J263" s="142">
        <v>44597</v>
      </c>
      <c r="K263" s="142">
        <v>44597</v>
      </c>
      <c r="L263" s="186" t="s">
        <v>620</v>
      </c>
      <c r="M263" s="187" t="s">
        <v>21</v>
      </c>
      <c r="N263" s="132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</row>
    <row r="264" spans="1:28" s="134" customFormat="1" ht="15" customHeight="1" outlineLevel="1" x14ac:dyDescent="0.2">
      <c r="A264" s="122">
        <v>11</v>
      </c>
      <c r="B264" s="135">
        <v>58789</v>
      </c>
      <c r="C264" s="136">
        <v>41939</v>
      </c>
      <c r="D264" s="137" t="s">
        <v>671</v>
      </c>
      <c r="E264" s="135" t="s">
        <v>381</v>
      </c>
      <c r="F264" s="138" t="s">
        <v>846</v>
      </c>
      <c r="G264" s="139" t="s">
        <v>371</v>
      </c>
      <c r="H264" s="140"/>
      <c r="I264" s="141">
        <v>1</v>
      </c>
      <c r="J264" s="142">
        <v>334719</v>
      </c>
      <c r="K264" s="142">
        <v>334719</v>
      </c>
      <c r="L264" s="186" t="s">
        <v>620</v>
      </c>
      <c r="M264" s="187" t="s">
        <v>21</v>
      </c>
      <c r="N264" s="132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</row>
    <row r="265" spans="1:28" s="134" customFormat="1" ht="15" customHeight="1" outlineLevel="1" x14ac:dyDescent="0.2">
      <c r="A265" s="122">
        <v>13</v>
      </c>
      <c r="B265" s="135">
        <v>59324</v>
      </c>
      <c r="C265" s="136">
        <v>41921</v>
      </c>
      <c r="D265" s="137" t="s">
        <v>847</v>
      </c>
      <c r="E265" s="135" t="s">
        <v>389</v>
      </c>
      <c r="F265" s="138" t="s">
        <v>537</v>
      </c>
      <c r="G265" s="139" t="s">
        <v>431</v>
      </c>
      <c r="H265" s="140"/>
      <c r="I265" s="141">
        <v>1</v>
      </c>
      <c r="J265" s="142">
        <v>30429</v>
      </c>
      <c r="K265" s="142">
        <v>30429</v>
      </c>
      <c r="L265" s="186" t="s">
        <v>620</v>
      </c>
      <c r="M265" s="187" t="s">
        <v>21</v>
      </c>
      <c r="N265" s="132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</row>
    <row r="266" spans="1:28" s="134" customFormat="1" ht="15" customHeight="1" outlineLevel="1" x14ac:dyDescent="0.2">
      <c r="A266" s="122">
        <v>14</v>
      </c>
      <c r="B266" s="135">
        <v>58843</v>
      </c>
      <c r="C266" s="136">
        <v>41920</v>
      </c>
      <c r="D266" s="137" t="s">
        <v>848</v>
      </c>
      <c r="E266" s="135" t="s">
        <v>802</v>
      </c>
      <c r="F266" s="138" t="s">
        <v>197</v>
      </c>
      <c r="G266" s="139" t="s">
        <v>829</v>
      </c>
      <c r="H266" s="140"/>
      <c r="I266" s="141">
        <v>4</v>
      </c>
      <c r="J266" s="142">
        <v>2739</v>
      </c>
      <c r="K266" s="142">
        <v>10956</v>
      </c>
      <c r="L266" s="186" t="s">
        <v>620</v>
      </c>
      <c r="M266" s="187" t="s">
        <v>21</v>
      </c>
      <c r="N266" s="132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</row>
    <row r="267" spans="1:28" s="134" customFormat="1" ht="15" customHeight="1" outlineLevel="1" x14ac:dyDescent="0.2">
      <c r="A267" s="122">
        <v>15</v>
      </c>
      <c r="B267" s="135">
        <v>58843</v>
      </c>
      <c r="C267" s="136">
        <v>41920</v>
      </c>
      <c r="D267" s="137" t="s">
        <v>848</v>
      </c>
      <c r="E267" s="135" t="s">
        <v>802</v>
      </c>
      <c r="F267" s="138" t="s">
        <v>622</v>
      </c>
      <c r="G267" s="139" t="s">
        <v>371</v>
      </c>
      <c r="H267" s="140"/>
      <c r="I267" s="141">
        <v>1</v>
      </c>
      <c r="J267" s="142">
        <v>15722</v>
      </c>
      <c r="K267" s="142">
        <v>15722</v>
      </c>
      <c r="L267" s="186" t="s">
        <v>620</v>
      </c>
      <c r="M267" s="187" t="s">
        <v>21</v>
      </c>
      <c r="N267" s="132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</row>
    <row r="268" spans="1:28" s="134" customFormat="1" ht="15" customHeight="1" outlineLevel="1" x14ac:dyDescent="0.2">
      <c r="A268" s="122">
        <v>17</v>
      </c>
      <c r="B268" s="135">
        <v>58925</v>
      </c>
      <c r="C268" s="136">
        <v>41940</v>
      </c>
      <c r="D268" s="137" t="s">
        <v>849</v>
      </c>
      <c r="E268" s="135" t="s">
        <v>802</v>
      </c>
      <c r="F268" s="138" t="s">
        <v>116</v>
      </c>
      <c r="G268" s="139" t="s">
        <v>400</v>
      </c>
      <c r="H268" s="140"/>
      <c r="I268" s="141">
        <v>2</v>
      </c>
      <c r="J268" s="142">
        <v>5274</v>
      </c>
      <c r="K268" s="142">
        <v>10548</v>
      </c>
      <c r="L268" s="186" t="s">
        <v>620</v>
      </c>
      <c r="M268" s="187" t="s">
        <v>21</v>
      </c>
      <c r="N268" s="132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</row>
    <row r="269" spans="1:28" s="134" customFormat="1" ht="15" customHeight="1" outlineLevel="1" x14ac:dyDescent="0.2">
      <c r="A269" s="122">
        <v>18</v>
      </c>
      <c r="B269" s="135">
        <v>58914</v>
      </c>
      <c r="C269" s="136">
        <v>41920</v>
      </c>
      <c r="D269" s="137" t="s">
        <v>850</v>
      </c>
      <c r="E269" s="135" t="s">
        <v>381</v>
      </c>
      <c r="F269" s="138" t="s">
        <v>217</v>
      </c>
      <c r="G269" s="139" t="s">
        <v>371</v>
      </c>
      <c r="H269" s="140"/>
      <c r="I269" s="141">
        <v>1</v>
      </c>
      <c r="J269" s="142">
        <v>44597</v>
      </c>
      <c r="K269" s="142">
        <v>44597</v>
      </c>
      <c r="L269" s="186" t="s">
        <v>620</v>
      </c>
      <c r="M269" s="187" t="s">
        <v>21</v>
      </c>
      <c r="N269" s="132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</row>
    <row r="270" spans="1:28" s="134" customFormat="1" ht="15" customHeight="1" outlineLevel="1" x14ac:dyDescent="0.2">
      <c r="A270" s="122">
        <v>19</v>
      </c>
      <c r="B270" s="135">
        <v>58914</v>
      </c>
      <c r="C270" s="136">
        <v>41920</v>
      </c>
      <c r="D270" s="137" t="s">
        <v>850</v>
      </c>
      <c r="E270" s="135" t="s">
        <v>381</v>
      </c>
      <c r="F270" s="138" t="s">
        <v>682</v>
      </c>
      <c r="G270" s="139" t="s">
        <v>369</v>
      </c>
      <c r="H270" s="140"/>
      <c r="I270" s="141">
        <v>1</v>
      </c>
      <c r="J270" s="142">
        <v>55058</v>
      </c>
      <c r="K270" s="142">
        <v>55058</v>
      </c>
      <c r="L270" s="186" t="s">
        <v>620</v>
      </c>
      <c r="M270" s="187" t="s">
        <v>21</v>
      </c>
      <c r="N270" s="132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</row>
    <row r="271" spans="1:28" s="134" customFormat="1" ht="15" customHeight="1" outlineLevel="1" x14ac:dyDescent="0.2">
      <c r="A271" s="122">
        <v>20</v>
      </c>
      <c r="B271" s="135">
        <v>55190</v>
      </c>
      <c r="C271" s="136">
        <v>41929</v>
      </c>
      <c r="D271" s="137" t="s">
        <v>851</v>
      </c>
      <c r="E271" s="135" t="s">
        <v>381</v>
      </c>
      <c r="F271" s="138" t="s">
        <v>217</v>
      </c>
      <c r="G271" s="139" t="s">
        <v>371</v>
      </c>
      <c r="H271" s="140"/>
      <c r="I271" s="141">
        <v>1</v>
      </c>
      <c r="J271" s="142">
        <v>44597</v>
      </c>
      <c r="K271" s="142">
        <v>44597</v>
      </c>
      <c r="L271" s="186" t="s">
        <v>620</v>
      </c>
      <c r="M271" s="187" t="s">
        <v>21</v>
      </c>
      <c r="N271" s="132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</row>
    <row r="272" spans="1:28" s="134" customFormat="1" ht="15" customHeight="1" outlineLevel="1" x14ac:dyDescent="0.2">
      <c r="A272" s="122">
        <v>21</v>
      </c>
      <c r="B272" s="135">
        <v>55190</v>
      </c>
      <c r="C272" s="136">
        <v>41929</v>
      </c>
      <c r="D272" s="137" t="s">
        <v>851</v>
      </c>
      <c r="E272" s="135" t="s">
        <v>381</v>
      </c>
      <c r="F272" s="138" t="s">
        <v>682</v>
      </c>
      <c r="G272" s="139" t="s">
        <v>369</v>
      </c>
      <c r="H272" s="140"/>
      <c r="I272" s="141">
        <v>1</v>
      </c>
      <c r="J272" s="142">
        <v>55058</v>
      </c>
      <c r="K272" s="142">
        <v>55058</v>
      </c>
      <c r="L272" s="186" t="s">
        <v>620</v>
      </c>
      <c r="M272" s="187" t="s">
        <v>21</v>
      </c>
      <c r="N272" s="132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</row>
    <row r="273" spans="1:28" s="134" customFormat="1" ht="15" customHeight="1" outlineLevel="1" x14ac:dyDescent="0.2">
      <c r="A273" s="122">
        <v>22</v>
      </c>
      <c r="B273" s="135">
        <v>58764</v>
      </c>
      <c r="C273" s="136">
        <v>41939</v>
      </c>
      <c r="D273" s="137" t="s">
        <v>852</v>
      </c>
      <c r="E273" s="135" t="s">
        <v>478</v>
      </c>
      <c r="F273" s="138" t="s">
        <v>217</v>
      </c>
      <c r="G273" s="139" t="s">
        <v>371</v>
      </c>
      <c r="H273" s="140"/>
      <c r="I273" s="141">
        <v>1</v>
      </c>
      <c r="J273" s="142">
        <v>44597</v>
      </c>
      <c r="K273" s="142">
        <v>44597</v>
      </c>
      <c r="L273" s="186" t="s">
        <v>620</v>
      </c>
      <c r="M273" s="187" t="s">
        <v>21</v>
      </c>
      <c r="N273" s="132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</row>
    <row r="274" spans="1:28" s="134" customFormat="1" ht="15" customHeight="1" outlineLevel="1" x14ac:dyDescent="0.2">
      <c r="A274" s="122">
        <v>23</v>
      </c>
      <c r="B274" s="135">
        <v>53628</v>
      </c>
      <c r="C274" s="136">
        <v>41928</v>
      </c>
      <c r="D274" s="137" t="s">
        <v>853</v>
      </c>
      <c r="E274" s="135" t="s">
        <v>381</v>
      </c>
      <c r="F274" s="138" t="s">
        <v>217</v>
      </c>
      <c r="G274" s="139" t="s">
        <v>371</v>
      </c>
      <c r="H274" s="140"/>
      <c r="I274" s="141">
        <v>1</v>
      </c>
      <c r="J274" s="142">
        <v>44597</v>
      </c>
      <c r="K274" s="142">
        <v>44597</v>
      </c>
      <c r="L274" s="186" t="s">
        <v>620</v>
      </c>
      <c r="M274" s="187" t="s">
        <v>21</v>
      </c>
      <c r="N274" s="132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</row>
    <row r="275" spans="1:28" s="134" customFormat="1" ht="15" customHeight="1" outlineLevel="1" x14ac:dyDescent="0.2">
      <c r="A275" s="122">
        <v>24</v>
      </c>
      <c r="B275" s="135">
        <v>53606</v>
      </c>
      <c r="C275" s="136">
        <v>41927</v>
      </c>
      <c r="D275" s="137" t="s">
        <v>854</v>
      </c>
      <c r="E275" s="135" t="s">
        <v>381</v>
      </c>
      <c r="F275" s="138" t="s">
        <v>217</v>
      </c>
      <c r="G275" s="139" t="s">
        <v>371</v>
      </c>
      <c r="H275" s="140"/>
      <c r="I275" s="141">
        <v>1</v>
      </c>
      <c r="J275" s="142">
        <v>44597</v>
      </c>
      <c r="K275" s="142">
        <v>44597</v>
      </c>
      <c r="L275" s="186" t="s">
        <v>620</v>
      </c>
      <c r="M275" s="187" t="s">
        <v>21</v>
      </c>
      <c r="N275" s="132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</row>
    <row r="276" spans="1:28" s="134" customFormat="1" ht="15" customHeight="1" outlineLevel="1" x14ac:dyDescent="0.2">
      <c r="A276" s="122">
        <v>25</v>
      </c>
      <c r="B276" s="135">
        <v>56940</v>
      </c>
      <c r="C276" s="136">
        <v>41914</v>
      </c>
      <c r="D276" s="137" t="s">
        <v>855</v>
      </c>
      <c r="E276" s="135" t="s">
        <v>802</v>
      </c>
      <c r="F276" s="138" t="s">
        <v>197</v>
      </c>
      <c r="G276" s="188" t="s">
        <v>856</v>
      </c>
      <c r="H276" s="140"/>
      <c r="I276" s="141">
        <v>11</v>
      </c>
      <c r="J276" s="142">
        <v>2739</v>
      </c>
      <c r="K276" s="142">
        <v>30129</v>
      </c>
      <c r="L276" s="186" t="s">
        <v>620</v>
      </c>
      <c r="M276" s="187" t="s">
        <v>21</v>
      </c>
      <c r="N276" s="132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</row>
    <row r="277" spans="1:28" s="134" customFormat="1" ht="15" customHeight="1" outlineLevel="1" x14ac:dyDescent="0.2">
      <c r="A277" s="122">
        <v>26</v>
      </c>
      <c r="B277" s="135">
        <v>56940</v>
      </c>
      <c r="C277" s="136">
        <v>41914</v>
      </c>
      <c r="D277" s="137" t="s">
        <v>855</v>
      </c>
      <c r="E277" s="135" t="s">
        <v>802</v>
      </c>
      <c r="F277" s="138" t="s">
        <v>622</v>
      </c>
      <c r="G277" s="139" t="s">
        <v>387</v>
      </c>
      <c r="H277" s="140"/>
      <c r="I277" s="141">
        <v>2</v>
      </c>
      <c r="J277" s="142">
        <v>15722</v>
      </c>
      <c r="K277" s="142">
        <v>31444</v>
      </c>
      <c r="L277" s="186" t="s">
        <v>620</v>
      </c>
      <c r="M277" s="187" t="s">
        <v>21</v>
      </c>
      <c r="N277" s="132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</row>
    <row r="278" spans="1:28" s="134" customFormat="1" ht="15" customHeight="1" outlineLevel="1" x14ac:dyDescent="0.2">
      <c r="A278" s="122">
        <v>27</v>
      </c>
      <c r="B278" s="135">
        <v>59096</v>
      </c>
      <c r="C278" s="136">
        <v>41948</v>
      </c>
      <c r="D278" s="137" t="s">
        <v>857</v>
      </c>
      <c r="E278" s="135" t="s">
        <v>381</v>
      </c>
      <c r="F278" s="138" t="s">
        <v>682</v>
      </c>
      <c r="G278" s="139" t="s">
        <v>369</v>
      </c>
      <c r="H278" s="140"/>
      <c r="I278" s="141">
        <v>1</v>
      </c>
      <c r="J278" s="142">
        <v>55058</v>
      </c>
      <c r="K278" s="142">
        <v>55058</v>
      </c>
      <c r="L278" s="186" t="s">
        <v>620</v>
      </c>
      <c r="M278" s="187" t="s">
        <v>21</v>
      </c>
      <c r="N278" s="132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</row>
    <row r="279" spans="1:28" s="134" customFormat="1" ht="15" customHeight="1" outlineLevel="1" x14ac:dyDescent="0.2">
      <c r="A279" s="122">
        <v>28</v>
      </c>
      <c r="B279" s="135">
        <v>53997</v>
      </c>
      <c r="C279" s="136">
        <v>41927</v>
      </c>
      <c r="D279" s="137" t="s">
        <v>858</v>
      </c>
      <c r="E279" s="135" t="s">
        <v>381</v>
      </c>
      <c r="F279" s="138" t="s">
        <v>217</v>
      </c>
      <c r="G279" s="139" t="s">
        <v>371</v>
      </c>
      <c r="H279" s="140"/>
      <c r="I279" s="141">
        <v>1</v>
      </c>
      <c r="J279" s="142">
        <v>44597</v>
      </c>
      <c r="K279" s="142">
        <v>44597</v>
      </c>
      <c r="L279" s="186" t="s">
        <v>620</v>
      </c>
      <c r="M279" s="187" t="s">
        <v>21</v>
      </c>
      <c r="N279" s="132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</row>
    <row r="280" spans="1:28" s="134" customFormat="1" ht="15" customHeight="1" outlineLevel="1" x14ac:dyDescent="0.2">
      <c r="A280" s="122">
        <v>29</v>
      </c>
      <c r="B280" s="135">
        <v>58199</v>
      </c>
      <c r="C280" s="136">
        <v>41918</v>
      </c>
      <c r="D280" s="137" t="s">
        <v>859</v>
      </c>
      <c r="E280" s="135" t="s">
        <v>376</v>
      </c>
      <c r="F280" s="138" t="s">
        <v>217</v>
      </c>
      <c r="G280" s="139" t="s">
        <v>371</v>
      </c>
      <c r="H280" s="140"/>
      <c r="I280" s="141">
        <v>1</v>
      </c>
      <c r="J280" s="142">
        <v>44597</v>
      </c>
      <c r="K280" s="142">
        <v>44597</v>
      </c>
      <c r="L280" s="186" t="s">
        <v>620</v>
      </c>
      <c r="M280" s="187" t="s">
        <v>21</v>
      </c>
      <c r="N280" s="132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</row>
    <row r="281" spans="1:28" s="134" customFormat="1" ht="15" customHeight="1" outlineLevel="1" x14ac:dyDescent="0.2">
      <c r="A281" s="122">
        <v>30</v>
      </c>
      <c r="B281" s="135">
        <v>58199</v>
      </c>
      <c r="C281" s="136">
        <v>41918</v>
      </c>
      <c r="D281" s="137" t="s">
        <v>859</v>
      </c>
      <c r="E281" s="135" t="s">
        <v>376</v>
      </c>
      <c r="F281" s="138" t="s">
        <v>682</v>
      </c>
      <c r="G281" s="139" t="s">
        <v>369</v>
      </c>
      <c r="H281" s="140"/>
      <c r="I281" s="141">
        <v>1</v>
      </c>
      <c r="J281" s="142">
        <v>55058</v>
      </c>
      <c r="K281" s="142">
        <v>55058</v>
      </c>
      <c r="L281" s="186" t="s">
        <v>620</v>
      </c>
      <c r="M281" s="187" t="s">
        <v>21</v>
      </c>
      <c r="N281" s="132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</row>
    <row r="282" spans="1:28" s="134" customFormat="1" ht="15" customHeight="1" outlineLevel="1" x14ac:dyDescent="0.2">
      <c r="A282" s="122">
        <v>31</v>
      </c>
      <c r="B282" s="135">
        <v>53894</v>
      </c>
      <c r="C282" s="136">
        <v>41926</v>
      </c>
      <c r="D282" s="137" t="s">
        <v>803</v>
      </c>
      <c r="E282" s="135" t="s">
        <v>381</v>
      </c>
      <c r="F282" s="138" t="s">
        <v>682</v>
      </c>
      <c r="G282" s="139" t="s">
        <v>369</v>
      </c>
      <c r="H282" s="140"/>
      <c r="I282" s="141">
        <v>1</v>
      </c>
      <c r="J282" s="142">
        <v>55058</v>
      </c>
      <c r="K282" s="142">
        <v>55058</v>
      </c>
      <c r="L282" s="186" t="s">
        <v>620</v>
      </c>
      <c r="M282" s="187" t="s">
        <v>21</v>
      </c>
      <c r="N282" s="132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</row>
    <row r="283" spans="1:28" s="134" customFormat="1" ht="15" customHeight="1" outlineLevel="1" x14ac:dyDescent="0.2">
      <c r="A283" s="122">
        <v>32</v>
      </c>
      <c r="B283" s="135">
        <v>50457</v>
      </c>
      <c r="C283" s="136">
        <v>41887</v>
      </c>
      <c r="D283" s="137" t="s">
        <v>860</v>
      </c>
      <c r="E283" s="135" t="s">
        <v>381</v>
      </c>
      <c r="F283" s="138" t="s">
        <v>217</v>
      </c>
      <c r="G283" s="139" t="s">
        <v>371</v>
      </c>
      <c r="H283" s="140"/>
      <c r="I283" s="141">
        <v>1</v>
      </c>
      <c r="J283" s="142">
        <v>44597</v>
      </c>
      <c r="K283" s="142">
        <v>44597</v>
      </c>
      <c r="L283" s="186" t="s">
        <v>620</v>
      </c>
      <c r="M283" s="187" t="s">
        <v>21</v>
      </c>
      <c r="N283" s="132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</row>
    <row r="284" spans="1:28" s="134" customFormat="1" ht="15" customHeight="1" outlineLevel="1" x14ac:dyDescent="0.2">
      <c r="A284" s="122">
        <v>33</v>
      </c>
      <c r="B284" s="135">
        <v>58496</v>
      </c>
      <c r="C284" s="136">
        <v>41920</v>
      </c>
      <c r="D284" s="137" t="s">
        <v>861</v>
      </c>
      <c r="E284" s="135" t="s">
        <v>862</v>
      </c>
      <c r="F284" s="138" t="s">
        <v>580</v>
      </c>
      <c r="G284" s="139" t="s">
        <v>371</v>
      </c>
      <c r="H284" s="140"/>
      <c r="I284" s="141">
        <v>1</v>
      </c>
      <c r="J284" s="142">
        <v>25800</v>
      </c>
      <c r="K284" s="142">
        <v>25800</v>
      </c>
      <c r="L284" s="186" t="s">
        <v>620</v>
      </c>
      <c r="M284" s="187" t="s">
        <v>21</v>
      </c>
      <c r="N284" s="132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</row>
    <row r="285" spans="1:28" s="134" customFormat="1" ht="15" customHeight="1" outlineLevel="1" x14ac:dyDescent="0.2">
      <c r="A285" s="122">
        <v>34</v>
      </c>
      <c r="B285" s="135">
        <v>58107</v>
      </c>
      <c r="C285" s="136">
        <v>41918</v>
      </c>
      <c r="D285" s="137" t="s">
        <v>863</v>
      </c>
      <c r="E285" s="135" t="s">
        <v>376</v>
      </c>
      <c r="F285" s="138" t="s">
        <v>682</v>
      </c>
      <c r="G285" s="139" t="s">
        <v>371</v>
      </c>
      <c r="H285" s="140"/>
      <c r="I285" s="141">
        <v>1</v>
      </c>
      <c r="J285" s="142">
        <v>55058</v>
      </c>
      <c r="K285" s="142">
        <v>55058</v>
      </c>
      <c r="L285" s="186" t="s">
        <v>620</v>
      </c>
      <c r="M285" s="187" t="s">
        <v>21</v>
      </c>
      <c r="N285" s="132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</row>
    <row r="286" spans="1:28" s="134" customFormat="1" ht="15" customHeight="1" outlineLevel="1" x14ac:dyDescent="0.2">
      <c r="A286" s="122">
        <v>35</v>
      </c>
      <c r="B286" s="135">
        <v>57922</v>
      </c>
      <c r="C286" s="136">
        <v>41939</v>
      </c>
      <c r="D286" s="137" t="s">
        <v>864</v>
      </c>
      <c r="E286" s="135" t="s">
        <v>376</v>
      </c>
      <c r="F286" s="138" t="s">
        <v>217</v>
      </c>
      <c r="G286" s="139" t="s">
        <v>387</v>
      </c>
      <c r="H286" s="140"/>
      <c r="I286" s="141">
        <v>2</v>
      </c>
      <c r="J286" s="142">
        <v>44597</v>
      </c>
      <c r="K286" s="142">
        <v>89194</v>
      </c>
      <c r="L286" s="186" t="s">
        <v>620</v>
      </c>
      <c r="M286" s="187" t="s">
        <v>21</v>
      </c>
      <c r="N286" s="132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</row>
    <row r="287" spans="1:28" s="134" customFormat="1" ht="15" customHeight="1" outlineLevel="1" x14ac:dyDescent="0.2">
      <c r="A287" s="122">
        <v>36</v>
      </c>
      <c r="B287" s="135">
        <v>59800</v>
      </c>
      <c r="C287" s="136">
        <v>41942</v>
      </c>
      <c r="D287" s="137" t="s">
        <v>865</v>
      </c>
      <c r="E287" s="135" t="s">
        <v>389</v>
      </c>
      <c r="F287" s="138" t="s">
        <v>682</v>
      </c>
      <c r="G287" s="139" t="s">
        <v>371</v>
      </c>
      <c r="H287" s="140"/>
      <c r="I287" s="141">
        <v>1</v>
      </c>
      <c r="J287" s="142">
        <v>55058</v>
      </c>
      <c r="K287" s="142">
        <v>55058</v>
      </c>
      <c r="L287" s="186" t="s">
        <v>620</v>
      </c>
      <c r="M287" s="187" t="s">
        <v>21</v>
      </c>
      <c r="N287" s="132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</row>
    <row r="288" spans="1:28" s="134" customFormat="1" ht="15" customHeight="1" outlineLevel="1" x14ac:dyDescent="0.2">
      <c r="A288" s="122">
        <v>37</v>
      </c>
      <c r="B288" s="135">
        <v>57813</v>
      </c>
      <c r="C288" s="136">
        <v>41936</v>
      </c>
      <c r="D288" s="137" t="s">
        <v>866</v>
      </c>
      <c r="E288" s="135" t="s">
        <v>376</v>
      </c>
      <c r="F288" s="138" t="s">
        <v>217</v>
      </c>
      <c r="G288" s="139" t="s">
        <v>387</v>
      </c>
      <c r="H288" s="140"/>
      <c r="I288" s="141">
        <v>2</v>
      </c>
      <c r="J288" s="142">
        <v>44597</v>
      </c>
      <c r="K288" s="142">
        <v>89194</v>
      </c>
      <c r="L288" s="186" t="s">
        <v>620</v>
      </c>
      <c r="M288" s="187" t="s">
        <v>21</v>
      </c>
      <c r="N288" s="132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</row>
    <row r="289" spans="1:28" s="134" customFormat="1" ht="15" customHeight="1" outlineLevel="1" x14ac:dyDescent="0.2">
      <c r="A289" s="122">
        <v>38</v>
      </c>
      <c r="B289" s="135">
        <v>58248</v>
      </c>
      <c r="C289" s="136">
        <v>41920</v>
      </c>
      <c r="D289" s="137" t="s">
        <v>867</v>
      </c>
      <c r="E289" s="135" t="s">
        <v>381</v>
      </c>
      <c r="F289" s="138" t="s">
        <v>217</v>
      </c>
      <c r="G289" s="139" t="s">
        <v>369</v>
      </c>
      <c r="H289" s="140"/>
      <c r="I289" s="141">
        <v>1</v>
      </c>
      <c r="J289" s="142">
        <v>44597</v>
      </c>
      <c r="K289" s="142">
        <v>44597</v>
      </c>
      <c r="L289" s="186" t="s">
        <v>620</v>
      </c>
      <c r="M289" s="187" t="s">
        <v>21</v>
      </c>
      <c r="N289" s="132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</row>
    <row r="290" spans="1:28" s="134" customFormat="1" ht="15" customHeight="1" outlineLevel="1" x14ac:dyDescent="0.2">
      <c r="A290" s="122">
        <v>40</v>
      </c>
      <c r="B290" s="135">
        <v>55047</v>
      </c>
      <c r="C290" s="136">
        <v>41928</v>
      </c>
      <c r="D290" s="137" t="s">
        <v>811</v>
      </c>
      <c r="E290" s="135" t="s">
        <v>389</v>
      </c>
      <c r="F290" s="138" t="s">
        <v>210</v>
      </c>
      <c r="G290" s="139" t="s">
        <v>868</v>
      </c>
      <c r="H290" s="140"/>
      <c r="I290" s="141">
        <v>2</v>
      </c>
      <c r="J290" s="142">
        <v>14099</v>
      </c>
      <c r="K290" s="142">
        <v>28198</v>
      </c>
      <c r="L290" s="186" t="s">
        <v>620</v>
      </c>
      <c r="M290" s="187" t="s">
        <v>21</v>
      </c>
      <c r="N290" s="132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</row>
    <row r="291" spans="1:28" s="134" customFormat="1" ht="15" customHeight="1" outlineLevel="1" x14ac:dyDescent="0.2">
      <c r="A291" s="122">
        <v>41</v>
      </c>
      <c r="B291" s="135">
        <v>55047</v>
      </c>
      <c r="C291" s="136">
        <v>41928</v>
      </c>
      <c r="D291" s="137" t="s">
        <v>811</v>
      </c>
      <c r="E291" s="135" t="s">
        <v>389</v>
      </c>
      <c r="F291" s="138" t="s">
        <v>116</v>
      </c>
      <c r="G291" s="139" t="s">
        <v>812</v>
      </c>
      <c r="H291" s="140"/>
      <c r="I291" s="141">
        <v>3</v>
      </c>
      <c r="J291" s="142">
        <v>5274</v>
      </c>
      <c r="K291" s="142">
        <v>15822</v>
      </c>
      <c r="L291" s="186" t="s">
        <v>620</v>
      </c>
      <c r="M291" s="187" t="s">
        <v>21</v>
      </c>
      <c r="N291" s="132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</row>
    <row r="292" spans="1:28" s="134" customFormat="1" ht="15" customHeight="1" outlineLevel="1" x14ac:dyDescent="0.2">
      <c r="A292" s="122">
        <v>42</v>
      </c>
      <c r="B292" s="135">
        <v>59445</v>
      </c>
      <c r="C292" s="136">
        <v>41941</v>
      </c>
      <c r="D292" s="137" t="s">
        <v>869</v>
      </c>
      <c r="E292" s="135" t="s">
        <v>381</v>
      </c>
      <c r="F292" s="138" t="s">
        <v>682</v>
      </c>
      <c r="G292" s="139" t="s">
        <v>371</v>
      </c>
      <c r="H292" s="140"/>
      <c r="I292" s="141">
        <v>1</v>
      </c>
      <c r="J292" s="142">
        <v>55058</v>
      </c>
      <c r="K292" s="142">
        <v>55058</v>
      </c>
      <c r="L292" s="186" t="s">
        <v>620</v>
      </c>
      <c r="M292" s="187" t="s">
        <v>21</v>
      </c>
      <c r="N292" s="132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</row>
    <row r="293" spans="1:28" s="134" customFormat="1" ht="15" customHeight="1" outlineLevel="1" x14ac:dyDescent="0.2">
      <c r="A293" s="122">
        <v>4</v>
      </c>
      <c r="B293" s="122">
        <v>61512</v>
      </c>
      <c r="C293" s="123">
        <v>41947</v>
      </c>
      <c r="D293" s="124" t="s">
        <v>815</v>
      </c>
      <c r="E293" s="122" t="s">
        <v>376</v>
      </c>
      <c r="F293" s="125" t="s">
        <v>217</v>
      </c>
      <c r="G293" s="126" t="s">
        <v>387</v>
      </c>
      <c r="H293" s="127"/>
      <c r="I293" s="128">
        <v>2</v>
      </c>
      <c r="J293" s="129">
        <v>44597</v>
      </c>
      <c r="K293" s="129">
        <v>89194</v>
      </c>
      <c r="L293" s="182" t="s">
        <v>870</v>
      </c>
      <c r="M293" s="167" t="s">
        <v>21</v>
      </c>
      <c r="N293" s="132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</row>
    <row r="294" spans="1:28" s="134" customFormat="1" ht="15" customHeight="1" outlineLevel="1" x14ac:dyDescent="0.2">
      <c r="A294" s="122">
        <v>1</v>
      </c>
      <c r="B294" s="122">
        <v>70007</v>
      </c>
      <c r="C294" s="123">
        <v>41970</v>
      </c>
      <c r="D294" s="124" t="s">
        <v>871</v>
      </c>
      <c r="E294" s="122" t="s">
        <v>381</v>
      </c>
      <c r="F294" s="125" t="s">
        <v>217</v>
      </c>
      <c r="G294" s="126" t="s">
        <v>369</v>
      </c>
      <c r="H294" s="127"/>
      <c r="I294" s="128">
        <v>1</v>
      </c>
      <c r="J294" s="129">
        <v>44597</v>
      </c>
      <c r="K294" s="129">
        <v>44597</v>
      </c>
      <c r="L294" s="182" t="s">
        <v>870</v>
      </c>
      <c r="M294" s="167" t="s">
        <v>21</v>
      </c>
      <c r="N294" s="132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</row>
    <row r="295" spans="1:28" s="134" customFormat="1" ht="15" customHeight="1" outlineLevel="1" x14ac:dyDescent="0.2">
      <c r="A295" s="122">
        <v>2</v>
      </c>
      <c r="B295" s="122">
        <v>70112</v>
      </c>
      <c r="C295" s="123">
        <v>41970</v>
      </c>
      <c r="D295" s="124" t="s">
        <v>872</v>
      </c>
      <c r="E295" s="122" t="s">
        <v>381</v>
      </c>
      <c r="F295" s="125" t="s">
        <v>537</v>
      </c>
      <c r="G295" s="126" t="s">
        <v>873</v>
      </c>
      <c r="H295" s="127"/>
      <c r="I295" s="128">
        <v>2</v>
      </c>
      <c r="J295" s="129">
        <v>30429</v>
      </c>
      <c r="K295" s="129">
        <v>60858</v>
      </c>
      <c r="L295" s="182" t="s">
        <v>870</v>
      </c>
      <c r="M295" s="167" t="s">
        <v>21</v>
      </c>
      <c r="N295" s="132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</row>
    <row r="296" spans="1:28" s="134" customFormat="1" ht="15" customHeight="1" outlineLevel="1" x14ac:dyDescent="0.2">
      <c r="A296" s="122">
        <v>3</v>
      </c>
      <c r="B296" s="122">
        <v>63394</v>
      </c>
      <c r="C296" s="123">
        <v>41954</v>
      </c>
      <c r="D296" s="124" t="s">
        <v>874</v>
      </c>
      <c r="E296" s="122" t="s">
        <v>381</v>
      </c>
      <c r="F296" s="125" t="s">
        <v>219</v>
      </c>
      <c r="G296" s="126" t="s">
        <v>875</v>
      </c>
      <c r="H296" s="127"/>
      <c r="I296" s="128">
        <v>1</v>
      </c>
      <c r="J296" s="129">
        <v>22299</v>
      </c>
      <c r="K296" s="129">
        <v>22299</v>
      </c>
      <c r="L296" s="182" t="s">
        <v>870</v>
      </c>
      <c r="M296" s="167" t="s">
        <v>21</v>
      </c>
      <c r="N296" s="132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</row>
    <row r="297" spans="1:28" s="134" customFormat="1" ht="15" customHeight="1" outlineLevel="1" x14ac:dyDescent="0.2">
      <c r="A297" s="122">
        <v>4</v>
      </c>
      <c r="B297" s="122">
        <v>70009</v>
      </c>
      <c r="C297" s="123">
        <v>41970</v>
      </c>
      <c r="D297" s="124" t="s">
        <v>876</v>
      </c>
      <c r="E297" s="122" t="s">
        <v>389</v>
      </c>
      <c r="F297" s="125" t="s">
        <v>682</v>
      </c>
      <c r="G297" s="126" t="s">
        <v>371</v>
      </c>
      <c r="H297" s="127"/>
      <c r="I297" s="128">
        <v>1</v>
      </c>
      <c r="J297" s="129">
        <v>55058</v>
      </c>
      <c r="K297" s="129">
        <v>55058</v>
      </c>
      <c r="L297" s="182" t="s">
        <v>870</v>
      </c>
      <c r="M297" s="167" t="s">
        <v>21</v>
      </c>
      <c r="N297" s="132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</row>
    <row r="298" spans="1:28" s="134" customFormat="1" ht="15" customHeight="1" outlineLevel="1" x14ac:dyDescent="0.2">
      <c r="A298" s="122">
        <v>5</v>
      </c>
      <c r="B298" s="122">
        <v>62216</v>
      </c>
      <c r="C298" s="123">
        <v>41949</v>
      </c>
      <c r="D298" s="124" t="s">
        <v>877</v>
      </c>
      <c r="E298" s="122" t="s">
        <v>381</v>
      </c>
      <c r="F298" s="125" t="s">
        <v>115</v>
      </c>
      <c r="G298" s="126" t="s">
        <v>645</v>
      </c>
      <c r="H298" s="127"/>
      <c r="I298" s="128">
        <v>1</v>
      </c>
      <c r="J298" s="129">
        <v>33370</v>
      </c>
      <c r="K298" s="129">
        <v>33370</v>
      </c>
      <c r="L298" s="182" t="s">
        <v>870</v>
      </c>
      <c r="M298" s="167" t="s">
        <v>21</v>
      </c>
      <c r="N298" s="132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</row>
    <row r="299" spans="1:28" s="134" customFormat="1" ht="15" customHeight="1" outlineLevel="1" x14ac:dyDescent="0.2">
      <c r="A299" s="122">
        <v>6</v>
      </c>
      <c r="B299" s="122">
        <v>64218</v>
      </c>
      <c r="C299" s="123">
        <v>41955</v>
      </c>
      <c r="D299" s="124" t="s">
        <v>878</v>
      </c>
      <c r="E299" s="122" t="s">
        <v>389</v>
      </c>
      <c r="F299" s="125" t="s">
        <v>537</v>
      </c>
      <c r="G299" s="126" t="s">
        <v>562</v>
      </c>
      <c r="H299" s="127"/>
      <c r="I299" s="128">
        <v>1</v>
      </c>
      <c r="J299" s="129">
        <v>30429</v>
      </c>
      <c r="K299" s="129">
        <v>30429</v>
      </c>
      <c r="L299" s="182" t="s">
        <v>870</v>
      </c>
      <c r="M299" s="167" t="s">
        <v>21</v>
      </c>
      <c r="N299" s="132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</row>
    <row r="300" spans="1:28" s="134" customFormat="1" ht="15" customHeight="1" outlineLevel="1" x14ac:dyDescent="0.2">
      <c r="A300" s="122">
        <v>7</v>
      </c>
      <c r="B300" s="122">
        <v>67343</v>
      </c>
      <c r="C300" s="123">
        <v>41955</v>
      </c>
      <c r="D300" s="124" t="s">
        <v>385</v>
      </c>
      <c r="E300" s="122" t="s">
        <v>381</v>
      </c>
      <c r="F300" s="125" t="s">
        <v>682</v>
      </c>
      <c r="G300" s="126" t="s">
        <v>387</v>
      </c>
      <c r="H300" s="127"/>
      <c r="I300" s="128">
        <v>2</v>
      </c>
      <c r="J300" s="129">
        <v>55058</v>
      </c>
      <c r="K300" s="129">
        <v>110116</v>
      </c>
      <c r="L300" s="182" t="s">
        <v>870</v>
      </c>
      <c r="M300" s="167" t="s">
        <v>21</v>
      </c>
      <c r="N300" s="132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</row>
    <row r="301" spans="1:28" s="134" customFormat="1" ht="15" customHeight="1" outlineLevel="1" x14ac:dyDescent="0.2">
      <c r="A301" s="122">
        <v>9</v>
      </c>
      <c r="B301" s="122">
        <v>66163</v>
      </c>
      <c r="C301" s="123">
        <v>41961</v>
      </c>
      <c r="D301" s="124" t="s">
        <v>879</v>
      </c>
      <c r="E301" s="122" t="s">
        <v>376</v>
      </c>
      <c r="F301" s="125" t="s">
        <v>217</v>
      </c>
      <c r="G301" s="126" t="s">
        <v>371</v>
      </c>
      <c r="H301" s="127"/>
      <c r="I301" s="128">
        <v>1</v>
      </c>
      <c r="J301" s="129">
        <v>44597</v>
      </c>
      <c r="K301" s="129">
        <v>44597</v>
      </c>
      <c r="L301" s="182" t="s">
        <v>870</v>
      </c>
      <c r="M301" s="167" t="s">
        <v>21</v>
      </c>
      <c r="N301" s="132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</row>
    <row r="302" spans="1:28" s="134" customFormat="1" ht="15" customHeight="1" outlineLevel="1" x14ac:dyDescent="0.2">
      <c r="A302" s="122">
        <v>10</v>
      </c>
      <c r="B302" s="122">
        <v>66163</v>
      </c>
      <c r="C302" s="123">
        <v>41961</v>
      </c>
      <c r="D302" s="124" t="s">
        <v>879</v>
      </c>
      <c r="E302" s="122" t="s">
        <v>376</v>
      </c>
      <c r="F302" s="125" t="s">
        <v>622</v>
      </c>
      <c r="G302" s="126" t="s">
        <v>371</v>
      </c>
      <c r="H302" s="127"/>
      <c r="I302" s="128">
        <v>1</v>
      </c>
      <c r="J302" s="129">
        <v>15722</v>
      </c>
      <c r="K302" s="129">
        <v>15722</v>
      </c>
      <c r="L302" s="182" t="s">
        <v>870</v>
      </c>
      <c r="M302" s="167" t="s">
        <v>21</v>
      </c>
      <c r="N302" s="132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</row>
    <row r="303" spans="1:28" s="134" customFormat="1" ht="15" customHeight="1" outlineLevel="1" x14ac:dyDescent="0.2">
      <c r="A303" s="122">
        <v>11</v>
      </c>
      <c r="B303" s="122">
        <v>70815</v>
      </c>
      <c r="C303" s="123">
        <v>41971</v>
      </c>
      <c r="D303" s="124" t="s">
        <v>880</v>
      </c>
      <c r="E303" s="122" t="s">
        <v>376</v>
      </c>
      <c r="F303" s="125" t="s">
        <v>217</v>
      </c>
      <c r="G303" s="126" t="s">
        <v>371</v>
      </c>
      <c r="H303" s="127"/>
      <c r="I303" s="128">
        <v>1</v>
      </c>
      <c r="J303" s="129">
        <v>44597</v>
      </c>
      <c r="K303" s="129">
        <v>44597</v>
      </c>
      <c r="L303" s="182" t="s">
        <v>870</v>
      </c>
      <c r="M303" s="167" t="s">
        <v>21</v>
      </c>
      <c r="N303" s="132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</row>
    <row r="304" spans="1:28" s="134" customFormat="1" ht="15" customHeight="1" outlineLevel="1" x14ac:dyDescent="0.2">
      <c r="A304" s="122">
        <v>12</v>
      </c>
      <c r="B304" s="122">
        <v>61478</v>
      </c>
      <c r="C304" s="123">
        <v>41948</v>
      </c>
      <c r="D304" s="124" t="s">
        <v>827</v>
      </c>
      <c r="E304" s="122" t="s">
        <v>381</v>
      </c>
      <c r="F304" s="125" t="s">
        <v>115</v>
      </c>
      <c r="G304" s="126" t="s">
        <v>431</v>
      </c>
      <c r="H304" s="127"/>
      <c r="I304" s="128">
        <v>1</v>
      </c>
      <c r="J304" s="129">
        <v>33370</v>
      </c>
      <c r="K304" s="129">
        <v>33370</v>
      </c>
      <c r="L304" s="182" t="s">
        <v>870</v>
      </c>
      <c r="M304" s="167" t="s">
        <v>21</v>
      </c>
      <c r="N304" s="132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</row>
    <row r="305" spans="1:28" s="134" customFormat="1" ht="15" customHeight="1" outlineLevel="1" x14ac:dyDescent="0.2">
      <c r="A305" s="122">
        <v>13</v>
      </c>
      <c r="B305" s="122">
        <v>70702</v>
      </c>
      <c r="C305" s="123">
        <v>41971</v>
      </c>
      <c r="D305" s="124" t="s">
        <v>881</v>
      </c>
      <c r="E305" s="122" t="s">
        <v>381</v>
      </c>
      <c r="F305" s="125" t="s">
        <v>115</v>
      </c>
      <c r="G305" s="126" t="s">
        <v>419</v>
      </c>
      <c r="H305" s="127"/>
      <c r="I305" s="128">
        <v>1</v>
      </c>
      <c r="J305" s="129">
        <v>33370</v>
      </c>
      <c r="K305" s="129">
        <v>33370</v>
      </c>
      <c r="L305" s="182" t="s">
        <v>870</v>
      </c>
      <c r="M305" s="167" t="s">
        <v>21</v>
      </c>
      <c r="N305" s="132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</row>
    <row r="306" spans="1:28" s="134" customFormat="1" ht="15" customHeight="1" outlineLevel="1" x14ac:dyDescent="0.2">
      <c r="A306" s="122">
        <v>14</v>
      </c>
      <c r="B306" s="122">
        <v>70299</v>
      </c>
      <c r="C306" s="123">
        <v>41970</v>
      </c>
      <c r="D306" s="124" t="s">
        <v>882</v>
      </c>
      <c r="E306" s="122" t="s">
        <v>389</v>
      </c>
      <c r="F306" s="125" t="s">
        <v>239</v>
      </c>
      <c r="G306" s="126" t="s">
        <v>371</v>
      </c>
      <c r="H306" s="127"/>
      <c r="I306" s="128">
        <v>1</v>
      </c>
      <c r="J306" s="129">
        <v>19272</v>
      </c>
      <c r="K306" s="129">
        <v>19272</v>
      </c>
      <c r="L306" s="182" t="s">
        <v>870</v>
      </c>
      <c r="M306" s="167" t="s">
        <v>21</v>
      </c>
      <c r="N306" s="132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</row>
    <row r="307" spans="1:28" s="134" customFormat="1" ht="15" customHeight="1" outlineLevel="1" x14ac:dyDescent="0.2">
      <c r="A307" s="122">
        <v>15</v>
      </c>
      <c r="B307" s="122">
        <v>69572</v>
      </c>
      <c r="C307" s="123">
        <v>41969</v>
      </c>
      <c r="D307" s="124" t="s">
        <v>883</v>
      </c>
      <c r="E307" s="122" t="s">
        <v>381</v>
      </c>
      <c r="F307" s="125" t="s">
        <v>217</v>
      </c>
      <c r="G307" s="126" t="s">
        <v>371</v>
      </c>
      <c r="H307" s="127"/>
      <c r="I307" s="128">
        <v>1</v>
      </c>
      <c r="J307" s="129">
        <v>44597</v>
      </c>
      <c r="K307" s="129">
        <v>44597</v>
      </c>
      <c r="L307" s="182" t="s">
        <v>870</v>
      </c>
      <c r="M307" s="167" t="s">
        <v>21</v>
      </c>
      <c r="N307" s="132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</row>
    <row r="308" spans="1:28" s="134" customFormat="1" ht="15" customHeight="1" outlineLevel="1" x14ac:dyDescent="0.2">
      <c r="A308" s="122">
        <v>16</v>
      </c>
      <c r="B308" s="122">
        <v>68479</v>
      </c>
      <c r="C308" s="123">
        <v>41965</v>
      </c>
      <c r="D308" s="124" t="s">
        <v>811</v>
      </c>
      <c r="E308" s="122" t="s">
        <v>389</v>
      </c>
      <c r="F308" s="125" t="s">
        <v>115</v>
      </c>
      <c r="G308" s="126" t="s">
        <v>812</v>
      </c>
      <c r="H308" s="127"/>
      <c r="I308" s="128">
        <v>3</v>
      </c>
      <c r="J308" s="129">
        <v>33370</v>
      </c>
      <c r="K308" s="129">
        <v>100110</v>
      </c>
      <c r="L308" s="182" t="s">
        <v>870</v>
      </c>
      <c r="M308" s="167" t="s">
        <v>21</v>
      </c>
      <c r="N308" s="132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</row>
    <row r="309" spans="1:28" s="134" customFormat="1" ht="15" customHeight="1" outlineLevel="1" x14ac:dyDescent="0.2">
      <c r="A309" s="122">
        <v>17</v>
      </c>
      <c r="B309" s="122">
        <v>68163</v>
      </c>
      <c r="C309" s="123">
        <v>41964</v>
      </c>
      <c r="D309" s="124" t="s">
        <v>884</v>
      </c>
      <c r="E309" s="122" t="s">
        <v>381</v>
      </c>
      <c r="F309" s="125" t="s">
        <v>217</v>
      </c>
      <c r="G309" s="126" t="s">
        <v>387</v>
      </c>
      <c r="H309" s="127"/>
      <c r="I309" s="128">
        <v>2</v>
      </c>
      <c r="J309" s="129">
        <v>44597</v>
      </c>
      <c r="K309" s="129">
        <v>89194</v>
      </c>
      <c r="L309" s="182" t="s">
        <v>870</v>
      </c>
      <c r="M309" s="167" t="s">
        <v>21</v>
      </c>
      <c r="N309" s="132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</row>
    <row r="310" spans="1:28" s="134" customFormat="1" ht="15" customHeight="1" outlineLevel="1" x14ac:dyDescent="0.2">
      <c r="A310" s="122">
        <v>5</v>
      </c>
      <c r="B310" s="122">
        <v>52795</v>
      </c>
      <c r="C310" s="123">
        <v>41984</v>
      </c>
      <c r="D310" s="124" t="s">
        <v>885</v>
      </c>
      <c r="E310" s="122" t="s">
        <v>381</v>
      </c>
      <c r="F310" s="125" t="s">
        <v>115</v>
      </c>
      <c r="G310" s="126" t="s">
        <v>886</v>
      </c>
      <c r="H310" s="127"/>
      <c r="I310" s="128">
        <v>1</v>
      </c>
      <c r="J310" s="129">
        <v>33370</v>
      </c>
      <c r="K310" s="129">
        <v>33370</v>
      </c>
      <c r="L310" s="189" t="s">
        <v>623</v>
      </c>
      <c r="M310" s="187" t="s">
        <v>21</v>
      </c>
      <c r="N310" s="132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</row>
    <row r="311" spans="1:28" s="134" customFormat="1" ht="15" customHeight="1" outlineLevel="1" x14ac:dyDescent="0.2">
      <c r="A311" s="122">
        <v>12</v>
      </c>
      <c r="B311" s="122">
        <v>52864</v>
      </c>
      <c r="C311" s="123">
        <v>41985</v>
      </c>
      <c r="D311" s="124" t="s">
        <v>887</v>
      </c>
      <c r="E311" s="122" t="s">
        <v>381</v>
      </c>
      <c r="F311" s="125" t="s">
        <v>537</v>
      </c>
      <c r="G311" s="126" t="s">
        <v>431</v>
      </c>
      <c r="H311" s="127"/>
      <c r="I311" s="128">
        <v>1</v>
      </c>
      <c r="J311" s="129">
        <v>30429</v>
      </c>
      <c r="K311" s="129">
        <v>30429</v>
      </c>
      <c r="L311" s="189" t="s">
        <v>623</v>
      </c>
      <c r="M311" s="187" t="s">
        <v>21</v>
      </c>
      <c r="N311" s="132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</row>
    <row r="312" spans="1:28" s="134" customFormat="1" ht="15" customHeight="1" outlineLevel="1" x14ac:dyDescent="0.2">
      <c r="A312" s="122">
        <v>1</v>
      </c>
      <c r="B312" s="122">
        <v>59653</v>
      </c>
      <c r="C312" s="123">
        <v>41941</v>
      </c>
      <c r="D312" s="124" t="s">
        <v>888</v>
      </c>
      <c r="E312" s="122" t="s">
        <v>381</v>
      </c>
      <c r="F312" s="125" t="s">
        <v>115</v>
      </c>
      <c r="G312" s="126" t="s">
        <v>886</v>
      </c>
      <c r="H312" s="127"/>
      <c r="I312" s="128">
        <v>1</v>
      </c>
      <c r="J312" s="129">
        <v>33370</v>
      </c>
      <c r="K312" s="129">
        <v>33370</v>
      </c>
      <c r="L312" s="189" t="s">
        <v>623</v>
      </c>
      <c r="M312" s="187" t="s">
        <v>21</v>
      </c>
      <c r="N312" s="132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</row>
    <row r="313" spans="1:28" s="134" customFormat="1" ht="15" customHeight="1" outlineLevel="1" x14ac:dyDescent="0.2">
      <c r="A313" s="122">
        <v>3</v>
      </c>
      <c r="B313" s="122">
        <v>72092</v>
      </c>
      <c r="C313" s="123">
        <v>41977</v>
      </c>
      <c r="D313" s="124" t="s">
        <v>889</v>
      </c>
      <c r="E313" s="122" t="s">
        <v>381</v>
      </c>
      <c r="F313" s="125" t="s">
        <v>217</v>
      </c>
      <c r="G313" s="126" t="s">
        <v>371</v>
      </c>
      <c r="H313" s="127"/>
      <c r="I313" s="128">
        <v>1</v>
      </c>
      <c r="J313" s="129">
        <v>44597</v>
      </c>
      <c r="K313" s="129">
        <v>44597</v>
      </c>
      <c r="L313" s="189" t="s">
        <v>623</v>
      </c>
      <c r="M313" s="187" t="s">
        <v>21</v>
      </c>
      <c r="N313" s="132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</row>
    <row r="314" spans="1:28" s="134" customFormat="1" ht="15" customHeight="1" outlineLevel="1" x14ac:dyDescent="0.2">
      <c r="A314" s="122">
        <v>2</v>
      </c>
      <c r="B314" s="122">
        <v>72131</v>
      </c>
      <c r="C314" s="123">
        <v>41976</v>
      </c>
      <c r="D314" s="124" t="s">
        <v>890</v>
      </c>
      <c r="E314" s="122" t="s">
        <v>381</v>
      </c>
      <c r="F314" s="125" t="s">
        <v>217</v>
      </c>
      <c r="G314" s="126" t="s">
        <v>371</v>
      </c>
      <c r="H314" s="127"/>
      <c r="I314" s="128">
        <v>1</v>
      </c>
      <c r="J314" s="129">
        <v>44597</v>
      </c>
      <c r="K314" s="129">
        <v>44597</v>
      </c>
      <c r="L314" s="189" t="s">
        <v>623</v>
      </c>
      <c r="M314" s="187" t="s">
        <v>21</v>
      </c>
      <c r="N314" s="132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</row>
    <row r="315" spans="1:28" s="134" customFormat="1" ht="15" customHeight="1" outlineLevel="1" x14ac:dyDescent="0.2">
      <c r="A315" s="122">
        <v>4</v>
      </c>
      <c r="B315" s="122">
        <v>72314</v>
      </c>
      <c r="C315" s="123">
        <v>41976</v>
      </c>
      <c r="D315" s="124" t="s">
        <v>398</v>
      </c>
      <c r="E315" s="122" t="s">
        <v>381</v>
      </c>
      <c r="F315" s="125" t="s">
        <v>115</v>
      </c>
      <c r="G315" s="126" t="s">
        <v>400</v>
      </c>
      <c r="H315" s="127"/>
      <c r="I315" s="128">
        <v>2</v>
      </c>
      <c r="J315" s="129">
        <v>33370</v>
      </c>
      <c r="K315" s="129">
        <v>66740</v>
      </c>
      <c r="L315" s="189" t="s">
        <v>623</v>
      </c>
      <c r="M315" s="187" t="s">
        <v>21</v>
      </c>
      <c r="N315" s="132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</row>
    <row r="316" spans="1:28" s="134" customFormat="1" ht="15" customHeight="1" outlineLevel="1" x14ac:dyDescent="0.2">
      <c r="A316" s="122">
        <v>6</v>
      </c>
      <c r="B316" s="122">
        <v>74648</v>
      </c>
      <c r="C316" s="123">
        <v>41983</v>
      </c>
      <c r="D316" s="124" t="s">
        <v>891</v>
      </c>
      <c r="E316" s="122" t="s">
        <v>381</v>
      </c>
      <c r="F316" s="125" t="s">
        <v>537</v>
      </c>
      <c r="G316" s="126" t="s">
        <v>527</v>
      </c>
      <c r="H316" s="127"/>
      <c r="I316" s="128">
        <v>1</v>
      </c>
      <c r="J316" s="129">
        <v>30429</v>
      </c>
      <c r="K316" s="129">
        <v>30429</v>
      </c>
      <c r="L316" s="189" t="s">
        <v>623</v>
      </c>
      <c r="M316" s="187" t="s">
        <v>21</v>
      </c>
      <c r="N316" s="132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</row>
    <row r="317" spans="1:28" s="134" customFormat="1" ht="15" customHeight="1" outlineLevel="1" x14ac:dyDescent="0.2">
      <c r="A317" s="122">
        <v>9</v>
      </c>
      <c r="B317" s="122">
        <v>74914</v>
      </c>
      <c r="C317" s="123">
        <v>41983</v>
      </c>
      <c r="D317" s="124" t="s">
        <v>892</v>
      </c>
      <c r="E317" s="122" t="s">
        <v>802</v>
      </c>
      <c r="F317" s="125" t="s">
        <v>217</v>
      </c>
      <c r="G317" s="126" t="s">
        <v>371</v>
      </c>
      <c r="H317" s="127"/>
      <c r="I317" s="128">
        <v>1</v>
      </c>
      <c r="J317" s="129">
        <v>44597</v>
      </c>
      <c r="K317" s="129">
        <v>44597</v>
      </c>
      <c r="L317" s="189" t="s">
        <v>623</v>
      </c>
      <c r="M317" s="187" t="s">
        <v>21</v>
      </c>
      <c r="N317" s="132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</row>
    <row r="318" spans="1:28" s="134" customFormat="1" ht="15" customHeight="1" outlineLevel="1" x14ac:dyDescent="0.2">
      <c r="A318" s="122">
        <v>7</v>
      </c>
      <c r="B318" s="122">
        <v>74939</v>
      </c>
      <c r="C318" s="123">
        <v>41984</v>
      </c>
      <c r="D318" s="124" t="s">
        <v>893</v>
      </c>
      <c r="E318" s="122" t="s">
        <v>381</v>
      </c>
      <c r="F318" s="125" t="s">
        <v>219</v>
      </c>
      <c r="G318" s="126" t="s">
        <v>371</v>
      </c>
      <c r="H318" s="127"/>
      <c r="I318" s="128">
        <v>1</v>
      </c>
      <c r="J318" s="129">
        <v>22299</v>
      </c>
      <c r="K318" s="129">
        <v>22299</v>
      </c>
      <c r="L318" s="189" t="s">
        <v>623</v>
      </c>
      <c r="M318" s="187" t="s">
        <v>21</v>
      </c>
      <c r="N318" s="132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</row>
    <row r="319" spans="1:28" s="134" customFormat="1" ht="15" customHeight="1" outlineLevel="1" x14ac:dyDescent="0.2">
      <c r="A319" s="122">
        <v>8</v>
      </c>
      <c r="B319" s="122">
        <v>75050</v>
      </c>
      <c r="C319" s="123">
        <v>41984</v>
      </c>
      <c r="D319" s="124" t="s">
        <v>894</v>
      </c>
      <c r="E319" s="122" t="s">
        <v>389</v>
      </c>
      <c r="F319" s="125" t="s">
        <v>580</v>
      </c>
      <c r="G319" s="126" t="s">
        <v>371</v>
      </c>
      <c r="H319" s="127"/>
      <c r="I319" s="128">
        <v>1</v>
      </c>
      <c r="J319" s="129">
        <v>25800</v>
      </c>
      <c r="K319" s="129">
        <v>25800</v>
      </c>
      <c r="L319" s="189" t="s">
        <v>623</v>
      </c>
      <c r="M319" s="187" t="s">
        <v>21</v>
      </c>
      <c r="N319" s="132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</row>
    <row r="320" spans="1:28" s="134" customFormat="1" ht="15" customHeight="1" outlineLevel="1" x14ac:dyDescent="0.2">
      <c r="A320" s="122">
        <v>13</v>
      </c>
      <c r="B320" s="122">
        <v>80062</v>
      </c>
      <c r="C320" s="123">
        <v>41988</v>
      </c>
      <c r="D320" s="124" t="s">
        <v>895</v>
      </c>
      <c r="E320" s="122" t="s">
        <v>381</v>
      </c>
      <c r="F320" s="125" t="s">
        <v>217</v>
      </c>
      <c r="G320" s="126" t="s">
        <v>387</v>
      </c>
      <c r="H320" s="127"/>
      <c r="I320" s="128">
        <v>2</v>
      </c>
      <c r="J320" s="129">
        <v>44597</v>
      </c>
      <c r="K320" s="129">
        <v>89194</v>
      </c>
      <c r="L320" s="189" t="s">
        <v>623</v>
      </c>
      <c r="M320" s="187" t="s">
        <v>21</v>
      </c>
      <c r="N320" s="132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</row>
    <row r="321" spans="1:28" s="134" customFormat="1" ht="15" customHeight="1" outlineLevel="1" x14ac:dyDescent="0.2">
      <c r="A321" s="122">
        <v>11</v>
      </c>
      <c r="B321" s="122">
        <v>81084</v>
      </c>
      <c r="C321" s="123">
        <v>41992</v>
      </c>
      <c r="D321" s="124" t="s">
        <v>896</v>
      </c>
      <c r="E321" s="122" t="s">
        <v>381</v>
      </c>
      <c r="F321" s="125" t="s">
        <v>537</v>
      </c>
      <c r="G321" s="126" t="s">
        <v>431</v>
      </c>
      <c r="H321" s="127"/>
      <c r="I321" s="128">
        <v>1</v>
      </c>
      <c r="J321" s="129">
        <v>30429</v>
      </c>
      <c r="K321" s="129">
        <v>30429</v>
      </c>
      <c r="L321" s="189" t="s">
        <v>623</v>
      </c>
      <c r="M321" s="187" t="s">
        <v>21</v>
      </c>
      <c r="N321" s="132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</row>
    <row r="322" spans="1:28" s="134" customFormat="1" ht="15" customHeight="1" outlineLevel="1" x14ac:dyDescent="0.2">
      <c r="A322" s="122">
        <v>16</v>
      </c>
      <c r="B322" s="122">
        <v>82126</v>
      </c>
      <c r="C322" s="123">
        <v>41992</v>
      </c>
      <c r="D322" s="124" t="s">
        <v>897</v>
      </c>
      <c r="E322" s="122" t="s">
        <v>381</v>
      </c>
      <c r="F322" s="125" t="s">
        <v>115</v>
      </c>
      <c r="G322" s="126" t="s">
        <v>898</v>
      </c>
      <c r="H322" s="127"/>
      <c r="I322" s="128">
        <v>3</v>
      </c>
      <c r="J322" s="129">
        <v>33370</v>
      </c>
      <c r="K322" s="129">
        <v>100110</v>
      </c>
      <c r="L322" s="189" t="s">
        <v>623</v>
      </c>
      <c r="M322" s="187" t="s">
        <v>21</v>
      </c>
      <c r="N322" s="132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</row>
    <row r="323" spans="1:28" s="134" customFormat="1" ht="15" customHeight="1" outlineLevel="1" x14ac:dyDescent="0.2">
      <c r="A323" s="122">
        <v>15</v>
      </c>
      <c r="B323" s="122">
        <v>82157</v>
      </c>
      <c r="C323" s="123">
        <v>41995</v>
      </c>
      <c r="D323" s="124" t="s">
        <v>899</v>
      </c>
      <c r="E323" s="122" t="s">
        <v>478</v>
      </c>
      <c r="F323" s="125" t="s">
        <v>116</v>
      </c>
      <c r="G323" s="126" t="s">
        <v>407</v>
      </c>
      <c r="H323" s="127"/>
      <c r="I323" s="128">
        <v>1</v>
      </c>
      <c r="J323" s="129">
        <v>5274</v>
      </c>
      <c r="K323" s="129">
        <v>5274</v>
      </c>
      <c r="L323" s="189" t="s">
        <v>623</v>
      </c>
      <c r="M323" s="187" t="s">
        <v>21</v>
      </c>
      <c r="N323" s="132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</row>
    <row r="324" spans="1:28" s="134" customFormat="1" ht="15" customHeight="1" outlineLevel="1" x14ac:dyDescent="0.2">
      <c r="A324" s="122">
        <v>17</v>
      </c>
      <c r="B324" s="122">
        <v>83494</v>
      </c>
      <c r="C324" s="123">
        <v>41996</v>
      </c>
      <c r="D324" s="124" t="s">
        <v>900</v>
      </c>
      <c r="E324" s="122" t="s">
        <v>381</v>
      </c>
      <c r="F324" s="125" t="s">
        <v>210</v>
      </c>
      <c r="G324" s="126" t="s">
        <v>419</v>
      </c>
      <c r="H324" s="127"/>
      <c r="I324" s="128">
        <v>1</v>
      </c>
      <c r="J324" s="129">
        <v>14099</v>
      </c>
      <c r="K324" s="129">
        <v>14099</v>
      </c>
      <c r="L324" s="189" t="s">
        <v>623</v>
      </c>
      <c r="M324" s="187" t="s">
        <v>21</v>
      </c>
      <c r="N324" s="132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</row>
    <row r="325" spans="1:28" s="134" customFormat="1" ht="15" customHeight="1" outlineLevel="1" x14ac:dyDescent="0.2">
      <c r="A325" s="122">
        <v>14</v>
      </c>
      <c r="B325" s="122">
        <v>83794</v>
      </c>
      <c r="C325" s="123">
        <v>41999</v>
      </c>
      <c r="D325" s="124" t="s">
        <v>901</v>
      </c>
      <c r="E325" s="122" t="s">
        <v>381</v>
      </c>
      <c r="F325" s="125" t="s">
        <v>537</v>
      </c>
      <c r="G325" s="126" t="s">
        <v>562</v>
      </c>
      <c r="H325" s="127"/>
      <c r="I325" s="128">
        <v>1</v>
      </c>
      <c r="J325" s="129">
        <v>30429</v>
      </c>
      <c r="K325" s="129">
        <v>30429</v>
      </c>
      <c r="L325" s="189" t="s">
        <v>623</v>
      </c>
      <c r="M325" s="187" t="s">
        <v>21</v>
      </c>
      <c r="N325" s="132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</row>
    <row r="326" spans="1:28" s="134" customFormat="1" ht="15" customHeight="1" outlineLevel="1" x14ac:dyDescent="0.2">
      <c r="A326" s="122">
        <v>18</v>
      </c>
      <c r="B326" s="122">
        <v>83813</v>
      </c>
      <c r="C326" s="123">
        <v>41999</v>
      </c>
      <c r="D326" s="124" t="s">
        <v>902</v>
      </c>
      <c r="E326" s="122" t="s">
        <v>381</v>
      </c>
      <c r="F326" s="125" t="s">
        <v>217</v>
      </c>
      <c r="G326" s="126" t="s">
        <v>371</v>
      </c>
      <c r="H326" s="127"/>
      <c r="I326" s="128">
        <v>1</v>
      </c>
      <c r="J326" s="129">
        <v>44597</v>
      </c>
      <c r="K326" s="129">
        <v>44597</v>
      </c>
      <c r="L326" s="189" t="s">
        <v>623</v>
      </c>
      <c r="M326" s="187" t="s">
        <v>21</v>
      </c>
      <c r="N326" s="132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</row>
    <row r="327" spans="1:28" s="134" customFormat="1" ht="15" customHeight="1" outlineLevel="1" x14ac:dyDescent="0.2">
      <c r="A327" s="148">
        <v>1</v>
      </c>
      <c r="B327" s="135">
        <v>20136</v>
      </c>
      <c r="C327" s="136">
        <v>41779</v>
      </c>
      <c r="D327" s="137" t="s">
        <v>903</v>
      </c>
      <c r="E327" s="135" t="s">
        <v>904</v>
      </c>
      <c r="F327" s="138" t="s">
        <v>580</v>
      </c>
      <c r="G327" s="139" t="s">
        <v>371</v>
      </c>
      <c r="H327" s="140"/>
      <c r="I327" s="141">
        <v>1</v>
      </c>
      <c r="J327" s="142">
        <v>25800</v>
      </c>
      <c r="K327" s="142">
        <v>25800</v>
      </c>
      <c r="L327" s="167" t="s">
        <v>606</v>
      </c>
      <c r="M327" s="168" t="s">
        <v>33</v>
      </c>
      <c r="N327" s="132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</row>
    <row r="328" spans="1:28" s="134" customFormat="1" ht="15" customHeight="1" outlineLevel="1" x14ac:dyDescent="0.2">
      <c r="A328" s="148">
        <v>2</v>
      </c>
      <c r="B328" s="174">
        <v>12599</v>
      </c>
      <c r="C328" s="175">
        <v>41750</v>
      </c>
      <c r="D328" s="172" t="s">
        <v>905</v>
      </c>
      <c r="E328" s="174" t="s">
        <v>906</v>
      </c>
      <c r="F328" s="176" t="s">
        <v>580</v>
      </c>
      <c r="G328" s="177" t="s">
        <v>371</v>
      </c>
      <c r="H328" s="178"/>
      <c r="I328" s="179">
        <v>1</v>
      </c>
      <c r="J328" s="142">
        <v>25800</v>
      </c>
      <c r="K328" s="142">
        <v>25800</v>
      </c>
      <c r="L328" s="167" t="s">
        <v>606</v>
      </c>
      <c r="M328" s="168" t="s">
        <v>33</v>
      </c>
      <c r="N328" s="132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</row>
    <row r="329" spans="1:28" s="134" customFormat="1" ht="15" customHeight="1" outlineLevel="1" x14ac:dyDescent="0.2">
      <c r="A329" s="148">
        <v>3</v>
      </c>
      <c r="B329" s="174">
        <v>13164</v>
      </c>
      <c r="C329" s="175">
        <v>41752</v>
      </c>
      <c r="D329" s="172" t="s">
        <v>907</v>
      </c>
      <c r="E329" s="174" t="s">
        <v>904</v>
      </c>
      <c r="F329" s="176" t="s">
        <v>580</v>
      </c>
      <c r="G329" s="177" t="s">
        <v>371</v>
      </c>
      <c r="H329" s="178"/>
      <c r="I329" s="179">
        <v>1</v>
      </c>
      <c r="J329" s="142">
        <v>25800</v>
      </c>
      <c r="K329" s="142">
        <v>25800</v>
      </c>
      <c r="L329" s="167" t="s">
        <v>606</v>
      </c>
      <c r="M329" s="168" t="s">
        <v>33</v>
      </c>
      <c r="N329" s="132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</row>
    <row r="330" spans="1:28" s="134" customFormat="1" ht="15" customHeight="1" outlineLevel="1" x14ac:dyDescent="0.2">
      <c r="A330" s="148">
        <v>4</v>
      </c>
      <c r="B330" s="174">
        <v>13026</v>
      </c>
      <c r="C330" s="175">
        <v>41752</v>
      </c>
      <c r="D330" s="172" t="s">
        <v>908</v>
      </c>
      <c r="E330" s="174" t="s">
        <v>909</v>
      </c>
      <c r="F330" s="176" t="s">
        <v>580</v>
      </c>
      <c r="G330" s="177" t="s">
        <v>371</v>
      </c>
      <c r="H330" s="178"/>
      <c r="I330" s="179">
        <v>1</v>
      </c>
      <c r="J330" s="142">
        <v>25800</v>
      </c>
      <c r="K330" s="142">
        <v>25800</v>
      </c>
      <c r="L330" s="167" t="s">
        <v>606</v>
      </c>
      <c r="M330" s="168" t="s">
        <v>33</v>
      </c>
      <c r="N330" s="132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</row>
    <row r="331" spans="1:28" s="134" customFormat="1" ht="15" customHeight="1" outlineLevel="1" x14ac:dyDescent="0.2">
      <c r="A331" s="148">
        <v>5</v>
      </c>
      <c r="B331" s="135">
        <v>20630</v>
      </c>
      <c r="C331" s="136">
        <v>41781</v>
      </c>
      <c r="D331" s="137" t="s">
        <v>910</v>
      </c>
      <c r="E331" s="135" t="s">
        <v>906</v>
      </c>
      <c r="F331" s="138" t="s">
        <v>580</v>
      </c>
      <c r="G331" s="139" t="s">
        <v>371</v>
      </c>
      <c r="H331" s="140"/>
      <c r="I331" s="141">
        <v>1</v>
      </c>
      <c r="J331" s="142">
        <v>25800</v>
      </c>
      <c r="K331" s="142">
        <v>25800</v>
      </c>
      <c r="L331" s="167" t="s">
        <v>606</v>
      </c>
      <c r="M331" s="168" t="s">
        <v>33</v>
      </c>
      <c r="N331" s="132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</row>
    <row r="332" spans="1:28" s="193" customFormat="1" ht="15" customHeight="1" outlineLevel="1" x14ac:dyDescent="0.2">
      <c r="A332" s="148">
        <v>1</v>
      </c>
      <c r="B332" s="174">
        <v>22528</v>
      </c>
      <c r="C332" s="175">
        <v>41788</v>
      </c>
      <c r="D332" s="172" t="s">
        <v>911</v>
      </c>
      <c r="E332" s="174" t="s">
        <v>912</v>
      </c>
      <c r="F332" s="176" t="s">
        <v>580</v>
      </c>
      <c r="G332" s="177" t="s">
        <v>371</v>
      </c>
      <c r="H332" s="178"/>
      <c r="I332" s="179">
        <v>1</v>
      </c>
      <c r="J332" s="142">
        <v>25800</v>
      </c>
      <c r="K332" s="142">
        <v>25800</v>
      </c>
      <c r="L332" s="170" t="s">
        <v>608</v>
      </c>
      <c r="M332" s="190" t="s">
        <v>33</v>
      </c>
      <c r="N332" s="191"/>
      <c r="O332" s="192"/>
      <c r="P332" s="192"/>
      <c r="Q332" s="192"/>
      <c r="R332" s="192"/>
      <c r="S332" s="192"/>
      <c r="T332" s="192"/>
      <c r="U332" s="192"/>
      <c r="V332" s="192"/>
      <c r="W332" s="192"/>
      <c r="X332" s="192"/>
      <c r="Y332" s="192"/>
      <c r="Z332" s="192"/>
      <c r="AA332" s="192"/>
      <c r="AB332" s="192"/>
    </row>
    <row r="333" spans="1:28" s="134" customFormat="1" outlineLevel="1" x14ac:dyDescent="0.2">
      <c r="A333" s="122">
        <v>2</v>
      </c>
      <c r="B333" s="135">
        <v>25493</v>
      </c>
      <c r="C333" s="136">
        <v>41799</v>
      </c>
      <c r="D333" s="137" t="s">
        <v>913</v>
      </c>
      <c r="E333" s="135" t="s">
        <v>376</v>
      </c>
      <c r="F333" s="138" t="s">
        <v>116</v>
      </c>
      <c r="G333" s="139" t="s">
        <v>417</v>
      </c>
      <c r="H333" s="140"/>
      <c r="I333" s="141">
        <v>1</v>
      </c>
      <c r="J333" s="142">
        <v>5274</v>
      </c>
      <c r="K333" s="142">
        <v>5274</v>
      </c>
      <c r="L333" s="170" t="s">
        <v>608</v>
      </c>
      <c r="M333" s="190" t="s">
        <v>33</v>
      </c>
      <c r="N333" s="132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</row>
    <row r="334" spans="1:28" s="134" customFormat="1" outlineLevel="1" x14ac:dyDescent="0.2">
      <c r="A334" s="122">
        <v>3</v>
      </c>
      <c r="B334" s="135">
        <v>25851</v>
      </c>
      <c r="C334" s="136">
        <v>41801</v>
      </c>
      <c r="D334" s="137" t="s">
        <v>914</v>
      </c>
      <c r="E334" s="135" t="s">
        <v>915</v>
      </c>
      <c r="F334" s="138" t="s">
        <v>537</v>
      </c>
      <c r="G334" s="139" t="s">
        <v>431</v>
      </c>
      <c r="H334" s="140"/>
      <c r="I334" s="141">
        <v>1</v>
      </c>
      <c r="J334" s="142">
        <v>30429</v>
      </c>
      <c r="K334" s="142">
        <v>30429</v>
      </c>
      <c r="L334" s="170" t="s">
        <v>608</v>
      </c>
      <c r="M334" s="190" t="s">
        <v>33</v>
      </c>
      <c r="N334" s="132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</row>
    <row r="335" spans="1:28" s="134" customFormat="1" ht="15" customHeight="1" outlineLevel="1" x14ac:dyDescent="0.2">
      <c r="A335" s="122">
        <v>4</v>
      </c>
      <c r="B335" s="135">
        <v>28862</v>
      </c>
      <c r="C335" s="136">
        <v>41810</v>
      </c>
      <c r="D335" s="137" t="s">
        <v>916</v>
      </c>
      <c r="E335" s="135" t="s">
        <v>917</v>
      </c>
      <c r="F335" s="138" t="s">
        <v>580</v>
      </c>
      <c r="G335" s="139" t="s">
        <v>371</v>
      </c>
      <c r="H335" s="140"/>
      <c r="I335" s="141">
        <v>1</v>
      </c>
      <c r="J335" s="142">
        <v>25800</v>
      </c>
      <c r="K335" s="142">
        <v>25800</v>
      </c>
      <c r="L335" s="170" t="s">
        <v>608</v>
      </c>
      <c r="M335" s="190" t="s">
        <v>33</v>
      </c>
      <c r="N335" s="132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</row>
    <row r="336" spans="1:28" s="134" customFormat="1" ht="15" customHeight="1" outlineLevel="1" x14ac:dyDescent="0.2">
      <c r="A336" s="122">
        <v>5</v>
      </c>
      <c r="B336" s="135">
        <v>28061</v>
      </c>
      <c r="C336" s="136">
        <v>41808</v>
      </c>
      <c r="D336" s="137" t="s">
        <v>918</v>
      </c>
      <c r="E336" s="135" t="s">
        <v>906</v>
      </c>
      <c r="F336" s="138" t="s">
        <v>580</v>
      </c>
      <c r="G336" s="139" t="s">
        <v>371</v>
      </c>
      <c r="H336" s="140"/>
      <c r="I336" s="141">
        <v>1</v>
      </c>
      <c r="J336" s="142">
        <v>25800</v>
      </c>
      <c r="K336" s="142">
        <v>25800</v>
      </c>
      <c r="L336" s="170" t="s">
        <v>608</v>
      </c>
      <c r="M336" s="190" t="s">
        <v>33</v>
      </c>
      <c r="N336" s="132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</row>
    <row r="337" spans="1:28" s="134" customFormat="1" ht="15" customHeight="1" outlineLevel="1" x14ac:dyDescent="0.2">
      <c r="A337" s="122">
        <v>6</v>
      </c>
      <c r="B337" s="135">
        <v>28567</v>
      </c>
      <c r="C337" s="136">
        <v>41810</v>
      </c>
      <c r="D337" s="137" t="s">
        <v>919</v>
      </c>
      <c r="E337" s="135" t="s">
        <v>904</v>
      </c>
      <c r="F337" s="138" t="s">
        <v>580</v>
      </c>
      <c r="G337" s="139" t="s">
        <v>371</v>
      </c>
      <c r="H337" s="140"/>
      <c r="I337" s="141">
        <v>1</v>
      </c>
      <c r="J337" s="142">
        <v>25800</v>
      </c>
      <c r="K337" s="142">
        <v>25800</v>
      </c>
      <c r="L337" s="170" t="s">
        <v>608</v>
      </c>
      <c r="M337" s="190" t="s">
        <v>33</v>
      </c>
      <c r="N337" s="132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</row>
    <row r="338" spans="1:28" s="134" customFormat="1" ht="15" customHeight="1" outlineLevel="1" x14ac:dyDescent="0.2">
      <c r="A338" s="122">
        <v>7</v>
      </c>
      <c r="B338" s="135">
        <v>30273</v>
      </c>
      <c r="C338" s="136">
        <v>41815</v>
      </c>
      <c r="D338" s="137" t="s">
        <v>920</v>
      </c>
      <c r="E338" s="135" t="s">
        <v>476</v>
      </c>
      <c r="F338" s="138" t="s">
        <v>115</v>
      </c>
      <c r="G338" s="139" t="s">
        <v>431</v>
      </c>
      <c r="H338" s="140"/>
      <c r="I338" s="141">
        <v>1</v>
      </c>
      <c r="J338" s="142">
        <v>33370</v>
      </c>
      <c r="K338" s="142">
        <v>33370</v>
      </c>
      <c r="L338" s="170" t="s">
        <v>608</v>
      </c>
      <c r="M338" s="190" t="s">
        <v>33</v>
      </c>
      <c r="N338" s="132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</row>
    <row r="339" spans="1:28" s="134" customFormat="1" ht="15" customHeight="1" outlineLevel="1" x14ac:dyDescent="0.2">
      <c r="A339" s="122">
        <v>8</v>
      </c>
      <c r="B339" s="135">
        <v>28861</v>
      </c>
      <c r="C339" s="136">
        <v>41810</v>
      </c>
      <c r="D339" s="137" t="s">
        <v>921</v>
      </c>
      <c r="E339" s="135" t="s">
        <v>909</v>
      </c>
      <c r="F339" s="138" t="s">
        <v>580</v>
      </c>
      <c r="G339" s="139" t="s">
        <v>371</v>
      </c>
      <c r="H339" s="140"/>
      <c r="I339" s="141">
        <v>1</v>
      </c>
      <c r="J339" s="142">
        <v>25800</v>
      </c>
      <c r="K339" s="142">
        <v>25800</v>
      </c>
      <c r="L339" s="170" t="s">
        <v>608</v>
      </c>
      <c r="M339" s="190" t="s">
        <v>33</v>
      </c>
      <c r="N339" s="132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</row>
    <row r="340" spans="1:28" s="193" customFormat="1" ht="15" customHeight="1" outlineLevel="1" x14ac:dyDescent="0.2">
      <c r="A340" s="148">
        <v>9</v>
      </c>
      <c r="B340" s="174">
        <v>22064</v>
      </c>
      <c r="C340" s="175">
        <v>41792</v>
      </c>
      <c r="D340" s="172" t="s">
        <v>922</v>
      </c>
      <c r="E340" s="174" t="s">
        <v>476</v>
      </c>
      <c r="F340" s="176" t="s">
        <v>580</v>
      </c>
      <c r="G340" s="177" t="s">
        <v>371</v>
      </c>
      <c r="H340" s="178"/>
      <c r="I340" s="179">
        <v>1</v>
      </c>
      <c r="J340" s="142">
        <v>25800</v>
      </c>
      <c r="K340" s="142">
        <v>25800</v>
      </c>
      <c r="L340" s="170" t="s">
        <v>608</v>
      </c>
      <c r="M340" s="190" t="s">
        <v>33</v>
      </c>
      <c r="N340" s="191"/>
      <c r="O340" s="192"/>
      <c r="P340" s="192"/>
      <c r="Q340" s="192"/>
      <c r="R340" s="192"/>
      <c r="S340" s="192"/>
      <c r="T340" s="192"/>
      <c r="U340" s="192"/>
      <c r="V340" s="192"/>
      <c r="W340" s="192"/>
      <c r="X340" s="192"/>
      <c r="Y340" s="192"/>
      <c r="Z340" s="192"/>
      <c r="AA340" s="192"/>
      <c r="AB340" s="192"/>
    </row>
    <row r="341" spans="1:28" s="193" customFormat="1" ht="15" customHeight="1" outlineLevel="1" x14ac:dyDescent="0.2">
      <c r="A341" s="148">
        <v>10</v>
      </c>
      <c r="B341" s="174">
        <v>21967</v>
      </c>
      <c r="C341" s="175">
        <v>41787</v>
      </c>
      <c r="D341" s="172" t="s">
        <v>923</v>
      </c>
      <c r="E341" s="174" t="s">
        <v>912</v>
      </c>
      <c r="F341" s="176" t="s">
        <v>580</v>
      </c>
      <c r="G341" s="177" t="s">
        <v>371</v>
      </c>
      <c r="H341" s="178"/>
      <c r="I341" s="179">
        <v>1</v>
      </c>
      <c r="J341" s="142">
        <v>25800</v>
      </c>
      <c r="K341" s="142">
        <v>25800</v>
      </c>
      <c r="L341" s="170" t="s">
        <v>608</v>
      </c>
      <c r="M341" s="190" t="s">
        <v>33</v>
      </c>
      <c r="N341" s="191"/>
      <c r="O341" s="192"/>
      <c r="P341" s="192"/>
      <c r="Q341" s="192"/>
      <c r="R341" s="192"/>
      <c r="S341" s="192"/>
      <c r="T341" s="192"/>
      <c r="U341" s="192"/>
      <c r="V341" s="192"/>
      <c r="W341" s="192"/>
      <c r="X341" s="192"/>
      <c r="Y341" s="192"/>
      <c r="Z341" s="192"/>
      <c r="AA341" s="192"/>
      <c r="AB341" s="192"/>
    </row>
    <row r="342" spans="1:28" s="134" customFormat="1" ht="15" customHeight="1" outlineLevel="1" x14ac:dyDescent="0.2">
      <c r="A342" s="122">
        <v>11</v>
      </c>
      <c r="B342" s="135">
        <v>28877</v>
      </c>
      <c r="C342" s="136">
        <v>41810</v>
      </c>
      <c r="D342" s="137" t="s">
        <v>924</v>
      </c>
      <c r="E342" s="135" t="s">
        <v>909</v>
      </c>
      <c r="F342" s="138" t="s">
        <v>580</v>
      </c>
      <c r="G342" s="139" t="s">
        <v>371</v>
      </c>
      <c r="H342" s="140"/>
      <c r="I342" s="141">
        <v>1</v>
      </c>
      <c r="J342" s="142">
        <v>25800</v>
      </c>
      <c r="K342" s="142">
        <v>25800</v>
      </c>
      <c r="L342" s="170" t="s">
        <v>608</v>
      </c>
      <c r="M342" s="190" t="s">
        <v>33</v>
      </c>
      <c r="N342" s="132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</row>
    <row r="343" spans="1:28" s="134" customFormat="1" ht="15" customHeight="1" outlineLevel="1" x14ac:dyDescent="0.2">
      <c r="A343" s="122">
        <v>1</v>
      </c>
      <c r="B343" s="135">
        <v>36482</v>
      </c>
      <c r="C343" s="136">
        <v>41838</v>
      </c>
      <c r="D343" s="137" t="s">
        <v>925</v>
      </c>
      <c r="E343" s="135" t="s">
        <v>476</v>
      </c>
      <c r="F343" s="138" t="s">
        <v>580</v>
      </c>
      <c r="G343" s="139" t="s">
        <v>371</v>
      </c>
      <c r="H343" s="140"/>
      <c r="I343" s="141">
        <v>1</v>
      </c>
      <c r="J343" s="142">
        <v>25800</v>
      </c>
      <c r="K343" s="142">
        <v>25800</v>
      </c>
      <c r="L343" s="194" t="s">
        <v>760</v>
      </c>
      <c r="M343" s="195" t="s">
        <v>33</v>
      </c>
      <c r="N343" s="132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</row>
    <row r="344" spans="1:28" s="134" customFormat="1" ht="15" customHeight="1" outlineLevel="1" x14ac:dyDescent="0.2">
      <c r="A344" s="122">
        <v>2</v>
      </c>
      <c r="B344" s="135">
        <v>36415</v>
      </c>
      <c r="C344" s="136">
        <v>41837</v>
      </c>
      <c r="D344" s="137" t="s">
        <v>926</v>
      </c>
      <c r="E344" s="135" t="s">
        <v>476</v>
      </c>
      <c r="F344" s="138" t="s">
        <v>115</v>
      </c>
      <c r="G344" s="139" t="s">
        <v>927</v>
      </c>
      <c r="H344" s="140"/>
      <c r="I344" s="141">
        <v>2</v>
      </c>
      <c r="J344" s="142">
        <v>33370</v>
      </c>
      <c r="K344" s="142">
        <v>66740</v>
      </c>
      <c r="L344" s="194" t="s">
        <v>760</v>
      </c>
      <c r="M344" s="195" t="s">
        <v>33</v>
      </c>
      <c r="N344" s="132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</row>
    <row r="345" spans="1:28" s="134" customFormat="1" ht="15" customHeight="1" outlineLevel="1" x14ac:dyDescent="0.2">
      <c r="A345" s="122">
        <v>3</v>
      </c>
      <c r="B345" s="135">
        <v>31987</v>
      </c>
      <c r="C345" s="136">
        <v>41822</v>
      </c>
      <c r="D345" s="137" t="s">
        <v>928</v>
      </c>
      <c r="E345" s="135" t="s">
        <v>476</v>
      </c>
      <c r="F345" s="138" t="s">
        <v>115</v>
      </c>
      <c r="G345" s="139" t="s">
        <v>929</v>
      </c>
      <c r="H345" s="140"/>
      <c r="I345" s="141">
        <v>2</v>
      </c>
      <c r="J345" s="142">
        <v>33370</v>
      </c>
      <c r="K345" s="142">
        <v>66740</v>
      </c>
      <c r="L345" s="194" t="s">
        <v>760</v>
      </c>
      <c r="M345" s="195" t="s">
        <v>33</v>
      </c>
      <c r="N345" s="132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</row>
    <row r="346" spans="1:28" s="134" customFormat="1" ht="15" customHeight="1" outlineLevel="1" x14ac:dyDescent="0.2">
      <c r="A346" s="122">
        <v>4</v>
      </c>
      <c r="B346" s="135">
        <v>37445</v>
      </c>
      <c r="C346" s="136">
        <v>41844</v>
      </c>
      <c r="D346" s="137" t="s">
        <v>930</v>
      </c>
      <c r="E346" s="135" t="s">
        <v>476</v>
      </c>
      <c r="F346" s="138" t="s">
        <v>580</v>
      </c>
      <c r="G346" s="139" t="s">
        <v>371</v>
      </c>
      <c r="H346" s="140"/>
      <c r="I346" s="141">
        <v>1</v>
      </c>
      <c r="J346" s="142">
        <v>25800</v>
      </c>
      <c r="K346" s="142">
        <v>25800</v>
      </c>
      <c r="L346" s="194" t="s">
        <v>760</v>
      </c>
      <c r="M346" s="195" t="s">
        <v>33</v>
      </c>
      <c r="N346" s="132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</row>
    <row r="347" spans="1:28" s="134" customFormat="1" ht="15" customHeight="1" outlineLevel="1" x14ac:dyDescent="0.2">
      <c r="A347" s="122">
        <v>5</v>
      </c>
      <c r="B347" s="135">
        <v>38439</v>
      </c>
      <c r="C347" s="136">
        <v>41848</v>
      </c>
      <c r="D347" s="137" t="s">
        <v>931</v>
      </c>
      <c r="E347" s="135" t="s">
        <v>932</v>
      </c>
      <c r="F347" s="138" t="s">
        <v>217</v>
      </c>
      <c r="G347" s="139" t="s">
        <v>371</v>
      </c>
      <c r="H347" s="140"/>
      <c r="I347" s="141">
        <v>1</v>
      </c>
      <c r="J347" s="142">
        <v>44597</v>
      </c>
      <c r="K347" s="142">
        <v>44597</v>
      </c>
      <c r="L347" s="194" t="s">
        <v>760</v>
      </c>
      <c r="M347" s="195" t="s">
        <v>33</v>
      </c>
      <c r="N347" s="132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</row>
    <row r="348" spans="1:28" s="134" customFormat="1" ht="15" customHeight="1" outlineLevel="1" x14ac:dyDescent="0.2">
      <c r="A348" s="122">
        <v>6</v>
      </c>
      <c r="B348" s="135">
        <v>39389</v>
      </c>
      <c r="C348" s="136">
        <v>41850</v>
      </c>
      <c r="D348" s="137" t="s">
        <v>933</v>
      </c>
      <c r="E348" s="135" t="s">
        <v>915</v>
      </c>
      <c r="F348" s="138" t="s">
        <v>217</v>
      </c>
      <c r="G348" s="139" t="s">
        <v>371</v>
      </c>
      <c r="H348" s="140"/>
      <c r="I348" s="141">
        <v>1</v>
      </c>
      <c r="J348" s="142">
        <v>44597</v>
      </c>
      <c r="K348" s="142">
        <v>44597</v>
      </c>
      <c r="L348" s="194" t="s">
        <v>760</v>
      </c>
      <c r="M348" s="195" t="s">
        <v>33</v>
      </c>
      <c r="N348" s="132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</row>
    <row r="349" spans="1:28" s="134" customFormat="1" ht="15" customHeight="1" outlineLevel="1" x14ac:dyDescent="0.2">
      <c r="A349" s="122">
        <v>1</v>
      </c>
      <c r="B349" s="135">
        <v>43893</v>
      </c>
      <c r="C349" s="136">
        <v>41866</v>
      </c>
      <c r="D349" s="137" t="s">
        <v>934</v>
      </c>
      <c r="E349" s="135" t="s">
        <v>515</v>
      </c>
      <c r="F349" s="138" t="s">
        <v>580</v>
      </c>
      <c r="G349" s="139" t="s">
        <v>371</v>
      </c>
      <c r="H349" s="140"/>
      <c r="I349" s="141">
        <v>1</v>
      </c>
      <c r="J349" s="142">
        <v>25800</v>
      </c>
      <c r="K349" s="142">
        <v>25800</v>
      </c>
      <c r="L349" s="196" t="s">
        <v>788</v>
      </c>
      <c r="M349" s="195" t="s">
        <v>33</v>
      </c>
      <c r="N349" s="132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</row>
    <row r="350" spans="1:28" s="134" customFormat="1" ht="15" customHeight="1" outlineLevel="1" x14ac:dyDescent="0.2">
      <c r="A350" s="122">
        <v>2</v>
      </c>
      <c r="B350" s="135">
        <v>40611</v>
      </c>
      <c r="C350" s="136">
        <v>41857</v>
      </c>
      <c r="D350" s="137" t="s">
        <v>935</v>
      </c>
      <c r="E350" s="135" t="s">
        <v>912</v>
      </c>
      <c r="F350" s="138" t="s">
        <v>580</v>
      </c>
      <c r="G350" s="139" t="s">
        <v>371</v>
      </c>
      <c r="H350" s="140"/>
      <c r="I350" s="141">
        <v>1</v>
      </c>
      <c r="J350" s="142">
        <v>25800</v>
      </c>
      <c r="K350" s="142">
        <v>25800</v>
      </c>
      <c r="L350" s="196" t="s">
        <v>788</v>
      </c>
      <c r="M350" s="195" t="s">
        <v>33</v>
      </c>
      <c r="N350" s="132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</row>
    <row r="351" spans="1:28" s="134" customFormat="1" ht="15" customHeight="1" outlineLevel="1" x14ac:dyDescent="0.2">
      <c r="A351" s="122">
        <v>4</v>
      </c>
      <c r="B351" s="135">
        <v>41466</v>
      </c>
      <c r="C351" s="136">
        <v>41858</v>
      </c>
      <c r="D351" s="137" t="s">
        <v>936</v>
      </c>
      <c r="E351" s="135" t="s">
        <v>906</v>
      </c>
      <c r="F351" s="138" t="s">
        <v>580</v>
      </c>
      <c r="G351" s="139" t="s">
        <v>371</v>
      </c>
      <c r="H351" s="140"/>
      <c r="I351" s="141">
        <v>1</v>
      </c>
      <c r="J351" s="142">
        <v>25800</v>
      </c>
      <c r="K351" s="142">
        <v>25800</v>
      </c>
      <c r="L351" s="196" t="s">
        <v>788</v>
      </c>
      <c r="M351" s="195" t="s">
        <v>33</v>
      </c>
      <c r="N351" s="132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</row>
    <row r="352" spans="1:28" s="134" customFormat="1" ht="15" customHeight="1" outlineLevel="1" x14ac:dyDescent="0.2">
      <c r="A352" s="122">
        <v>5</v>
      </c>
      <c r="B352" s="135">
        <v>46995</v>
      </c>
      <c r="C352" s="136">
        <v>41877</v>
      </c>
      <c r="D352" s="137" t="s">
        <v>937</v>
      </c>
      <c r="E352" s="135" t="s">
        <v>915</v>
      </c>
      <c r="F352" s="138" t="s">
        <v>217</v>
      </c>
      <c r="G352" s="139" t="s">
        <v>387</v>
      </c>
      <c r="H352" s="140"/>
      <c r="I352" s="141">
        <v>2</v>
      </c>
      <c r="J352" s="142">
        <v>44597</v>
      </c>
      <c r="K352" s="142">
        <v>89194</v>
      </c>
      <c r="L352" s="196" t="s">
        <v>788</v>
      </c>
      <c r="M352" s="195" t="s">
        <v>33</v>
      </c>
      <c r="N352" s="132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</row>
    <row r="353" spans="1:28" s="134" customFormat="1" ht="15" customHeight="1" outlineLevel="1" x14ac:dyDescent="0.2">
      <c r="A353" s="122">
        <v>6</v>
      </c>
      <c r="B353" s="135">
        <v>45102</v>
      </c>
      <c r="C353" s="136">
        <v>41871</v>
      </c>
      <c r="D353" s="137" t="s">
        <v>938</v>
      </c>
      <c r="E353" s="135" t="s">
        <v>476</v>
      </c>
      <c r="F353" s="138" t="s">
        <v>580</v>
      </c>
      <c r="G353" s="139" t="s">
        <v>371</v>
      </c>
      <c r="H353" s="140"/>
      <c r="I353" s="141">
        <v>1</v>
      </c>
      <c r="J353" s="142">
        <v>25800</v>
      </c>
      <c r="K353" s="142">
        <v>25800</v>
      </c>
      <c r="L353" s="196" t="s">
        <v>788</v>
      </c>
      <c r="M353" s="195" t="s">
        <v>33</v>
      </c>
      <c r="N353" s="132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</row>
    <row r="354" spans="1:28" s="134" customFormat="1" ht="15" customHeight="1" outlineLevel="1" x14ac:dyDescent="0.2">
      <c r="A354" s="122">
        <v>1</v>
      </c>
      <c r="B354" s="135">
        <v>53105</v>
      </c>
      <c r="C354" s="136">
        <v>41905</v>
      </c>
      <c r="D354" s="137" t="s">
        <v>939</v>
      </c>
      <c r="E354" s="135" t="s">
        <v>476</v>
      </c>
      <c r="F354" s="138" t="s">
        <v>115</v>
      </c>
      <c r="G354" s="139" t="s">
        <v>419</v>
      </c>
      <c r="H354" s="140"/>
      <c r="I354" s="141">
        <v>1</v>
      </c>
      <c r="J354" s="142">
        <v>33370</v>
      </c>
      <c r="K354" s="142">
        <v>33370</v>
      </c>
      <c r="L354" s="163" t="s">
        <v>617</v>
      </c>
      <c r="M354" s="195" t="s">
        <v>33</v>
      </c>
      <c r="N354" s="132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</row>
    <row r="355" spans="1:28" s="134" customFormat="1" ht="15" customHeight="1" outlineLevel="1" x14ac:dyDescent="0.2">
      <c r="A355" s="122">
        <v>2</v>
      </c>
      <c r="B355" s="135">
        <v>48446</v>
      </c>
      <c r="C355" s="136">
        <v>41880</v>
      </c>
      <c r="D355" s="137" t="s">
        <v>940</v>
      </c>
      <c r="E355" s="135" t="s">
        <v>909</v>
      </c>
      <c r="F355" s="138" t="s">
        <v>580</v>
      </c>
      <c r="G355" s="139" t="s">
        <v>371</v>
      </c>
      <c r="H355" s="140"/>
      <c r="I355" s="141">
        <v>1</v>
      </c>
      <c r="J355" s="142">
        <v>25800</v>
      </c>
      <c r="K355" s="180">
        <v>25800</v>
      </c>
      <c r="L355" s="163" t="s">
        <v>617</v>
      </c>
      <c r="M355" s="195" t="s">
        <v>33</v>
      </c>
      <c r="N355" s="132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</row>
    <row r="356" spans="1:28" s="134" customFormat="1" ht="15" customHeight="1" outlineLevel="1" x14ac:dyDescent="0.2">
      <c r="A356" s="122">
        <v>4</v>
      </c>
      <c r="B356" s="135">
        <v>50684</v>
      </c>
      <c r="C356" s="136">
        <v>41890</v>
      </c>
      <c r="D356" s="137" t="s">
        <v>941</v>
      </c>
      <c r="E356" s="135" t="s">
        <v>476</v>
      </c>
      <c r="F356" s="138" t="s">
        <v>537</v>
      </c>
      <c r="G356" s="139" t="s">
        <v>415</v>
      </c>
      <c r="H356" s="140"/>
      <c r="I356" s="141">
        <v>1</v>
      </c>
      <c r="J356" s="142">
        <v>30429</v>
      </c>
      <c r="K356" s="142">
        <v>30429</v>
      </c>
      <c r="L356" s="163" t="s">
        <v>617</v>
      </c>
      <c r="M356" s="195" t="s">
        <v>33</v>
      </c>
      <c r="N356" s="132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</row>
    <row r="357" spans="1:28" s="134" customFormat="1" ht="15" customHeight="1" outlineLevel="1" x14ac:dyDescent="0.2">
      <c r="A357" s="122">
        <v>5</v>
      </c>
      <c r="B357" s="135">
        <v>56525</v>
      </c>
      <c r="C357" s="136">
        <v>41912</v>
      </c>
      <c r="D357" s="137" t="s">
        <v>942</v>
      </c>
      <c r="E357" s="135" t="s">
        <v>943</v>
      </c>
      <c r="F357" s="138" t="s">
        <v>580</v>
      </c>
      <c r="G357" s="139" t="s">
        <v>371</v>
      </c>
      <c r="H357" s="140"/>
      <c r="I357" s="141">
        <v>1</v>
      </c>
      <c r="J357" s="142">
        <v>25800</v>
      </c>
      <c r="K357" s="142">
        <v>25800</v>
      </c>
      <c r="L357" s="163" t="s">
        <v>617</v>
      </c>
      <c r="M357" s="195" t="s">
        <v>33</v>
      </c>
      <c r="N357" s="132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</row>
    <row r="358" spans="1:28" s="134" customFormat="1" ht="15" customHeight="1" outlineLevel="1" x14ac:dyDescent="0.2">
      <c r="A358" s="122">
        <v>6</v>
      </c>
      <c r="B358" s="135">
        <v>53663</v>
      </c>
      <c r="C358" s="136">
        <v>41898</v>
      </c>
      <c r="D358" s="137" t="s">
        <v>937</v>
      </c>
      <c r="E358" s="135" t="s">
        <v>915</v>
      </c>
      <c r="F358" s="138" t="s">
        <v>232</v>
      </c>
      <c r="G358" s="139" t="s">
        <v>369</v>
      </c>
      <c r="H358" s="140"/>
      <c r="I358" s="141">
        <v>1</v>
      </c>
      <c r="J358" s="142">
        <v>17244</v>
      </c>
      <c r="K358" s="142">
        <v>17244</v>
      </c>
      <c r="L358" s="163" t="s">
        <v>617</v>
      </c>
      <c r="M358" s="195" t="s">
        <v>33</v>
      </c>
      <c r="N358" s="132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</row>
    <row r="359" spans="1:28" s="134" customFormat="1" ht="15" customHeight="1" outlineLevel="1" x14ac:dyDescent="0.2">
      <c r="A359" s="122">
        <v>7</v>
      </c>
      <c r="B359" s="135">
        <v>49028</v>
      </c>
      <c r="C359" s="136">
        <v>41885</v>
      </c>
      <c r="D359" s="137" t="s">
        <v>944</v>
      </c>
      <c r="E359" s="135" t="s">
        <v>912</v>
      </c>
      <c r="F359" s="138" t="s">
        <v>580</v>
      </c>
      <c r="G359" s="139" t="s">
        <v>371</v>
      </c>
      <c r="H359" s="140"/>
      <c r="I359" s="141">
        <v>1</v>
      </c>
      <c r="J359" s="142">
        <v>25800</v>
      </c>
      <c r="K359" s="142">
        <v>25800</v>
      </c>
      <c r="L359" s="163" t="s">
        <v>617</v>
      </c>
      <c r="M359" s="195" t="s">
        <v>33</v>
      </c>
      <c r="N359" s="132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</row>
    <row r="360" spans="1:28" s="134" customFormat="1" ht="15" customHeight="1" outlineLevel="1" x14ac:dyDescent="0.2">
      <c r="A360" s="122">
        <v>8</v>
      </c>
      <c r="B360" s="135">
        <v>48788</v>
      </c>
      <c r="C360" s="136">
        <v>41884</v>
      </c>
      <c r="D360" s="137" t="s">
        <v>945</v>
      </c>
      <c r="E360" s="135" t="s">
        <v>943</v>
      </c>
      <c r="F360" s="138" t="s">
        <v>580</v>
      </c>
      <c r="G360" s="139" t="s">
        <v>371</v>
      </c>
      <c r="H360" s="140"/>
      <c r="I360" s="141">
        <v>1</v>
      </c>
      <c r="J360" s="142">
        <v>25800</v>
      </c>
      <c r="K360" s="142">
        <v>25800</v>
      </c>
      <c r="L360" s="163" t="s">
        <v>617</v>
      </c>
      <c r="M360" s="195" t="s">
        <v>33</v>
      </c>
      <c r="N360" s="132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</row>
    <row r="361" spans="1:28" s="134" customFormat="1" ht="15" customHeight="1" outlineLevel="1" x14ac:dyDescent="0.2">
      <c r="A361" s="122">
        <v>9</v>
      </c>
      <c r="B361" s="135">
        <v>53304</v>
      </c>
      <c r="C361" s="136">
        <v>41897</v>
      </c>
      <c r="D361" s="137" t="s">
        <v>946</v>
      </c>
      <c r="E361" s="135" t="s">
        <v>476</v>
      </c>
      <c r="F361" s="138" t="s">
        <v>537</v>
      </c>
      <c r="G361" s="139" t="s">
        <v>472</v>
      </c>
      <c r="H361" s="140"/>
      <c r="I361" s="141">
        <v>1</v>
      </c>
      <c r="J361" s="142">
        <v>30429</v>
      </c>
      <c r="K361" s="142">
        <v>30429</v>
      </c>
      <c r="L361" s="163" t="s">
        <v>617</v>
      </c>
      <c r="M361" s="195" t="s">
        <v>33</v>
      </c>
      <c r="N361" s="132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</row>
    <row r="362" spans="1:28" s="134" customFormat="1" ht="15" customHeight="1" outlineLevel="1" x14ac:dyDescent="0.2">
      <c r="A362" s="122">
        <v>1</v>
      </c>
      <c r="B362" s="135">
        <v>59517</v>
      </c>
      <c r="C362" s="136">
        <v>41913</v>
      </c>
      <c r="D362" s="137" t="s">
        <v>947</v>
      </c>
      <c r="E362" s="135" t="s">
        <v>476</v>
      </c>
      <c r="F362" s="138" t="s">
        <v>580</v>
      </c>
      <c r="G362" s="139" t="s">
        <v>371</v>
      </c>
      <c r="H362" s="140"/>
      <c r="I362" s="141">
        <v>1</v>
      </c>
      <c r="J362" s="142">
        <v>25800</v>
      </c>
      <c r="K362" s="142">
        <v>25800</v>
      </c>
      <c r="L362" s="197" t="s">
        <v>620</v>
      </c>
      <c r="M362" s="198" t="s">
        <v>33</v>
      </c>
      <c r="N362" s="132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</row>
    <row r="363" spans="1:28" s="134" customFormat="1" ht="15" customHeight="1" outlineLevel="1" x14ac:dyDescent="0.2">
      <c r="A363" s="122">
        <v>2</v>
      </c>
      <c r="B363" s="135">
        <v>55350</v>
      </c>
      <c r="C363" s="136">
        <v>41908</v>
      </c>
      <c r="D363" s="137" t="s">
        <v>948</v>
      </c>
      <c r="E363" s="135" t="s">
        <v>909</v>
      </c>
      <c r="F363" s="138" t="s">
        <v>580</v>
      </c>
      <c r="G363" s="139" t="s">
        <v>371</v>
      </c>
      <c r="H363" s="140"/>
      <c r="I363" s="141">
        <v>1</v>
      </c>
      <c r="J363" s="142">
        <v>25800</v>
      </c>
      <c r="K363" s="142">
        <v>25800</v>
      </c>
      <c r="L363" s="197" t="s">
        <v>620</v>
      </c>
      <c r="M363" s="198" t="s">
        <v>33</v>
      </c>
      <c r="N363" s="132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</row>
    <row r="364" spans="1:28" s="134" customFormat="1" ht="15" customHeight="1" outlineLevel="1" x14ac:dyDescent="0.2">
      <c r="A364" s="122">
        <v>3</v>
      </c>
      <c r="B364" s="135">
        <v>59098</v>
      </c>
      <c r="C364" s="136">
        <v>41921</v>
      </c>
      <c r="D364" s="137" t="s">
        <v>949</v>
      </c>
      <c r="E364" s="135" t="s">
        <v>476</v>
      </c>
      <c r="F364" s="138" t="s">
        <v>204</v>
      </c>
      <c r="G364" s="139" t="s">
        <v>511</v>
      </c>
      <c r="H364" s="140"/>
      <c r="I364" s="141">
        <v>1</v>
      </c>
      <c r="J364" s="142">
        <v>17244</v>
      </c>
      <c r="K364" s="142">
        <v>17244</v>
      </c>
      <c r="L364" s="197" t="s">
        <v>620</v>
      </c>
      <c r="M364" s="198" t="s">
        <v>33</v>
      </c>
      <c r="N364" s="132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</row>
    <row r="365" spans="1:28" s="134" customFormat="1" ht="15" customHeight="1" outlineLevel="1" x14ac:dyDescent="0.2">
      <c r="A365" s="122">
        <v>4</v>
      </c>
      <c r="B365" s="135">
        <v>55401</v>
      </c>
      <c r="C365" s="136">
        <v>41928</v>
      </c>
      <c r="D365" s="137" t="s">
        <v>949</v>
      </c>
      <c r="E365" s="135" t="s">
        <v>476</v>
      </c>
      <c r="F365" s="138" t="s">
        <v>115</v>
      </c>
      <c r="G365" s="139" t="s">
        <v>950</v>
      </c>
      <c r="H365" s="140"/>
      <c r="I365" s="141">
        <v>2</v>
      </c>
      <c r="J365" s="142">
        <v>33370</v>
      </c>
      <c r="K365" s="142">
        <v>66740</v>
      </c>
      <c r="L365" s="197" t="s">
        <v>620</v>
      </c>
      <c r="M365" s="198" t="s">
        <v>33</v>
      </c>
      <c r="N365" s="132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</row>
    <row r="366" spans="1:28" s="134" customFormat="1" ht="15" customHeight="1" outlineLevel="1" x14ac:dyDescent="0.2">
      <c r="A366" s="122">
        <v>5</v>
      </c>
      <c r="B366" s="135">
        <v>53062</v>
      </c>
      <c r="C366" s="136">
        <v>41924</v>
      </c>
      <c r="D366" s="137" t="s">
        <v>951</v>
      </c>
      <c r="E366" s="135" t="s">
        <v>515</v>
      </c>
      <c r="F366" s="138" t="s">
        <v>580</v>
      </c>
      <c r="G366" s="139" t="s">
        <v>371</v>
      </c>
      <c r="H366" s="140"/>
      <c r="I366" s="141">
        <v>1</v>
      </c>
      <c r="J366" s="142">
        <v>25800</v>
      </c>
      <c r="K366" s="142">
        <v>25800</v>
      </c>
      <c r="L366" s="197" t="s">
        <v>620</v>
      </c>
      <c r="M366" s="198" t="s">
        <v>33</v>
      </c>
      <c r="N366" s="132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</row>
    <row r="367" spans="1:28" s="134" customFormat="1" ht="15" customHeight="1" outlineLevel="1" x14ac:dyDescent="0.2">
      <c r="A367" s="122">
        <v>6</v>
      </c>
      <c r="B367" s="135">
        <v>54178</v>
      </c>
      <c r="C367" s="136">
        <v>41927</v>
      </c>
      <c r="D367" s="199" t="s">
        <v>952</v>
      </c>
      <c r="E367" s="135" t="s">
        <v>476</v>
      </c>
      <c r="F367" s="138" t="s">
        <v>682</v>
      </c>
      <c r="G367" s="139" t="s">
        <v>369</v>
      </c>
      <c r="H367" s="140"/>
      <c r="I367" s="141">
        <v>1</v>
      </c>
      <c r="J367" s="142">
        <v>55058</v>
      </c>
      <c r="K367" s="142">
        <v>55058</v>
      </c>
      <c r="L367" s="197" t="s">
        <v>620</v>
      </c>
      <c r="M367" s="198" t="s">
        <v>33</v>
      </c>
      <c r="N367" s="132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</row>
    <row r="368" spans="1:28" s="134" customFormat="1" ht="15" customHeight="1" outlineLevel="1" x14ac:dyDescent="0.2">
      <c r="A368" s="122">
        <v>7</v>
      </c>
      <c r="B368" s="135">
        <v>58032</v>
      </c>
      <c r="C368" s="136">
        <v>41936</v>
      </c>
      <c r="D368" s="137" t="s">
        <v>953</v>
      </c>
      <c r="E368" s="135" t="s">
        <v>476</v>
      </c>
      <c r="F368" s="138" t="s">
        <v>580</v>
      </c>
      <c r="G368" s="139" t="s">
        <v>371</v>
      </c>
      <c r="H368" s="140"/>
      <c r="I368" s="141">
        <v>1</v>
      </c>
      <c r="J368" s="142">
        <v>25800</v>
      </c>
      <c r="K368" s="142">
        <v>25800</v>
      </c>
      <c r="L368" s="197" t="s">
        <v>620</v>
      </c>
      <c r="M368" s="198" t="s">
        <v>33</v>
      </c>
      <c r="N368" s="132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</row>
    <row r="369" spans="1:28" s="134" customFormat="1" ht="15" customHeight="1" outlineLevel="1" x14ac:dyDescent="0.2">
      <c r="A369" s="122">
        <v>9</v>
      </c>
      <c r="B369" s="135">
        <v>59184</v>
      </c>
      <c r="C369" s="136">
        <v>41922</v>
      </c>
      <c r="D369" s="137" t="s">
        <v>954</v>
      </c>
      <c r="E369" s="135" t="s">
        <v>932</v>
      </c>
      <c r="F369" s="138" t="s">
        <v>217</v>
      </c>
      <c r="G369" s="139" t="s">
        <v>371</v>
      </c>
      <c r="H369" s="140"/>
      <c r="I369" s="141">
        <v>1</v>
      </c>
      <c r="J369" s="142">
        <v>44597</v>
      </c>
      <c r="K369" s="142">
        <v>44597</v>
      </c>
      <c r="L369" s="197" t="s">
        <v>620</v>
      </c>
      <c r="M369" s="198" t="s">
        <v>33</v>
      </c>
      <c r="N369" s="132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</row>
    <row r="370" spans="1:28" s="134" customFormat="1" ht="15" customHeight="1" outlineLevel="1" x14ac:dyDescent="0.2">
      <c r="A370" s="122">
        <v>10</v>
      </c>
      <c r="B370" s="135">
        <v>58784</v>
      </c>
      <c r="C370" s="136">
        <v>41939</v>
      </c>
      <c r="D370" s="137" t="s">
        <v>955</v>
      </c>
      <c r="E370" s="135" t="s">
        <v>476</v>
      </c>
      <c r="F370" s="138" t="s">
        <v>115</v>
      </c>
      <c r="G370" s="139" t="s">
        <v>956</v>
      </c>
      <c r="H370" s="140"/>
      <c r="I370" s="141">
        <v>2</v>
      </c>
      <c r="J370" s="142">
        <v>33370</v>
      </c>
      <c r="K370" s="142">
        <v>66740</v>
      </c>
      <c r="L370" s="197" t="s">
        <v>620</v>
      </c>
      <c r="M370" s="198" t="s">
        <v>33</v>
      </c>
      <c r="N370" s="132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</row>
    <row r="371" spans="1:28" s="134" customFormat="1" ht="15" customHeight="1" outlineLevel="1" x14ac:dyDescent="0.2">
      <c r="A371" s="122">
        <v>11</v>
      </c>
      <c r="B371" s="135">
        <v>56587</v>
      </c>
      <c r="C371" s="136">
        <v>41912</v>
      </c>
      <c r="D371" s="137" t="s">
        <v>957</v>
      </c>
      <c r="E371" s="135" t="s">
        <v>476</v>
      </c>
      <c r="F371" s="138" t="s">
        <v>580</v>
      </c>
      <c r="G371" s="139" t="s">
        <v>371</v>
      </c>
      <c r="H371" s="140"/>
      <c r="I371" s="141">
        <v>1</v>
      </c>
      <c r="J371" s="142">
        <v>25800</v>
      </c>
      <c r="K371" s="142">
        <v>25800</v>
      </c>
      <c r="L371" s="197" t="s">
        <v>620</v>
      </c>
      <c r="M371" s="198" t="s">
        <v>33</v>
      </c>
      <c r="N371" s="132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</row>
    <row r="372" spans="1:28" s="134" customFormat="1" ht="15" customHeight="1" outlineLevel="1" x14ac:dyDescent="0.2">
      <c r="A372" s="122">
        <v>2</v>
      </c>
      <c r="B372" s="122">
        <v>68773</v>
      </c>
      <c r="C372" s="123">
        <v>41967</v>
      </c>
      <c r="D372" s="124" t="s">
        <v>958</v>
      </c>
      <c r="E372" s="122" t="s">
        <v>959</v>
      </c>
      <c r="F372" s="125" t="s">
        <v>217</v>
      </c>
      <c r="G372" s="126" t="s">
        <v>371</v>
      </c>
      <c r="H372" s="127"/>
      <c r="I372" s="128">
        <v>1</v>
      </c>
      <c r="J372" s="129">
        <v>44597</v>
      </c>
      <c r="K372" s="129">
        <v>44597</v>
      </c>
      <c r="L372" s="163" t="s">
        <v>960</v>
      </c>
      <c r="M372" s="195" t="s">
        <v>33</v>
      </c>
      <c r="N372" s="132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</row>
    <row r="373" spans="1:28" s="134" customFormat="1" ht="15" customHeight="1" outlineLevel="1" x14ac:dyDescent="0.2">
      <c r="A373" s="122">
        <v>3</v>
      </c>
      <c r="B373" s="122">
        <v>60562</v>
      </c>
      <c r="C373" s="123">
        <v>41942</v>
      </c>
      <c r="D373" s="124" t="s">
        <v>961</v>
      </c>
      <c r="E373" s="122" t="s">
        <v>962</v>
      </c>
      <c r="F373" s="125" t="s">
        <v>580</v>
      </c>
      <c r="G373" s="126" t="s">
        <v>371</v>
      </c>
      <c r="H373" s="127"/>
      <c r="I373" s="128">
        <v>1</v>
      </c>
      <c r="J373" s="129">
        <v>25800</v>
      </c>
      <c r="K373" s="129">
        <v>25800</v>
      </c>
      <c r="L373" s="163" t="s">
        <v>960</v>
      </c>
      <c r="M373" s="195" t="s">
        <v>33</v>
      </c>
      <c r="N373" s="132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</row>
    <row r="374" spans="1:28" s="134" customFormat="1" ht="15" customHeight="1" outlineLevel="1" x14ac:dyDescent="0.2">
      <c r="A374" s="122">
        <v>4</v>
      </c>
      <c r="B374" s="122">
        <v>69075</v>
      </c>
      <c r="C374" s="123">
        <v>41968</v>
      </c>
      <c r="D374" s="124" t="s">
        <v>963</v>
      </c>
      <c r="E374" s="122" t="s">
        <v>909</v>
      </c>
      <c r="F374" s="125" t="s">
        <v>580</v>
      </c>
      <c r="G374" s="126" t="s">
        <v>371</v>
      </c>
      <c r="H374" s="127"/>
      <c r="I374" s="128">
        <v>1</v>
      </c>
      <c r="J374" s="129">
        <v>25800</v>
      </c>
      <c r="K374" s="129">
        <v>25800</v>
      </c>
      <c r="L374" s="163" t="s">
        <v>960</v>
      </c>
      <c r="M374" s="195" t="s">
        <v>33</v>
      </c>
      <c r="N374" s="132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</row>
    <row r="375" spans="1:28" s="134" customFormat="1" ht="15" customHeight="1" outlineLevel="1" x14ac:dyDescent="0.2">
      <c r="A375" s="122">
        <v>5</v>
      </c>
      <c r="B375" s="122">
        <v>63100</v>
      </c>
      <c r="C375" s="123">
        <v>41953</v>
      </c>
      <c r="D375" s="124" t="s">
        <v>964</v>
      </c>
      <c r="E375" s="122" t="s">
        <v>909</v>
      </c>
      <c r="F375" s="125" t="s">
        <v>580</v>
      </c>
      <c r="G375" s="126" t="s">
        <v>371</v>
      </c>
      <c r="H375" s="127"/>
      <c r="I375" s="128">
        <v>1</v>
      </c>
      <c r="J375" s="129">
        <v>25800</v>
      </c>
      <c r="K375" s="129">
        <v>25800</v>
      </c>
      <c r="L375" s="163" t="s">
        <v>960</v>
      </c>
      <c r="M375" s="195" t="s">
        <v>33</v>
      </c>
      <c r="N375" s="132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</row>
    <row r="376" spans="1:28" s="134" customFormat="1" ht="15" customHeight="1" outlineLevel="1" x14ac:dyDescent="0.2">
      <c r="A376" s="122">
        <v>6</v>
      </c>
      <c r="B376" s="122">
        <v>63194</v>
      </c>
      <c r="C376" s="123">
        <v>41953</v>
      </c>
      <c r="D376" s="124" t="s">
        <v>965</v>
      </c>
      <c r="E376" s="122" t="s">
        <v>915</v>
      </c>
      <c r="F376" s="125" t="s">
        <v>217</v>
      </c>
      <c r="G376" s="126" t="s">
        <v>369</v>
      </c>
      <c r="H376" s="127"/>
      <c r="I376" s="128">
        <v>1</v>
      </c>
      <c r="J376" s="129">
        <v>44597</v>
      </c>
      <c r="K376" s="129">
        <v>44597</v>
      </c>
      <c r="L376" s="163" t="s">
        <v>960</v>
      </c>
      <c r="M376" s="195" t="s">
        <v>33</v>
      </c>
      <c r="N376" s="132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</row>
    <row r="377" spans="1:28" s="134" customFormat="1" ht="15" customHeight="1" outlineLevel="1" x14ac:dyDescent="0.2">
      <c r="A377" s="122">
        <v>7</v>
      </c>
      <c r="B377" s="122">
        <v>66861</v>
      </c>
      <c r="C377" s="123">
        <v>41963</v>
      </c>
      <c r="D377" s="124" t="s">
        <v>966</v>
      </c>
      <c r="E377" s="122" t="s">
        <v>909</v>
      </c>
      <c r="F377" s="125" t="s">
        <v>580</v>
      </c>
      <c r="G377" s="126" t="s">
        <v>371</v>
      </c>
      <c r="H377" s="127"/>
      <c r="I377" s="128">
        <v>1</v>
      </c>
      <c r="J377" s="129">
        <v>25800</v>
      </c>
      <c r="K377" s="129">
        <v>25800</v>
      </c>
      <c r="L377" s="163" t="s">
        <v>960</v>
      </c>
      <c r="M377" s="195" t="s">
        <v>33</v>
      </c>
      <c r="N377" s="132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</row>
    <row r="378" spans="1:28" s="134" customFormat="1" ht="15" customHeight="1" outlineLevel="1" x14ac:dyDescent="0.2">
      <c r="A378" s="122">
        <v>8</v>
      </c>
      <c r="B378" s="122">
        <v>69998</v>
      </c>
      <c r="C378" s="123">
        <v>41970</v>
      </c>
      <c r="D378" s="124" t="s">
        <v>967</v>
      </c>
      <c r="E378" s="122" t="s">
        <v>959</v>
      </c>
      <c r="F378" s="125" t="s">
        <v>217</v>
      </c>
      <c r="G378" s="126" t="s">
        <v>371</v>
      </c>
      <c r="H378" s="127"/>
      <c r="I378" s="128">
        <v>1</v>
      </c>
      <c r="J378" s="129">
        <v>44597</v>
      </c>
      <c r="K378" s="129">
        <v>44597</v>
      </c>
      <c r="L378" s="163" t="s">
        <v>960</v>
      </c>
      <c r="M378" s="195" t="s">
        <v>33</v>
      </c>
      <c r="N378" s="132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</row>
    <row r="379" spans="1:28" s="134" customFormat="1" ht="15" customHeight="1" outlineLevel="1" x14ac:dyDescent="0.2">
      <c r="A379" s="122">
        <v>9</v>
      </c>
      <c r="B379" s="122">
        <v>65393</v>
      </c>
      <c r="C379" s="123">
        <v>41960</v>
      </c>
      <c r="D379" s="124" t="s">
        <v>968</v>
      </c>
      <c r="E379" s="122" t="s">
        <v>969</v>
      </c>
      <c r="F379" s="125" t="s">
        <v>580</v>
      </c>
      <c r="G379" s="126" t="s">
        <v>371</v>
      </c>
      <c r="H379" s="127"/>
      <c r="I379" s="128">
        <v>1</v>
      </c>
      <c r="J379" s="129">
        <v>25800</v>
      </c>
      <c r="K379" s="129">
        <v>25800</v>
      </c>
      <c r="L379" s="163" t="s">
        <v>960</v>
      </c>
      <c r="M379" s="195" t="s">
        <v>33</v>
      </c>
      <c r="N379" s="132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</row>
    <row r="380" spans="1:28" s="134" customFormat="1" ht="15" customHeight="1" outlineLevel="1" x14ac:dyDescent="0.2">
      <c r="A380" s="122">
        <v>10</v>
      </c>
      <c r="B380" s="122">
        <v>63097</v>
      </c>
      <c r="C380" s="123">
        <v>41953</v>
      </c>
      <c r="D380" s="124" t="s">
        <v>970</v>
      </c>
      <c r="E380" s="122" t="s">
        <v>909</v>
      </c>
      <c r="F380" s="125" t="s">
        <v>580</v>
      </c>
      <c r="G380" s="126" t="s">
        <v>371</v>
      </c>
      <c r="H380" s="127"/>
      <c r="I380" s="128">
        <v>1</v>
      </c>
      <c r="J380" s="129">
        <v>25800</v>
      </c>
      <c r="K380" s="129">
        <v>25800</v>
      </c>
      <c r="L380" s="163" t="s">
        <v>960</v>
      </c>
      <c r="M380" s="195" t="s">
        <v>33</v>
      </c>
      <c r="N380" s="132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</row>
    <row r="381" spans="1:28" s="134" customFormat="1" ht="15" customHeight="1" outlineLevel="1" x14ac:dyDescent="0.2">
      <c r="A381" s="122">
        <v>11</v>
      </c>
      <c r="B381" s="122">
        <v>69125</v>
      </c>
      <c r="C381" s="123">
        <v>41968</v>
      </c>
      <c r="D381" s="124" t="s">
        <v>971</v>
      </c>
      <c r="E381" s="122" t="s">
        <v>909</v>
      </c>
      <c r="F381" s="125" t="s">
        <v>580</v>
      </c>
      <c r="G381" s="126" t="s">
        <v>371</v>
      </c>
      <c r="H381" s="127"/>
      <c r="I381" s="128">
        <v>1</v>
      </c>
      <c r="J381" s="129">
        <v>25800</v>
      </c>
      <c r="K381" s="129">
        <v>25800</v>
      </c>
      <c r="L381" s="163" t="s">
        <v>960</v>
      </c>
      <c r="M381" s="195" t="s">
        <v>33</v>
      </c>
      <c r="N381" s="132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</row>
    <row r="382" spans="1:28" s="134" customFormat="1" ht="15" customHeight="1" outlineLevel="1" x14ac:dyDescent="0.2">
      <c r="A382" s="122">
        <v>12</v>
      </c>
      <c r="B382" s="122">
        <v>69141</v>
      </c>
      <c r="C382" s="123">
        <v>41969</v>
      </c>
      <c r="D382" s="124" t="s">
        <v>460</v>
      </c>
      <c r="E382" s="122" t="s">
        <v>915</v>
      </c>
      <c r="F382" s="125" t="s">
        <v>217</v>
      </c>
      <c r="G382" s="126" t="s">
        <v>371</v>
      </c>
      <c r="H382" s="127"/>
      <c r="I382" s="128">
        <v>1</v>
      </c>
      <c r="J382" s="129">
        <v>44597</v>
      </c>
      <c r="K382" s="129">
        <v>44597</v>
      </c>
      <c r="L382" s="163" t="s">
        <v>960</v>
      </c>
      <c r="M382" s="195" t="s">
        <v>33</v>
      </c>
      <c r="N382" s="132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</row>
    <row r="383" spans="1:28" s="134" customFormat="1" ht="15" customHeight="1" outlineLevel="1" x14ac:dyDescent="0.2">
      <c r="A383" s="122">
        <v>13</v>
      </c>
      <c r="B383" s="122">
        <v>58955</v>
      </c>
      <c r="C383" s="123">
        <v>41940</v>
      </c>
      <c r="D383" s="124" t="s">
        <v>972</v>
      </c>
      <c r="E383" s="122" t="s">
        <v>973</v>
      </c>
      <c r="F383" s="125" t="s">
        <v>580</v>
      </c>
      <c r="G383" s="126" t="s">
        <v>371</v>
      </c>
      <c r="H383" s="127"/>
      <c r="I383" s="128">
        <v>1</v>
      </c>
      <c r="J383" s="129">
        <v>25800</v>
      </c>
      <c r="K383" s="129">
        <v>25800</v>
      </c>
      <c r="L383" s="163" t="s">
        <v>960</v>
      </c>
      <c r="M383" s="195" t="s">
        <v>33</v>
      </c>
      <c r="N383" s="132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</row>
    <row r="384" spans="1:28" s="134" customFormat="1" ht="15" customHeight="1" outlineLevel="1" x14ac:dyDescent="0.2">
      <c r="A384" s="122">
        <v>14</v>
      </c>
      <c r="B384" s="122">
        <v>70952</v>
      </c>
      <c r="C384" s="123">
        <v>42001</v>
      </c>
      <c r="D384" s="124" t="s">
        <v>974</v>
      </c>
      <c r="E384" s="122" t="s">
        <v>909</v>
      </c>
      <c r="F384" s="125" t="s">
        <v>580</v>
      </c>
      <c r="G384" s="126" t="s">
        <v>371</v>
      </c>
      <c r="H384" s="127"/>
      <c r="I384" s="128">
        <v>1</v>
      </c>
      <c r="J384" s="129">
        <v>25800</v>
      </c>
      <c r="K384" s="129">
        <v>25800</v>
      </c>
      <c r="L384" s="163" t="s">
        <v>960</v>
      </c>
      <c r="M384" s="195" t="s">
        <v>33</v>
      </c>
      <c r="N384" s="132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</row>
    <row r="385" spans="1:28" s="134" customFormat="1" ht="15" customHeight="1" outlineLevel="1" x14ac:dyDescent="0.2">
      <c r="A385" s="122">
        <v>1</v>
      </c>
      <c r="B385" s="122">
        <v>56676</v>
      </c>
      <c r="C385" s="123">
        <v>41933</v>
      </c>
      <c r="D385" s="124" t="s">
        <v>975</v>
      </c>
      <c r="E385" s="122" t="s">
        <v>426</v>
      </c>
      <c r="F385" s="125" t="s">
        <v>537</v>
      </c>
      <c r="G385" s="126" t="s">
        <v>442</v>
      </c>
      <c r="H385" s="127"/>
      <c r="I385" s="128">
        <v>1</v>
      </c>
      <c r="J385" s="129">
        <v>30429</v>
      </c>
      <c r="K385" s="129">
        <v>30429</v>
      </c>
      <c r="L385" s="170" t="s">
        <v>620</v>
      </c>
      <c r="M385" s="187" t="s">
        <v>411</v>
      </c>
      <c r="N385" s="132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</row>
    <row r="386" spans="1:28" s="134" customFormat="1" ht="15" customHeight="1" outlineLevel="1" x14ac:dyDescent="0.2">
      <c r="A386" s="122">
        <v>2</v>
      </c>
      <c r="B386" s="122">
        <v>58842</v>
      </c>
      <c r="C386" s="123">
        <v>41941</v>
      </c>
      <c r="D386" s="124" t="s">
        <v>429</v>
      </c>
      <c r="E386" s="122" t="s">
        <v>426</v>
      </c>
      <c r="F386" s="125" t="s">
        <v>116</v>
      </c>
      <c r="G386" s="126" t="s">
        <v>431</v>
      </c>
      <c r="H386" s="127"/>
      <c r="I386" s="128">
        <v>1</v>
      </c>
      <c r="J386" s="129">
        <v>5274</v>
      </c>
      <c r="K386" s="129">
        <v>5274</v>
      </c>
      <c r="L386" s="170" t="s">
        <v>620</v>
      </c>
      <c r="M386" s="187" t="s">
        <v>411</v>
      </c>
      <c r="N386" s="132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</row>
    <row r="387" spans="1:28" s="134" customFormat="1" ht="15" customHeight="1" outlineLevel="1" x14ac:dyDescent="0.2">
      <c r="A387" s="122">
        <v>1</v>
      </c>
      <c r="B387" s="122">
        <v>61407</v>
      </c>
      <c r="C387" s="123">
        <v>41948</v>
      </c>
      <c r="D387" s="124" t="s">
        <v>976</v>
      </c>
      <c r="E387" s="122" t="s">
        <v>426</v>
      </c>
      <c r="F387" s="125" t="s">
        <v>116</v>
      </c>
      <c r="G387" s="126" t="s">
        <v>472</v>
      </c>
      <c r="H387" s="127"/>
      <c r="I387" s="128">
        <v>1</v>
      </c>
      <c r="J387" s="129">
        <v>5274</v>
      </c>
      <c r="K387" s="129">
        <v>5274</v>
      </c>
      <c r="L387" s="182" t="s">
        <v>960</v>
      </c>
      <c r="M387" s="167" t="s">
        <v>411</v>
      </c>
      <c r="N387" s="132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</row>
    <row r="388" spans="1:28" s="134" customFormat="1" ht="15" customHeight="1" outlineLevel="1" x14ac:dyDescent="0.2">
      <c r="A388" s="122">
        <v>2</v>
      </c>
      <c r="B388" s="122">
        <v>64283</v>
      </c>
      <c r="C388" s="123">
        <v>41955</v>
      </c>
      <c r="D388" s="124" t="s">
        <v>976</v>
      </c>
      <c r="E388" s="122" t="s">
        <v>426</v>
      </c>
      <c r="F388" s="125" t="s">
        <v>210</v>
      </c>
      <c r="G388" s="126" t="s">
        <v>472</v>
      </c>
      <c r="H388" s="127"/>
      <c r="I388" s="128">
        <v>1</v>
      </c>
      <c r="J388" s="129">
        <v>14099</v>
      </c>
      <c r="K388" s="129">
        <v>14099</v>
      </c>
      <c r="L388" s="182" t="s">
        <v>960</v>
      </c>
      <c r="M388" s="187" t="s">
        <v>411</v>
      </c>
      <c r="N388" s="132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</row>
    <row r="389" spans="1:28" s="134" customFormat="1" ht="15" customHeight="1" outlineLevel="1" x14ac:dyDescent="0.2">
      <c r="A389" s="122">
        <v>3</v>
      </c>
      <c r="B389" s="122">
        <v>63964</v>
      </c>
      <c r="C389" s="123">
        <v>41955</v>
      </c>
      <c r="D389" s="124" t="s">
        <v>977</v>
      </c>
      <c r="E389" s="122" t="s">
        <v>426</v>
      </c>
      <c r="F389" s="125" t="s">
        <v>580</v>
      </c>
      <c r="G389" s="126" t="s">
        <v>371</v>
      </c>
      <c r="H389" s="127"/>
      <c r="I389" s="128">
        <v>1</v>
      </c>
      <c r="J389" s="129">
        <v>25800</v>
      </c>
      <c r="K389" s="129">
        <v>25800</v>
      </c>
      <c r="L389" s="182" t="s">
        <v>960</v>
      </c>
      <c r="M389" s="167" t="s">
        <v>411</v>
      </c>
      <c r="N389" s="132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</row>
    <row r="390" spans="1:28" s="134" customFormat="1" ht="15" customHeight="1" outlineLevel="1" x14ac:dyDescent="0.2">
      <c r="A390" s="122">
        <v>4</v>
      </c>
      <c r="B390" s="122">
        <v>69044</v>
      </c>
      <c r="C390" s="123">
        <v>41968</v>
      </c>
      <c r="D390" s="124" t="s">
        <v>429</v>
      </c>
      <c r="E390" s="122" t="s">
        <v>426</v>
      </c>
      <c r="F390" s="125" t="s">
        <v>210</v>
      </c>
      <c r="G390" s="126" t="s">
        <v>431</v>
      </c>
      <c r="H390" s="127"/>
      <c r="I390" s="128">
        <v>1</v>
      </c>
      <c r="J390" s="129">
        <v>14099</v>
      </c>
      <c r="K390" s="129">
        <v>14099</v>
      </c>
      <c r="L390" s="182" t="s">
        <v>960</v>
      </c>
      <c r="M390" s="187" t="s">
        <v>411</v>
      </c>
      <c r="N390" s="132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</row>
    <row r="391" spans="1:28" s="134" customFormat="1" ht="15" customHeight="1" outlineLevel="1" x14ac:dyDescent="0.2">
      <c r="A391" s="122">
        <v>9</v>
      </c>
      <c r="B391" s="122">
        <v>64572</v>
      </c>
      <c r="C391" s="123">
        <v>41956</v>
      </c>
      <c r="D391" s="124" t="s">
        <v>978</v>
      </c>
      <c r="E391" s="122" t="s">
        <v>426</v>
      </c>
      <c r="F391" s="125" t="s">
        <v>580</v>
      </c>
      <c r="G391" s="126" t="s">
        <v>371</v>
      </c>
      <c r="H391" s="127"/>
      <c r="I391" s="128">
        <v>1</v>
      </c>
      <c r="J391" s="129">
        <v>25800</v>
      </c>
      <c r="K391" s="129">
        <v>25800</v>
      </c>
      <c r="L391" s="182" t="s">
        <v>960</v>
      </c>
      <c r="M391" s="167" t="s">
        <v>411</v>
      </c>
      <c r="N391" s="132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</row>
    <row r="392" spans="1:28" s="134" customFormat="1" ht="15" customHeight="1" outlineLevel="1" x14ac:dyDescent="0.2">
      <c r="A392" s="122">
        <v>10</v>
      </c>
      <c r="B392" s="122">
        <v>66486</v>
      </c>
      <c r="C392" s="123">
        <v>41961</v>
      </c>
      <c r="D392" s="124" t="s">
        <v>427</v>
      </c>
      <c r="E392" s="122" t="s">
        <v>426</v>
      </c>
      <c r="F392" s="125" t="s">
        <v>210</v>
      </c>
      <c r="G392" s="126" t="s">
        <v>383</v>
      </c>
      <c r="H392" s="127"/>
      <c r="I392" s="128">
        <v>1</v>
      </c>
      <c r="J392" s="129">
        <v>14099</v>
      </c>
      <c r="K392" s="129">
        <v>14099</v>
      </c>
      <c r="L392" s="182" t="s">
        <v>960</v>
      </c>
      <c r="M392" s="187" t="s">
        <v>411</v>
      </c>
      <c r="N392" s="132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</row>
    <row r="393" spans="1:28" s="134" customFormat="1" ht="15" customHeight="1" outlineLevel="1" x14ac:dyDescent="0.2">
      <c r="A393" s="122">
        <v>11</v>
      </c>
      <c r="B393" s="122">
        <v>70669</v>
      </c>
      <c r="C393" s="123">
        <v>41971</v>
      </c>
      <c r="D393" s="124" t="s">
        <v>979</v>
      </c>
      <c r="E393" s="122" t="s">
        <v>980</v>
      </c>
      <c r="F393" s="125" t="s">
        <v>537</v>
      </c>
      <c r="G393" s="126" t="s">
        <v>562</v>
      </c>
      <c r="H393" s="127"/>
      <c r="I393" s="128">
        <v>1</v>
      </c>
      <c r="J393" s="129">
        <v>30429</v>
      </c>
      <c r="K393" s="129">
        <v>30429</v>
      </c>
      <c r="L393" s="182" t="s">
        <v>960</v>
      </c>
      <c r="M393" s="167" t="s">
        <v>411</v>
      </c>
      <c r="N393" s="132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</row>
    <row r="394" spans="1:28" s="134" customFormat="1" ht="15" customHeight="1" outlineLevel="1" x14ac:dyDescent="0.2">
      <c r="A394" s="122">
        <v>17</v>
      </c>
      <c r="B394" s="122">
        <v>52992</v>
      </c>
      <c r="C394" s="123">
        <v>41985</v>
      </c>
      <c r="D394" s="124" t="s">
        <v>981</v>
      </c>
      <c r="E394" s="122" t="s">
        <v>426</v>
      </c>
      <c r="F394" s="125" t="s">
        <v>217</v>
      </c>
      <c r="G394" s="126" t="s">
        <v>371</v>
      </c>
      <c r="H394" s="127"/>
      <c r="I394" s="128">
        <v>1</v>
      </c>
      <c r="J394" s="129">
        <v>44597</v>
      </c>
      <c r="K394" s="129">
        <v>44597</v>
      </c>
      <c r="L394" s="189" t="s">
        <v>623</v>
      </c>
      <c r="M394" s="187" t="s">
        <v>411</v>
      </c>
      <c r="N394" s="132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</row>
    <row r="395" spans="1:28" s="134" customFormat="1" ht="15" customHeight="1" outlineLevel="1" x14ac:dyDescent="0.2">
      <c r="A395" s="122">
        <v>3</v>
      </c>
      <c r="B395" s="122">
        <v>61671</v>
      </c>
      <c r="C395" s="123">
        <v>41948</v>
      </c>
      <c r="D395" s="124" t="s">
        <v>982</v>
      </c>
      <c r="E395" s="122" t="s">
        <v>426</v>
      </c>
      <c r="F395" s="125" t="s">
        <v>116</v>
      </c>
      <c r="G395" s="126" t="s">
        <v>410</v>
      </c>
      <c r="H395" s="127"/>
      <c r="I395" s="128">
        <v>1</v>
      </c>
      <c r="J395" s="129">
        <v>5274</v>
      </c>
      <c r="K395" s="129">
        <v>5274</v>
      </c>
      <c r="L395" s="189" t="s">
        <v>623</v>
      </c>
      <c r="M395" s="187" t="s">
        <v>411</v>
      </c>
      <c r="N395" s="132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</row>
    <row r="396" spans="1:28" s="134" customFormat="1" ht="15" customHeight="1" outlineLevel="1" x14ac:dyDescent="0.2">
      <c r="A396" s="122">
        <v>4</v>
      </c>
      <c r="B396" s="122">
        <v>64141</v>
      </c>
      <c r="C396" s="123">
        <v>41956</v>
      </c>
      <c r="D396" s="124" t="s">
        <v>983</v>
      </c>
      <c r="E396" s="122" t="s">
        <v>426</v>
      </c>
      <c r="F396" s="125" t="s">
        <v>217</v>
      </c>
      <c r="G396" s="126" t="s">
        <v>371</v>
      </c>
      <c r="H396" s="127"/>
      <c r="I396" s="128">
        <v>1</v>
      </c>
      <c r="J396" s="129">
        <v>44597</v>
      </c>
      <c r="K396" s="129">
        <v>44597</v>
      </c>
      <c r="L396" s="189" t="s">
        <v>623</v>
      </c>
      <c r="M396" s="187" t="s">
        <v>411</v>
      </c>
      <c r="N396" s="132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</row>
    <row r="397" spans="1:28" s="134" customFormat="1" ht="15" customHeight="1" outlineLevel="1" x14ac:dyDescent="0.2">
      <c r="A397" s="122">
        <v>2</v>
      </c>
      <c r="B397" s="122">
        <v>64215</v>
      </c>
      <c r="C397" s="123">
        <v>41956</v>
      </c>
      <c r="D397" s="124" t="s">
        <v>984</v>
      </c>
      <c r="E397" s="122" t="s">
        <v>426</v>
      </c>
      <c r="F397" s="125" t="s">
        <v>217</v>
      </c>
      <c r="G397" s="126" t="s">
        <v>371</v>
      </c>
      <c r="H397" s="127"/>
      <c r="I397" s="128">
        <v>1</v>
      </c>
      <c r="J397" s="129">
        <v>44597</v>
      </c>
      <c r="K397" s="129">
        <v>44597</v>
      </c>
      <c r="L397" s="189" t="s">
        <v>623</v>
      </c>
      <c r="M397" s="187" t="s">
        <v>411</v>
      </c>
      <c r="N397" s="132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</row>
    <row r="398" spans="1:28" s="134" customFormat="1" ht="15" customHeight="1" outlineLevel="1" x14ac:dyDescent="0.2">
      <c r="A398" s="122">
        <v>1</v>
      </c>
      <c r="B398" s="122">
        <v>68644</v>
      </c>
      <c r="C398" s="123">
        <v>41968</v>
      </c>
      <c r="D398" s="124" t="s">
        <v>985</v>
      </c>
      <c r="E398" s="122" t="s">
        <v>986</v>
      </c>
      <c r="F398" s="125" t="s">
        <v>987</v>
      </c>
      <c r="G398" s="126" t="s">
        <v>371</v>
      </c>
      <c r="H398" s="127"/>
      <c r="I398" s="128">
        <v>1</v>
      </c>
      <c r="J398" s="129">
        <v>22315</v>
      </c>
      <c r="K398" s="129">
        <v>22315</v>
      </c>
      <c r="L398" s="189" t="s">
        <v>623</v>
      </c>
      <c r="M398" s="187" t="s">
        <v>411</v>
      </c>
      <c r="N398" s="132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</row>
    <row r="399" spans="1:28" s="134" customFormat="1" ht="15" customHeight="1" outlineLevel="1" x14ac:dyDescent="0.2">
      <c r="A399" s="122">
        <v>5</v>
      </c>
      <c r="B399" s="122">
        <v>71846</v>
      </c>
      <c r="C399" s="123">
        <v>41975</v>
      </c>
      <c r="D399" s="124" t="s">
        <v>988</v>
      </c>
      <c r="E399" s="122" t="s">
        <v>426</v>
      </c>
      <c r="F399" s="125" t="s">
        <v>537</v>
      </c>
      <c r="G399" s="126" t="s">
        <v>404</v>
      </c>
      <c r="H399" s="127"/>
      <c r="I399" s="128">
        <v>1</v>
      </c>
      <c r="J399" s="129">
        <v>30429</v>
      </c>
      <c r="K399" s="129">
        <v>30429</v>
      </c>
      <c r="L399" s="189" t="s">
        <v>623</v>
      </c>
      <c r="M399" s="187" t="s">
        <v>411</v>
      </c>
      <c r="N399" s="132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</row>
    <row r="400" spans="1:28" s="134" customFormat="1" ht="15" customHeight="1" outlineLevel="1" x14ac:dyDescent="0.2">
      <c r="A400" s="122">
        <v>6</v>
      </c>
      <c r="B400" s="122">
        <v>71847</v>
      </c>
      <c r="C400" s="123">
        <v>41975</v>
      </c>
      <c r="D400" s="124" t="s">
        <v>989</v>
      </c>
      <c r="E400" s="122" t="s">
        <v>426</v>
      </c>
      <c r="F400" s="125" t="s">
        <v>537</v>
      </c>
      <c r="G400" s="126" t="s">
        <v>431</v>
      </c>
      <c r="H400" s="127"/>
      <c r="I400" s="128">
        <v>1</v>
      </c>
      <c r="J400" s="129">
        <v>30429</v>
      </c>
      <c r="K400" s="129">
        <v>30429</v>
      </c>
      <c r="L400" s="189" t="s">
        <v>623</v>
      </c>
      <c r="M400" s="187" t="s">
        <v>411</v>
      </c>
      <c r="N400" s="132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</row>
    <row r="401" spans="1:28" s="134" customFormat="1" ht="15" customHeight="1" outlineLevel="1" x14ac:dyDescent="0.2">
      <c r="A401" s="122">
        <v>8</v>
      </c>
      <c r="B401" s="122">
        <v>72593</v>
      </c>
      <c r="C401" s="123">
        <v>41976</v>
      </c>
      <c r="D401" s="124" t="s">
        <v>990</v>
      </c>
      <c r="E401" s="122" t="s">
        <v>426</v>
      </c>
      <c r="F401" s="125" t="s">
        <v>537</v>
      </c>
      <c r="G401" s="126" t="s">
        <v>415</v>
      </c>
      <c r="H401" s="127"/>
      <c r="I401" s="128">
        <v>1</v>
      </c>
      <c r="J401" s="129">
        <v>30429</v>
      </c>
      <c r="K401" s="129">
        <v>30429</v>
      </c>
      <c r="L401" s="189" t="s">
        <v>623</v>
      </c>
      <c r="M401" s="187" t="s">
        <v>411</v>
      </c>
      <c r="N401" s="132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</row>
    <row r="402" spans="1:28" s="134" customFormat="1" ht="15" customHeight="1" outlineLevel="1" x14ac:dyDescent="0.2">
      <c r="A402" s="122">
        <v>7</v>
      </c>
      <c r="B402" s="122">
        <v>72609</v>
      </c>
      <c r="C402" s="123">
        <v>41978</v>
      </c>
      <c r="D402" s="124" t="s">
        <v>991</v>
      </c>
      <c r="E402" s="122" t="s">
        <v>426</v>
      </c>
      <c r="F402" s="125" t="s">
        <v>116</v>
      </c>
      <c r="G402" s="126" t="s">
        <v>434</v>
      </c>
      <c r="H402" s="127"/>
      <c r="I402" s="128">
        <v>1</v>
      </c>
      <c r="J402" s="129">
        <v>5274</v>
      </c>
      <c r="K402" s="129">
        <v>5274</v>
      </c>
      <c r="L402" s="189" t="s">
        <v>623</v>
      </c>
      <c r="M402" s="187" t="s">
        <v>411</v>
      </c>
      <c r="N402" s="132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</row>
    <row r="403" spans="1:28" s="134" customFormat="1" ht="15" customHeight="1" outlineLevel="1" x14ac:dyDescent="0.2">
      <c r="A403" s="122">
        <v>9</v>
      </c>
      <c r="B403" s="122">
        <v>72859</v>
      </c>
      <c r="C403" s="123">
        <v>41978</v>
      </c>
      <c r="D403" s="124" t="s">
        <v>992</v>
      </c>
      <c r="E403" s="122" t="s">
        <v>426</v>
      </c>
      <c r="F403" s="125" t="s">
        <v>116</v>
      </c>
      <c r="G403" s="126" t="s">
        <v>568</v>
      </c>
      <c r="H403" s="127"/>
      <c r="I403" s="128">
        <v>1</v>
      </c>
      <c r="J403" s="129">
        <v>5274</v>
      </c>
      <c r="K403" s="129">
        <v>5274</v>
      </c>
      <c r="L403" s="189" t="s">
        <v>623</v>
      </c>
      <c r="M403" s="187" t="s">
        <v>411</v>
      </c>
      <c r="N403" s="132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</row>
    <row r="404" spans="1:28" s="134" customFormat="1" ht="15" customHeight="1" outlineLevel="1" x14ac:dyDescent="0.2">
      <c r="A404" s="122">
        <v>14</v>
      </c>
      <c r="B404" s="122">
        <v>73178</v>
      </c>
      <c r="C404" s="123">
        <v>41978</v>
      </c>
      <c r="D404" s="124" t="s">
        <v>993</v>
      </c>
      <c r="E404" s="122" t="s">
        <v>426</v>
      </c>
      <c r="F404" s="125" t="s">
        <v>116</v>
      </c>
      <c r="G404" s="126" t="s">
        <v>994</v>
      </c>
      <c r="H404" s="127"/>
      <c r="I404" s="128">
        <v>4</v>
      </c>
      <c r="J404" s="129">
        <v>5274</v>
      </c>
      <c r="K404" s="129">
        <v>21096</v>
      </c>
      <c r="L404" s="189" t="s">
        <v>623</v>
      </c>
      <c r="M404" s="187" t="s">
        <v>411</v>
      </c>
      <c r="N404" s="132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</row>
    <row r="405" spans="1:28" s="134" customFormat="1" ht="15" customHeight="1" outlineLevel="1" x14ac:dyDescent="0.2">
      <c r="A405" s="122">
        <v>13</v>
      </c>
      <c r="B405" s="122">
        <v>74226</v>
      </c>
      <c r="C405" s="123">
        <v>41983</v>
      </c>
      <c r="D405" s="124" t="s">
        <v>435</v>
      </c>
      <c r="E405" s="122" t="s">
        <v>426</v>
      </c>
      <c r="F405" s="125" t="s">
        <v>210</v>
      </c>
      <c r="G405" s="126" t="s">
        <v>417</v>
      </c>
      <c r="H405" s="127"/>
      <c r="I405" s="128">
        <v>1</v>
      </c>
      <c r="J405" s="129">
        <v>14099</v>
      </c>
      <c r="K405" s="129">
        <v>14099</v>
      </c>
      <c r="L405" s="189" t="s">
        <v>623</v>
      </c>
      <c r="M405" s="187" t="s">
        <v>411</v>
      </c>
      <c r="N405" s="132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</row>
    <row r="406" spans="1:28" s="134" customFormat="1" ht="15" customHeight="1" outlineLevel="1" x14ac:dyDescent="0.2">
      <c r="A406" s="122">
        <v>12</v>
      </c>
      <c r="B406" s="122">
        <v>74576</v>
      </c>
      <c r="C406" s="123">
        <v>41983</v>
      </c>
      <c r="D406" s="124" t="s">
        <v>995</v>
      </c>
      <c r="E406" s="122" t="s">
        <v>996</v>
      </c>
      <c r="F406" s="125" t="s">
        <v>116</v>
      </c>
      <c r="G406" s="126" t="s">
        <v>392</v>
      </c>
      <c r="H406" s="127"/>
      <c r="I406" s="128">
        <v>1</v>
      </c>
      <c r="J406" s="129">
        <v>5274</v>
      </c>
      <c r="K406" s="129">
        <v>5274</v>
      </c>
      <c r="L406" s="189" t="s">
        <v>623</v>
      </c>
      <c r="M406" s="187" t="s">
        <v>411</v>
      </c>
      <c r="N406" s="132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</row>
    <row r="407" spans="1:28" s="134" customFormat="1" ht="15" customHeight="1" outlineLevel="1" x14ac:dyDescent="0.2">
      <c r="A407" s="122">
        <v>11</v>
      </c>
      <c r="B407" s="122">
        <v>74886</v>
      </c>
      <c r="C407" s="123">
        <v>41985</v>
      </c>
      <c r="D407" s="124" t="s">
        <v>997</v>
      </c>
      <c r="E407" s="122" t="s">
        <v>426</v>
      </c>
      <c r="F407" s="125" t="s">
        <v>537</v>
      </c>
      <c r="G407" s="126" t="s">
        <v>431</v>
      </c>
      <c r="H407" s="127"/>
      <c r="I407" s="128">
        <v>1</v>
      </c>
      <c r="J407" s="129">
        <v>30429</v>
      </c>
      <c r="K407" s="129">
        <v>30429</v>
      </c>
      <c r="L407" s="189" t="s">
        <v>623</v>
      </c>
      <c r="M407" s="187" t="s">
        <v>411</v>
      </c>
      <c r="N407" s="132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</row>
    <row r="408" spans="1:28" s="134" customFormat="1" ht="15" customHeight="1" outlineLevel="1" x14ac:dyDescent="0.2">
      <c r="A408" s="122">
        <v>19</v>
      </c>
      <c r="B408" s="122">
        <v>80215</v>
      </c>
      <c r="C408" s="123">
        <v>41988</v>
      </c>
      <c r="D408" s="124" t="s">
        <v>998</v>
      </c>
      <c r="E408" s="122" t="s">
        <v>999</v>
      </c>
      <c r="F408" s="200" t="s">
        <v>173</v>
      </c>
      <c r="G408" s="126" t="s">
        <v>371</v>
      </c>
      <c r="H408" s="127"/>
      <c r="I408" s="128">
        <v>1</v>
      </c>
      <c r="J408" s="129">
        <v>18764</v>
      </c>
      <c r="K408" s="129">
        <v>18764</v>
      </c>
      <c r="L408" s="189" t="s">
        <v>623</v>
      </c>
      <c r="M408" s="187" t="s">
        <v>411</v>
      </c>
      <c r="N408" s="132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</row>
    <row r="409" spans="1:28" s="134" customFormat="1" ht="15" customHeight="1" outlineLevel="1" x14ac:dyDescent="0.2">
      <c r="A409" s="122">
        <v>16</v>
      </c>
      <c r="B409" s="122">
        <v>80236</v>
      </c>
      <c r="C409" s="123">
        <v>41989</v>
      </c>
      <c r="D409" s="124" t="s">
        <v>1000</v>
      </c>
      <c r="E409" s="122" t="s">
        <v>426</v>
      </c>
      <c r="F409" s="125" t="s">
        <v>217</v>
      </c>
      <c r="G409" s="126" t="s">
        <v>371</v>
      </c>
      <c r="H409" s="127"/>
      <c r="I409" s="128">
        <v>1</v>
      </c>
      <c r="J409" s="129">
        <v>44597</v>
      </c>
      <c r="K409" s="129">
        <v>44597</v>
      </c>
      <c r="L409" s="189" t="s">
        <v>623</v>
      </c>
      <c r="M409" s="187" t="s">
        <v>411</v>
      </c>
      <c r="N409" s="132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</row>
    <row r="410" spans="1:28" s="134" customFormat="1" ht="15" customHeight="1" outlineLevel="1" x14ac:dyDescent="0.2">
      <c r="A410" s="122">
        <v>15</v>
      </c>
      <c r="B410" s="122">
        <v>80359</v>
      </c>
      <c r="C410" s="123">
        <v>41991</v>
      </c>
      <c r="D410" s="124" t="s">
        <v>1001</v>
      </c>
      <c r="E410" s="122" t="s">
        <v>426</v>
      </c>
      <c r="F410" s="125" t="s">
        <v>537</v>
      </c>
      <c r="G410" s="126" t="s">
        <v>472</v>
      </c>
      <c r="H410" s="127"/>
      <c r="I410" s="128">
        <v>1</v>
      </c>
      <c r="J410" s="129">
        <v>30429</v>
      </c>
      <c r="K410" s="129">
        <v>30429</v>
      </c>
      <c r="L410" s="189" t="s">
        <v>623</v>
      </c>
      <c r="M410" s="187" t="s">
        <v>411</v>
      </c>
      <c r="N410" s="132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</row>
    <row r="411" spans="1:28" s="134" customFormat="1" ht="15" customHeight="1" outlineLevel="1" x14ac:dyDescent="0.2">
      <c r="A411" s="122">
        <v>18</v>
      </c>
      <c r="B411" s="122">
        <v>80518</v>
      </c>
      <c r="C411" s="123">
        <v>41991</v>
      </c>
      <c r="D411" s="124" t="s">
        <v>976</v>
      </c>
      <c r="E411" s="122" t="s">
        <v>426</v>
      </c>
      <c r="F411" s="125" t="s">
        <v>115</v>
      </c>
      <c r="G411" s="126" t="s">
        <v>472</v>
      </c>
      <c r="H411" s="127"/>
      <c r="I411" s="128">
        <v>1</v>
      </c>
      <c r="J411" s="129">
        <v>33370</v>
      </c>
      <c r="K411" s="129">
        <v>33370</v>
      </c>
      <c r="L411" s="189" t="s">
        <v>623</v>
      </c>
      <c r="M411" s="187" t="s">
        <v>411</v>
      </c>
      <c r="N411" s="132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</row>
    <row r="412" spans="1:28" s="134" customFormat="1" ht="15" customHeight="1" outlineLevel="1" x14ac:dyDescent="0.2">
      <c r="A412" s="122">
        <v>21</v>
      </c>
      <c r="B412" s="122">
        <v>81691</v>
      </c>
      <c r="C412" s="123">
        <v>41991</v>
      </c>
      <c r="D412" s="124" t="s">
        <v>1002</v>
      </c>
      <c r="E412" s="122" t="s">
        <v>426</v>
      </c>
      <c r="F412" s="125" t="s">
        <v>223</v>
      </c>
      <c r="G412" s="126" t="s">
        <v>371</v>
      </c>
      <c r="H412" s="127"/>
      <c r="I412" s="128">
        <v>1</v>
      </c>
      <c r="J412" s="129">
        <v>40572</v>
      </c>
      <c r="K412" s="129">
        <v>40572</v>
      </c>
      <c r="L412" s="189" t="s">
        <v>623</v>
      </c>
      <c r="M412" s="187" t="s">
        <v>411</v>
      </c>
      <c r="N412" s="132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</row>
    <row r="413" spans="1:28" s="134" customFormat="1" ht="15" customHeight="1" outlineLevel="1" x14ac:dyDescent="0.2">
      <c r="A413" s="122">
        <v>20</v>
      </c>
      <c r="B413" s="122">
        <v>82778</v>
      </c>
      <c r="C413" s="123">
        <v>42003</v>
      </c>
      <c r="D413" s="124" t="s">
        <v>1003</v>
      </c>
      <c r="E413" s="122" t="s">
        <v>426</v>
      </c>
      <c r="F413" s="125" t="s">
        <v>116</v>
      </c>
      <c r="G413" s="126" t="s">
        <v>1004</v>
      </c>
      <c r="H413" s="127"/>
      <c r="I413" s="128">
        <v>4</v>
      </c>
      <c r="J413" s="129">
        <v>5274</v>
      </c>
      <c r="K413" s="129">
        <v>21096</v>
      </c>
      <c r="L413" s="189" t="s">
        <v>623</v>
      </c>
      <c r="M413" s="187" t="s">
        <v>411</v>
      </c>
      <c r="N413" s="132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</row>
    <row r="414" spans="1:28" s="134" customFormat="1" ht="15" customHeight="1" outlineLevel="1" x14ac:dyDescent="0.2">
      <c r="A414" s="122">
        <v>22</v>
      </c>
      <c r="B414" s="122">
        <v>83243</v>
      </c>
      <c r="C414" s="123">
        <v>42003</v>
      </c>
      <c r="D414" s="124" t="s">
        <v>1005</v>
      </c>
      <c r="E414" s="122" t="s">
        <v>426</v>
      </c>
      <c r="F414" s="125" t="s">
        <v>537</v>
      </c>
      <c r="G414" s="126" t="s">
        <v>527</v>
      </c>
      <c r="H414" s="127"/>
      <c r="I414" s="128">
        <v>1</v>
      </c>
      <c r="J414" s="129">
        <v>30429</v>
      </c>
      <c r="K414" s="129">
        <v>30429</v>
      </c>
      <c r="L414" s="189" t="s">
        <v>623</v>
      </c>
      <c r="M414" s="187" t="s">
        <v>411</v>
      </c>
      <c r="N414" s="132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</row>
    <row r="415" spans="1:28" s="134" customFormat="1" ht="15" customHeight="1" outlineLevel="1" x14ac:dyDescent="0.2">
      <c r="A415" s="122">
        <v>27</v>
      </c>
      <c r="B415" s="122">
        <v>83259</v>
      </c>
      <c r="C415" s="123">
        <v>41996</v>
      </c>
      <c r="D415" s="124" t="s">
        <v>1006</v>
      </c>
      <c r="E415" s="122" t="s">
        <v>999</v>
      </c>
      <c r="F415" s="125" t="s">
        <v>1007</v>
      </c>
      <c r="G415" s="126" t="s">
        <v>369</v>
      </c>
      <c r="H415" s="127"/>
      <c r="I415" s="128">
        <v>1</v>
      </c>
      <c r="J415" s="129">
        <v>34587</v>
      </c>
      <c r="K415" s="129">
        <v>34587</v>
      </c>
      <c r="L415" s="189" t="s">
        <v>623</v>
      </c>
      <c r="M415" s="187" t="s">
        <v>411</v>
      </c>
      <c r="N415" s="132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</row>
    <row r="416" spans="1:28" s="134" customFormat="1" ht="15" customHeight="1" outlineLevel="1" x14ac:dyDescent="0.2">
      <c r="A416" s="122">
        <v>23</v>
      </c>
      <c r="B416" s="122">
        <v>83630</v>
      </c>
      <c r="C416" s="123">
        <v>41696</v>
      </c>
      <c r="D416" s="124" t="s">
        <v>977</v>
      </c>
      <c r="E416" s="122" t="s">
        <v>426</v>
      </c>
      <c r="F416" s="125" t="s">
        <v>537</v>
      </c>
      <c r="G416" s="126" t="s">
        <v>527</v>
      </c>
      <c r="H416" s="127"/>
      <c r="I416" s="128">
        <v>1</v>
      </c>
      <c r="J416" s="129">
        <v>30429</v>
      </c>
      <c r="K416" s="129">
        <v>30429</v>
      </c>
      <c r="L416" s="189" t="s">
        <v>623</v>
      </c>
      <c r="M416" s="187" t="s">
        <v>411</v>
      </c>
      <c r="N416" s="132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</row>
    <row r="417" spans="1:28" s="134" customFormat="1" ht="15" customHeight="1" outlineLevel="1" x14ac:dyDescent="0.2">
      <c r="A417" s="122">
        <v>24</v>
      </c>
      <c r="B417" s="122">
        <v>83641</v>
      </c>
      <c r="C417" s="123">
        <v>41999</v>
      </c>
      <c r="D417" s="124" t="s">
        <v>1008</v>
      </c>
      <c r="E417" s="122" t="s">
        <v>426</v>
      </c>
      <c r="F417" s="125" t="s">
        <v>537</v>
      </c>
      <c r="G417" s="126" t="s">
        <v>527</v>
      </c>
      <c r="H417" s="127"/>
      <c r="I417" s="128">
        <v>1</v>
      </c>
      <c r="J417" s="129">
        <v>30429</v>
      </c>
      <c r="K417" s="129">
        <v>30429</v>
      </c>
      <c r="L417" s="189" t="s">
        <v>623</v>
      </c>
      <c r="M417" s="187" t="s">
        <v>411</v>
      </c>
      <c r="N417" s="132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</row>
    <row r="418" spans="1:28" s="134" customFormat="1" ht="15" customHeight="1" outlineLevel="1" x14ac:dyDescent="0.2">
      <c r="A418" s="122">
        <v>26</v>
      </c>
      <c r="B418" s="122">
        <v>84283</v>
      </c>
      <c r="C418" s="123">
        <v>42002</v>
      </c>
      <c r="D418" s="124" t="s">
        <v>1009</v>
      </c>
      <c r="E418" s="122" t="s">
        <v>996</v>
      </c>
      <c r="F418" s="125" t="s">
        <v>116</v>
      </c>
      <c r="G418" s="126" t="s">
        <v>410</v>
      </c>
      <c r="H418" s="127"/>
      <c r="I418" s="128">
        <v>1</v>
      </c>
      <c r="J418" s="129">
        <v>5274</v>
      </c>
      <c r="K418" s="129">
        <v>5274</v>
      </c>
      <c r="L418" s="189" t="s">
        <v>623</v>
      </c>
      <c r="M418" s="187" t="s">
        <v>411</v>
      </c>
      <c r="N418" s="132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</row>
    <row r="419" spans="1:28" s="134" customFormat="1" ht="15" customHeight="1" outlineLevel="1" x14ac:dyDescent="0.2">
      <c r="A419" s="122">
        <v>25</v>
      </c>
      <c r="B419" s="122">
        <v>84606</v>
      </c>
      <c r="C419" s="123">
        <v>42003</v>
      </c>
      <c r="D419" s="124" t="s">
        <v>1010</v>
      </c>
      <c r="E419" s="122" t="s">
        <v>426</v>
      </c>
      <c r="F419" s="125" t="s">
        <v>210</v>
      </c>
      <c r="G419" s="126" t="s">
        <v>407</v>
      </c>
      <c r="H419" s="127"/>
      <c r="I419" s="128">
        <v>1</v>
      </c>
      <c r="J419" s="129">
        <v>14099</v>
      </c>
      <c r="K419" s="129">
        <v>14099</v>
      </c>
      <c r="L419" s="189" t="s">
        <v>623</v>
      </c>
      <c r="M419" s="187" t="s">
        <v>411</v>
      </c>
      <c r="N419" s="132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</row>
    <row r="420" spans="1:28" s="134" customFormat="1" ht="15" customHeight="1" outlineLevel="1" x14ac:dyDescent="0.2">
      <c r="A420" s="122">
        <v>28</v>
      </c>
      <c r="B420" s="122">
        <v>84782</v>
      </c>
      <c r="C420" s="123">
        <v>42003</v>
      </c>
      <c r="D420" s="124" t="s">
        <v>470</v>
      </c>
      <c r="E420" s="122" t="s">
        <v>426</v>
      </c>
      <c r="F420" s="125" t="s">
        <v>1011</v>
      </c>
      <c r="G420" s="126" t="s">
        <v>387</v>
      </c>
      <c r="H420" s="127"/>
      <c r="I420" s="128">
        <v>2</v>
      </c>
      <c r="J420" s="129">
        <v>9129</v>
      </c>
      <c r="K420" s="129">
        <v>18258</v>
      </c>
      <c r="L420" s="189" t="s">
        <v>623</v>
      </c>
      <c r="M420" s="187" t="s">
        <v>411</v>
      </c>
      <c r="N420" s="132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</row>
    <row r="421" spans="1:28" s="134" customFormat="1" ht="15" customHeight="1" outlineLevel="1" x14ac:dyDescent="0.2">
      <c r="A421" s="122">
        <v>29</v>
      </c>
      <c r="B421" s="122">
        <v>84804</v>
      </c>
      <c r="C421" s="123">
        <v>42003</v>
      </c>
      <c r="D421" s="124" t="s">
        <v>1012</v>
      </c>
      <c r="E421" s="122" t="s">
        <v>426</v>
      </c>
      <c r="F421" s="125" t="s">
        <v>537</v>
      </c>
      <c r="G421" s="126" t="s">
        <v>415</v>
      </c>
      <c r="H421" s="127"/>
      <c r="I421" s="128">
        <v>1</v>
      </c>
      <c r="J421" s="129">
        <v>30429</v>
      </c>
      <c r="K421" s="129">
        <v>30429</v>
      </c>
      <c r="L421" s="189" t="s">
        <v>623</v>
      </c>
      <c r="M421" s="187" t="s">
        <v>411</v>
      </c>
      <c r="N421" s="132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</row>
    <row r="422" spans="1:28" s="134" customFormat="1" ht="15" customHeight="1" outlineLevel="1" x14ac:dyDescent="0.2">
      <c r="A422" s="122">
        <v>2</v>
      </c>
      <c r="B422" s="122">
        <v>85685</v>
      </c>
      <c r="C422" s="123">
        <v>41641</v>
      </c>
      <c r="D422" s="124" t="s">
        <v>1013</v>
      </c>
      <c r="E422" s="122" t="s">
        <v>1014</v>
      </c>
      <c r="F422" s="125" t="s">
        <v>846</v>
      </c>
      <c r="G422" s="126" t="s">
        <v>371</v>
      </c>
      <c r="H422" s="127"/>
      <c r="I422" s="128">
        <v>1</v>
      </c>
      <c r="J422" s="129">
        <v>334719</v>
      </c>
      <c r="K422" s="643" t="s">
        <v>1015</v>
      </c>
      <c r="L422" s="201" t="s">
        <v>555</v>
      </c>
      <c r="M422" s="187" t="s">
        <v>34</v>
      </c>
      <c r="N422" s="132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</row>
    <row r="423" spans="1:28" s="134" customFormat="1" ht="15" customHeight="1" outlineLevel="1" x14ac:dyDescent="0.2">
      <c r="A423" s="122">
        <v>3</v>
      </c>
      <c r="B423" s="122">
        <v>80316</v>
      </c>
      <c r="C423" s="123">
        <v>41985</v>
      </c>
      <c r="D423" s="124" t="s">
        <v>1013</v>
      </c>
      <c r="E423" s="122" t="s">
        <v>1014</v>
      </c>
      <c r="F423" s="125" t="s">
        <v>837</v>
      </c>
      <c r="G423" s="126" t="s">
        <v>371</v>
      </c>
      <c r="H423" s="127"/>
      <c r="I423" s="128">
        <v>1</v>
      </c>
      <c r="J423" s="129">
        <v>110520</v>
      </c>
      <c r="K423" s="644"/>
      <c r="L423" s="201" t="s">
        <v>555</v>
      </c>
      <c r="M423" s="187" t="s">
        <v>34</v>
      </c>
      <c r="N423" s="132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</row>
    <row r="424" spans="1:28" s="134" customFormat="1" ht="15" customHeight="1" outlineLevel="1" x14ac:dyDescent="0.2">
      <c r="A424" s="166">
        <v>5</v>
      </c>
      <c r="B424" s="122">
        <v>91174</v>
      </c>
      <c r="C424" s="123">
        <v>41663</v>
      </c>
      <c r="D424" s="124" t="s">
        <v>1016</v>
      </c>
      <c r="E424" s="122" t="s">
        <v>491</v>
      </c>
      <c r="F424" s="125" t="s">
        <v>192</v>
      </c>
      <c r="G424" s="126" t="s">
        <v>445</v>
      </c>
      <c r="H424" s="127" t="s">
        <v>1017</v>
      </c>
      <c r="I424" s="128">
        <v>1</v>
      </c>
      <c r="J424" s="129">
        <v>57960</v>
      </c>
      <c r="K424" s="129" t="s">
        <v>1018</v>
      </c>
      <c r="L424" s="201" t="s">
        <v>555</v>
      </c>
      <c r="M424" s="187" t="s">
        <v>34</v>
      </c>
      <c r="N424" s="132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</row>
    <row r="425" spans="1:28" s="145" customFormat="1" ht="15" customHeight="1" outlineLevel="1" x14ac:dyDescent="0.2">
      <c r="A425" s="135">
        <v>1</v>
      </c>
      <c r="B425" s="135">
        <v>96744</v>
      </c>
      <c r="C425" s="136">
        <v>41689</v>
      </c>
      <c r="D425" s="137" t="s">
        <v>1019</v>
      </c>
      <c r="E425" s="135" t="s">
        <v>1020</v>
      </c>
      <c r="F425" s="138" t="s">
        <v>580</v>
      </c>
      <c r="G425" s="139" t="s">
        <v>371</v>
      </c>
      <c r="H425" s="140"/>
      <c r="I425" s="141">
        <v>1</v>
      </c>
      <c r="J425" s="142">
        <v>25800</v>
      </c>
      <c r="K425" s="142">
        <v>25800</v>
      </c>
      <c r="L425" s="610" t="s">
        <v>558</v>
      </c>
      <c r="M425" s="168" t="s">
        <v>34</v>
      </c>
      <c r="N425" s="143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</row>
    <row r="426" spans="1:28" s="145" customFormat="1" ht="15" customHeight="1" outlineLevel="1" x14ac:dyDescent="0.2">
      <c r="A426" s="135">
        <v>2</v>
      </c>
      <c r="B426" s="135">
        <v>95899</v>
      </c>
      <c r="C426" s="136">
        <v>41687</v>
      </c>
      <c r="D426" s="137" t="s">
        <v>1021</v>
      </c>
      <c r="E426" s="135" t="s">
        <v>1014</v>
      </c>
      <c r="F426" s="138" t="s">
        <v>116</v>
      </c>
      <c r="G426" s="139" t="s">
        <v>404</v>
      </c>
      <c r="H426" s="140" t="s">
        <v>489</v>
      </c>
      <c r="I426" s="141">
        <v>1</v>
      </c>
      <c r="J426" s="142">
        <v>5274</v>
      </c>
      <c r="K426" s="142">
        <v>5274</v>
      </c>
      <c r="L426" s="611"/>
      <c r="M426" s="168" t="s">
        <v>34</v>
      </c>
      <c r="N426" s="143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</row>
    <row r="427" spans="1:28" s="145" customFormat="1" ht="15" customHeight="1" outlineLevel="1" x14ac:dyDescent="0.2">
      <c r="A427" s="135">
        <v>3</v>
      </c>
      <c r="B427" s="135">
        <v>95758</v>
      </c>
      <c r="C427" s="136">
        <v>41682</v>
      </c>
      <c r="D427" s="137" t="s">
        <v>1022</v>
      </c>
      <c r="E427" s="135" t="s">
        <v>599</v>
      </c>
      <c r="F427" s="138" t="s">
        <v>116</v>
      </c>
      <c r="G427" s="139" t="s">
        <v>1023</v>
      </c>
      <c r="H427" s="140"/>
      <c r="I427" s="141">
        <v>3</v>
      </c>
      <c r="J427" s="142">
        <v>5274</v>
      </c>
      <c r="K427" s="142">
        <v>15822</v>
      </c>
      <c r="L427" s="611"/>
      <c r="M427" s="168" t="s">
        <v>34</v>
      </c>
      <c r="N427" s="143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</row>
    <row r="428" spans="1:28" s="145" customFormat="1" ht="15" customHeight="1" outlineLevel="1" x14ac:dyDescent="0.2">
      <c r="A428" s="135">
        <v>4</v>
      </c>
      <c r="B428" s="202">
        <v>96626</v>
      </c>
      <c r="C428" s="203">
        <v>41687</v>
      </c>
      <c r="D428" s="199" t="s">
        <v>1024</v>
      </c>
      <c r="E428" s="202" t="s">
        <v>1025</v>
      </c>
      <c r="F428" s="199" t="s">
        <v>580</v>
      </c>
      <c r="G428" s="204" t="s">
        <v>371</v>
      </c>
      <c r="H428" s="204"/>
      <c r="I428" s="205">
        <v>1</v>
      </c>
      <c r="J428" s="180">
        <v>25800</v>
      </c>
      <c r="K428" s="180" t="s">
        <v>1026</v>
      </c>
      <c r="L428" s="611"/>
      <c r="M428" s="168" t="s">
        <v>34</v>
      </c>
      <c r="N428" s="143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</row>
    <row r="429" spans="1:28" s="145" customFormat="1" ht="15" customHeight="1" outlineLevel="1" x14ac:dyDescent="0.2">
      <c r="A429" s="135">
        <v>5</v>
      </c>
      <c r="B429" s="135">
        <v>98429</v>
      </c>
      <c r="C429" s="136">
        <v>41695</v>
      </c>
      <c r="D429" s="137" t="s">
        <v>1027</v>
      </c>
      <c r="E429" s="135" t="s">
        <v>599</v>
      </c>
      <c r="F429" s="138" t="s">
        <v>537</v>
      </c>
      <c r="G429" s="139" t="s">
        <v>1028</v>
      </c>
      <c r="H429" s="140" t="s">
        <v>583</v>
      </c>
      <c r="I429" s="141">
        <v>2</v>
      </c>
      <c r="J429" s="142">
        <v>30429</v>
      </c>
      <c r="K429" s="142">
        <v>60858</v>
      </c>
      <c r="L429" s="611"/>
      <c r="M429" s="168" t="s">
        <v>34</v>
      </c>
      <c r="N429" s="143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</row>
    <row r="430" spans="1:28" s="145" customFormat="1" ht="15" customHeight="1" outlineLevel="1" x14ac:dyDescent="0.2">
      <c r="A430" s="135">
        <v>6</v>
      </c>
      <c r="B430" s="135">
        <v>97150</v>
      </c>
      <c r="C430" s="136">
        <v>41689</v>
      </c>
      <c r="D430" s="137" t="s">
        <v>1029</v>
      </c>
      <c r="E430" s="135" t="s">
        <v>1030</v>
      </c>
      <c r="F430" s="138" t="s">
        <v>580</v>
      </c>
      <c r="G430" s="139" t="s">
        <v>371</v>
      </c>
      <c r="H430" s="140"/>
      <c r="I430" s="141">
        <v>1</v>
      </c>
      <c r="J430" s="142">
        <v>25800</v>
      </c>
      <c r="K430" s="142">
        <v>25800</v>
      </c>
      <c r="L430" s="611"/>
      <c r="M430" s="168" t="s">
        <v>34</v>
      </c>
      <c r="N430" s="143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</row>
    <row r="431" spans="1:28" s="145" customFormat="1" ht="15" customHeight="1" outlineLevel="1" x14ac:dyDescent="0.2">
      <c r="A431" s="135">
        <v>7</v>
      </c>
      <c r="B431" s="135">
        <v>98075</v>
      </c>
      <c r="C431" s="136">
        <v>41694</v>
      </c>
      <c r="D431" s="137" t="s">
        <v>454</v>
      </c>
      <c r="E431" s="135" t="s">
        <v>1014</v>
      </c>
      <c r="F431" s="138" t="s">
        <v>115</v>
      </c>
      <c r="G431" s="139" t="s">
        <v>407</v>
      </c>
      <c r="H431" s="140" t="s">
        <v>629</v>
      </c>
      <c r="I431" s="141">
        <v>1</v>
      </c>
      <c r="J431" s="142">
        <v>33370</v>
      </c>
      <c r="K431" s="142">
        <v>33370</v>
      </c>
      <c r="L431" s="611"/>
      <c r="M431" s="168" t="s">
        <v>34</v>
      </c>
      <c r="N431" s="143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</row>
    <row r="432" spans="1:28" s="145" customFormat="1" ht="15" customHeight="1" outlineLevel="1" x14ac:dyDescent="0.2">
      <c r="A432" s="135">
        <v>8</v>
      </c>
      <c r="B432" s="135">
        <v>98917</v>
      </c>
      <c r="C432" s="136">
        <v>41697</v>
      </c>
      <c r="D432" s="137" t="s">
        <v>1031</v>
      </c>
      <c r="E432" s="135" t="s">
        <v>599</v>
      </c>
      <c r="F432" s="138" t="s">
        <v>537</v>
      </c>
      <c r="G432" s="139" t="s">
        <v>511</v>
      </c>
      <c r="H432" s="140" t="s">
        <v>563</v>
      </c>
      <c r="I432" s="141">
        <v>1</v>
      </c>
      <c r="J432" s="142">
        <v>30429</v>
      </c>
      <c r="K432" s="142">
        <v>30429</v>
      </c>
      <c r="L432" s="611"/>
      <c r="M432" s="168" t="s">
        <v>34</v>
      </c>
      <c r="N432" s="143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</row>
    <row r="433" spans="1:28" s="145" customFormat="1" ht="15" customHeight="1" outlineLevel="1" x14ac:dyDescent="0.2">
      <c r="A433" s="135">
        <v>9</v>
      </c>
      <c r="B433" s="135">
        <v>94819</v>
      </c>
      <c r="C433" s="136">
        <v>41676</v>
      </c>
      <c r="D433" s="137" t="s">
        <v>1032</v>
      </c>
      <c r="E433" s="135" t="s">
        <v>599</v>
      </c>
      <c r="F433" s="138" t="s">
        <v>237</v>
      </c>
      <c r="G433" s="139" t="s">
        <v>369</v>
      </c>
      <c r="H433" s="140"/>
      <c r="I433" s="141">
        <v>1</v>
      </c>
      <c r="J433" s="142">
        <v>10401</v>
      </c>
      <c r="K433" s="142">
        <v>10401</v>
      </c>
      <c r="L433" s="611"/>
      <c r="M433" s="168" t="s">
        <v>34</v>
      </c>
      <c r="N433" s="143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</row>
    <row r="434" spans="1:28" s="145" customFormat="1" ht="15" customHeight="1" outlineLevel="1" x14ac:dyDescent="0.2">
      <c r="A434" s="135">
        <v>10</v>
      </c>
      <c r="B434" s="135">
        <v>96175</v>
      </c>
      <c r="C434" s="136">
        <v>41683</v>
      </c>
      <c r="D434" s="137" t="s">
        <v>1033</v>
      </c>
      <c r="E434" s="135" t="s">
        <v>599</v>
      </c>
      <c r="F434" s="138" t="s">
        <v>188</v>
      </c>
      <c r="G434" s="139" t="s">
        <v>392</v>
      </c>
      <c r="H434" s="140"/>
      <c r="I434" s="141">
        <v>1</v>
      </c>
      <c r="J434" s="142">
        <v>42601</v>
      </c>
      <c r="K434" s="142">
        <v>42601</v>
      </c>
      <c r="L434" s="611"/>
      <c r="M434" s="168" t="s">
        <v>34</v>
      </c>
      <c r="N434" s="143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</row>
    <row r="435" spans="1:28" s="145" customFormat="1" ht="15" customHeight="1" outlineLevel="1" x14ac:dyDescent="0.2">
      <c r="A435" s="135">
        <v>11</v>
      </c>
      <c r="B435" s="135">
        <v>95679</v>
      </c>
      <c r="C435" s="136">
        <v>41681</v>
      </c>
      <c r="D435" s="137" t="s">
        <v>1034</v>
      </c>
      <c r="E435" s="135" t="s">
        <v>599</v>
      </c>
      <c r="F435" s="138" t="s">
        <v>1035</v>
      </c>
      <c r="G435" s="139" t="s">
        <v>369</v>
      </c>
      <c r="H435" s="140"/>
      <c r="I435" s="141">
        <v>1</v>
      </c>
      <c r="J435" s="142">
        <v>10143</v>
      </c>
      <c r="K435" s="142" t="s">
        <v>1036</v>
      </c>
      <c r="L435" s="611"/>
      <c r="M435" s="168" t="s">
        <v>34</v>
      </c>
      <c r="N435" s="143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</row>
    <row r="436" spans="1:28" s="145" customFormat="1" ht="15" customHeight="1" outlineLevel="1" x14ac:dyDescent="0.2">
      <c r="A436" s="135">
        <v>12</v>
      </c>
      <c r="B436" s="135">
        <v>95679</v>
      </c>
      <c r="C436" s="136">
        <v>41681</v>
      </c>
      <c r="D436" s="137" t="s">
        <v>1034</v>
      </c>
      <c r="E436" s="135" t="s">
        <v>599</v>
      </c>
      <c r="F436" s="138" t="s">
        <v>237</v>
      </c>
      <c r="G436" s="139" t="s">
        <v>369</v>
      </c>
      <c r="H436" s="140"/>
      <c r="I436" s="141">
        <v>1</v>
      </c>
      <c r="J436" s="142">
        <v>10401</v>
      </c>
      <c r="K436" s="142">
        <v>10401</v>
      </c>
      <c r="L436" s="611"/>
      <c r="M436" s="168" t="s">
        <v>34</v>
      </c>
      <c r="N436" s="143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</row>
    <row r="437" spans="1:28" s="145" customFormat="1" ht="15" customHeight="1" outlineLevel="1" x14ac:dyDescent="0.2">
      <c r="A437" s="135">
        <v>13</v>
      </c>
      <c r="B437" s="135">
        <v>98922</v>
      </c>
      <c r="C437" s="136">
        <v>41698</v>
      </c>
      <c r="D437" s="137" t="s">
        <v>1037</v>
      </c>
      <c r="E437" s="135" t="s">
        <v>599</v>
      </c>
      <c r="F437" s="138" t="s">
        <v>537</v>
      </c>
      <c r="G437" s="139" t="s">
        <v>392</v>
      </c>
      <c r="H437" s="140" t="s">
        <v>563</v>
      </c>
      <c r="I437" s="141">
        <v>1</v>
      </c>
      <c r="J437" s="142">
        <v>30429</v>
      </c>
      <c r="K437" s="142">
        <v>30429</v>
      </c>
      <c r="L437" s="611"/>
      <c r="M437" s="168" t="s">
        <v>34</v>
      </c>
      <c r="N437" s="143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</row>
    <row r="438" spans="1:28" s="145" customFormat="1" ht="15" customHeight="1" outlineLevel="1" x14ac:dyDescent="0.2">
      <c r="A438" s="135">
        <v>14</v>
      </c>
      <c r="B438" s="135">
        <v>96841</v>
      </c>
      <c r="C438" s="136">
        <v>41689</v>
      </c>
      <c r="D438" s="137" t="s">
        <v>1038</v>
      </c>
      <c r="E438" s="135" t="s">
        <v>1039</v>
      </c>
      <c r="F438" s="138" t="s">
        <v>116</v>
      </c>
      <c r="G438" s="139" t="s">
        <v>527</v>
      </c>
      <c r="H438" s="140" t="s">
        <v>703</v>
      </c>
      <c r="I438" s="141">
        <v>1</v>
      </c>
      <c r="J438" s="142">
        <v>5274</v>
      </c>
      <c r="K438" s="142">
        <v>5274</v>
      </c>
      <c r="L438" s="611"/>
      <c r="M438" s="168" t="s">
        <v>34</v>
      </c>
      <c r="N438" s="143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</row>
    <row r="439" spans="1:28" s="145" customFormat="1" ht="15" customHeight="1" outlineLevel="1" x14ac:dyDescent="0.2">
      <c r="A439" s="135">
        <v>15</v>
      </c>
      <c r="B439" s="202">
        <v>96717</v>
      </c>
      <c r="C439" s="203">
        <v>41689</v>
      </c>
      <c r="D439" s="199" t="s">
        <v>1040</v>
      </c>
      <c r="E439" s="202" t="s">
        <v>1020</v>
      </c>
      <c r="F439" s="199" t="s">
        <v>580</v>
      </c>
      <c r="G439" s="204" t="s">
        <v>371</v>
      </c>
      <c r="H439" s="204"/>
      <c r="I439" s="205">
        <v>1</v>
      </c>
      <c r="J439" s="180">
        <v>25800</v>
      </c>
      <c r="K439" s="180" t="s">
        <v>1026</v>
      </c>
      <c r="L439" s="611"/>
      <c r="M439" s="168" t="s">
        <v>34</v>
      </c>
      <c r="N439" s="143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</row>
    <row r="440" spans="1:28" s="145" customFormat="1" ht="15" customHeight="1" outlineLevel="1" x14ac:dyDescent="0.2">
      <c r="A440" s="135">
        <v>16</v>
      </c>
      <c r="B440" s="135">
        <v>97439</v>
      </c>
      <c r="C440" s="136">
        <v>41694</v>
      </c>
      <c r="D440" s="137" t="s">
        <v>1041</v>
      </c>
      <c r="E440" s="135" t="s">
        <v>1014</v>
      </c>
      <c r="F440" s="138" t="s">
        <v>116</v>
      </c>
      <c r="G440" s="139" t="s">
        <v>497</v>
      </c>
      <c r="H440" s="140" t="s">
        <v>489</v>
      </c>
      <c r="I440" s="141">
        <v>2</v>
      </c>
      <c r="J440" s="142">
        <v>5274</v>
      </c>
      <c r="K440" s="142">
        <v>10548</v>
      </c>
      <c r="L440" s="611"/>
      <c r="M440" s="168" t="s">
        <v>34</v>
      </c>
      <c r="N440" s="143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</row>
    <row r="441" spans="1:28" s="145" customFormat="1" ht="15" customHeight="1" outlineLevel="1" x14ac:dyDescent="0.2">
      <c r="A441" s="135">
        <v>17</v>
      </c>
      <c r="B441" s="135">
        <v>97297</v>
      </c>
      <c r="C441" s="136">
        <v>41691</v>
      </c>
      <c r="D441" s="137" t="s">
        <v>1042</v>
      </c>
      <c r="E441" s="135" t="s">
        <v>1025</v>
      </c>
      <c r="F441" s="138" t="s">
        <v>580</v>
      </c>
      <c r="G441" s="139" t="s">
        <v>371</v>
      </c>
      <c r="H441" s="140"/>
      <c r="I441" s="141">
        <v>1</v>
      </c>
      <c r="J441" s="142">
        <v>25800</v>
      </c>
      <c r="K441" s="142">
        <v>25800</v>
      </c>
      <c r="L441" s="611"/>
      <c r="M441" s="168" t="s">
        <v>34</v>
      </c>
      <c r="N441" s="143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</row>
    <row r="442" spans="1:28" s="145" customFormat="1" ht="15" customHeight="1" outlineLevel="1" x14ac:dyDescent="0.2">
      <c r="A442" s="135">
        <v>18</v>
      </c>
      <c r="B442" s="135">
        <v>95473</v>
      </c>
      <c r="C442" s="136">
        <v>41681</v>
      </c>
      <c r="D442" s="137" t="s">
        <v>1043</v>
      </c>
      <c r="E442" s="135" t="s">
        <v>599</v>
      </c>
      <c r="F442" s="138" t="s">
        <v>537</v>
      </c>
      <c r="G442" s="139" t="s">
        <v>472</v>
      </c>
      <c r="H442" s="140" t="s">
        <v>583</v>
      </c>
      <c r="I442" s="141">
        <v>1</v>
      </c>
      <c r="J442" s="142">
        <v>30429</v>
      </c>
      <c r="K442" s="142">
        <v>30429</v>
      </c>
      <c r="L442" s="611"/>
      <c r="M442" s="168" t="s">
        <v>34</v>
      </c>
      <c r="N442" s="143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</row>
    <row r="443" spans="1:28" s="145" customFormat="1" ht="15" customHeight="1" outlineLevel="1" x14ac:dyDescent="0.2">
      <c r="A443" s="135">
        <v>19</v>
      </c>
      <c r="B443" s="135">
        <v>95770</v>
      </c>
      <c r="C443" s="136">
        <v>41682</v>
      </c>
      <c r="D443" s="137" t="s">
        <v>1044</v>
      </c>
      <c r="E443" s="135" t="s">
        <v>1025</v>
      </c>
      <c r="F443" s="138" t="s">
        <v>580</v>
      </c>
      <c r="G443" s="139" t="s">
        <v>371</v>
      </c>
      <c r="H443" s="140"/>
      <c r="I443" s="141">
        <v>1</v>
      </c>
      <c r="J443" s="142">
        <v>25800</v>
      </c>
      <c r="K443" s="142">
        <v>25800</v>
      </c>
      <c r="L443" s="611"/>
      <c r="M443" s="168" t="s">
        <v>34</v>
      </c>
      <c r="N443" s="143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</row>
    <row r="444" spans="1:28" s="145" customFormat="1" ht="15" customHeight="1" outlineLevel="1" x14ac:dyDescent="0.2">
      <c r="A444" s="135">
        <v>20</v>
      </c>
      <c r="B444" s="135">
        <v>99612</v>
      </c>
      <c r="C444" s="136">
        <v>41688</v>
      </c>
      <c r="D444" s="137" t="s">
        <v>1045</v>
      </c>
      <c r="E444" s="135" t="s">
        <v>599</v>
      </c>
      <c r="F444" s="138" t="s">
        <v>116</v>
      </c>
      <c r="G444" s="139" t="s">
        <v>392</v>
      </c>
      <c r="H444" s="140" t="s">
        <v>489</v>
      </c>
      <c r="I444" s="141">
        <v>1</v>
      </c>
      <c r="J444" s="142">
        <v>5274</v>
      </c>
      <c r="K444" s="142">
        <v>5274</v>
      </c>
      <c r="L444" s="611"/>
      <c r="M444" s="168" t="s">
        <v>34</v>
      </c>
      <c r="N444" s="143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</row>
    <row r="445" spans="1:28" s="145" customFormat="1" ht="15" customHeight="1" outlineLevel="1" x14ac:dyDescent="0.2">
      <c r="A445" s="135">
        <v>21</v>
      </c>
      <c r="B445" s="135">
        <v>97223</v>
      </c>
      <c r="C445" s="136">
        <v>41689</v>
      </c>
      <c r="D445" s="137" t="s">
        <v>1046</v>
      </c>
      <c r="E445" s="135" t="s">
        <v>599</v>
      </c>
      <c r="F445" s="138" t="s">
        <v>115</v>
      </c>
      <c r="G445" s="139" t="s">
        <v>527</v>
      </c>
      <c r="H445" s="140" t="s">
        <v>1047</v>
      </c>
      <c r="I445" s="141">
        <v>1</v>
      </c>
      <c r="J445" s="142">
        <v>33370</v>
      </c>
      <c r="K445" s="142">
        <v>33370</v>
      </c>
      <c r="L445" s="611"/>
      <c r="M445" s="168" t="s">
        <v>34</v>
      </c>
      <c r="N445" s="143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</row>
    <row r="446" spans="1:28" s="145" customFormat="1" ht="15" customHeight="1" outlineLevel="1" x14ac:dyDescent="0.2">
      <c r="A446" s="135">
        <v>22</v>
      </c>
      <c r="B446" s="135">
        <v>98495</v>
      </c>
      <c r="C446" s="136">
        <v>41695</v>
      </c>
      <c r="D446" s="137" t="s">
        <v>1048</v>
      </c>
      <c r="E446" s="135" t="s">
        <v>599</v>
      </c>
      <c r="F446" s="138" t="s">
        <v>1049</v>
      </c>
      <c r="G446" s="139" t="s">
        <v>400</v>
      </c>
      <c r="H446" s="140" t="s">
        <v>583</v>
      </c>
      <c r="I446" s="141">
        <v>2</v>
      </c>
      <c r="J446" s="142">
        <v>69405</v>
      </c>
      <c r="K446" s="142">
        <v>138810</v>
      </c>
      <c r="L446" s="611"/>
      <c r="M446" s="168" t="s">
        <v>34</v>
      </c>
      <c r="N446" s="143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</row>
    <row r="447" spans="1:28" s="145" customFormat="1" ht="15" customHeight="1" outlineLevel="1" x14ac:dyDescent="0.2">
      <c r="A447" s="135">
        <v>23</v>
      </c>
      <c r="B447" s="135">
        <v>98520</v>
      </c>
      <c r="C447" s="136">
        <v>41695</v>
      </c>
      <c r="D447" s="137" t="s">
        <v>1050</v>
      </c>
      <c r="E447" s="135" t="s">
        <v>599</v>
      </c>
      <c r="F447" s="138" t="s">
        <v>537</v>
      </c>
      <c r="G447" s="139" t="s">
        <v>562</v>
      </c>
      <c r="H447" s="140" t="s">
        <v>1051</v>
      </c>
      <c r="I447" s="141">
        <v>1</v>
      </c>
      <c r="J447" s="142">
        <v>30429</v>
      </c>
      <c r="K447" s="142">
        <v>30429</v>
      </c>
      <c r="L447" s="611"/>
      <c r="M447" s="168" t="s">
        <v>34</v>
      </c>
      <c r="N447" s="143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</row>
    <row r="448" spans="1:28" s="145" customFormat="1" ht="15" customHeight="1" outlineLevel="1" x14ac:dyDescent="0.2">
      <c r="A448" s="135">
        <v>24</v>
      </c>
      <c r="B448" s="135">
        <v>98858</v>
      </c>
      <c r="C448" s="136">
        <v>41697</v>
      </c>
      <c r="D448" s="137" t="s">
        <v>1052</v>
      </c>
      <c r="E448" s="135" t="s">
        <v>599</v>
      </c>
      <c r="F448" s="138" t="s">
        <v>1053</v>
      </c>
      <c r="G448" s="139" t="s">
        <v>417</v>
      </c>
      <c r="H448" s="140" t="s">
        <v>1054</v>
      </c>
      <c r="I448" s="141">
        <v>1</v>
      </c>
      <c r="J448" s="142">
        <v>57960</v>
      </c>
      <c r="K448" s="142">
        <v>57960</v>
      </c>
      <c r="L448" s="611"/>
      <c r="M448" s="168" t="s">
        <v>34</v>
      </c>
      <c r="N448" s="143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</row>
    <row r="449" spans="1:28" s="145" customFormat="1" ht="15" customHeight="1" outlineLevel="1" x14ac:dyDescent="0.2">
      <c r="A449" s="135">
        <v>25</v>
      </c>
      <c r="B449" s="135">
        <v>94464</v>
      </c>
      <c r="C449" s="136">
        <v>41675</v>
      </c>
      <c r="D449" s="137" t="s">
        <v>1055</v>
      </c>
      <c r="E449" s="135" t="s">
        <v>1056</v>
      </c>
      <c r="F449" s="138" t="s">
        <v>235</v>
      </c>
      <c r="G449" s="139" t="s">
        <v>369</v>
      </c>
      <c r="H449" s="140"/>
      <c r="I449" s="141">
        <v>1</v>
      </c>
      <c r="J449" s="142">
        <v>12499</v>
      </c>
      <c r="K449" s="142">
        <v>12499</v>
      </c>
      <c r="L449" s="611"/>
      <c r="M449" s="168" t="s">
        <v>34</v>
      </c>
      <c r="N449" s="143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</row>
    <row r="450" spans="1:28" s="145" customFormat="1" ht="15" customHeight="1" outlineLevel="1" x14ac:dyDescent="0.2">
      <c r="A450" s="135">
        <v>26</v>
      </c>
      <c r="B450" s="135">
        <v>96642</v>
      </c>
      <c r="C450" s="136">
        <v>41688</v>
      </c>
      <c r="D450" s="137" t="s">
        <v>1057</v>
      </c>
      <c r="E450" s="135" t="s">
        <v>599</v>
      </c>
      <c r="F450" s="138" t="s">
        <v>537</v>
      </c>
      <c r="G450" s="139" t="s">
        <v>417</v>
      </c>
      <c r="H450" s="140" t="s">
        <v>569</v>
      </c>
      <c r="I450" s="141">
        <v>1</v>
      </c>
      <c r="J450" s="142">
        <v>30429</v>
      </c>
      <c r="K450" s="142">
        <v>30429</v>
      </c>
      <c r="L450" s="612"/>
      <c r="M450" s="168" t="s">
        <v>34</v>
      </c>
      <c r="N450" s="143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</row>
    <row r="451" spans="1:28" s="134" customFormat="1" ht="15" customHeight="1" outlineLevel="1" x14ac:dyDescent="0.2">
      <c r="A451" s="122">
        <v>1</v>
      </c>
      <c r="B451" s="135">
        <v>39870</v>
      </c>
      <c r="C451" s="136">
        <v>41855</v>
      </c>
      <c r="D451" s="137" t="s">
        <v>1058</v>
      </c>
      <c r="E451" s="135" t="s">
        <v>396</v>
      </c>
      <c r="F451" s="138" t="s">
        <v>116</v>
      </c>
      <c r="G451" s="139" t="s">
        <v>407</v>
      </c>
      <c r="H451" s="140" t="s">
        <v>1059</v>
      </c>
      <c r="I451" s="141">
        <v>1</v>
      </c>
      <c r="J451" s="142">
        <v>5274</v>
      </c>
      <c r="K451" s="142">
        <v>5274</v>
      </c>
      <c r="L451" s="182" t="s">
        <v>788</v>
      </c>
      <c r="M451" s="167" t="s">
        <v>35</v>
      </c>
      <c r="N451" s="206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</row>
    <row r="452" spans="1:28" s="134" customFormat="1" ht="15" customHeight="1" outlineLevel="1" x14ac:dyDescent="0.2">
      <c r="A452" s="122">
        <v>2</v>
      </c>
      <c r="B452" s="135">
        <v>46407</v>
      </c>
      <c r="C452" s="136">
        <v>41876</v>
      </c>
      <c r="D452" s="137" t="s">
        <v>1058</v>
      </c>
      <c r="E452" s="135" t="s">
        <v>396</v>
      </c>
      <c r="F452" s="138" t="s">
        <v>192</v>
      </c>
      <c r="G452" s="139" t="s">
        <v>407</v>
      </c>
      <c r="H452" s="140"/>
      <c r="I452" s="141">
        <v>1</v>
      </c>
      <c r="J452" s="142">
        <v>57960</v>
      </c>
      <c r="K452" s="142">
        <v>57960</v>
      </c>
      <c r="L452" s="182" t="s">
        <v>788</v>
      </c>
      <c r="M452" s="167" t="s">
        <v>35</v>
      </c>
      <c r="N452" s="206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</row>
    <row r="453" spans="1:28" s="134" customFormat="1" ht="15" customHeight="1" outlineLevel="1" x14ac:dyDescent="0.2">
      <c r="A453" s="122">
        <v>3</v>
      </c>
      <c r="B453" s="135">
        <v>47243</v>
      </c>
      <c r="C453" s="136">
        <v>41878</v>
      </c>
      <c r="D453" s="137" t="s">
        <v>1060</v>
      </c>
      <c r="E453" s="135" t="s">
        <v>396</v>
      </c>
      <c r="F453" s="138" t="s">
        <v>210</v>
      </c>
      <c r="G453" s="139" t="s">
        <v>442</v>
      </c>
      <c r="H453" s="140"/>
      <c r="I453" s="141">
        <v>1</v>
      </c>
      <c r="J453" s="142">
        <v>14099</v>
      </c>
      <c r="K453" s="142">
        <v>14099</v>
      </c>
      <c r="L453" s="182" t="s">
        <v>788</v>
      </c>
      <c r="M453" s="167" t="s">
        <v>35</v>
      </c>
      <c r="N453" s="206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</row>
    <row r="454" spans="1:28" s="134" customFormat="1" ht="15" customHeight="1" outlineLevel="1" x14ac:dyDescent="0.2">
      <c r="A454" s="122">
        <v>4</v>
      </c>
      <c r="B454" s="135">
        <v>44517</v>
      </c>
      <c r="C454" s="136">
        <v>41869</v>
      </c>
      <c r="D454" s="137" t="s">
        <v>441</v>
      </c>
      <c r="E454" s="135" t="s">
        <v>396</v>
      </c>
      <c r="F454" s="138" t="s">
        <v>116</v>
      </c>
      <c r="G454" s="139" t="s">
        <v>442</v>
      </c>
      <c r="H454" s="140"/>
      <c r="I454" s="141">
        <v>1</v>
      </c>
      <c r="J454" s="142">
        <v>5274</v>
      </c>
      <c r="K454" s="142">
        <v>5274</v>
      </c>
      <c r="L454" s="182" t="s">
        <v>788</v>
      </c>
      <c r="M454" s="167" t="s">
        <v>35</v>
      </c>
      <c r="N454" s="206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</row>
    <row r="455" spans="1:28" s="134" customFormat="1" ht="15" customHeight="1" outlineLevel="1" x14ac:dyDescent="0.2">
      <c r="A455" s="122">
        <v>5</v>
      </c>
      <c r="B455" s="135">
        <v>44649</v>
      </c>
      <c r="C455" s="136">
        <v>41870</v>
      </c>
      <c r="D455" s="137" t="s">
        <v>1061</v>
      </c>
      <c r="E455" s="135" t="s">
        <v>396</v>
      </c>
      <c r="F455" s="138" t="s">
        <v>217</v>
      </c>
      <c r="G455" s="139" t="s">
        <v>371</v>
      </c>
      <c r="H455" s="140"/>
      <c r="I455" s="141">
        <v>1</v>
      </c>
      <c r="J455" s="142">
        <v>44597</v>
      </c>
      <c r="K455" s="142">
        <v>44597</v>
      </c>
      <c r="L455" s="182" t="s">
        <v>788</v>
      </c>
      <c r="M455" s="167" t="s">
        <v>35</v>
      </c>
      <c r="N455" s="206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</row>
    <row r="456" spans="1:28" s="134" customFormat="1" ht="15" customHeight="1" outlineLevel="1" x14ac:dyDescent="0.2">
      <c r="A456" s="122">
        <v>6</v>
      </c>
      <c r="B456" s="135">
        <v>44746</v>
      </c>
      <c r="C456" s="136">
        <v>41870</v>
      </c>
      <c r="D456" s="137" t="s">
        <v>1062</v>
      </c>
      <c r="E456" s="135" t="s">
        <v>396</v>
      </c>
      <c r="F456" s="138" t="s">
        <v>210</v>
      </c>
      <c r="G456" s="139" t="s">
        <v>419</v>
      </c>
      <c r="H456" s="140"/>
      <c r="I456" s="141">
        <v>1</v>
      </c>
      <c r="J456" s="142">
        <v>14099</v>
      </c>
      <c r="K456" s="142">
        <v>14099</v>
      </c>
      <c r="L456" s="182" t="s">
        <v>788</v>
      </c>
      <c r="M456" s="167" t="s">
        <v>35</v>
      </c>
      <c r="N456" s="206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</row>
    <row r="457" spans="1:28" s="134" customFormat="1" ht="15" customHeight="1" outlineLevel="1" x14ac:dyDescent="0.2">
      <c r="A457" s="122">
        <v>7</v>
      </c>
      <c r="B457" s="135">
        <v>45734</v>
      </c>
      <c r="C457" s="136">
        <v>41873</v>
      </c>
      <c r="D457" s="137" t="s">
        <v>1062</v>
      </c>
      <c r="E457" s="135" t="s">
        <v>396</v>
      </c>
      <c r="F457" s="138" t="s">
        <v>116</v>
      </c>
      <c r="G457" s="139" t="s">
        <v>419</v>
      </c>
      <c r="H457" s="140"/>
      <c r="I457" s="141">
        <v>1</v>
      </c>
      <c r="J457" s="142">
        <v>5274</v>
      </c>
      <c r="K457" s="142">
        <v>5274</v>
      </c>
      <c r="L457" s="182" t="s">
        <v>788</v>
      </c>
      <c r="M457" s="167" t="s">
        <v>35</v>
      </c>
      <c r="N457" s="206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</row>
    <row r="458" spans="1:28" s="134" customFormat="1" ht="15" customHeight="1" outlineLevel="1" x14ac:dyDescent="0.2">
      <c r="A458" s="122">
        <v>8</v>
      </c>
      <c r="B458" s="135">
        <v>42036</v>
      </c>
      <c r="C458" s="136">
        <v>41862</v>
      </c>
      <c r="D458" s="137" t="s">
        <v>1063</v>
      </c>
      <c r="E458" s="135" t="s">
        <v>396</v>
      </c>
      <c r="F458" s="138" t="s">
        <v>116</v>
      </c>
      <c r="G458" s="139" t="s">
        <v>445</v>
      </c>
      <c r="H458" s="140" t="s">
        <v>1064</v>
      </c>
      <c r="I458" s="141">
        <v>1</v>
      </c>
      <c r="J458" s="142">
        <v>5274</v>
      </c>
      <c r="K458" s="142">
        <v>5274</v>
      </c>
      <c r="L458" s="182" t="s">
        <v>788</v>
      </c>
      <c r="M458" s="167" t="s">
        <v>35</v>
      </c>
      <c r="N458" s="206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</row>
    <row r="459" spans="1:28" s="134" customFormat="1" ht="15" customHeight="1" outlineLevel="1" x14ac:dyDescent="0.2">
      <c r="A459" s="122">
        <v>9</v>
      </c>
      <c r="B459" s="135">
        <v>42036</v>
      </c>
      <c r="C459" s="136">
        <v>41862</v>
      </c>
      <c r="D459" s="137" t="s">
        <v>1063</v>
      </c>
      <c r="E459" s="135" t="s">
        <v>396</v>
      </c>
      <c r="F459" s="138" t="s">
        <v>210</v>
      </c>
      <c r="G459" s="139" t="s">
        <v>445</v>
      </c>
      <c r="H459" s="140"/>
      <c r="I459" s="141">
        <v>1</v>
      </c>
      <c r="J459" s="142">
        <v>14099</v>
      </c>
      <c r="K459" s="142">
        <v>14099</v>
      </c>
      <c r="L459" s="182" t="s">
        <v>788</v>
      </c>
      <c r="M459" s="167" t="s">
        <v>35</v>
      </c>
      <c r="N459" s="206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</row>
    <row r="460" spans="1:28" s="134" customFormat="1" ht="15" customHeight="1" outlineLevel="1" x14ac:dyDescent="0.2">
      <c r="A460" s="122">
        <v>10</v>
      </c>
      <c r="B460" s="135">
        <v>39690</v>
      </c>
      <c r="C460" s="136">
        <v>41855</v>
      </c>
      <c r="D460" s="137" t="s">
        <v>1065</v>
      </c>
      <c r="E460" s="135" t="s">
        <v>396</v>
      </c>
      <c r="F460" s="138" t="s">
        <v>116</v>
      </c>
      <c r="G460" s="139" t="s">
        <v>1066</v>
      </c>
      <c r="H460" s="140" t="s">
        <v>569</v>
      </c>
      <c r="I460" s="141">
        <v>3</v>
      </c>
      <c r="J460" s="142">
        <v>5274</v>
      </c>
      <c r="K460" s="142">
        <v>15822</v>
      </c>
      <c r="L460" s="182" t="s">
        <v>788</v>
      </c>
      <c r="M460" s="167" t="s">
        <v>35</v>
      </c>
      <c r="N460" s="206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</row>
    <row r="461" spans="1:28" s="134" customFormat="1" ht="15" customHeight="1" outlineLevel="1" x14ac:dyDescent="0.2">
      <c r="A461" s="122">
        <v>11</v>
      </c>
      <c r="B461" s="135">
        <v>46479</v>
      </c>
      <c r="C461" s="136">
        <v>41876</v>
      </c>
      <c r="D461" s="137" t="s">
        <v>1067</v>
      </c>
      <c r="E461" s="135" t="s">
        <v>1068</v>
      </c>
      <c r="F461" s="138" t="s">
        <v>1069</v>
      </c>
      <c r="G461" s="139" t="s">
        <v>371</v>
      </c>
      <c r="H461" s="140"/>
      <c r="I461" s="141">
        <v>1</v>
      </c>
      <c r="J461" s="142">
        <v>18764</v>
      </c>
      <c r="K461" s="142">
        <v>18764</v>
      </c>
      <c r="L461" s="182" t="s">
        <v>788</v>
      </c>
      <c r="M461" s="167" t="s">
        <v>35</v>
      </c>
      <c r="N461" s="206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</row>
    <row r="462" spans="1:28" s="134" customFormat="1" ht="15" customHeight="1" outlineLevel="1" x14ac:dyDescent="0.2">
      <c r="A462" s="122">
        <v>12</v>
      </c>
      <c r="B462" s="135">
        <v>44541</v>
      </c>
      <c r="C462" s="136">
        <v>41870</v>
      </c>
      <c r="D462" s="137" t="s">
        <v>1070</v>
      </c>
      <c r="E462" s="135" t="s">
        <v>396</v>
      </c>
      <c r="F462" s="138" t="s">
        <v>116</v>
      </c>
      <c r="G462" s="139" t="s">
        <v>410</v>
      </c>
      <c r="H462" s="140"/>
      <c r="I462" s="141">
        <v>1</v>
      </c>
      <c r="J462" s="142">
        <v>5274</v>
      </c>
      <c r="K462" s="142">
        <v>5274</v>
      </c>
      <c r="L462" s="182" t="s">
        <v>788</v>
      </c>
      <c r="M462" s="167" t="s">
        <v>35</v>
      </c>
      <c r="N462" s="206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</row>
    <row r="463" spans="1:28" s="134" customFormat="1" ht="15" customHeight="1" outlineLevel="1" x14ac:dyDescent="0.2">
      <c r="A463" s="122">
        <v>13</v>
      </c>
      <c r="B463" s="135">
        <v>44541</v>
      </c>
      <c r="C463" s="136">
        <v>41870</v>
      </c>
      <c r="D463" s="137" t="s">
        <v>1070</v>
      </c>
      <c r="E463" s="135" t="s">
        <v>396</v>
      </c>
      <c r="F463" s="138" t="s">
        <v>210</v>
      </c>
      <c r="G463" s="139" t="s">
        <v>410</v>
      </c>
      <c r="H463" s="140"/>
      <c r="I463" s="141">
        <v>1</v>
      </c>
      <c r="J463" s="142">
        <v>14099</v>
      </c>
      <c r="K463" s="142">
        <v>14099</v>
      </c>
      <c r="L463" s="182" t="s">
        <v>788</v>
      </c>
      <c r="M463" s="167" t="s">
        <v>35</v>
      </c>
      <c r="N463" s="206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</row>
    <row r="464" spans="1:28" s="134" customFormat="1" ht="15" customHeight="1" outlineLevel="1" x14ac:dyDescent="0.2">
      <c r="A464" s="122">
        <v>14</v>
      </c>
      <c r="B464" s="135">
        <v>40021</v>
      </c>
      <c r="C464" s="136">
        <v>41855</v>
      </c>
      <c r="D464" s="137" t="s">
        <v>1071</v>
      </c>
      <c r="E464" s="135" t="s">
        <v>396</v>
      </c>
      <c r="F464" s="138" t="s">
        <v>537</v>
      </c>
      <c r="G464" s="139" t="s">
        <v>511</v>
      </c>
      <c r="H464" s="140" t="s">
        <v>642</v>
      </c>
      <c r="I464" s="141">
        <v>1</v>
      </c>
      <c r="J464" s="142">
        <v>30429</v>
      </c>
      <c r="K464" s="142">
        <v>30429</v>
      </c>
      <c r="L464" s="182" t="s">
        <v>788</v>
      </c>
      <c r="M464" s="167" t="s">
        <v>35</v>
      </c>
      <c r="N464" s="206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</row>
    <row r="465" spans="1:28" s="134" customFormat="1" ht="15" customHeight="1" outlineLevel="1" x14ac:dyDescent="0.2">
      <c r="A465" s="122">
        <v>15</v>
      </c>
      <c r="B465" s="135">
        <v>40362</v>
      </c>
      <c r="C465" s="136">
        <v>41855</v>
      </c>
      <c r="D465" s="137" t="s">
        <v>1072</v>
      </c>
      <c r="E465" s="135" t="s">
        <v>396</v>
      </c>
      <c r="F465" s="138" t="s">
        <v>537</v>
      </c>
      <c r="G465" s="139" t="s">
        <v>392</v>
      </c>
      <c r="H465" s="140" t="s">
        <v>554</v>
      </c>
      <c r="I465" s="141">
        <v>1</v>
      </c>
      <c r="J465" s="142">
        <v>30429</v>
      </c>
      <c r="K465" s="142">
        <v>30429</v>
      </c>
      <c r="L465" s="182" t="s">
        <v>788</v>
      </c>
      <c r="M465" s="167" t="s">
        <v>35</v>
      </c>
      <c r="N465" s="206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</row>
    <row r="466" spans="1:28" s="134" customFormat="1" ht="15" customHeight="1" outlineLevel="1" x14ac:dyDescent="0.2">
      <c r="A466" s="122">
        <v>16</v>
      </c>
      <c r="B466" s="135">
        <v>42379</v>
      </c>
      <c r="C466" s="136">
        <v>41862</v>
      </c>
      <c r="D466" s="137" t="s">
        <v>439</v>
      </c>
      <c r="E466" s="135" t="s">
        <v>396</v>
      </c>
      <c r="F466" s="138" t="s">
        <v>580</v>
      </c>
      <c r="G466" s="139" t="s">
        <v>371</v>
      </c>
      <c r="H466" s="140"/>
      <c r="I466" s="141">
        <v>1</v>
      </c>
      <c r="J466" s="142">
        <v>25800</v>
      </c>
      <c r="K466" s="142">
        <v>25800</v>
      </c>
      <c r="L466" s="182" t="s">
        <v>788</v>
      </c>
      <c r="M466" s="167" t="s">
        <v>35</v>
      </c>
      <c r="N466" s="206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</row>
    <row r="467" spans="1:28" s="134" customFormat="1" ht="15" customHeight="1" outlineLevel="1" x14ac:dyDescent="0.2">
      <c r="A467" s="122">
        <v>17</v>
      </c>
      <c r="B467" s="135">
        <v>46506</v>
      </c>
      <c r="C467" s="136">
        <v>41876</v>
      </c>
      <c r="D467" s="137" t="s">
        <v>1073</v>
      </c>
      <c r="E467" s="135" t="s">
        <v>396</v>
      </c>
      <c r="F467" s="138" t="s">
        <v>537</v>
      </c>
      <c r="G467" s="139" t="s">
        <v>431</v>
      </c>
      <c r="H467" s="140"/>
      <c r="I467" s="141">
        <v>1</v>
      </c>
      <c r="J467" s="142">
        <v>30429</v>
      </c>
      <c r="K467" s="142">
        <v>30429</v>
      </c>
      <c r="L467" s="182" t="s">
        <v>788</v>
      </c>
      <c r="M467" s="167" t="s">
        <v>35</v>
      </c>
      <c r="N467" s="206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</row>
    <row r="468" spans="1:28" s="134" customFormat="1" ht="15" customHeight="1" outlineLevel="1" x14ac:dyDescent="0.2">
      <c r="A468" s="122">
        <v>1</v>
      </c>
      <c r="B468" s="135">
        <v>54351</v>
      </c>
      <c r="C468" s="136">
        <v>41906</v>
      </c>
      <c r="D468" s="137" t="s">
        <v>1074</v>
      </c>
      <c r="E468" s="135" t="s">
        <v>1075</v>
      </c>
      <c r="F468" s="138" t="s">
        <v>195</v>
      </c>
      <c r="G468" s="139" t="s">
        <v>371</v>
      </c>
      <c r="H468" s="140"/>
      <c r="I468" s="141">
        <v>1</v>
      </c>
      <c r="J468" s="142">
        <v>36514.799999999996</v>
      </c>
      <c r="K468" s="142">
        <v>36514.799999999996</v>
      </c>
      <c r="L468" s="182" t="s">
        <v>617</v>
      </c>
      <c r="M468" s="167" t="s">
        <v>35</v>
      </c>
      <c r="N468" s="206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</row>
    <row r="469" spans="1:28" s="134" customFormat="1" ht="15" customHeight="1" outlineLevel="1" x14ac:dyDescent="0.2">
      <c r="A469" s="122">
        <v>2</v>
      </c>
      <c r="B469" s="135">
        <v>55404</v>
      </c>
      <c r="C469" s="136">
        <v>41908</v>
      </c>
      <c r="D469" s="137" t="s">
        <v>1074</v>
      </c>
      <c r="E469" s="135" t="s">
        <v>1075</v>
      </c>
      <c r="F469" s="138" t="s">
        <v>195</v>
      </c>
      <c r="G469" s="139" t="s">
        <v>371</v>
      </c>
      <c r="H469" s="140"/>
      <c r="I469" s="141">
        <v>1</v>
      </c>
      <c r="J469" s="142">
        <v>36514.799999999996</v>
      </c>
      <c r="K469" s="142">
        <v>36514.799999999996</v>
      </c>
      <c r="L469" s="182" t="s">
        <v>617</v>
      </c>
      <c r="M469" s="167" t="s">
        <v>35</v>
      </c>
      <c r="N469" s="206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</row>
    <row r="470" spans="1:28" s="134" customFormat="1" ht="15" customHeight="1" outlineLevel="1" x14ac:dyDescent="0.2">
      <c r="A470" s="122">
        <v>3</v>
      </c>
      <c r="B470" s="135">
        <v>54201</v>
      </c>
      <c r="C470" s="136">
        <v>41904</v>
      </c>
      <c r="D470" s="137" t="s">
        <v>1076</v>
      </c>
      <c r="E470" s="135" t="s">
        <v>396</v>
      </c>
      <c r="F470" s="138" t="s">
        <v>217</v>
      </c>
      <c r="G470" s="139" t="s">
        <v>371</v>
      </c>
      <c r="H470" s="140"/>
      <c r="I470" s="141">
        <v>1</v>
      </c>
      <c r="J470" s="142">
        <v>44597</v>
      </c>
      <c r="K470" s="142">
        <v>44597</v>
      </c>
      <c r="L470" s="182" t="s">
        <v>617</v>
      </c>
      <c r="M470" s="167" t="s">
        <v>35</v>
      </c>
      <c r="N470" s="206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</row>
    <row r="471" spans="1:28" s="134" customFormat="1" ht="15" customHeight="1" outlineLevel="1" x14ac:dyDescent="0.2">
      <c r="A471" s="122">
        <v>4</v>
      </c>
      <c r="B471" s="135">
        <v>52609</v>
      </c>
      <c r="C471" s="136">
        <v>41894</v>
      </c>
      <c r="D471" s="137" t="s">
        <v>1077</v>
      </c>
      <c r="E471" s="135" t="s">
        <v>396</v>
      </c>
      <c r="F471" s="138" t="s">
        <v>210</v>
      </c>
      <c r="G471" s="139" t="s">
        <v>442</v>
      </c>
      <c r="H471" s="140"/>
      <c r="I471" s="141">
        <v>1</v>
      </c>
      <c r="J471" s="142">
        <v>14099</v>
      </c>
      <c r="K471" s="142">
        <v>14099</v>
      </c>
      <c r="L471" s="182" t="s">
        <v>617</v>
      </c>
      <c r="M471" s="167" t="s">
        <v>35</v>
      </c>
      <c r="N471" s="206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</row>
    <row r="472" spans="1:28" s="134" customFormat="1" ht="15" customHeight="1" outlineLevel="1" x14ac:dyDescent="0.2">
      <c r="A472" s="122">
        <v>5</v>
      </c>
      <c r="B472" s="135">
        <v>55287</v>
      </c>
      <c r="C472" s="136">
        <v>41911</v>
      </c>
      <c r="D472" s="137" t="s">
        <v>441</v>
      </c>
      <c r="E472" s="135" t="s">
        <v>396</v>
      </c>
      <c r="F472" s="138" t="s">
        <v>537</v>
      </c>
      <c r="G472" s="139" t="s">
        <v>431</v>
      </c>
      <c r="H472" s="140"/>
      <c r="I472" s="141">
        <v>1</v>
      </c>
      <c r="J472" s="142">
        <v>30429</v>
      </c>
      <c r="K472" s="142">
        <v>30429</v>
      </c>
      <c r="L472" s="182" t="s">
        <v>617</v>
      </c>
      <c r="M472" s="167" t="s">
        <v>35</v>
      </c>
      <c r="N472" s="206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</row>
    <row r="473" spans="1:28" s="134" customFormat="1" ht="15" customHeight="1" outlineLevel="1" x14ac:dyDescent="0.2">
      <c r="A473" s="122">
        <v>6</v>
      </c>
      <c r="B473" s="135">
        <v>55266</v>
      </c>
      <c r="C473" s="136">
        <v>41911</v>
      </c>
      <c r="D473" s="137" t="s">
        <v>1078</v>
      </c>
      <c r="E473" s="135" t="s">
        <v>396</v>
      </c>
      <c r="F473" s="138" t="s">
        <v>116</v>
      </c>
      <c r="G473" s="139" t="s">
        <v>442</v>
      </c>
      <c r="H473" s="140"/>
      <c r="I473" s="141">
        <v>1</v>
      </c>
      <c r="J473" s="142">
        <v>5274</v>
      </c>
      <c r="K473" s="142">
        <v>5274</v>
      </c>
      <c r="L473" s="182" t="s">
        <v>617</v>
      </c>
      <c r="M473" s="167" t="s">
        <v>35</v>
      </c>
      <c r="N473" s="206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</row>
    <row r="474" spans="1:28" s="134" customFormat="1" ht="15" customHeight="1" outlineLevel="1" x14ac:dyDescent="0.2">
      <c r="A474" s="122">
        <v>7</v>
      </c>
      <c r="B474" s="135">
        <v>48674</v>
      </c>
      <c r="C474" s="136">
        <v>41883</v>
      </c>
      <c r="D474" s="137" t="s">
        <v>1079</v>
      </c>
      <c r="E474" s="135" t="s">
        <v>396</v>
      </c>
      <c r="F474" s="138" t="s">
        <v>210</v>
      </c>
      <c r="G474" s="139" t="s">
        <v>592</v>
      </c>
      <c r="H474" s="140"/>
      <c r="I474" s="141">
        <v>2</v>
      </c>
      <c r="J474" s="142">
        <v>14099</v>
      </c>
      <c r="K474" s="142">
        <v>28198</v>
      </c>
      <c r="L474" s="182" t="s">
        <v>617</v>
      </c>
      <c r="M474" s="167" t="s">
        <v>35</v>
      </c>
      <c r="N474" s="206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</row>
    <row r="475" spans="1:28" s="134" customFormat="1" ht="15" customHeight="1" outlineLevel="1" x14ac:dyDescent="0.2">
      <c r="A475" s="122">
        <v>8</v>
      </c>
      <c r="B475" s="135">
        <v>52782</v>
      </c>
      <c r="C475" s="136">
        <v>41898</v>
      </c>
      <c r="D475" s="137" t="s">
        <v>1079</v>
      </c>
      <c r="E475" s="135" t="s">
        <v>396</v>
      </c>
      <c r="F475" s="138" t="s">
        <v>116</v>
      </c>
      <c r="G475" s="139" t="s">
        <v>592</v>
      </c>
      <c r="H475" s="140"/>
      <c r="I475" s="141">
        <v>2</v>
      </c>
      <c r="J475" s="142">
        <v>5274</v>
      </c>
      <c r="K475" s="142">
        <v>10548</v>
      </c>
      <c r="L475" s="182" t="s">
        <v>617</v>
      </c>
      <c r="M475" s="167" t="s">
        <v>35</v>
      </c>
      <c r="N475" s="206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</row>
    <row r="476" spans="1:28" s="134" customFormat="1" ht="15" customHeight="1" outlineLevel="1" x14ac:dyDescent="0.2">
      <c r="A476" s="122">
        <v>9</v>
      </c>
      <c r="B476" s="135">
        <v>51495</v>
      </c>
      <c r="C476" s="136">
        <v>41892</v>
      </c>
      <c r="D476" s="137" t="s">
        <v>1080</v>
      </c>
      <c r="E476" s="135" t="s">
        <v>456</v>
      </c>
      <c r="F476" s="138" t="s">
        <v>217</v>
      </c>
      <c r="G476" s="139" t="s">
        <v>369</v>
      </c>
      <c r="H476" s="140"/>
      <c r="I476" s="141">
        <v>1</v>
      </c>
      <c r="J476" s="142">
        <v>44597</v>
      </c>
      <c r="K476" s="142">
        <v>44597</v>
      </c>
      <c r="L476" s="182" t="s">
        <v>617</v>
      </c>
      <c r="M476" s="167" t="s">
        <v>35</v>
      </c>
      <c r="N476" s="206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</row>
    <row r="477" spans="1:28" s="134" customFormat="1" ht="15" customHeight="1" outlineLevel="1" x14ac:dyDescent="0.2">
      <c r="A477" s="122">
        <v>10</v>
      </c>
      <c r="B477" s="135">
        <v>50471</v>
      </c>
      <c r="C477" s="136">
        <v>41887</v>
      </c>
      <c r="D477" s="137" t="s">
        <v>1081</v>
      </c>
      <c r="E477" s="135" t="s">
        <v>396</v>
      </c>
      <c r="F477" s="138" t="s">
        <v>116</v>
      </c>
      <c r="G477" s="139" t="s">
        <v>431</v>
      </c>
      <c r="H477" s="140"/>
      <c r="I477" s="141">
        <v>1</v>
      </c>
      <c r="J477" s="142">
        <v>5274</v>
      </c>
      <c r="K477" s="142">
        <v>5274</v>
      </c>
      <c r="L477" s="182" t="s">
        <v>617</v>
      </c>
      <c r="M477" s="167" t="s">
        <v>35</v>
      </c>
      <c r="N477" s="206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</row>
    <row r="478" spans="1:28" s="134" customFormat="1" ht="15" customHeight="1" outlineLevel="1" x14ac:dyDescent="0.2">
      <c r="A478" s="122">
        <v>11</v>
      </c>
      <c r="B478" s="135">
        <v>50471</v>
      </c>
      <c r="C478" s="136">
        <v>41887</v>
      </c>
      <c r="D478" s="137" t="s">
        <v>1081</v>
      </c>
      <c r="E478" s="135" t="s">
        <v>396</v>
      </c>
      <c r="F478" s="138" t="s">
        <v>210</v>
      </c>
      <c r="G478" s="139" t="s">
        <v>431</v>
      </c>
      <c r="H478" s="140"/>
      <c r="I478" s="141">
        <v>1</v>
      </c>
      <c r="J478" s="142">
        <v>14099</v>
      </c>
      <c r="K478" s="142">
        <v>14099</v>
      </c>
      <c r="L478" s="182" t="s">
        <v>617</v>
      </c>
      <c r="M478" s="167" t="s">
        <v>35</v>
      </c>
      <c r="N478" s="206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</row>
    <row r="479" spans="1:28" s="134" customFormat="1" ht="15" customHeight="1" outlineLevel="1" x14ac:dyDescent="0.2">
      <c r="A479" s="122">
        <v>12</v>
      </c>
      <c r="B479" s="135">
        <v>53645</v>
      </c>
      <c r="C479" s="136">
        <v>41904</v>
      </c>
      <c r="D479" s="137" t="s">
        <v>446</v>
      </c>
      <c r="E479" s="135" t="s">
        <v>396</v>
      </c>
      <c r="F479" s="138" t="s">
        <v>116</v>
      </c>
      <c r="G479" s="139" t="s">
        <v>417</v>
      </c>
      <c r="H479" s="140"/>
      <c r="I479" s="141">
        <v>1</v>
      </c>
      <c r="J479" s="142">
        <v>5274</v>
      </c>
      <c r="K479" s="142">
        <v>5274</v>
      </c>
      <c r="L479" s="182" t="s">
        <v>617</v>
      </c>
      <c r="M479" s="167" t="s">
        <v>35</v>
      </c>
      <c r="N479" s="206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</row>
    <row r="480" spans="1:28" s="134" customFormat="1" ht="15" customHeight="1" outlineLevel="1" x14ac:dyDescent="0.2">
      <c r="A480" s="122">
        <v>13</v>
      </c>
      <c r="B480" s="135">
        <v>56658</v>
      </c>
      <c r="C480" s="175">
        <v>41912</v>
      </c>
      <c r="D480" s="137" t="s">
        <v>446</v>
      </c>
      <c r="E480" s="135" t="s">
        <v>396</v>
      </c>
      <c r="F480" s="138" t="s">
        <v>210</v>
      </c>
      <c r="G480" s="139" t="s">
        <v>417</v>
      </c>
      <c r="H480" s="140"/>
      <c r="I480" s="141">
        <v>1</v>
      </c>
      <c r="J480" s="142">
        <v>14099</v>
      </c>
      <c r="K480" s="142">
        <v>14099</v>
      </c>
      <c r="L480" s="182" t="s">
        <v>617</v>
      </c>
      <c r="M480" s="167" t="s">
        <v>35</v>
      </c>
      <c r="N480" s="206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</row>
    <row r="481" spans="1:28" s="134" customFormat="1" ht="15" customHeight="1" outlineLevel="1" x14ac:dyDescent="0.2">
      <c r="A481" s="122">
        <v>14</v>
      </c>
      <c r="B481" s="135">
        <v>55486</v>
      </c>
      <c r="C481" s="136">
        <v>41912</v>
      </c>
      <c r="D481" s="137" t="s">
        <v>1082</v>
      </c>
      <c r="E481" s="135" t="s">
        <v>396</v>
      </c>
      <c r="F481" s="138" t="s">
        <v>116</v>
      </c>
      <c r="G481" s="139" t="s">
        <v>419</v>
      </c>
      <c r="H481" s="140"/>
      <c r="I481" s="141">
        <v>1</v>
      </c>
      <c r="J481" s="142">
        <v>5274</v>
      </c>
      <c r="K481" s="142">
        <v>5274</v>
      </c>
      <c r="L481" s="182" t="s">
        <v>617</v>
      </c>
      <c r="M481" s="167" t="s">
        <v>35</v>
      </c>
      <c r="N481" s="206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</row>
    <row r="482" spans="1:28" s="134" customFormat="1" ht="15" customHeight="1" outlineLevel="1" x14ac:dyDescent="0.2">
      <c r="A482" s="122">
        <v>15</v>
      </c>
      <c r="B482" s="135">
        <v>55486</v>
      </c>
      <c r="C482" s="136">
        <v>41912</v>
      </c>
      <c r="D482" s="137" t="s">
        <v>1082</v>
      </c>
      <c r="E482" s="135" t="s">
        <v>396</v>
      </c>
      <c r="F482" s="138" t="s">
        <v>210</v>
      </c>
      <c r="G482" s="139" t="s">
        <v>419</v>
      </c>
      <c r="H482" s="140"/>
      <c r="I482" s="141">
        <v>1</v>
      </c>
      <c r="J482" s="142">
        <v>14099</v>
      </c>
      <c r="K482" s="142">
        <v>14099</v>
      </c>
      <c r="L482" s="182" t="s">
        <v>617</v>
      </c>
      <c r="M482" s="167" t="s">
        <v>35</v>
      </c>
      <c r="N482" s="206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</row>
    <row r="483" spans="1:28" s="134" customFormat="1" ht="15" customHeight="1" outlineLevel="1" x14ac:dyDescent="0.2">
      <c r="A483" s="122">
        <v>16</v>
      </c>
      <c r="B483" s="135">
        <v>53287</v>
      </c>
      <c r="C483" s="136">
        <v>41897</v>
      </c>
      <c r="D483" s="137" t="s">
        <v>1062</v>
      </c>
      <c r="E483" s="135" t="s">
        <v>396</v>
      </c>
      <c r="F483" s="138" t="s">
        <v>115</v>
      </c>
      <c r="G483" s="139" t="s">
        <v>419</v>
      </c>
      <c r="H483" s="140"/>
      <c r="I483" s="141">
        <v>1</v>
      </c>
      <c r="J483" s="142">
        <v>33370</v>
      </c>
      <c r="K483" s="142">
        <v>33370</v>
      </c>
      <c r="L483" s="182" t="s">
        <v>617</v>
      </c>
      <c r="M483" s="167" t="s">
        <v>35</v>
      </c>
      <c r="N483" s="206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</row>
    <row r="484" spans="1:28" s="134" customFormat="1" ht="15" customHeight="1" outlineLevel="1" x14ac:dyDescent="0.2">
      <c r="A484" s="122">
        <v>17</v>
      </c>
      <c r="B484" s="135">
        <v>53630</v>
      </c>
      <c r="C484" s="136">
        <v>41898</v>
      </c>
      <c r="D484" s="137" t="s">
        <v>1083</v>
      </c>
      <c r="E484" s="135" t="s">
        <v>396</v>
      </c>
      <c r="F484" s="138" t="s">
        <v>580</v>
      </c>
      <c r="G484" s="139" t="s">
        <v>371</v>
      </c>
      <c r="H484" s="140"/>
      <c r="I484" s="141">
        <v>1</v>
      </c>
      <c r="J484" s="142">
        <v>25800</v>
      </c>
      <c r="K484" s="142">
        <v>25800</v>
      </c>
      <c r="L484" s="182" t="s">
        <v>617</v>
      </c>
      <c r="M484" s="167" t="s">
        <v>35</v>
      </c>
      <c r="N484" s="206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</row>
    <row r="485" spans="1:28" s="134" customFormat="1" ht="15" customHeight="1" outlineLevel="1" x14ac:dyDescent="0.2">
      <c r="A485" s="122">
        <v>18</v>
      </c>
      <c r="B485" s="135">
        <v>50122</v>
      </c>
      <c r="C485" s="136">
        <v>41887</v>
      </c>
      <c r="D485" s="137" t="s">
        <v>1084</v>
      </c>
      <c r="E485" s="135" t="s">
        <v>396</v>
      </c>
      <c r="F485" s="138" t="s">
        <v>537</v>
      </c>
      <c r="G485" s="139" t="s">
        <v>562</v>
      </c>
      <c r="H485" s="140"/>
      <c r="I485" s="141">
        <v>1</v>
      </c>
      <c r="J485" s="142">
        <v>30429</v>
      </c>
      <c r="K485" s="142">
        <v>30429</v>
      </c>
      <c r="L485" s="182" t="s">
        <v>617</v>
      </c>
      <c r="M485" s="167" t="s">
        <v>35</v>
      </c>
      <c r="N485" s="206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</row>
    <row r="486" spans="1:28" s="134" customFormat="1" ht="15" customHeight="1" outlineLevel="1" x14ac:dyDescent="0.2">
      <c r="A486" s="122">
        <v>19</v>
      </c>
      <c r="B486" s="135">
        <v>53935</v>
      </c>
      <c r="C486" s="136">
        <v>41904</v>
      </c>
      <c r="D486" s="137" t="s">
        <v>1085</v>
      </c>
      <c r="E486" s="135" t="s">
        <v>1068</v>
      </c>
      <c r="F486" s="138" t="s">
        <v>179</v>
      </c>
      <c r="G486" s="139" t="s">
        <v>371</v>
      </c>
      <c r="H486" s="140"/>
      <c r="I486" s="141">
        <v>1</v>
      </c>
      <c r="J486" s="142">
        <v>18764</v>
      </c>
      <c r="K486" s="142">
        <v>18764</v>
      </c>
      <c r="L486" s="182" t="s">
        <v>617</v>
      </c>
      <c r="M486" s="167" t="s">
        <v>35</v>
      </c>
      <c r="N486" s="206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</row>
    <row r="487" spans="1:28" s="134" customFormat="1" ht="15" customHeight="1" outlineLevel="1" x14ac:dyDescent="0.2">
      <c r="A487" s="122">
        <v>20</v>
      </c>
      <c r="B487" s="135">
        <v>54495</v>
      </c>
      <c r="C487" s="136">
        <v>41906</v>
      </c>
      <c r="D487" s="137" t="s">
        <v>1086</v>
      </c>
      <c r="E487" s="135" t="s">
        <v>1068</v>
      </c>
      <c r="F487" s="138" t="s">
        <v>173</v>
      </c>
      <c r="G487" s="139" t="s">
        <v>371</v>
      </c>
      <c r="H487" s="140"/>
      <c r="I487" s="141">
        <v>1</v>
      </c>
      <c r="J487" s="142">
        <v>18764</v>
      </c>
      <c r="K487" s="142">
        <v>18764</v>
      </c>
      <c r="L487" s="182" t="s">
        <v>617</v>
      </c>
      <c r="M487" s="167" t="s">
        <v>35</v>
      </c>
      <c r="N487" s="206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</row>
    <row r="488" spans="1:28" s="134" customFormat="1" ht="15" customHeight="1" outlineLevel="1" x14ac:dyDescent="0.2">
      <c r="A488" s="122">
        <v>21</v>
      </c>
      <c r="B488" s="135">
        <v>56045</v>
      </c>
      <c r="C488" s="175">
        <v>41912</v>
      </c>
      <c r="D488" s="137" t="s">
        <v>1087</v>
      </c>
      <c r="E488" s="135" t="s">
        <v>396</v>
      </c>
      <c r="F488" s="138" t="s">
        <v>116</v>
      </c>
      <c r="G488" s="139" t="s">
        <v>562</v>
      </c>
      <c r="H488" s="140"/>
      <c r="I488" s="141">
        <v>1</v>
      </c>
      <c r="J488" s="142">
        <v>5274</v>
      </c>
      <c r="K488" s="142">
        <v>5274</v>
      </c>
      <c r="L488" s="182" t="s">
        <v>617</v>
      </c>
      <c r="M488" s="167" t="s">
        <v>35</v>
      </c>
      <c r="N488" s="206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</row>
    <row r="489" spans="1:28" s="134" customFormat="1" ht="15" customHeight="1" outlineLevel="1" x14ac:dyDescent="0.2">
      <c r="A489" s="122">
        <v>22</v>
      </c>
      <c r="B489" s="135">
        <v>55836</v>
      </c>
      <c r="C489" s="136">
        <v>41905</v>
      </c>
      <c r="D489" s="137" t="s">
        <v>1088</v>
      </c>
      <c r="E489" s="135" t="s">
        <v>396</v>
      </c>
      <c r="F489" s="138" t="s">
        <v>217</v>
      </c>
      <c r="G489" s="139" t="s">
        <v>369</v>
      </c>
      <c r="H489" s="140"/>
      <c r="I489" s="141">
        <v>1</v>
      </c>
      <c r="J489" s="142">
        <v>44597</v>
      </c>
      <c r="K489" s="142">
        <v>44597</v>
      </c>
      <c r="L489" s="182" t="s">
        <v>617</v>
      </c>
      <c r="M489" s="167" t="s">
        <v>35</v>
      </c>
      <c r="N489" s="206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</row>
    <row r="490" spans="1:28" s="134" customFormat="1" ht="15" customHeight="1" outlineLevel="1" x14ac:dyDescent="0.2">
      <c r="A490" s="122">
        <v>23</v>
      </c>
      <c r="B490" s="135">
        <v>55126</v>
      </c>
      <c r="C490" s="136">
        <v>41906</v>
      </c>
      <c r="D490" s="137" t="s">
        <v>1089</v>
      </c>
      <c r="E490" s="135" t="s">
        <v>396</v>
      </c>
      <c r="F490" s="138" t="s">
        <v>682</v>
      </c>
      <c r="G490" s="139" t="s">
        <v>369</v>
      </c>
      <c r="H490" s="140"/>
      <c r="I490" s="141">
        <v>1</v>
      </c>
      <c r="J490" s="142">
        <v>55058</v>
      </c>
      <c r="K490" s="142">
        <v>55058</v>
      </c>
      <c r="L490" s="182" t="s">
        <v>617</v>
      </c>
      <c r="M490" s="167" t="s">
        <v>35</v>
      </c>
      <c r="N490" s="206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</row>
    <row r="491" spans="1:28" s="134" customFormat="1" ht="15" customHeight="1" outlineLevel="1" x14ac:dyDescent="0.2">
      <c r="A491" s="122">
        <v>24</v>
      </c>
      <c r="B491" s="135">
        <v>52840</v>
      </c>
      <c r="C491" s="136">
        <v>41897</v>
      </c>
      <c r="D491" s="137" t="s">
        <v>1090</v>
      </c>
      <c r="E491" s="135" t="s">
        <v>1075</v>
      </c>
      <c r="F491" s="138" t="s">
        <v>173</v>
      </c>
      <c r="G491" s="139" t="s">
        <v>387</v>
      </c>
      <c r="H491" s="140"/>
      <c r="I491" s="141">
        <v>2</v>
      </c>
      <c r="J491" s="142">
        <v>18764</v>
      </c>
      <c r="K491" s="142">
        <v>37528</v>
      </c>
      <c r="L491" s="182" t="s">
        <v>617</v>
      </c>
      <c r="M491" s="167" t="s">
        <v>35</v>
      </c>
      <c r="N491" s="206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</row>
    <row r="492" spans="1:28" s="134" customFormat="1" ht="15" customHeight="1" outlineLevel="1" x14ac:dyDescent="0.2">
      <c r="A492" s="122">
        <v>25</v>
      </c>
      <c r="B492" s="135">
        <v>53936</v>
      </c>
      <c r="C492" s="136">
        <v>41904</v>
      </c>
      <c r="D492" s="137" t="s">
        <v>1091</v>
      </c>
      <c r="E492" s="135" t="s">
        <v>1068</v>
      </c>
      <c r="F492" s="138" t="s">
        <v>179</v>
      </c>
      <c r="G492" s="139" t="s">
        <v>371</v>
      </c>
      <c r="H492" s="140"/>
      <c r="I492" s="141">
        <v>1</v>
      </c>
      <c r="J492" s="142">
        <v>18764</v>
      </c>
      <c r="K492" s="142">
        <v>18764</v>
      </c>
      <c r="L492" s="182" t="s">
        <v>617</v>
      </c>
      <c r="M492" s="167" t="s">
        <v>35</v>
      </c>
      <c r="N492" s="206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</row>
    <row r="493" spans="1:28" s="134" customFormat="1" ht="15" customHeight="1" outlineLevel="1" x14ac:dyDescent="0.2">
      <c r="A493" s="122">
        <v>26</v>
      </c>
      <c r="B493" s="135">
        <v>48861</v>
      </c>
      <c r="C493" s="136">
        <v>41883</v>
      </c>
      <c r="D493" s="137" t="s">
        <v>1092</v>
      </c>
      <c r="E493" s="135" t="s">
        <v>396</v>
      </c>
      <c r="F493" s="138" t="s">
        <v>537</v>
      </c>
      <c r="G493" s="139" t="s">
        <v>404</v>
      </c>
      <c r="H493" s="140"/>
      <c r="I493" s="141">
        <v>1</v>
      </c>
      <c r="J493" s="142">
        <v>30429</v>
      </c>
      <c r="K493" s="142">
        <v>30429</v>
      </c>
      <c r="L493" s="182" t="s">
        <v>617</v>
      </c>
      <c r="M493" s="167" t="s">
        <v>35</v>
      </c>
      <c r="N493" s="206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</row>
    <row r="494" spans="1:28" s="134" customFormat="1" ht="15" customHeight="1" outlineLevel="1" x14ac:dyDescent="0.2">
      <c r="A494" s="122">
        <v>27</v>
      </c>
      <c r="B494" s="135">
        <v>54494</v>
      </c>
      <c r="C494" s="136">
        <v>41907</v>
      </c>
      <c r="D494" s="137" t="s">
        <v>1093</v>
      </c>
      <c r="E494" s="135" t="s">
        <v>1068</v>
      </c>
      <c r="F494" s="138" t="s">
        <v>195</v>
      </c>
      <c r="G494" s="139" t="s">
        <v>371</v>
      </c>
      <c r="H494" s="140"/>
      <c r="I494" s="141">
        <v>1</v>
      </c>
      <c r="J494" s="142">
        <v>36514.799999999996</v>
      </c>
      <c r="K494" s="142">
        <v>36514.799999999996</v>
      </c>
      <c r="L494" s="182" t="s">
        <v>617</v>
      </c>
      <c r="M494" s="167" t="s">
        <v>35</v>
      </c>
      <c r="N494" s="206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</row>
    <row r="495" spans="1:28" s="134" customFormat="1" ht="15" customHeight="1" outlineLevel="1" x14ac:dyDescent="0.2">
      <c r="A495" s="122">
        <v>28</v>
      </c>
      <c r="B495" s="135">
        <v>54906</v>
      </c>
      <c r="C495" s="136">
        <v>41906</v>
      </c>
      <c r="D495" s="137" t="s">
        <v>1094</v>
      </c>
      <c r="E495" s="135" t="s">
        <v>396</v>
      </c>
      <c r="F495" s="138" t="s">
        <v>682</v>
      </c>
      <c r="G495" s="139" t="s">
        <v>371</v>
      </c>
      <c r="H495" s="140"/>
      <c r="I495" s="141">
        <v>1</v>
      </c>
      <c r="J495" s="142">
        <v>55058</v>
      </c>
      <c r="K495" s="142">
        <v>55058</v>
      </c>
      <c r="L495" s="182" t="s">
        <v>617</v>
      </c>
      <c r="M495" s="167" t="s">
        <v>35</v>
      </c>
      <c r="N495" s="206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</row>
    <row r="496" spans="1:28" s="134" customFormat="1" ht="15" customHeight="1" outlineLevel="1" x14ac:dyDescent="0.2">
      <c r="A496" s="122">
        <v>29</v>
      </c>
      <c r="B496" s="135">
        <v>50099</v>
      </c>
      <c r="C496" s="136">
        <v>41887</v>
      </c>
      <c r="D496" s="137" t="s">
        <v>1095</v>
      </c>
      <c r="E496" s="135" t="s">
        <v>396</v>
      </c>
      <c r="F496" s="138" t="s">
        <v>116</v>
      </c>
      <c r="G496" s="139" t="s">
        <v>1096</v>
      </c>
      <c r="H496" s="140"/>
      <c r="I496" s="141">
        <v>2</v>
      </c>
      <c r="J496" s="142">
        <v>5274</v>
      </c>
      <c r="K496" s="142">
        <v>10548</v>
      </c>
      <c r="L496" s="182" t="s">
        <v>617</v>
      </c>
      <c r="M496" s="167" t="s">
        <v>35</v>
      </c>
      <c r="N496" s="206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</row>
    <row r="497" spans="1:28" s="134" customFormat="1" ht="15" customHeight="1" outlineLevel="1" x14ac:dyDescent="0.2">
      <c r="A497" s="122">
        <v>30</v>
      </c>
      <c r="B497" s="135">
        <v>52780</v>
      </c>
      <c r="C497" s="136">
        <v>41897</v>
      </c>
      <c r="D497" s="137" t="s">
        <v>1097</v>
      </c>
      <c r="E497" s="135" t="s">
        <v>456</v>
      </c>
      <c r="F497" s="138" t="s">
        <v>116</v>
      </c>
      <c r="G497" s="139" t="s">
        <v>1098</v>
      </c>
      <c r="H497" s="140"/>
      <c r="I497" s="141">
        <v>2</v>
      </c>
      <c r="J497" s="142">
        <v>5274</v>
      </c>
      <c r="K497" s="142">
        <v>10548</v>
      </c>
      <c r="L497" s="182" t="s">
        <v>617</v>
      </c>
      <c r="M497" s="167" t="s">
        <v>35</v>
      </c>
      <c r="N497" s="206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</row>
    <row r="498" spans="1:28" s="134" customFormat="1" ht="15" customHeight="1" outlineLevel="1" x14ac:dyDescent="0.2">
      <c r="A498" s="122">
        <v>31</v>
      </c>
      <c r="B498" s="135">
        <v>50094</v>
      </c>
      <c r="C498" s="136">
        <v>41887</v>
      </c>
      <c r="D498" s="137" t="s">
        <v>1099</v>
      </c>
      <c r="E498" s="135" t="s">
        <v>396</v>
      </c>
      <c r="F498" s="138" t="s">
        <v>116</v>
      </c>
      <c r="G498" s="139" t="s">
        <v>445</v>
      </c>
      <c r="H498" s="140"/>
      <c r="I498" s="141">
        <v>1</v>
      </c>
      <c r="J498" s="142">
        <v>5274</v>
      </c>
      <c r="K498" s="142">
        <v>5274</v>
      </c>
      <c r="L498" s="182" t="s">
        <v>617</v>
      </c>
      <c r="M498" s="167" t="s">
        <v>35</v>
      </c>
      <c r="N498" s="206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</row>
    <row r="499" spans="1:28" s="134" customFormat="1" ht="15" customHeight="1" outlineLevel="1" x14ac:dyDescent="0.2">
      <c r="A499" s="122">
        <v>32</v>
      </c>
      <c r="B499" s="135">
        <v>56069</v>
      </c>
      <c r="C499" s="175">
        <v>41912</v>
      </c>
      <c r="D499" s="137" t="s">
        <v>1100</v>
      </c>
      <c r="E499" s="135" t="s">
        <v>396</v>
      </c>
      <c r="F499" s="138" t="s">
        <v>682</v>
      </c>
      <c r="G499" s="139" t="s">
        <v>371</v>
      </c>
      <c r="H499" s="140"/>
      <c r="I499" s="141">
        <v>1</v>
      </c>
      <c r="J499" s="142">
        <v>55058</v>
      </c>
      <c r="K499" s="142">
        <v>55058</v>
      </c>
      <c r="L499" s="182" t="s">
        <v>617</v>
      </c>
      <c r="M499" s="167" t="s">
        <v>35</v>
      </c>
      <c r="N499" s="206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</row>
    <row r="500" spans="1:28" s="134" customFormat="1" ht="15" customHeight="1" outlineLevel="1" x14ac:dyDescent="0.2">
      <c r="A500" s="122">
        <v>33</v>
      </c>
      <c r="B500" s="135">
        <v>53713</v>
      </c>
      <c r="C500" s="136">
        <v>41898</v>
      </c>
      <c r="D500" s="137" t="s">
        <v>1101</v>
      </c>
      <c r="E500" s="135" t="s">
        <v>396</v>
      </c>
      <c r="F500" s="138" t="s">
        <v>537</v>
      </c>
      <c r="G500" s="139" t="s">
        <v>419</v>
      </c>
      <c r="H500" s="140"/>
      <c r="I500" s="141">
        <v>1</v>
      </c>
      <c r="J500" s="142">
        <v>30429</v>
      </c>
      <c r="K500" s="142">
        <v>30429</v>
      </c>
      <c r="L500" s="182" t="s">
        <v>617</v>
      </c>
      <c r="M500" s="167" t="s">
        <v>35</v>
      </c>
      <c r="N500" s="206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</row>
    <row r="501" spans="1:28" s="134" customFormat="1" ht="15" customHeight="1" outlineLevel="1" x14ac:dyDescent="0.2">
      <c r="A501" s="122">
        <v>34</v>
      </c>
      <c r="B501" s="135">
        <v>49362</v>
      </c>
      <c r="C501" s="136">
        <v>41884</v>
      </c>
      <c r="D501" s="137" t="s">
        <v>1102</v>
      </c>
      <c r="E501" s="135" t="s">
        <v>396</v>
      </c>
      <c r="F501" s="138" t="s">
        <v>217</v>
      </c>
      <c r="G501" s="139" t="s">
        <v>371</v>
      </c>
      <c r="H501" s="140"/>
      <c r="I501" s="141">
        <v>1</v>
      </c>
      <c r="J501" s="142">
        <v>44597</v>
      </c>
      <c r="K501" s="142">
        <v>44597</v>
      </c>
      <c r="L501" s="182" t="s">
        <v>617</v>
      </c>
      <c r="M501" s="167" t="s">
        <v>35</v>
      </c>
      <c r="N501" s="206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</row>
    <row r="502" spans="1:28" s="134" customFormat="1" ht="15" customHeight="1" outlineLevel="1" x14ac:dyDescent="0.2">
      <c r="A502" s="122">
        <v>1</v>
      </c>
      <c r="B502" s="135">
        <v>53208</v>
      </c>
      <c r="C502" s="136">
        <v>41926</v>
      </c>
      <c r="D502" s="137" t="s">
        <v>1103</v>
      </c>
      <c r="E502" s="135" t="s">
        <v>396</v>
      </c>
      <c r="F502" s="138" t="s">
        <v>217</v>
      </c>
      <c r="G502" s="139" t="s">
        <v>522</v>
      </c>
      <c r="H502" s="140"/>
      <c r="I502" s="141">
        <v>1</v>
      </c>
      <c r="J502" s="142">
        <v>44597</v>
      </c>
      <c r="K502" s="142">
        <v>44597</v>
      </c>
      <c r="L502" s="613" t="s">
        <v>620</v>
      </c>
      <c r="M502" s="603" t="s">
        <v>35</v>
      </c>
      <c r="N502" s="206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</row>
    <row r="503" spans="1:28" s="134" customFormat="1" ht="15" customHeight="1" outlineLevel="1" x14ac:dyDescent="0.2">
      <c r="A503" s="122">
        <v>2</v>
      </c>
      <c r="B503" s="135">
        <v>56944</v>
      </c>
      <c r="C503" s="136">
        <v>41934</v>
      </c>
      <c r="D503" s="137" t="s">
        <v>1058</v>
      </c>
      <c r="E503" s="135" t="s">
        <v>396</v>
      </c>
      <c r="F503" s="138" t="s">
        <v>682</v>
      </c>
      <c r="G503" s="139" t="s">
        <v>387</v>
      </c>
      <c r="H503" s="140"/>
      <c r="I503" s="141">
        <v>2</v>
      </c>
      <c r="J503" s="142">
        <v>55058</v>
      </c>
      <c r="K503" s="142">
        <v>110116</v>
      </c>
      <c r="L503" s="614"/>
      <c r="M503" s="604"/>
      <c r="N503" s="206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</row>
    <row r="504" spans="1:28" s="134" customFormat="1" ht="15" customHeight="1" outlineLevel="1" x14ac:dyDescent="0.2">
      <c r="A504" s="122">
        <v>3</v>
      </c>
      <c r="B504" s="135">
        <v>59281</v>
      </c>
      <c r="C504" s="136">
        <v>41941</v>
      </c>
      <c r="D504" s="137" t="s">
        <v>1104</v>
      </c>
      <c r="E504" s="135" t="s">
        <v>396</v>
      </c>
      <c r="F504" s="138" t="s">
        <v>217</v>
      </c>
      <c r="G504" s="139" t="s">
        <v>371</v>
      </c>
      <c r="H504" s="140"/>
      <c r="I504" s="141">
        <v>1</v>
      </c>
      <c r="J504" s="142">
        <v>44597</v>
      </c>
      <c r="K504" s="142">
        <v>44597</v>
      </c>
      <c r="L504" s="614"/>
      <c r="M504" s="604"/>
      <c r="N504" s="206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</row>
    <row r="505" spans="1:28" s="134" customFormat="1" ht="15" customHeight="1" outlineLevel="1" x14ac:dyDescent="0.2">
      <c r="A505" s="122">
        <v>4</v>
      </c>
      <c r="B505" s="135">
        <v>57367</v>
      </c>
      <c r="C505" s="136">
        <v>41935</v>
      </c>
      <c r="D505" s="137" t="s">
        <v>1105</v>
      </c>
      <c r="E505" s="135" t="s">
        <v>396</v>
      </c>
      <c r="F505" s="138" t="s">
        <v>217</v>
      </c>
      <c r="G505" s="139" t="s">
        <v>369</v>
      </c>
      <c r="H505" s="140"/>
      <c r="I505" s="141">
        <v>1</v>
      </c>
      <c r="J505" s="142">
        <v>44597</v>
      </c>
      <c r="K505" s="142">
        <v>44597</v>
      </c>
      <c r="L505" s="614"/>
      <c r="M505" s="604"/>
      <c r="N505" s="206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</row>
    <row r="506" spans="1:28" s="134" customFormat="1" ht="15" customHeight="1" outlineLevel="1" x14ac:dyDescent="0.2">
      <c r="A506" s="122">
        <v>5</v>
      </c>
      <c r="B506" s="135">
        <v>54261</v>
      </c>
      <c r="C506" s="136">
        <v>41927</v>
      </c>
      <c r="D506" s="137" t="s">
        <v>1081</v>
      </c>
      <c r="E506" s="135" t="s">
        <v>396</v>
      </c>
      <c r="F506" s="138" t="s">
        <v>210</v>
      </c>
      <c r="G506" s="139" t="s">
        <v>417</v>
      </c>
      <c r="H506" s="140"/>
      <c r="I506" s="141">
        <v>1</v>
      </c>
      <c r="J506" s="142">
        <v>14099</v>
      </c>
      <c r="K506" s="142">
        <v>14099</v>
      </c>
      <c r="L506" s="614"/>
      <c r="M506" s="604"/>
      <c r="N506" s="206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</row>
    <row r="507" spans="1:28" s="134" customFormat="1" ht="15" customHeight="1" outlineLevel="1" x14ac:dyDescent="0.2">
      <c r="A507" s="122">
        <v>6</v>
      </c>
      <c r="B507" s="135">
        <v>57220</v>
      </c>
      <c r="C507" s="136">
        <v>41934</v>
      </c>
      <c r="D507" s="137" t="s">
        <v>446</v>
      </c>
      <c r="E507" s="135" t="s">
        <v>396</v>
      </c>
      <c r="F507" s="138" t="s">
        <v>115</v>
      </c>
      <c r="G507" s="139" t="s">
        <v>417</v>
      </c>
      <c r="H507" s="140"/>
      <c r="I507" s="141">
        <v>1</v>
      </c>
      <c r="J507" s="142">
        <v>33370</v>
      </c>
      <c r="K507" s="142">
        <v>33370</v>
      </c>
      <c r="L507" s="614"/>
      <c r="M507" s="604"/>
      <c r="N507" s="206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</row>
    <row r="508" spans="1:28" s="134" customFormat="1" ht="15" customHeight="1" outlineLevel="1" x14ac:dyDescent="0.2">
      <c r="A508" s="122">
        <v>7</v>
      </c>
      <c r="B508" s="135">
        <v>53518</v>
      </c>
      <c r="C508" s="136">
        <v>41925</v>
      </c>
      <c r="D508" s="137" t="s">
        <v>1106</v>
      </c>
      <c r="E508" s="135" t="s">
        <v>396</v>
      </c>
      <c r="F508" s="138" t="s">
        <v>537</v>
      </c>
      <c r="G508" s="139" t="s">
        <v>527</v>
      </c>
      <c r="H508" s="140"/>
      <c r="I508" s="141">
        <v>1</v>
      </c>
      <c r="J508" s="142">
        <v>30429</v>
      </c>
      <c r="K508" s="142">
        <v>30429</v>
      </c>
      <c r="L508" s="614"/>
      <c r="M508" s="604"/>
      <c r="N508" s="206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</row>
    <row r="509" spans="1:28" s="134" customFormat="1" ht="15" customHeight="1" outlineLevel="1" x14ac:dyDescent="0.2">
      <c r="A509" s="122">
        <v>8</v>
      </c>
      <c r="B509" s="135">
        <v>57658</v>
      </c>
      <c r="C509" s="136">
        <v>41935</v>
      </c>
      <c r="D509" s="137" t="s">
        <v>1061</v>
      </c>
      <c r="E509" s="135" t="s">
        <v>396</v>
      </c>
      <c r="F509" s="138" t="s">
        <v>232</v>
      </c>
      <c r="G509" s="139" t="s">
        <v>371</v>
      </c>
      <c r="H509" s="140"/>
      <c r="I509" s="141">
        <v>1</v>
      </c>
      <c r="J509" s="142">
        <v>17244</v>
      </c>
      <c r="K509" s="142">
        <v>17244</v>
      </c>
      <c r="L509" s="614"/>
      <c r="M509" s="604"/>
      <c r="N509" s="206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</row>
    <row r="510" spans="1:28" s="134" customFormat="1" ht="15" customHeight="1" outlineLevel="1" x14ac:dyDescent="0.2">
      <c r="A510" s="122">
        <v>9</v>
      </c>
      <c r="B510" s="135">
        <v>53650</v>
      </c>
      <c r="C510" s="136">
        <v>41925</v>
      </c>
      <c r="D510" s="137" t="s">
        <v>1082</v>
      </c>
      <c r="E510" s="135" t="s">
        <v>396</v>
      </c>
      <c r="F510" s="138" t="s">
        <v>115</v>
      </c>
      <c r="G510" s="139" t="s">
        <v>419</v>
      </c>
      <c r="H510" s="140"/>
      <c r="I510" s="141">
        <v>1</v>
      </c>
      <c r="J510" s="142">
        <v>33370</v>
      </c>
      <c r="K510" s="142">
        <v>33370</v>
      </c>
      <c r="L510" s="614"/>
      <c r="M510" s="604"/>
      <c r="N510" s="206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</row>
    <row r="511" spans="1:28" s="134" customFormat="1" ht="15" customHeight="1" outlineLevel="1" x14ac:dyDescent="0.2">
      <c r="A511" s="122">
        <v>10</v>
      </c>
      <c r="B511" s="135">
        <v>53042</v>
      </c>
      <c r="C511" s="136">
        <v>41925</v>
      </c>
      <c r="D511" s="137" t="s">
        <v>1107</v>
      </c>
      <c r="E511" s="135" t="s">
        <v>396</v>
      </c>
      <c r="F511" s="138" t="s">
        <v>217</v>
      </c>
      <c r="G511" s="139" t="s">
        <v>387</v>
      </c>
      <c r="H511" s="140"/>
      <c r="I511" s="141">
        <v>2</v>
      </c>
      <c r="J511" s="142">
        <v>44597</v>
      </c>
      <c r="K511" s="142">
        <v>89194</v>
      </c>
      <c r="L511" s="614"/>
      <c r="M511" s="604"/>
      <c r="N511" s="206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</row>
    <row r="512" spans="1:28" s="134" customFormat="1" ht="15" customHeight="1" outlineLevel="1" x14ac:dyDescent="0.2">
      <c r="A512" s="122">
        <v>11</v>
      </c>
      <c r="B512" s="135">
        <v>58668</v>
      </c>
      <c r="C512" s="136">
        <v>41940</v>
      </c>
      <c r="D512" s="137" t="s">
        <v>1108</v>
      </c>
      <c r="E512" s="135" t="s">
        <v>396</v>
      </c>
      <c r="F512" s="138" t="s">
        <v>116</v>
      </c>
      <c r="G512" s="139" t="s">
        <v>1109</v>
      </c>
      <c r="H512" s="140"/>
      <c r="I512" s="141">
        <v>4</v>
      </c>
      <c r="J512" s="142">
        <v>5274</v>
      </c>
      <c r="K512" s="142">
        <v>21096</v>
      </c>
      <c r="L512" s="614"/>
      <c r="M512" s="604"/>
      <c r="N512" s="206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</row>
    <row r="513" spans="1:28" s="134" customFormat="1" ht="15" customHeight="1" outlineLevel="1" x14ac:dyDescent="0.2">
      <c r="A513" s="122">
        <v>12</v>
      </c>
      <c r="B513" s="135">
        <v>52883</v>
      </c>
      <c r="C513" s="136">
        <v>41926</v>
      </c>
      <c r="D513" s="137" t="s">
        <v>1110</v>
      </c>
      <c r="E513" s="135" t="s">
        <v>396</v>
      </c>
      <c r="F513" s="138" t="s">
        <v>116</v>
      </c>
      <c r="G513" s="139" t="s">
        <v>1111</v>
      </c>
      <c r="H513" s="140"/>
      <c r="I513" s="141">
        <v>1</v>
      </c>
      <c r="J513" s="142">
        <v>5274</v>
      </c>
      <c r="K513" s="142">
        <v>5274</v>
      </c>
      <c r="L513" s="614"/>
      <c r="M513" s="604"/>
      <c r="N513" s="206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</row>
    <row r="514" spans="1:28" s="134" customFormat="1" ht="15" customHeight="1" outlineLevel="1" x14ac:dyDescent="0.2">
      <c r="A514" s="122">
        <v>13</v>
      </c>
      <c r="B514" s="135">
        <v>57963</v>
      </c>
      <c r="C514" s="136">
        <v>41917</v>
      </c>
      <c r="D514" s="137" t="s">
        <v>443</v>
      </c>
      <c r="E514" s="135" t="s">
        <v>396</v>
      </c>
      <c r="F514" s="138" t="s">
        <v>217</v>
      </c>
      <c r="G514" s="139" t="s">
        <v>371</v>
      </c>
      <c r="H514" s="140"/>
      <c r="I514" s="141">
        <v>1</v>
      </c>
      <c r="J514" s="142">
        <v>44597</v>
      </c>
      <c r="K514" s="142">
        <v>44597</v>
      </c>
      <c r="L514" s="614"/>
      <c r="M514" s="604"/>
      <c r="N514" s="206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</row>
    <row r="515" spans="1:28" s="134" customFormat="1" ht="15" customHeight="1" outlineLevel="1" x14ac:dyDescent="0.2">
      <c r="A515" s="122">
        <v>14</v>
      </c>
      <c r="B515" s="135">
        <v>57230</v>
      </c>
      <c r="C515" s="136">
        <v>41934</v>
      </c>
      <c r="D515" s="137" t="s">
        <v>452</v>
      </c>
      <c r="E515" s="135" t="s">
        <v>396</v>
      </c>
      <c r="F515" s="138" t="s">
        <v>115</v>
      </c>
      <c r="G515" s="139" t="s">
        <v>445</v>
      </c>
      <c r="H515" s="140"/>
      <c r="I515" s="141">
        <v>1</v>
      </c>
      <c r="J515" s="142">
        <v>33370</v>
      </c>
      <c r="K515" s="142">
        <v>33370</v>
      </c>
      <c r="L515" s="614"/>
      <c r="M515" s="604"/>
      <c r="N515" s="206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</row>
    <row r="516" spans="1:28" s="134" customFormat="1" ht="15" customHeight="1" outlineLevel="1" x14ac:dyDescent="0.2">
      <c r="A516" s="122">
        <v>15</v>
      </c>
      <c r="B516" s="135">
        <v>56480</v>
      </c>
      <c r="C516" s="136">
        <v>41932</v>
      </c>
      <c r="D516" s="137" t="s">
        <v>1112</v>
      </c>
      <c r="E516" s="135" t="s">
        <v>396</v>
      </c>
      <c r="F516" s="138" t="s">
        <v>577</v>
      </c>
      <c r="G516" s="139" t="s">
        <v>562</v>
      </c>
      <c r="H516" s="140"/>
      <c r="I516" s="141">
        <v>1</v>
      </c>
      <c r="J516" s="142">
        <v>49701</v>
      </c>
      <c r="K516" s="142">
        <v>49701</v>
      </c>
      <c r="L516" s="614"/>
      <c r="M516" s="604"/>
      <c r="N516" s="206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</row>
    <row r="517" spans="1:28" s="134" customFormat="1" ht="15" customHeight="1" outlineLevel="1" x14ac:dyDescent="0.2">
      <c r="A517" s="122">
        <v>16</v>
      </c>
      <c r="B517" s="135">
        <v>57186</v>
      </c>
      <c r="C517" s="136">
        <v>41934</v>
      </c>
      <c r="D517" s="137" t="s">
        <v>1113</v>
      </c>
      <c r="E517" s="135" t="s">
        <v>396</v>
      </c>
      <c r="F517" s="138" t="s">
        <v>537</v>
      </c>
      <c r="G517" s="139" t="s">
        <v>472</v>
      </c>
      <c r="H517" s="140"/>
      <c r="I517" s="141">
        <v>1</v>
      </c>
      <c r="J517" s="142">
        <v>30429</v>
      </c>
      <c r="K517" s="142">
        <v>30429</v>
      </c>
      <c r="L517" s="614"/>
      <c r="M517" s="604"/>
      <c r="N517" s="206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</row>
    <row r="518" spans="1:28" s="134" customFormat="1" ht="15" customHeight="1" outlineLevel="1" x14ac:dyDescent="0.2">
      <c r="A518" s="122">
        <v>17</v>
      </c>
      <c r="B518" s="135">
        <v>58395</v>
      </c>
      <c r="C518" s="136">
        <v>41939</v>
      </c>
      <c r="D518" s="137" t="s">
        <v>1114</v>
      </c>
      <c r="E518" s="135" t="s">
        <v>396</v>
      </c>
      <c r="F518" s="138" t="s">
        <v>682</v>
      </c>
      <c r="G518" s="139" t="s">
        <v>369</v>
      </c>
      <c r="H518" s="140"/>
      <c r="I518" s="141">
        <v>1</v>
      </c>
      <c r="J518" s="142">
        <v>55058</v>
      </c>
      <c r="K518" s="142">
        <v>55058</v>
      </c>
      <c r="L518" s="614"/>
      <c r="M518" s="604"/>
      <c r="N518" s="206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</row>
    <row r="519" spans="1:28" s="134" customFormat="1" ht="15" customHeight="1" outlineLevel="1" x14ac:dyDescent="0.2">
      <c r="A519" s="122">
        <v>18</v>
      </c>
      <c r="B519" s="135">
        <v>58395</v>
      </c>
      <c r="C519" s="136">
        <v>41939</v>
      </c>
      <c r="D519" s="137" t="s">
        <v>1114</v>
      </c>
      <c r="E519" s="135" t="s">
        <v>396</v>
      </c>
      <c r="F519" s="138" t="s">
        <v>217</v>
      </c>
      <c r="G519" s="139" t="s">
        <v>371</v>
      </c>
      <c r="H519" s="140"/>
      <c r="I519" s="141">
        <v>1</v>
      </c>
      <c r="J519" s="142">
        <v>44597</v>
      </c>
      <c r="K519" s="142">
        <v>44597</v>
      </c>
      <c r="L519" s="614"/>
      <c r="M519" s="604"/>
      <c r="N519" s="206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</row>
    <row r="520" spans="1:28" s="134" customFormat="1" ht="15" customHeight="1" outlineLevel="1" x14ac:dyDescent="0.2">
      <c r="A520" s="122">
        <v>19</v>
      </c>
      <c r="B520" s="135">
        <v>58251</v>
      </c>
      <c r="C520" s="136">
        <v>41918</v>
      </c>
      <c r="D520" s="137" t="s">
        <v>1065</v>
      </c>
      <c r="E520" s="135" t="s">
        <v>396</v>
      </c>
      <c r="F520" s="138" t="s">
        <v>192</v>
      </c>
      <c r="G520" s="139" t="s">
        <v>1066</v>
      </c>
      <c r="H520" s="140"/>
      <c r="I520" s="141">
        <v>3</v>
      </c>
      <c r="J520" s="142">
        <v>57960</v>
      </c>
      <c r="K520" s="142">
        <v>173880</v>
      </c>
      <c r="L520" s="614"/>
      <c r="M520" s="604"/>
      <c r="N520" s="206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</row>
    <row r="521" spans="1:28" s="134" customFormat="1" ht="15" customHeight="1" outlineLevel="1" x14ac:dyDescent="0.2">
      <c r="A521" s="122">
        <v>21</v>
      </c>
      <c r="B521" s="135">
        <v>58234</v>
      </c>
      <c r="C521" s="136">
        <v>41918</v>
      </c>
      <c r="D521" s="137" t="s">
        <v>1115</v>
      </c>
      <c r="E521" s="135" t="s">
        <v>396</v>
      </c>
      <c r="F521" s="138" t="s">
        <v>537</v>
      </c>
      <c r="G521" s="139" t="s">
        <v>1098</v>
      </c>
      <c r="H521" s="140"/>
      <c r="I521" s="141">
        <v>2</v>
      </c>
      <c r="J521" s="142">
        <v>30429</v>
      </c>
      <c r="K521" s="142">
        <v>60858</v>
      </c>
      <c r="L521" s="614"/>
      <c r="M521" s="604"/>
      <c r="N521" s="206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</row>
    <row r="522" spans="1:28" s="134" customFormat="1" ht="15" customHeight="1" outlineLevel="1" x14ac:dyDescent="0.2">
      <c r="A522" s="122">
        <v>22</v>
      </c>
      <c r="B522" s="135">
        <v>53966</v>
      </c>
      <c r="C522" s="136">
        <v>41926</v>
      </c>
      <c r="D522" s="137" t="s">
        <v>1116</v>
      </c>
      <c r="E522" s="135" t="s">
        <v>396</v>
      </c>
      <c r="F522" s="138" t="s">
        <v>210</v>
      </c>
      <c r="G522" s="139" t="s">
        <v>392</v>
      </c>
      <c r="H522" s="140"/>
      <c r="I522" s="141">
        <v>1</v>
      </c>
      <c r="J522" s="142">
        <v>14099</v>
      </c>
      <c r="K522" s="142">
        <v>14099</v>
      </c>
      <c r="L522" s="614"/>
      <c r="M522" s="604"/>
      <c r="N522" s="206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</row>
    <row r="523" spans="1:28" s="134" customFormat="1" ht="15" customHeight="1" outlineLevel="1" x14ac:dyDescent="0.2">
      <c r="A523" s="122">
        <v>23</v>
      </c>
      <c r="B523" s="135">
        <v>60216</v>
      </c>
      <c r="C523" s="175">
        <v>41942</v>
      </c>
      <c r="D523" s="137" t="s">
        <v>453</v>
      </c>
      <c r="E523" s="135" t="s">
        <v>396</v>
      </c>
      <c r="F523" s="138" t="s">
        <v>116</v>
      </c>
      <c r="G523" s="139" t="s">
        <v>417</v>
      </c>
      <c r="H523" s="140"/>
      <c r="I523" s="141">
        <v>1</v>
      </c>
      <c r="J523" s="142">
        <v>5274</v>
      </c>
      <c r="K523" s="142">
        <v>5274</v>
      </c>
      <c r="L523" s="614"/>
      <c r="M523" s="604"/>
      <c r="N523" s="206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</row>
    <row r="524" spans="1:28" s="134" customFormat="1" ht="15" customHeight="1" outlineLevel="1" x14ac:dyDescent="0.2">
      <c r="A524" s="122">
        <v>24</v>
      </c>
      <c r="B524" s="135">
        <v>58163</v>
      </c>
      <c r="C524" s="136">
        <v>41939</v>
      </c>
      <c r="D524" s="137" t="s">
        <v>1117</v>
      </c>
      <c r="E524" s="135" t="s">
        <v>396</v>
      </c>
      <c r="F524" s="138" t="s">
        <v>116</v>
      </c>
      <c r="G524" s="139" t="s">
        <v>445</v>
      </c>
      <c r="H524" s="140"/>
      <c r="I524" s="141">
        <v>1</v>
      </c>
      <c r="J524" s="142">
        <v>5274</v>
      </c>
      <c r="K524" s="142">
        <v>5274</v>
      </c>
      <c r="L524" s="614"/>
      <c r="M524" s="604"/>
      <c r="N524" s="206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</row>
    <row r="525" spans="1:28" s="134" customFormat="1" ht="15" customHeight="1" outlineLevel="1" x14ac:dyDescent="0.2">
      <c r="A525" s="122">
        <v>25</v>
      </c>
      <c r="B525" s="135">
        <v>54593</v>
      </c>
      <c r="C525" s="136">
        <v>41927</v>
      </c>
      <c r="D525" s="137" t="s">
        <v>1118</v>
      </c>
      <c r="E525" s="135" t="s">
        <v>396</v>
      </c>
      <c r="F525" s="138" t="s">
        <v>537</v>
      </c>
      <c r="G525" s="139" t="s">
        <v>562</v>
      </c>
      <c r="H525" s="140"/>
      <c r="I525" s="141">
        <v>1</v>
      </c>
      <c r="J525" s="142">
        <v>30429</v>
      </c>
      <c r="K525" s="142">
        <v>30429</v>
      </c>
      <c r="L525" s="614"/>
      <c r="M525" s="604"/>
      <c r="N525" s="206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</row>
    <row r="526" spans="1:28" s="134" customFormat="1" ht="15" customHeight="1" outlineLevel="1" x14ac:dyDescent="0.2">
      <c r="A526" s="122">
        <v>26</v>
      </c>
      <c r="B526" s="135">
        <v>57876</v>
      </c>
      <c r="C526" s="136">
        <v>41936</v>
      </c>
      <c r="D526" s="137" t="s">
        <v>1119</v>
      </c>
      <c r="E526" s="135" t="s">
        <v>396</v>
      </c>
      <c r="F526" s="138" t="s">
        <v>217</v>
      </c>
      <c r="G526" s="139" t="s">
        <v>371</v>
      </c>
      <c r="H526" s="140"/>
      <c r="I526" s="141">
        <v>1</v>
      </c>
      <c r="J526" s="142">
        <v>44597</v>
      </c>
      <c r="K526" s="142">
        <v>44597</v>
      </c>
      <c r="L526" s="614"/>
      <c r="M526" s="604"/>
      <c r="N526" s="206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</row>
    <row r="527" spans="1:28" s="134" customFormat="1" ht="15" customHeight="1" outlineLevel="1" x14ac:dyDescent="0.2">
      <c r="A527" s="122">
        <v>27</v>
      </c>
      <c r="B527" s="135">
        <v>59023</v>
      </c>
      <c r="C527" s="136">
        <v>41940</v>
      </c>
      <c r="D527" s="137" t="s">
        <v>1120</v>
      </c>
      <c r="E527" s="135" t="s">
        <v>396</v>
      </c>
      <c r="F527" s="138" t="s">
        <v>537</v>
      </c>
      <c r="G527" s="139" t="s">
        <v>472</v>
      </c>
      <c r="H527" s="140"/>
      <c r="I527" s="141">
        <v>1</v>
      </c>
      <c r="J527" s="142">
        <v>30429</v>
      </c>
      <c r="K527" s="142">
        <v>30429</v>
      </c>
      <c r="L527" s="614"/>
      <c r="M527" s="604"/>
      <c r="N527" s="206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</row>
    <row r="528" spans="1:28" s="134" customFormat="1" ht="15" customHeight="1" outlineLevel="1" x14ac:dyDescent="0.2">
      <c r="A528" s="122">
        <v>28</v>
      </c>
      <c r="B528" s="135">
        <v>58411</v>
      </c>
      <c r="C528" s="136">
        <v>41939</v>
      </c>
      <c r="D528" s="137" t="s">
        <v>1121</v>
      </c>
      <c r="E528" s="135" t="s">
        <v>456</v>
      </c>
      <c r="F528" s="138" t="s">
        <v>537</v>
      </c>
      <c r="G528" s="139" t="s">
        <v>417</v>
      </c>
      <c r="H528" s="140"/>
      <c r="I528" s="141">
        <v>1</v>
      </c>
      <c r="J528" s="142">
        <v>30429</v>
      </c>
      <c r="K528" s="142">
        <v>30429</v>
      </c>
      <c r="L528" s="614"/>
      <c r="M528" s="604"/>
      <c r="N528" s="206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</row>
    <row r="529" spans="1:28" s="134" customFormat="1" ht="15" customHeight="1" outlineLevel="1" x14ac:dyDescent="0.2">
      <c r="A529" s="122">
        <v>29</v>
      </c>
      <c r="B529" s="135">
        <v>59120</v>
      </c>
      <c r="C529" s="175">
        <v>41942</v>
      </c>
      <c r="D529" s="137" t="s">
        <v>1122</v>
      </c>
      <c r="E529" s="135" t="s">
        <v>1068</v>
      </c>
      <c r="F529" s="138" t="s">
        <v>195</v>
      </c>
      <c r="G529" s="139" t="s">
        <v>371</v>
      </c>
      <c r="H529" s="140"/>
      <c r="I529" s="141">
        <v>1</v>
      </c>
      <c r="J529" s="142">
        <v>36514.799999999996</v>
      </c>
      <c r="K529" s="142">
        <v>36514.799999999996</v>
      </c>
      <c r="L529" s="614"/>
      <c r="M529" s="604"/>
      <c r="N529" s="206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</row>
    <row r="530" spans="1:28" s="134" customFormat="1" ht="15" customHeight="1" outlineLevel="1" x14ac:dyDescent="0.2">
      <c r="A530" s="122">
        <v>30</v>
      </c>
      <c r="B530" s="135">
        <v>53502</v>
      </c>
      <c r="C530" s="136">
        <v>41925</v>
      </c>
      <c r="D530" s="137" t="s">
        <v>1123</v>
      </c>
      <c r="E530" s="135" t="s">
        <v>396</v>
      </c>
      <c r="F530" s="138" t="s">
        <v>210</v>
      </c>
      <c r="G530" s="139" t="s">
        <v>472</v>
      </c>
      <c r="H530" s="140"/>
      <c r="I530" s="141">
        <v>1</v>
      </c>
      <c r="J530" s="142">
        <v>14099</v>
      </c>
      <c r="K530" s="142">
        <v>14099</v>
      </c>
      <c r="L530" s="614"/>
      <c r="M530" s="604"/>
      <c r="N530" s="206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</row>
    <row r="531" spans="1:28" s="134" customFormat="1" ht="15" customHeight="1" outlineLevel="1" x14ac:dyDescent="0.2">
      <c r="A531" s="122">
        <v>31</v>
      </c>
      <c r="B531" s="135">
        <v>55443</v>
      </c>
      <c r="C531" s="136">
        <v>41914</v>
      </c>
      <c r="D531" s="137" t="s">
        <v>1123</v>
      </c>
      <c r="E531" s="135" t="s">
        <v>396</v>
      </c>
      <c r="F531" s="138" t="s">
        <v>116</v>
      </c>
      <c r="G531" s="139" t="s">
        <v>472</v>
      </c>
      <c r="H531" s="140"/>
      <c r="I531" s="141">
        <v>1</v>
      </c>
      <c r="J531" s="142">
        <v>5274</v>
      </c>
      <c r="K531" s="142">
        <v>5274</v>
      </c>
      <c r="L531" s="614"/>
      <c r="M531" s="604"/>
      <c r="N531" s="206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</row>
    <row r="532" spans="1:28" s="134" customFormat="1" ht="15" customHeight="1" outlineLevel="1" x14ac:dyDescent="0.2">
      <c r="A532" s="122">
        <v>32</v>
      </c>
      <c r="B532" s="135">
        <v>56900</v>
      </c>
      <c r="C532" s="136">
        <v>41935</v>
      </c>
      <c r="D532" s="137" t="s">
        <v>1124</v>
      </c>
      <c r="E532" s="135" t="s">
        <v>396</v>
      </c>
      <c r="F532" s="138" t="s">
        <v>116</v>
      </c>
      <c r="G532" s="139" t="s">
        <v>562</v>
      </c>
      <c r="H532" s="140"/>
      <c r="I532" s="141">
        <v>1</v>
      </c>
      <c r="J532" s="142">
        <v>5274</v>
      </c>
      <c r="K532" s="142">
        <v>5274</v>
      </c>
      <c r="L532" s="614"/>
      <c r="M532" s="604"/>
      <c r="N532" s="206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</row>
    <row r="533" spans="1:28" s="134" customFormat="1" ht="15" customHeight="1" outlineLevel="1" x14ac:dyDescent="0.2">
      <c r="A533" s="122">
        <v>33</v>
      </c>
      <c r="B533" s="135">
        <v>54135</v>
      </c>
      <c r="C533" s="136">
        <v>41926</v>
      </c>
      <c r="D533" s="137" t="s">
        <v>1125</v>
      </c>
      <c r="E533" s="135" t="s">
        <v>1068</v>
      </c>
      <c r="F533" s="138" t="s">
        <v>173</v>
      </c>
      <c r="G533" s="139" t="s">
        <v>371</v>
      </c>
      <c r="H533" s="140"/>
      <c r="I533" s="141">
        <v>1</v>
      </c>
      <c r="J533" s="142">
        <v>18764</v>
      </c>
      <c r="K533" s="142">
        <v>18764</v>
      </c>
      <c r="L533" s="614"/>
      <c r="M533" s="604"/>
      <c r="N533" s="206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</row>
    <row r="534" spans="1:28" s="134" customFormat="1" ht="15" customHeight="1" outlineLevel="1" x14ac:dyDescent="0.2">
      <c r="A534" s="122">
        <v>34</v>
      </c>
      <c r="B534" s="135">
        <v>53212</v>
      </c>
      <c r="C534" s="136">
        <v>41922</v>
      </c>
      <c r="D534" s="137" t="s">
        <v>1126</v>
      </c>
      <c r="E534" s="135" t="s">
        <v>396</v>
      </c>
      <c r="F534" s="138" t="s">
        <v>237</v>
      </c>
      <c r="G534" s="139"/>
      <c r="H534" s="140"/>
      <c r="I534" s="141">
        <v>1</v>
      </c>
      <c r="J534" s="142">
        <v>10401</v>
      </c>
      <c r="K534" s="142">
        <v>10401</v>
      </c>
      <c r="L534" s="614"/>
      <c r="M534" s="604"/>
      <c r="N534" s="206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</row>
    <row r="535" spans="1:28" s="134" customFormat="1" ht="15" customHeight="1" outlineLevel="1" x14ac:dyDescent="0.2">
      <c r="A535" s="122">
        <v>35</v>
      </c>
      <c r="B535" s="135">
        <v>59113</v>
      </c>
      <c r="C535" s="136">
        <v>41920</v>
      </c>
      <c r="D535" s="137" t="s">
        <v>1127</v>
      </c>
      <c r="E535" s="135" t="s">
        <v>396</v>
      </c>
      <c r="F535" s="138" t="s">
        <v>210</v>
      </c>
      <c r="G535" s="139" t="s">
        <v>472</v>
      </c>
      <c r="H535" s="140"/>
      <c r="I535" s="141">
        <v>1</v>
      </c>
      <c r="J535" s="142">
        <v>14099</v>
      </c>
      <c r="K535" s="142">
        <v>14099</v>
      </c>
      <c r="L535" s="614"/>
      <c r="M535" s="604"/>
      <c r="N535" s="206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</row>
    <row r="536" spans="1:28" s="134" customFormat="1" ht="15" customHeight="1" outlineLevel="1" x14ac:dyDescent="0.2">
      <c r="A536" s="122">
        <v>36</v>
      </c>
      <c r="B536" s="135">
        <v>59113</v>
      </c>
      <c r="C536" s="136">
        <v>41920</v>
      </c>
      <c r="D536" s="137" t="s">
        <v>1127</v>
      </c>
      <c r="E536" s="135" t="s">
        <v>396</v>
      </c>
      <c r="F536" s="138" t="s">
        <v>116</v>
      </c>
      <c r="G536" s="139" t="s">
        <v>472</v>
      </c>
      <c r="H536" s="140"/>
      <c r="I536" s="141">
        <v>1</v>
      </c>
      <c r="J536" s="142">
        <v>5274</v>
      </c>
      <c r="K536" s="142">
        <v>5274</v>
      </c>
      <c r="L536" s="614"/>
      <c r="M536" s="604"/>
      <c r="N536" s="206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</row>
    <row r="537" spans="1:28" s="134" customFormat="1" ht="15" customHeight="1" outlineLevel="1" x14ac:dyDescent="0.2">
      <c r="A537" s="122">
        <v>37</v>
      </c>
      <c r="B537" s="135">
        <v>58419</v>
      </c>
      <c r="C537" s="136">
        <v>41939</v>
      </c>
      <c r="D537" s="137" t="s">
        <v>1128</v>
      </c>
      <c r="E537" s="135" t="s">
        <v>396</v>
      </c>
      <c r="F537" s="138" t="s">
        <v>682</v>
      </c>
      <c r="G537" s="139" t="s">
        <v>387</v>
      </c>
      <c r="H537" s="140"/>
      <c r="I537" s="141">
        <v>2</v>
      </c>
      <c r="J537" s="142">
        <v>55058</v>
      </c>
      <c r="K537" s="142">
        <v>110116</v>
      </c>
      <c r="L537" s="614"/>
      <c r="M537" s="604"/>
      <c r="N537" s="206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</row>
    <row r="538" spans="1:28" s="134" customFormat="1" ht="15" customHeight="1" outlineLevel="1" x14ac:dyDescent="0.2">
      <c r="A538" s="122">
        <v>38</v>
      </c>
      <c r="B538" s="135">
        <v>56034</v>
      </c>
      <c r="C538" s="136">
        <v>41932</v>
      </c>
      <c r="D538" s="137" t="s">
        <v>1129</v>
      </c>
      <c r="E538" s="135" t="s">
        <v>396</v>
      </c>
      <c r="F538" s="138" t="s">
        <v>210</v>
      </c>
      <c r="G538" s="139" t="s">
        <v>562</v>
      </c>
      <c r="H538" s="140"/>
      <c r="I538" s="141">
        <v>1</v>
      </c>
      <c r="J538" s="142">
        <v>14099</v>
      </c>
      <c r="K538" s="142">
        <v>14099</v>
      </c>
      <c r="L538" s="614"/>
      <c r="M538" s="604"/>
      <c r="N538" s="206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</row>
    <row r="539" spans="1:28" s="134" customFormat="1" ht="15" customHeight="1" outlineLevel="1" x14ac:dyDescent="0.2">
      <c r="A539" s="122">
        <v>39</v>
      </c>
      <c r="B539" s="135">
        <v>58732</v>
      </c>
      <c r="C539" s="136">
        <v>41940</v>
      </c>
      <c r="D539" s="137" t="s">
        <v>1130</v>
      </c>
      <c r="E539" s="135" t="s">
        <v>456</v>
      </c>
      <c r="F539" s="138" t="s">
        <v>537</v>
      </c>
      <c r="G539" s="139" t="s">
        <v>511</v>
      </c>
      <c r="H539" s="140"/>
      <c r="I539" s="141">
        <v>1</v>
      </c>
      <c r="J539" s="142">
        <v>30429</v>
      </c>
      <c r="K539" s="142">
        <v>30429</v>
      </c>
      <c r="L539" s="614"/>
      <c r="M539" s="604"/>
      <c r="N539" s="206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</row>
    <row r="540" spans="1:28" s="134" customFormat="1" ht="15" customHeight="1" outlineLevel="1" x14ac:dyDescent="0.2">
      <c r="A540" s="122">
        <v>40</v>
      </c>
      <c r="B540" s="135">
        <v>58499</v>
      </c>
      <c r="C540" s="136">
        <v>41939</v>
      </c>
      <c r="D540" s="137" t="s">
        <v>1131</v>
      </c>
      <c r="E540" s="135" t="s">
        <v>396</v>
      </c>
      <c r="F540" s="138" t="s">
        <v>116</v>
      </c>
      <c r="G540" s="139" t="s">
        <v>527</v>
      </c>
      <c r="H540" s="140"/>
      <c r="I540" s="141">
        <v>1</v>
      </c>
      <c r="J540" s="142">
        <v>5274</v>
      </c>
      <c r="K540" s="142">
        <v>5274</v>
      </c>
      <c r="L540" s="614"/>
      <c r="M540" s="604"/>
      <c r="N540" s="206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</row>
    <row r="541" spans="1:28" s="134" customFormat="1" ht="15" customHeight="1" outlineLevel="1" x14ac:dyDescent="0.2">
      <c r="A541" s="122">
        <v>41</v>
      </c>
      <c r="B541" s="135">
        <v>58499</v>
      </c>
      <c r="C541" s="136">
        <v>41939</v>
      </c>
      <c r="D541" s="137" t="s">
        <v>1131</v>
      </c>
      <c r="E541" s="135" t="s">
        <v>396</v>
      </c>
      <c r="F541" s="138" t="s">
        <v>1132</v>
      </c>
      <c r="G541" s="139" t="s">
        <v>400</v>
      </c>
      <c r="H541" s="140"/>
      <c r="I541" s="141">
        <v>2</v>
      </c>
      <c r="J541" s="142">
        <v>49701</v>
      </c>
      <c r="K541" s="142">
        <v>99402</v>
      </c>
      <c r="L541" s="614"/>
      <c r="M541" s="604"/>
      <c r="N541" s="206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</row>
    <row r="542" spans="1:28" s="134" customFormat="1" ht="15" customHeight="1" outlineLevel="1" x14ac:dyDescent="0.2">
      <c r="A542" s="122">
        <v>43</v>
      </c>
      <c r="B542" s="135">
        <v>57260</v>
      </c>
      <c r="C542" s="136">
        <v>41936</v>
      </c>
      <c r="D542" s="137" t="s">
        <v>1133</v>
      </c>
      <c r="E542" s="135" t="s">
        <v>456</v>
      </c>
      <c r="F542" s="138" t="s">
        <v>116</v>
      </c>
      <c r="G542" s="139" t="s">
        <v>417</v>
      </c>
      <c r="H542" s="140"/>
      <c r="I542" s="141">
        <v>1</v>
      </c>
      <c r="J542" s="142">
        <v>5274</v>
      </c>
      <c r="K542" s="142">
        <v>5274</v>
      </c>
      <c r="L542" s="615"/>
      <c r="M542" s="605"/>
      <c r="N542" s="206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</row>
    <row r="543" spans="1:28" s="134" customFormat="1" ht="15" customHeight="1" outlineLevel="1" x14ac:dyDescent="0.2">
      <c r="A543" s="122">
        <v>1</v>
      </c>
      <c r="B543" s="135">
        <v>60646</v>
      </c>
      <c r="C543" s="175">
        <v>41946</v>
      </c>
      <c r="D543" s="137" t="s">
        <v>1124</v>
      </c>
      <c r="E543" s="135" t="s">
        <v>396</v>
      </c>
      <c r="F543" s="138" t="s">
        <v>210</v>
      </c>
      <c r="G543" s="139" t="s">
        <v>562</v>
      </c>
      <c r="H543" s="140"/>
      <c r="I543" s="141">
        <v>1</v>
      </c>
      <c r="J543" s="142">
        <v>14099</v>
      </c>
      <c r="K543" s="142">
        <v>14099</v>
      </c>
      <c r="L543" s="182" t="s">
        <v>960</v>
      </c>
      <c r="M543" s="167" t="s">
        <v>35</v>
      </c>
      <c r="N543" s="206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</row>
    <row r="544" spans="1:28" s="134" customFormat="1" ht="15" customHeight="1" outlineLevel="1" x14ac:dyDescent="0.2">
      <c r="A544" s="122">
        <v>2</v>
      </c>
      <c r="B544" s="135">
        <v>60676</v>
      </c>
      <c r="C544" s="175">
        <v>41946</v>
      </c>
      <c r="D544" s="137" t="s">
        <v>1134</v>
      </c>
      <c r="E544" s="135" t="s">
        <v>456</v>
      </c>
      <c r="F544" s="138" t="s">
        <v>210</v>
      </c>
      <c r="G544" s="139" t="s">
        <v>417</v>
      </c>
      <c r="H544" s="140"/>
      <c r="I544" s="141">
        <v>1</v>
      </c>
      <c r="J544" s="142">
        <v>14099</v>
      </c>
      <c r="K544" s="142">
        <v>14099</v>
      </c>
      <c r="L544" s="182" t="s">
        <v>960</v>
      </c>
      <c r="M544" s="167" t="s">
        <v>35</v>
      </c>
      <c r="N544" s="206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</row>
    <row r="545" spans="1:28" s="134" customFormat="1" ht="15" customHeight="1" outlineLevel="1" x14ac:dyDescent="0.2">
      <c r="A545" s="122">
        <v>3</v>
      </c>
      <c r="B545" s="135">
        <v>61277</v>
      </c>
      <c r="C545" s="175">
        <v>41947</v>
      </c>
      <c r="D545" s="137" t="s">
        <v>1135</v>
      </c>
      <c r="E545" s="135" t="s">
        <v>456</v>
      </c>
      <c r="F545" s="138" t="s">
        <v>580</v>
      </c>
      <c r="G545" s="139" t="s">
        <v>371</v>
      </c>
      <c r="H545" s="140"/>
      <c r="I545" s="141">
        <v>1</v>
      </c>
      <c r="J545" s="142">
        <v>25800</v>
      </c>
      <c r="K545" s="142">
        <v>25800</v>
      </c>
      <c r="L545" s="182" t="s">
        <v>960</v>
      </c>
      <c r="M545" s="167" t="s">
        <v>35</v>
      </c>
      <c r="N545" s="206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</row>
    <row r="546" spans="1:28" s="134" customFormat="1" ht="15" customHeight="1" outlineLevel="1" x14ac:dyDescent="0.2">
      <c r="A546" s="122">
        <v>4</v>
      </c>
      <c r="B546" s="135">
        <v>61285</v>
      </c>
      <c r="C546" s="175">
        <v>41947</v>
      </c>
      <c r="D546" s="137" t="s">
        <v>1136</v>
      </c>
      <c r="E546" s="135" t="s">
        <v>456</v>
      </c>
      <c r="F546" s="138" t="s">
        <v>537</v>
      </c>
      <c r="G546" s="139" t="s">
        <v>417</v>
      </c>
      <c r="H546" s="140"/>
      <c r="I546" s="141">
        <v>1</v>
      </c>
      <c r="J546" s="142">
        <v>30429</v>
      </c>
      <c r="K546" s="142">
        <v>30429</v>
      </c>
      <c r="L546" s="182" t="s">
        <v>960</v>
      </c>
      <c r="M546" s="167" t="s">
        <v>35</v>
      </c>
      <c r="N546" s="206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</row>
    <row r="547" spans="1:28" s="134" customFormat="1" ht="15" customHeight="1" outlineLevel="1" x14ac:dyDescent="0.2">
      <c r="A547" s="122">
        <v>5</v>
      </c>
      <c r="B547" s="135">
        <v>61670</v>
      </c>
      <c r="C547" s="175">
        <v>41948</v>
      </c>
      <c r="D547" s="137" t="s">
        <v>450</v>
      </c>
      <c r="E547" s="135" t="s">
        <v>396</v>
      </c>
      <c r="F547" s="138" t="s">
        <v>217</v>
      </c>
      <c r="G547" s="139" t="s">
        <v>371</v>
      </c>
      <c r="H547" s="140"/>
      <c r="I547" s="141">
        <v>1</v>
      </c>
      <c r="J547" s="142">
        <v>44597</v>
      </c>
      <c r="K547" s="142">
        <v>44597</v>
      </c>
      <c r="L547" s="182" t="s">
        <v>960</v>
      </c>
      <c r="M547" s="167" t="s">
        <v>35</v>
      </c>
      <c r="N547" s="206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</row>
    <row r="548" spans="1:28" s="134" customFormat="1" ht="15" customHeight="1" outlineLevel="1" x14ac:dyDescent="0.2">
      <c r="A548" s="122">
        <v>6</v>
      </c>
      <c r="B548" s="135">
        <v>61670</v>
      </c>
      <c r="C548" s="175">
        <v>41948</v>
      </c>
      <c r="D548" s="137" t="s">
        <v>450</v>
      </c>
      <c r="E548" s="135" t="s">
        <v>396</v>
      </c>
      <c r="F548" s="138" t="s">
        <v>682</v>
      </c>
      <c r="G548" s="139" t="s">
        <v>369</v>
      </c>
      <c r="H548" s="140"/>
      <c r="I548" s="141">
        <v>1</v>
      </c>
      <c r="J548" s="142">
        <v>55058</v>
      </c>
      <c r="K548" s="142">
        <v>55058</v>
      </c>
      <c r="L548" s="182" t="s">
        <v>960</v>
      </c>
      <c r="M548" s="167" t="s">
        <v>35</v>
      </c>
      <c r="N548" s="206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</row>
    <row r="549" spans="1:28" s="134" customFormat="1" ht="15" customHeight="1" outlineLevel="1" x14ac:dyDescent="0.2">
      <c r="A549" s="122">
        <v>7</v>
      </c>
      <c r="B549" s="135">
        <v>61698</v>
      </c>
      <c r="C549" s="175">
        <v>41948</v>
      </c>
      <c r="D549" s="137" t="s">
        <v>1137</v>
      </c>
      <c r="E549" s="135" t="s">
        <v>396</v>
      </c>
      <c r="F549" s="138" t="s">
        <v>537</v>
      </c>
      <c r="G549" s="139" t="s">
        <v>562</v>
      </c>
      <c r="H549" s="140"/>
      <c r="I549" s="141">
        <v>1</v>
      </c>
      <c r="J549" s="142">
        <v>30429</v>
      </c>
      <c r="K549" s="142">
        <v>30429</v>
      </c>
      <c r="L549" s="182" t="s">
        <v>960</v>
      </c>
      <c r="M549" s="167" t="s">
        <v>35</v>
      </c>
      <c r="N549" s="206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</row>
    <row r="550" spans="1:28" s="134" customFormat="1" ht="15" customHeight="1" outlineLevel="1" x14ac:dyDescent="0.2">
      <c r="A550" s="122">
        <v>8</v>
      </c>
      <c r="B550" s="135">
        <v>61742</v>
      </c>
      <c r="C550" s="175">
        <v>41948</v>
      </c>
      <c r="D550" s="137" t="s">
        <v>1138</v>
      </c>
      <c r="E550" s="135" t="s">
        <v>396</v>
      </c>
      <c r="F550" s="138" t="s">
        <v>217</v>
      </c>
      <c r="G550" s="139" t="s">
        <v>371</v>
      </c>
      <c r="H550" s="140"/>
      <c r="I550" s="141">
        <v>1</v>
      </c>
      <c r="J550" s="142">
        <v>44597</v>
      </c>
      <c r="K550" s="142">
        <v>44597</v>
      </c>
      <c r="L550" s="182" t="s">
        <v>960</v>
      </c>
      <c r="M550" s="167" t="s">
        <v>35</v>
      </c>
      <c r="N550" s="206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</row>
    <row r="551" spans="1:28" s="134" customFormat="1" ht="15" customHeight="1" outlineLevel="1" x14ac:dyDescent="0.2">
      <c r="A551" s="122">
        <v>9</v>
      </c>
      <c r="B551" s="135">
        <v>61746</v>
      </c>
      <c r="C551" s="175">
        <v>41948</v>
      </c>
      <c r="D551" s="137" t="s">
        <v>1139</v>
      </c>
      <c r="E551" s="135" t="s">
        <v>456</v>
      </c>
      <c r="F551" s="138" t="s">
        <v>217</v>
      </c>
      <c r="G551" s="139" t="s">
        <v>371</v>
      </c>
      <c r="H551" s="140"/>
      <c r="I551" s="141">
        <v>1</v>
      </c>
      <c r="J551" s="142">
        <v>44597</v>
      </c>
      <c r="K551" s="142">
        <v>44597</v>
      </c>
      <c r="L551" s="182" t="s">
        <v>960</v>
      </c>
      <c r="M551" s="167" t="s">
        <v>35</v>
      </c>
      <c r="N551" s="206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</row>
    <row r="552" spans="1:28" s="134" customFormat="1" ht="15" customHeight="1" outlineLevel="1" x14ac:dyDescent="0.2">
      <c r="A552" s="122">
        <v>10</v>
      </c>
      <c r="B552" s="135">
        <v>62452</v>
      </c>
      <c r="C552" s="175">
        <v>41953</v>
      </c>
      <c r="D552" s="137" t="s">
        <v>1140</v>
      </c>
      <c r="E552" s="135" t="s">
        <v>456</v>
      </c>
      <c r="F552" s="138" t="s">
        <v>537</v>
      </c>
      <c r="G552" s="139" t="s">
        <v>472</v>
      </c>
      <c r="H552" s="140"/>
      <c r="I552" s="141">
        <v>1</v>
      </c>
      <c r="J552" s="142">
        <v>30429</v>
      </c>
      <c r="K552" s="142">
        <v>30429</v>
      </c>
      <c r="L552" s="182" t="s">
        <v>960</v>
      </c>
      <c r="M552" s="167" t="s">
        <v>35</v>
      </c>
      <c r="N552" s="206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</row>
    <row r="553" spans="1:28" s="134" customFormat="1" ht="15" customHeight="1" outlineLevel="1" x14ac:dyDescent="0.2">
      <c r="A553" s="122">
        <v>11</v>
      </c>
      <c r="B553" s="135">
        <v>62452</v>
      </c>
      <c r="C553" s="175">
        <v>41953</v>
      </c>
      <c r="D553" s="137" t="s">
        <v>1140</v>
      </c>
      <c r="E553" s="135" t="s">
        <v>456</v>
      </c>
      <c r="F553" s="138" t="s">
        <v>116</v>
      </c>
      <c r="G553" s="139" t="s">
        <v>400</v>
      </c>
      <c r="H553" s="140"/>
      <c r="I553" s="141">
        <v>2</v>
      </c>
      <c r="J553" s="142">
        <v>5274</v>
      </c>
      <c r="K553" s="142">
        <v>10548</v>
      </c>
      <c r="L553" s="182" t="s">
        <v>960</v>
      </c>
      <c r="M553" s="167" t="s">
        <v>35</v>
      </c>
      <c r="N553" s="206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</row>
    <row r="554" spans="1:28" s="134" customFormat="1" ht="15" customHeight="1" outlineLevel="1" x14ac:dyDescent="0.2">
      <c r="A554" s="122">
        <v>12</v>
      </c>
      <c r="B554" s="135">
        <v>62812</v>
      </c>
      <c r="C554" s="175">
        <v>41950</v>
      </c>
      <c r="D554" s="137" t="s">
        <v>1141</v>
      </c>
      <c r="E554" s="135" t="s">
        <v>456</v>
      </c>
      <c r="F554" s="138" t="s">
        <v>217</v>
      </c>
      <c r="G554" s="139" t="s">
        <v>371</v>
      </c>
      <c r="H554" s="140"/>
      <c r="I554" s="141">
        <v>1</v>
      </c>
      <c r="J554" s="142">
        <v>44597</v>
      </c>
      <c r="K554" s="142">
        <v>44597</v>
      </c>
      <c r="L554" s="182" t="s">
        <v>960</v>
      </c>
      <c r="M554" s="167" t="s">
        <v>35</v>
      </c>
      <c r="N554" s="206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</row>
    <row r="555" spans="1:28" s="134" customFormat="1" ht="15" customHeight="1" outlineLevel="1" x14ac:dyDescent="0.2">
      <c r="A555" s="122">
        <v>13</v>
      </c>
      <c r="B555" s="135">
        <v>63530</v>
      </c>
      <c r="C555" s="175">
        <v>41954</v>
      </c>
      <c r="D555" s="137" t="s">
        <v>1142</v>
      </c>
      <c r="E555" s="135" t="s">
        <v>456</v>
      </c>
      <c r="F555" s="138" t="s">
        <v>580</v>
      </c>
      <c r="G555" s="139" t="s">
        <v>371</v>
      </c>
      <c r="H555" s="140"/>
      <c r="I555" s="141">
        <v>1</v>
      </c>
      <c r="J555" s="142">
        <v>25800</v>
      </c>
      <c r="K555" s="142">
        <v>25800</v>
      </c>
      <c r="L555" s="182" t="s">
        <v>960</v>
      </c>
      <c r="M555" s="167" t="s">
        <v>35</v>
      </c>
      <c r="N555" s="206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</row>
    <row r="556" spans="1:28" s="134" customFormat="1" ht="15" customHeight="1" outlineLevel="1" x14ac:dyDescent="0.2">
      <c r="A556" s="122">
        <v>14</v>
      </c>
      <c r="B556" s="135">
        <v>63748</v>
      </c>
      <c r="C556" s="175">
        <v>41955</v>
      </c>
      <c r="D556" s="137" t="s">
        <v>1143</v>
      </c>
      <c r="E556" s="135" t="s">
        <v>396</v>
      </c>
      <c r="F556" s="138" t="s">
        <v>682</v>
      </c>
      <c r="G556" s="139" t="s">
        <v>371</v>
      </c>
      <c r="H556" s="140"/>
      <c r="I556" s="141">
        <v>1</v>
      </c>
      <c r="J556" s="142">
        <v>55058</v>
      </c>
      <c r="K556" s="142">
        <v>55058</v>
      </c>
      <c r="L556" s="182" t="s">
        <v>960</v>
      </c>
      <c r="M556" s="167" t="s">
        <v>35</v>
      </c>
      <c r="N556" s="206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</row>
    <row r="557" spans="1:28" s="134" customFormat="1" ht="15" customHeight="1" outlineLevel="1" x14ac:dyDescent="0.2">
      <c r="A557" s="122">
        <v>15</v>
      </c>
      <c r="B557" s="135">
        <v>63749</v>
      </c>
      <c r="C557" s="175">
        <v>41954</v>
      </c>
      <c r="D557" s="137" t="s">
        <v>1144</v>
      </c>
      <c r="E557" s="135" t="s">
        <v>456</v>
      </c>
      <c r="F557" s="138" t="s">
        <v>537</v>
      </c>
      <c r="G557" s="139" t="s">
        <v>527</v>
      </c>
      <c r="H557" s="140"/>
      <c r="I557" s="141">
        <v>1</v>
      </c>
      <c r="J557" s="142">
        <v>30429</v>
      </c>
      <c r="K557" s="142">
        <v>30429</v>
      </c>
      <c r="L557" s="182" t="s">
        <v>960</v>
      </c>
      <c r="M557" s="167" t="s">
        <v>35</v>
      </c>
      <c r="N557" s="206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</row>
    <row r="558" spans="1:28" s="134" customFormat="1" ht="15" customHeight="1" outlineLevel="1" x14ac:dyDescent="0.2">
      <c r="A558" s="122">
        <v>16</v>
      </c>
      <c r="B558" s="135">
        <v>64112</v>
      </c>
      <c r="C558" s="175">
        <v>41955</v>
      </c>
      <c r="D558" s="137" t="s">
        <v>1145</v>
      </c>
      <c r="E558" s="135" t="s">
        <v>456</v>
      </c>
      <c r="F558" s="138" t="s">
        <v>116</v>
      </c>
      <c r="G558" s="139" t="s">
        <v>1146</v>
      </c>
      <c r="H558" s="140"/>
      <c r="I558" s="141">
        <v>5</v>
      </c>
      <c r="J558" s="142">
        <v>5274</v>
      </c>
      <c r="K558" s="142">
        <v>26370</v>
      </c>
      <c r="L558" s="182" t="s">
        <v>960</v>
      </c>
      <c r="M558" s="167" t="s">
        <v>35</v>
      </c>
      <c r="N558" s="206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</row>
    <row r="559" spans="1:28" s="134" customFormat="1" ht="15" customHeight="1" outlineLevel="1" x14ac:dyDescent="0.2">
      <c r="A559" s="122">
        <v>17</v>
      </c>
      <c r="B559" s="135">
        <v>65710</v>
      </c>
      <c r="C559" s="175">
        <v>41960</v>
      </c>
      <c r="D559" s="137" t="s">
        <v>1147</v>
      </c>
      <c r="E559" s="135" t="s">
        <v>396</v>
      </c>
      <c r="F559" s="138" t="s">
        <v>210</v>
      </c>
      <c r="G559" s="139" t="s">
        <v>527</v>
      </c>
      <c r="H559" s="140"/>
      <c r="I559" s="141">
        <v>1</v>
      </c>
      <c r="J559" s="142">
        <v>14099</v>
      </c>
      <c r="K559" s="142">
        <v>14099</v>
      </c>
      <c r="L559" s="182" t="s">
        <v>960</v>
      </c>
      <c r="M559" s="167" t="s">
        <v>35</v>
      </c>
      <c r="N559" s="206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</row>
    <row r="560" spans="1:28" s="134" customFormat="1" ht="15" customHeight="1" outlineLevel="1" x14ac:dyDescent="0.2">
      <c r="A560" s="122">
        <v>18</v>
      </c>
      <c r="B560" s="135">
        <v>65808</v>
      </c>
      <c r="C560" s="175">
        <v>41960</v>
      </c>
      <c r="D560" s="137" t="s">
        <v>1148</v>
      </c>
      <c r="E560" s="135" t="s">
        <v>396</v>
      </c>
      <c r="F560" s="138" t="s">
        <v>116</v>
      </c>
      <c r="G560" s="139" t="s">
        <v>392</v>
      </c>
      <c r="H560" s="140"/>
      <c r="I560" s="141">
        <v>1</v>
      </c>
      <c r="J560" s="142">
        <v>5274</v>
      </c>
      <c r="K560" s="142">
        <v>5274</v>
      </c>
      <c r="L560" s="182" t="s">
        <v>960</v>
      </c>
      <c r="M560" s="167" t="s">
        <v>35</v>
      </c>
      <c r="N560" s="206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</row>
    <row r="561" spans="1:28" s="134" customFormat="1" ht="15" customHeight="1" outlineLevel="1" x14ac:dyDescent="0.2">
      <c r="A561" s="122">
        <v>19</v>
      </c>
      <c r="B561" s="135">
        <v>65808</v>
      </c>
      <c r="C561" s="175">
        <v>41960</v>
      </c>
      <c r="D561" s="137" t="s">
        <v>1148</v>
      </c>
      <c r="E561" s="135" t="s">
        <v>396</v>
      </c>
      <c r="F561" s="138" t="s">
        <v>210</v>
      </c>
      <c r="G561" s="139" t="s">
        <v>392</v>
      </c>
      <c r="H561" s="140"/>
      <c r="I561" s="141">
        <v>1</v>
      </c>
      <c r="J561" s="142">
        <v>14099</v>
      </c>
      <c r="K561" s="142">
        <v>14099</v>
      </c>
      <c r="L561" s="182" t="s">
        <v>960</v>
      </c>
      <c r="M561" s="167" t="s">
        <v>35</v>
      </c>
      <c r="N561" s="206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</row>
    <row r="562" spans="1:28" s="134" customFormat="1" ht="15" customHeight="1" outlineLevel="1" x14ac:dyDescent="0.2">
      <c r="A562" s="122">
        <v>20</v>
      </c>
      <c r="B562" s="135">
        <v>65870</v>
      </c>
      <c r="C562" s="175">
        <v>41960</v>
      </c>
      <c r="D562" s="137" t="s">
        <v>1149</v>
      </c>
      <c r="E562" s="135" t="s">
        <v>396</v>
      </c>
      <c r="F562" s="138" t="s">
        <v>577</v>
      </c>
      <c r="G562" s="139" t="s">
        <v>415</v>
      </c>
      <c r="H562" s="140"/>
      <c r="I562" s="141">
        <v>1</v>
      </c>
      <c r="J562" s="142">
        <v>49701</v>
      </c>
      <c r="K562" s="142">
        <v>49701</v>
      </c>
      <c r="L562" s="182" t="s">
        <v>960</v>
      </c>
      <c r="M562" s="167" t="s">
        <v>35</v>
      </c>
      <c r="N562" s="206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</row>
    <row r="563" spans="1:28" s="134" customFormat="1" ht="15" customHeight="1" outlineLevel="1" x14ac:dyDescent="0.2">
      <c r="A563" s="122">
        <v>21</v>
      </c>
      <c r="B563" s="135">
        <v>66212</v>
      </c>
      <c r="C563" s="175">
        <v>41961</v>
      </c>
      <c r="D563" s="137" t="s">
        <v>1150</v>
      </c>
      <c r="E563" s="135" t="s">
        <v>456</v>
      </c>
      <c r="F563" s="138" t="s">
        <v>537</v>
      </c>
      <c r="G563" s="139" t="s">
        <v>527</v>
      </c>
      <c r="H563" s="140"/>
      <c r="I563" s="141">
        <v>1</v>
      </c>
      <c r="J563" s="142">
        <v>30429</v>
      </c>
      <c r="K563" s="142">
        <v>30429</v>
      </c>
      <c r="L563" s="182" t="s">
        <v>960</v>
      </c>
      <c r="M563" s="167" t="s">
        <v>35</v>
      </c>
      <c r="N563" s="206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</row>
    <row r="564" spans="1:28" s="134" customFormat="1" ht="15" customHeight="1" outlineLevel="1" x14ac:dyDescent="0.2">
      <c r="A564" s="122">
        <v>22</v>
      </c>
      <c r="B564" s="135">
        <v>66448</v>
      </c>
      <c r="C564" s="175">
        <v>41961</v>
      </c>
      <c r="D564" s="137" t="s">
        <v>1151</v>
      </c>
      <c r="E564" s="135" t="s">
        <v>456</v>
      </c>
      <c r="F564" s="138" t="s">
        <v>217</v>
      </c>
      <c r="G564" s="139" t="s">
        <v>371</v>
      </c>
      <c r="H564" s="140"/>
      <c r="I564" s="141">
        <v>1</v>
      </c>
      <c r="J564" s="142">
        <v>44597</v>
      </c>
      <c r="K564" s="142">
        <v>44597</v>
      </c>
      <c r="L564" s="182" t="s">
        <v>960</v>
      </c>
      <c r="M564" s="167" t="s">
        <v>35</v>
      </c>
      <c r="N564" s="206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</row>
    <row r="565" spans="1:28" s="134" customFormat="1" ht="15" customHeight="1" outlineLevel="1" x14ac:dyDescent="0.2">
      <c r="A565" s="122">
        <v>23</v>
      </c>
      <c r="B565" s="135">
        <v>66953</v>
      </c>
      <c r="C565" s="175">
        <v>41962</v>
      </c>
      <c r="D565" s="137" t="s">
        <v>1072</v>
      </c>
      <c r="E565" s="135" t="s">
        <v>396</v>
      </c>
      <c r="F565" s="138" t="s">
        <v>537</v>
      </c>
      <c r="G565" s="139" t="s">
        <v>392</v>
      </c>
      <c r="H565" s="140"/>
      <c r="I565" s="141">
        <v>1</v>
      </c>
      <c r="J565" s="142">
        <v>30429</v>
      </c>
      <c r="K565" s="142">
        <v>30429</v>
      </c>
      <c r="L565" s="182" t="s">
        <v>960</v>
      </c>
      <c r="M565" s="167" t="s">
        <v>35</v>
      </c>
      <c r="N565" s="206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</row>
    <row r="566" spans="1:28" s="134" customFormat="1" ht="15" customHeight="1" outlineLevel="1" x14ac:dyDescent="0.2">
      <c r="A566" s="122">
        <v>24</v>
      </c>
      <c r="B566" s="135">
        <v>67074</v>
      </c>
      <c r="C566" s="175">
        <v>41962</v>
      </c>
      <c r="D566" s="137" t="s">
        <v>1152</v>
      </c>
      <c r="E566" s="135" t="s">
        <v>456</v>
      </c>
      <c r="F566" s="138" t="s">
        <v>217</v>
      </c>
      <c r="G566" s="139" t="s">
        <v>371</v>
      </c>
      <c r="H566" s="140"/>
      <c r="I566" s="141">
        <v>1</v>
      </c>
      <c r="J566" s="142">
        <v>44597</v>
      </c>
      <c r="K566" s="142">
        <v>44597</v>
      </c>
      <c r="L566" s="182" t="s">
        <v>960</v>
      </c>
      <c r="M566" s="167" t="s">
        <v>35</v>
      </c>
      <c r="N566" s="206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</row>
    <row r="567" spans="1:28" s="134" customFormat="1" ht="15" customHeight="1" outlineLevel="1" x14ac:dyDescent="0.2">
      <c r="A567" s="122">
        <v>25</v>
      </c>
      <c r="B567" s="135">
        <v>67294</v>
      </c>
      <c r="C567" s="175">
        <v>41962</v>
      </c>
      <c r="D567" s="137" t="s">
        <v>1153</v>
      </c>
      <c r="E567" s="135" t="s">
        <v>396</v>
      </c>
      <c r="F567" s="138" t="s">
        <v>217</v>
      </c>
      <c r="G567" s="139" t="s">
        <v>387</v>
      </c>
      <c r="H567" s="140"/>
      <c r="I567" s="141">
        <v>2</v>
      </c>
      <c r="J567" s="142">
        <v>44597</v>
      </c>
      <c r="K567" s="142">
        <v>89194</v>
      </c>
      <c r="L567" s="182" t="s">
        <v>960</v>
      </c>
      <c r="M567" s="167" t="s">
        <v>35</v>
      </c>
      <c r="N567" s="206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</row>
    <row r="568" spans="1:28" s="134" customFormat="1" ht="15" customHeight="1" outlineLevel="1" x14ac:dyDescent="0.2">
      <c r="A568" s="122">
        <v>26</v>
      </c>
      <c r="B568" s="135">
        <v>67620</v>
      </c>
      <c r="C568" s="175">
        <v>41964</v>
      </c>
      <c r="D568" s="137" t="s">
        <v>1154</v>
      </c>
      <c r="E568" s="135" t="s">
        <v>396</v>
      </c>
      <c r="F568" s="138" t="s">
        <v>217</v>
      </c>
      <c r="G568" s="139" t="s">
        <v>387</v>
      </c>
      <c r="H568" s="140"/>
      <c r="I568" s="141">
        <v>2</v>
      </c>
      <c r="J568" s="142">
        <v>44597</v>
      </c>
      <c r="K568" s="142">
        <v>89194</v>
      </c>
      <c r="L568" s="182" t="s">
        <v>960</v>
      </c>
      <c r="M568" s="167" t="s">
        <v>35</v>
      </c>
      <c r="N568" s="206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</row>
    <row r="569" spans="1:28" s="134" customFormat="1" ht="15" customHeight="1" outlineLevel="1" x14ac:dyDescent="0.2">
      <c r="A569" s="122">
        <v>27</v>
      </c>
      <c r="B569" s="135">
        <v>68160</v>
      </c>
      <c r="C569" s="175">
        <v>41969</v>
      </c>
      <c r="D569" s="137" t="s">
        <v>1155</v>
      </c>
      <c r="E569" s="135" t="s">
        <v>396</v>
      </c>
      <c r="F569" s="138" t="s">
        <v>116</v>
      </c>
      <c r="G569" s="139" t="s">
        <v>410</v>
      </c>
      <c r="H569" s="140"/>
      <c r="I569" s="141">
        <v>1</v>
      </c>
      <c r="J569" s="142">
        <v>5274</v>
      </c>
      <c r="K569" s="142">
        <v>5274</v>
      </c>
      <c r="L569" s="182" t="s">
        <v>960</v>
      </c>
      <c r="M569" s="167" t="s">
        <v>35</v>
      </c>
      <c r="N569" s="206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</row>
    <row r="570" spans="1:28" s="134" customFormat="1" ht="15" customHeight="1" outlineLevel="1" x14ac:dyDescent="0.2">
      <c r="A570" s="122">
        <v>28</v>
      </c>
      <c r="B570" s="135">
        <v>68462</v>
      </c>
      <c r="C570" s="175">
        <v>41967</v>
      </c>
      <c r="D570" s="137" t="s">
        <v>1156</v>
      </c>
      <c r="E570" s="135" t="s">
        <v>396</v>
      </c>
      <c r="F570" s="138" t="s">
        <v>115</v>
      </c>
      <c r="G570" s="139" t="s">
        <v>472</v>
      </c>
      <c r="H570" s="140"/>
      <c r="I570" s="141">
        <v>1</v>
      </c>
      <c r="J570" s="142">
        <v>33370</v>
      </c>
      <c r="K570" s="142">
        <v>33370</v>
      </c>
      <c r="L570" s="182" t="s">
        <v>960</v>
      </c>
      <c r="M570" s="167" t="s">
        <v>35</v>
      </c>
      <c r="N570" s="206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</row>
    <row r="571" spans="1:28" s="134" customFormat="1" ht="15" customHeight="1" outlineLevel="1" x14ac:dyDescent="0.2">
      <c r="A571" s="122">
        <v>29</v>
      </c>
      <c r="B571" s="135">
        <v>68514</v>
      </c>
      <c r="C571" s="175">
        <v>41967</v>
      </c>
      <c r="D571" s="137" t="s">
        <v>395</v>
      </c>
      <c r="E571" s="135" t="s">
        <v>396</v>
      </c>
      <c r="F571" s="138" t="s">
        <v>217</v>
      </c>
      <c r="G571" s="139" t="s">
        <v>387</v>
      </c>
      <c r="H571" s="140"/>
      <c r="I571" s="141">
        <v>2</v>
      </c>
      <c r="J571" s="142">
        <v>44597</v>
      </c>
      <c r="K571" s="142">
        <v>89194</v>
      </c>
      <c r="L571" s="182" t="s">
        <v>960</v>
      </c>
      <c r="M571" s="167" t="s">
        <v>35</v>
      </c>
      <c r="N571" s="206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</row>
    <row r="572" spans="1:28" s="134" customFormat="1" ht="15" customHeight="1" outlineLevel="1" x14ac:dyDescent="0.2">
      <c r="A572" s="122">
        <v>30</v>
      </c>
      <c r="B572" s="135">
        <v>68526</v>
      </c>
      <c r="C572" s="175">
        <v>41967</v>
      </c>
      <c r="D572" s="137" t="s">
        <v>1124</v>
      </c>
      <c r="E572" s="135" t="s">
        <v>396</v>
      </c>
      <c r="F572" s="138" t="s">
        <v>115</v>
      </c>
      <c r="G572" s="139" t="s">
        <v>562</v>
      </c>
      <c r="H572" s="140"/>
      <c r="I572" s="141">
        <v>1</v>
      </c>
      <c r="J572" s="142">
        <v>33370</v>
      </c>
      <c r="K572" s="142">
        <v>33370</v>
      </c>
      <c r="L572" s="182" t="s">
        <v>960</v>
      </c>
      <c r="M572" s="167" t="s">
        <v>35</v>
      </c>
      <c r="N572" s="206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</row>
    <row r="573" spans="1:28" s="134" customFormat="1" ht="15" customHeight="1" outlineLevel="1" x14ac:dyDescent="0.2">
      <c r="A573" s="122">
        <v>31</v>
      </c>
      <c r="B573" s="135">
        <v>68589</v>
      </c>
      <c r="C573" s="175">
        <v>41967</v>
      </c>
      <c r="D573" s="137" t="s">
        <v>1081</v>
      </c>
      <c r="E573" s="135" t="s">
        <v>396</v>
      </c>
      <c r="F573" s="138" t="s">
        <v>115</v>
      </c>
      <c r="G573" s="139" t="s">
        <v>1157</v>
      </c>
      <c r="H573" s="140"/>
      <c r="I573" s="141">
        <v>2</v>
      </c>
      <c r="J573" s="142">
        <v>33370</v>
      </c>
      <c r="K573" s="142">
        <v>66740</v>
      </c>
      <c r="L573" s="182" t="s">
        <v>960</v>
      </c>
      <c r="M573" s="167" t="s">
        <v>35</v>
      </c>
      <c r="N573" s="206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</row>
    <row r="574" spans="1:28" s="134" customFormat="1" ht="15" customHeight="1" outlineLevel="1" x14ac:dyDescent="0.2">
      <c r="A574" s="122">
        <v>32</v>
      </c>
      <c r="B574" s="135">
        <v>68589</v>
      </c>
      <c r="C574" s="175">
        <v>41967</v>
      </c>
      <c r="D574" s="137" t="s">
        <v>1081</v>
      </c>
      <c r="E574" s="135" t="s">
        <v>396</v>
      </c>
      <c r="F574" s="138" t="s">
        <v>537</v>
      </c>
      <c r="G574" s="139" t="s">
        <v>538</v>
      </c>
      <c r="H574" s="140"/>
      <c r="I574" s="141">
        <v>1</v>
      </c>
      <c r="J574" s="142">
        <v>30429</v>
      </c>
      <c r="K574" s="142">
        <v>30429</v>
      </c>
      <c r="L574" s="182" t="s">
        <v>960</v>
      </c>
      <c r="M574" s="167" t="s">
        <v>35</v>
      </c>
      <c r="N574" s="206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</row>
    <row r="575" spans="1:28" s="134" customFormat="1" ht="15" customHeight="1" outlineLevel="1" x14ac:dyDescent="0.2">
      <c r="A575" s="122">
        <v>33</v>
      </c>
      <c r="B575" s="135">
        <v>68708</v>
      </c>
      <c r="C575" s="175">
        <v>41968</v>
      </c>
      <c r="D575" s="137" t="s">
        <v>1158</v>
      </c>
      <c r="E575" s="135" t="s">
        <v>456</v>
      </c>
      <c r="F575" s="138" t="s">
        <v>537</v>
      </c>
      <c r="G575" s="139" t="s">
        <v>645</v>
      </c>
      <c r="H575" s="140"/>
      <c r="I575" s="141">
        <v>1</v>
      </c>
      <c r="J575" s="142">
        <v>30429</v>
      </c>
      <c r="K575" s="142">
        <v>30429</v>
      </c>
      <c r="L575" s="182" t="s">
        <v>960</v>
      </c>
      <c r="M575" s="167" t="s">
        <v>35</v>
      </c>
      <c r="N575" s="206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</row>
    <row r="576" spans="1:28" s="134" customFormat="1" ht="15" customHeight="1" outlineLevel="1" x14ac:dyDescent="0.2">
      <c r="A576" s="122">
        <v>34</v>
      </c>
      <c r="B576" s="135">
        <v>69036</v>
      </c>
      <c r="C576" s="175">
        <v>41968</v>
      </c>
      <c r="D576" s="137" t="s">
        <v>1159</v>
      </c>
      <c r="E576" s="135" t="s">
        <v>1068</v>
      </c>
      <c r="F576" s="138" t="s">
        <v>195</v>
      </c>
      <c r="G576" s="139" t="s">
        <v>371</v>
      </c>
      <c r="H576" s="140"/>
      <c r="I576" s="141">
        <v>1</v>
      </c>
      <c r="J576" s="142">
        <v>36514.799999999996</v>
      </c>
      <c r="K576" s="142">
        <v>36514.799999999996</v>
      </c>
      <c r="L576" s="182" t="s">
        <v>960</v>
      </c>
      <c r="M576" s="167" t="s">
        <v>35</v>
      </c>
      <c r="N576" s="206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</row>
    <row r="577" spans="1:28" s="134" customFormat="1" ht="15" customHeight="1" outlineLevel="1" x14ac:dyDescent="0.2">
      <c r="A577" s="122">
        <v>35</v>
      </c>
      <c r="B577" s="135">
        <v>69073</v>
      </c>
      <c r="C577" s="175">
        <v>41968</v>
      </c>
      <c r="D577" s="137" t="s">
        <v>454</v>
      </c>
      <c r="E577" s="135" t="s">
        <v>396</v>
      </c>
      <c r="F577" s="138" t="s">
        <v>682</v>
      </c>
      <c r="G577" s="139" t="s">
        <v>369</v>
      </c>
      <c r="H577" s="140"/>
      <c r="I577" s="141">
        <v>1</v>
      </c>
      <c r="J577" s="142">
        <v>55058</v>
      </c>
      <c r="K577" s="142">
        <v>55058</v>
      </c>
      <c r="L577" s="182" t="s">
        <v>960</v>
      </c>
      <c r="M577" s="167" t="s">
        <v>35</v>
      </c>
      <c r="N577" s="206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</row>
    <row r="578" spans="1:28" s="134" customFormat="1" ht="15" customHeight="1" outlineLevel="1" x14ac:dyDescent="0.2">
      <c r="A578" s="122">
        <v>36</v>
      </c>
      <c r="B578" s="135">
        <v>69126</v>
      </c>
      <c r="C578" s="175">
        <v>41968</v>
      </c>
      <c r="D578" s="137" t="s">
        <v>1160</v>
      </c>
      <c r="E578" s="135" t="s">
        <v>456</v>
      </c>
      <c r="F578" s="138" t="s">
        <v>682</v>
      </c>
      <c r="G578" s="139" t="s">
        <v>371</v>
      </c>
      <c r="H578" s="140"/>
      <c r="I578" s="141">
        <v>1</v>
      </c>
      <c r="J578" s="142">
        <v>55058</v>
      </c>
      <c r="K578" s="142">
        <v>55058</v>
      </c>
      <c r="L578" s="182" t="s">
        <v>960</v>
      </c>
      <c r="M578" s="167" t="s">
        <v>35</v>
      </c>
      <c r="N578" s="206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</row>
    <row r="579" spans="1:28" s="134" customFormat="1" ht="15" customHeight="1" outlineLevel="1" x14ac:dyDescent="0.2">
      <c r="A579" s="122">
        <v>37</v>
      </c>
      <c r="B579" s="135">
        <v>69192</v>
      </c>
      <c r="C579" s="175">
        <v>41969</v>
      </c>
      <c r="D579" s="137" t="s">
        <v>1161</v>
      </c>
      <c r="E579" s="135" t="s">
        <v>396</v>
      </c>
      <c r="F579" s="138" t="s">
        <v>537</v>
      </c>
      <c r="G579" s="139" t="s">
        <v>419</v>
      </c>
      <c r="H579" s="140"/>
      <c r="I579" s="141">
        <v>1</v>
      </c>
      <c r="J579" s="142">
        <v>30429</v>
      </c>
      <c r="K579" s="142">
        <v>30429</v>
      </c>
      <c r="L579" s="182" t="s">
        <v>960</v>
      </c>
      <c r="M579" s="167" t="s">
        <v>35</v>
      </c>
      <c r="N579" s="206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</row>
    <row r="580" spans="1:28" s="134" customFormat="1" ht="15" customHeight="1" outlineLevel="1" x14ac:dyDescent="0.2">
      <c r="A580" s="122">
        <v>38</v>
      </c>
      <c r="B580" s="135">
        <v>69540</v>
      </c>
      <c r="C580" s="175">
        <v>41969</v>
      </c>
      <c r="D580" s="137" t="s">
        <v>1162</v>
      </c>
      <c r="E580" s="135" t="s">
        <v>396</v>
      </c>
      <c r="F580" s="138" t="s">
        <v>217</v>
      </c>
      <c r="G580" s="139" t="s">
        <v>371</v>
      </c>
      <c r="H580" s="140"/>
      <c r="I580" s="141">
        <v>1</v>
      </c>
      <c r="J580" s="142">
        <v>44597</v>
      </c>
      <c r="K580" s="142">
        <v>44597</v>
      </c>
      <c r="L580" s="182" t="s">
        <v>960</v>
      </c>
      <c r="M580" s="167" t="s">
        <v>35</v>
      </c>
      <c r="N580" s="206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</row>
    <row r="581" spans="1:28" s="134" customFormat="1" ht="15" customHeight="1" outlineLevel="1" x14ac:dyDescent="0.2">
      <c r="A581" s="122">
        <v>39</v>
      </c>
      <c r="B581" s="135">
        <v>69580</v>
      </c>
      <c r="C581" s="175">
        <v>41969</v>
      </c>
      <c r="D581" s="137" t="s">
        <v>1163</v>
      </c>
      <c r="E581" s="135" t="s">
        <v>456</v>
      </c>
      <c r="F581" s="138" t="s">
        <v>116</v>
      </c>
      <c r="G581" s="139" t="s">
        <v>1164</v>
      </c>
      <c r="H581" s="140"/>
      <c r="I581" s="141">
        <v>4</v>
      </c>
      <c r="J581" s="142">
        <v>5274</v>
      </c>
      <c r="K581" s="142">
        <v>21096</v>
      </c>
      <c r="L581" s="182" t="s">
        <v>960</v>
      </c>
      <c r="M581" s="167" t="s">
        <v>35</v>
      </c>
      <c r="N581" s="206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</row>
    <row r="582" spans="1:28" s="134" customFormat="1" ht="15" customHeight="1" outlineLevel="1" x14ac:dyDescent="0.2">
      <c r="A582" s="122">
        <v>40</v>
      </c>
      <c r="B582" s="135">
        <v>70015</v>
      </c>
      <c r="C582" s="175">
        <v>41970</v>
      </c>
      <c r="D582" s="137" t="s">
        <v>1165</v>
      </c>
      <c r="E582" s="135" t="s">
        <v>1166</v>
      </c>
      <c r="F582" s="138" t="s">
        <v>173</v>
      </c>
      <c r="G582" s="139" t="s">
        <v>371</v>
      </c>
      <c r="H582" s="140"/>
      <c r="I582" s="141">
        <v>1</v>
      </c>
      <c r="J582" s="142">
        <v>18764</v>
      </c>
      <c r="K582" s="142">
        <v>18764</v>
      </c>
      <c r="L582" s="182" t="s">
        <v>960</v>
      </c>
      <c r="M582" s="167" t="s">
        <v>35</v>
      </c>
      <c r="N582" s="206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</row>
    <row r="583" spans="1:28" s="134" customFormat="1" ht="15" customHeight="1" outlineLevel="1" x14ac:dyDescent="0.2">
      <c r="A583" s="122">
        <v>41</v>
      </c>
      <c r="B583" s="135">
        <v>70551</v>
      </c>
      <c r="C583" s="175">
        <v>41971</v>
      </c>
      <c r="D583" s="137" t="s">
        <v>1167</v>
      </c>
      <c r="E583" s="135" t="s">
        <v>456</v>
      </c>
      <c r="F583" s="138" t="s">
        <v>217</v>
      </c>
      <c r="G583" s="139" t="s">
        <v>369</v>
      </c>
      <c r="H583" s="140"/>
      <c r="I583" s="141">
        <v>1</v>
      </c>
      <c r="J583" s="142">
        <v>44597</v>
      </c>
      <c r="K583" s="142">
        <v>44597</v>
      </c>
      <c r="L583" s="182" t="s">
        <v>960</v>
      </c>
      <c r="M583" s="167" t="s">
        <v>35</v>
      </c>
      <c r="N583" s="206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</row>
    <row r="584" spans="1:28" s="134" customFormat="1" ht="15" customHeight="1" outlineLevel="1" x14ac:dyDescent="0.2">
      <c r="A584" s="122">
        <v>42</v>
      </c>
      <c r="B584" s="135">
        <v>71143</v>
      </c>
      <c r="C584" s="136">
        <v>41972</v>
      </c>
      <c r="D584" s="137" t="s">
        <v>1168</v>
      </c>
      <c r="E584" s="135" t="s">
        <v>396</v>
      </c>
      <c r="F584" s="138" t="s">
        <v>537</v>
      </c>
      <c r="G584" s="139" t="s">
        <v>404</v>
      </c>
      <c r="H584" s="140"/>
      <c r="I584" s="141">
        <v>1</v>
      </c>
      <c r="J584" s="142">
        <v>30429</v>
      </c>
      <c r="K584" s="142">
        <v>30429</v>
      </c>
      <c r="L584" s="182" t="s">
        <v>960</v>
      </c>
      <c r="M584" s="167" t="s">
        <v>35</v>
      </c>
      <c r="N584" s="206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</row>
    <row r="585" spans="1:28" s="134" customFormat="1" ht="15" customHeight="1" outlineLevel="1" x14ac:dyDescent="0.2">
      <c r="A585" s="122">
        <v>43</v>
      </c>
      <c r="B585" s="135">
        <v>71144</v>
      </c>
      <c r="C585" s="136">
        <v>41972</v>
      </c>
      <c r="D585" s="137" t="s">
        <v>1119</v>
      </c>
      <c r="E585" s="135" t="s">
        <v>396</v>
      </c>
      <c r="F585" s="138" t="s">
        <v>537</v>
      </c>
      <c r="G585" s="139" t="s">
        <v>1098</v>
      </c>
      <c r="H585" s="140"/>
      <c r="I585" s="141">
        <v>2</v>
      </c>
      <c r="J585" s="142">
        <v>30429</v>
      </c>
      <c r="K585" s="142">
        <v>60858</v>
      </c>
      <c r="L585" s="182" t="s">
        <v>960</v>
      </c>
      <c r="M585" s="167" t="s">
        <v>35</v>
      </c>
      <c r="N585" s="206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</row>
    <row r="586" spans="1:28" s="134" customFormat="1" ht="15" customHeight="1" outlineLevel="1" x14ac:dyDescent="0.2">
      <c r="A586" s="122">
        <v>44</v>
      </c>
      <c r="B586" s="135">
        <v>71107</v>
      </c>
      <c r="C586" s="136">
        <v>41974</v>
      </c>
      <c r="D586" s="137" t="s">
        <v>1169</v>
      </c>
      <c r="E586" s="135" t="s">
        <v>396</v>
      </c>
      <c r="F586" s="138" t="s">
        <v>217</v>
      </c>
      <c r="G586" s="139" t="s">
        <v>371</v>
      </c>
      <c r="H586" s="140"/>
      <c r="I586" s="141">
        <v>1</v>
      </c>
      <c r="J586" s="142">
        <v>44597</v>
      </c>
      <c r="K586" s="142">
        <v>44597</v>
      </c>
      <c r="L586" s="182" t="s">
        <v>960</v>
      </c>
      <c r="M586" s="167" t="s">
        <v>35</v>
      </c>
      <c r="N586" s="206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</row>
    <row r="587" spans="1:28" s="134" customFormat="1" ht="15" customHeight="1" outlineLevel="1" x14ac:dyDescent="0.2">
      <c r="A587" s="122">
        <v>45</v>
      </c>
      <c r="B587" s="135">
        <v>71106</v>
      </c>
      <c r="C587" s="136">
        <v>41974</v>
      </c>
      <c r="D587" s="137" t="s">
        <v>1170</v>
      </c>
      <c r="E587" s="135" t="s">
        <v>456</v>
      </c>
      <c r="F587" s="138" t="s">
        <v>217</v>
      </c>
      <c r="G587" s="139" t="s">
        <v>387</v>
      </c>
      <c r="H587" s="140"/>
      <c r="I587" s="141">
        <v>2</v>
      </c>
      <c r="J587" s="142">
        <v>44597</v>
      </c>
      <c r="K587" s="142">
        <v>89194</v>
      </c>
      <c r="L587" s="182" t="s">
        <v>960</v>
      </c>
      <c r="M587" s="167" t="s">
        <v>35</v>
      </c>
      <c r="N587" s="206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</row>
    <row r="588" spans="1:28" s="134" customFormat="1" ht="15" customHeight="1" outlineLevel="1" x14ac:dyDescent="0.2">
      <c r="A588" s="122">
        <v>46</v>
      </c>
      <c r="B588" s="135">
        <v>71060</v>
      </c>
      <c r="C588" s="136">
        <v>41974</v>
      </c>
      <c r="D588" s="137" t="s">
        <v>1171</v>
      </c>
      <c r="E588" s="135" t="s">
        <v>456</v>
      </c>
      <c r="F588" s="138" t="s">
        <v>210</v>
      </c>
      <c r="G588" s="139" t="s">
        <v>407</v>
      </c>
      <c r="H588" s="140"/>
      <c r="I588" s="141">
        <v>1</v>
      </c>
      <c r="J588" s="142">
        <v>14099</v>
      </c>
      <c r="K588" s="142">
        <v>14099</v>
      </c>
      <c r="L588" s="182" t="s">
        <v>960</v>
      </c>
      <c r="M588" s="167" t="s">
        <v>35</v>
      </c>
      <c r="N588" s="206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</row>
    <row r="589" spans="1:28" s="134" customFormat="1" ht="15" customHeight="1" outlineLevel="1" x14ac:dyDescent="0.2">
      <c r="A589" s="122">
        <v>47</v>
      </c>
      <c r="B589" s="135">
        <v>71267</v>
      </c>
      <c r="C589" s="136">
        <v>41974</v>
      </c>
      <c r="D589" s="137" t="s">
        <v>1172</v>
      </c>
      <c r="E589" s="135" t="s">
        <v>456</v>
      </c>
      <c r="F589" s="138" t="s">
        <v>116</v>
      </c>
      <c r="G589" s="139" t="s">
        <v>392</v>
      </c>
      <c r="H589" s="140"/>
      <c r="I589" s="141">
        <v>1</v>
      </c>
      <c r="J589" s="142">
        <v>5274</v>
      </c>
      <c r="K589" s="142">
        <v>5274</v>
      </c>
      <c r="L589" s="182" t="s">
        <v>960</v>
      </c>
      <c r="M589" s="167" t="s">
        <v>35</v>
      </c>
      <c r="N589" s="206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</row>
    <row r="590" spans="1:28" s="134" customFormat="1" ht="15" customHeight="1" outlineLevel="1" x14ac:dyDescent="0.2">
      <c r="A590" s="122">
        <v>48</v>
      </c>
      <c r="B590" s="135">
        <v>71167</v>
      </c>
      <c r="C590" s="136">
        <v>41974</v>
      </c>
      <c r="D590" s="137" t="s">
        <v>1173</v>
      </c>
      <c r="E590" s="135" t="s">
        <v>396</v>
      </c>
      <c r="F590" s="138" t="s">
        <v>116</v>
      </c>
      <c r="G590" s="139" t="s">
        <v>400</v>
      </c>
      <c r="H590" s="140"/>
      <c r="I590" s="141">
        <v>2</v>
      </c>
      <c r="J590" s="142">
        <v>5274</v>
      </c>
      <c r="K590" s="142">
        <v>10548</v>
      </c>
      <c r="L590" s="182" t="s">
        <v>960</v>
      </c>
      <c r="M590" s="167" t="s">
        <v>35</v>
      </c>
      <c r="N590" s="206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</row>
    <row r="591" spans="1:28" s="134" customFormat="1" ht="15" customHeight="1" outlineLevel="1" x14ac:dyDescent="0.2">
      <c r="A591" s="122">
        <v>49</v>
      </c>
      <c r="B591" s="135">
        <v>71291</v>
      </c>
      <c r="C591" s="136">
        <v>41974</v>
      </c>
      <c r="D591" s="137" t="s">
        <v>1174</v>
      </c>
      <c r="E591" s="135" t="s">
        <v>396</v>
      </c>
      <c r="F591" s="138" t="s">
        <v>217</v>
      </c>
      <c r="G591" s="139" t="s">
        <v>371</v>
      </c>
      <c r="H591" s="140"/>
      <c r="I591" s="141">
        <v>1</v>
      </c>
      <c r="J591" s="142">
        <v>44597</v>
      </c>
      <c r="K591" s="142">
        <v>44597</v>
      </c>
      <c r="L591" s="182" t="s">
        <v>960</v>
      </c>
      <c r="M591" s="167" t="s">
        <v>35</v>
      </c>
      <c r="N591" s="206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</row>
    <row r="592" spans="1:28" s="145" customFormat="1" ht="15" customHeight="1" outlineLevel="1" x14ac:dyDescent="0.2">
      <c r="A592" s="135">
        <v>58</v>
      </c>
      <c r="B592" s="135">
        <v>73936</v>
      </c>
      <c r="C592" s="136">
        <v>41983</v>
      </c>
      <c r="D592" s="137" t="s">
        <v>1175</v>
      </c>
      <c r="E592" s="135" t="s">
        <v>1176</v>
      </c>
      <c r="F592" s="138" t="s">
        <v>173</v>
      </c>
      <c r="G592" s="139" t="s">
        <v>371</v>
      </c>
      <c r="H592" s="140"/>
      <c r="I592" s="141">
        <v>1</v>
      </c>
      <c r="J592" s="142">
        <v>18764</v>
      </c>
      <c r="K592" s="142">
        <v>18764</v>
      </c>
      <c r="L592" s="649" t="s">
        <v>623</v>
      </c>
      <c r="M592" s="650" t="s">
        <v>35</v>
      </c>
      <c r="N592" s="143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</row>
    <row r="593" spans="1:28" s="145" customFormat="1" ht="15" customHeight="1" outlineLevel="1" x14ac:dyDescent="0.2">
      <c r="A593" s="135">
        <v>32</v>
      </c>
      <c r="B593" s="135">
        <v>82219</v>
      </c>
      <c r="C593" s="136">
        <v>41995</v>
      </c>
      <c r="D593" s="137" t="s">
        <v>367</v>
      </c>
      <c r="E593" s="135" t="s">
        <v>1176</v>
      </c>
      <c r="F593" s="138" t="s">
        <v>173</v>
      </c>
      <c r="G593" s="139" t="s">
        <v>369</v>
      </c>
      <c r="H593" s="140"/>
      <c r="I593" s="141">
        <v>1</v>
      </c>
      <c r="J593" s="142">
        <v>18764</v>
      </c>
      <c r="K593" s="142">
        <v>18764</v>
      </c>
      <c r="L593" s="620"/>
      <c r="M593" s="651"/>
      <c r="N593" s="143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</row>
    <row r="594" spans="1:28" s="145" customFormat="1" ht="15" customHeight="1" outlineLevel="1" x14ac:dyDescent="0.2">
      <c r="A594" s="135">
        <v>15</v>
      </c>
      <c r="B594" s="135">
        <v>73491</v>
      </c>
      <c r="C594" s="136">
        <v>41982</v>
      </c>
      <c r="D594" s="137" t="s">
        <v>455</v>
      </c>
      <c r="E594" s="135" t="s">
        <v>456</v>
      </c>
      <c r="F594" s="138" t="s">
        <v>580</v>
      </c>
      <c r="G594" s="139" t="s">
        <v>371</v>
      </c>
      <c r="H594" s="140"/>
      <c r="I594" s="141">
        <v>1</v>
      </c>
      <c r="J594" s="142">
        <v>25800</v>
      </c>
      <c r="K594" s="142">
        <v>25800</v>
      </c>
      <c r="L594" s="620"/>
      <c r="M594" s="651"/>
      <c r="N594" s="143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</row>
    <row r="595" spans="1:28" s="145" customFormat="1" ht="15" customHeight="1" outlineLevel="1" x14ac:dyDescent="0.2">
      <c r="A595" s="135">
        <v>26</v>
      </c>
      <c r="B595" s="135">
        <v>81770</v>
      </c>
      <c r="C595" s="136">
        <v>41995</v>
      </c>
      <c r="D595" s="137" t="s">
        <v>1177</v>
      </c>
      <c r="E595" s="135" t="s">
        <v>456</v>
      </c>
      <c r="F595" s="138" t="s">
        <v>537</v>
      </c>
      <c r="G595" s="139" t="s">
        <v>472</v>
      </c>
      <c r="H595" s="140"/>
      <c r="I595" s="141">
        <v>1</v>
      </c>
      <c r="J595" s="142">
        <v>30429</v>
      </c>
      <c r="K595" s="142">
        <v>30429</v>
      </c>
      <c r="L595" s="620"/>
      <c r="M595" s="651"/>
      <c r="N595" s="143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</row>
    <row r="596" spans="1:28" s="145" customFormat="1" ht="15" customHeight="1" outlineLevel="1" x14ac:dyDescent="0.2">
      <c r="A596" s="135">
        <v>12</v>
      </c>
      <c r="B596" s="135">
        <v>72961</v>
      </c>
      <c r="C596" s="136">
        <v>41982</v>
      </c>
      <c r="D596" s="137" t="s">
        <v>459</v>
      </c>
      <c r="E596" s="135" t="s">
        <v>456</v>
      </c>
      <c r="F596" s="138" t="s">
        <v>217</v>
      </c>
      <c r="G596" s="139" t="s">
        <v>371</v>
      </c>
      <c r="H596" s="140"/>
      <c r="I596" s="141">
        <v>1</v>
      </c>
      <c r="J596" s="142">
        <v>44597</v>
      </c>
      <c r="K596" s="142">
        <v>44597</v>
      </c>
      <c r="L596" s="620"/>
      <c r="M596" s="651"/>
      <c r="N596" s="143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</row>
    <row r="597" spans="1:28" s="145" customFormat="1" ht="15" customHeight="1" outlineLevel="1" x14ac:dyDescent="0.2">
      <c r="A597" s="135">
        <v>17</v>
      </c>
      <c r="B597" s="135">
        <v>74511</v>
      </c>
      <c r="C597" s="136">
        <v>41983</v>
      </c>
      <c r="D597" s="137" t="s">
        <v>1137</v>
      </c>
      <c r="E597" s="135" t="s">
        <v>456</v>
      </c>
      <c r="F597" s="138" t="s">
        <v>197</v>
      </c>
      <c r="G597" s="139" t="s">
        <v>1098</v>
      </c>
      <c r="H597" s="140"/>
      <c r="I597" s="141">
        <v>2</v>
      </c>
      <c r="J597" s="142">
        <v>2739</v>
      </c>
      <c r="K597" s="142">
        <v>5478</v>
      </c>
      <c r="L597" s="620"/>
      <c r="M597" s="651"/>
      <c r="N597" s="143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</row>
    <row r="598" spans="1:28" s="145" customFormat="1" ht="15" customHeight="1" outlineLevel="1" x14ac:dyDescent="0.2">
      <c r="A598" s="135">
        <v>21</v>
      </c>
      <c r="B598" s="135">
        <v>80456</v>
      </c>
      <c r="C598" s="136">
        <v>41989</v>
      </c>
      <c r="D598" s="137" t="s">
        <v>1178</v>
      </c>
      <c r="E598" s="135" t="s">
        <v>456</v>
      </c>
      <c r="F598" s="138" t="s">
        <v>217</v>
      </c>
      <c r="G598" s="139" t="s">
        <v>371</v>
      </c>
      <c r="H598" s="140"/>
      <c r="I598" s="141">
        <v>1</v>
      </c>
      <c r="J598" s="142">
        <v>44597</v>
      </c>
      <c r="K598" s="142">
        <v>44597</v>
      </c>
      <c r="L598" s="620"/>
      <c r="M598" s="651"/>
      <c r="N598" s="143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</row>
    <row r="599" spans="1:28" s="145" customFormat="1" ht="15" customHeight="1" outlineLevel="1" x14ac:dyDescent="0.2">
      <c r="A599" s="135">
        <v>5</v>
      </c>
      <c r="B599" s="135">
        <v>71417</v>
      </c>
      <c r="C599" s="136">
        <v>41975</v>
      </c>
      <c r="D599" s="137" t="s">
        <v>1179</v>
      </c>
      <c r="E599" s="135" t="s">
        <v>456</v>
      </c>
      <c r="F599" s="138" t="s">
        <v>210</v>
      </c>
      <c r="G599" s="139" t="s">
        <v>445</v>
      </c>
      <c r="H599" s="140"/>
      <c r="I599" s="141">
        <v>1</v>
      </c>
      <c r="J599" s="142">
        <v>14099</v>
      </c>
      <c r="K599" s="142">
        <v>14099</v>
      </c>
      <c r="L599" s="620"/>
      <c r="M599" s="651"/>
      <c r="N599" s="143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</row>
    <row r="600" spans="1:28" s="145" customFormat="1" ht="15" customHeight="1" outlineLevel="1" x14ac:dyDescent="0.2">
      <c r="A600" s="135">
        <v>53</v>
      </c>
      <c r="B600" s="135">
        <v>84600</v>
      </c>
      <c r="C600" s="136">
        <v>42002</v>
      </c>
      <c r="D600" s="137" t="s">
        <v>1180</v>
      </c>
      <c r="E600" s="135" t="s">
        <v>456</v>
      </c>
      <c r="F600" s="138" t="s">
        <v>537</v>
      </c>
      <c r="G600" s="139" t="s">
        <v>431</v>
      </c>
      <c r="H600" s="140"/>
      <c r="I600" s="141">
        <v>1</v>
      </c>
      <c r="J600" s="142">
        <v>30429</v>
      </c>
      <c r="K600" s="142">
        <v>30429</v>
      </c>
      <c r="L600" s="620"/>
      <c r="M600" s="651"/>
      <c r="N600" s="143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</row>
    <row r="601" spans="1:28" s="145" customFormat="1" ht="15" customHeight="1" outlineLevel="1" x14ac:dyDescent="0.2">
      <c r="A601" s="135">
        <v>51</v>
      </c>
      <c r="B601" s="135">
        <v>84500</v>
      </c>
      <c r="C601" s="136">
        <v>42003</v>
      </c>
      <c r="D601" s="137" t="s">
        <v>1181</v>
      </c>
      <c r="E601" s="135" t="s">
        <v>456</v>
      </c>
      <c r="F601" s="138" t="s">
        <v>115</v>
      </c>
      <c r="G601" s="139" t="s">
        <v>407</v>
      </c>
      <c r="H601" s="140"/>
      <c r="I601" s="141">
        <v>1</v>
      </c>
      <c r="J601" s="142">
        <v>33370</v>
      </c>
      <c r="K601" s="142">
        <v>33370</v>
      </c>
      <c r="L601" s="620"/>
      <c r="M601" s="651"/>
      <c r="N601" s="143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</row>
    <row r="602" spans="1:28" s="145" customFormat="1" ht="15" customHeight="1" outlineLevel="1" x14ac:dyDescent="0.2">
      <c r="A602" s="135">
        <v>42</v>
      </c>
      <c r="B602" s="135">
        <v>83239</v>
      </c>
      <c r="C602" s="136">
        <v>41996</v>
      </c>
      <c r="D602" s="137" t="s">
        <v>1182</v>
      </c>
      <c r="E602" s="135" t="s">
        <v>456</v>
      </c>
      <c r="F602" s="138" t="s">
        <v>537</v>
      </c>
      <c r="G602" s="139" t="s">
        <v>645</v>
      </c>
      <c r="H602" s="140"/>
      <c r="I602" s="141">
        <v>1</v>
      </c>
      <c r="J602" s="142">
        <v>30429</v>
      </c>
      <c r="K602" s="142">
        <v>30429</v>
      </c>
      <c r="L602" s="620"/>
      <c r="M602" s="651"/>
      <c r="N602" s="143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</row>
    <row r="603" spans="1:28" s="145" customFormat="1" ht="15" customHeight="1" outlineLevel="1" x14ac:dyDescent="0.2">
      <c r="A603" s="135">
        <v>35</v>
      </c>
      <c r="B603" s="135">
        <v>82451</v>
      </c>
      <c r="C603" s="136">
        <v>41995</v>
      </c>
      <c r="D603" s="137" t="s">
        <v>1183</v>
      </c>
      <c r="E603" s="135" t="s">
        <v>456</v>
      </c>
      <c r="F603" s="138" t="s">
        <v>217</v>
      </c>
      <c r="G603" s="139" t="s">
        <v>371</v>
      </c>
      <c r="H603" s="140"/>
      <c r="I603" s="141">
        <v>1</v>
      </c>
      <c r="J603" s="142">
        <v>44597</v>
      </c>
      <c r="K603" s="142">
        <v>44597</v>
      </c>
      <c r="L603" s="620"/>
      <c r="M603" s="651"/>
      <c r="N603" s="143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</row>
    <row r="604" spans="1:28" s="145" customFormat="1" ht="15" customHeight="1" outlineLevel="1" x14ac:dyDescent="0.2">
      <c r="A604" s="135">
        <v>46</v>
      </c>
      <c r="B604" s="135">
        <v>83733</v>
      </c>
      <c r="C604" s="136">
        <v>42002</v>
      </c>
      <c r="D604" s="137" t="s">
        <v>1184</v>
      </c>
      <c r="E604" s="135" t="s">
        <v>456</v>
      </c>
      <c r="F604" s="138" t="s">
        <v>116</v>
      </c>
      <c r="G604" s="139" t="s">
        <v>419</v>
      </c>
      <c r="H604" s="140"/>
      <c r="I604" s="141">
        <v>1</v>
      </c>
      <c r="J604" s="142">
        <v>5274</v>
      </c>
      <c r="K604" s="142">
        <v>5274</v>
      </c>
      <c r="L604" s="620"/>
      <c r="M604" s="651"/>
      <c r="N604" s="143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</row>
    <row r="605" spans="1:28" s="145" customFormat="1" ht="15" customHeight="1" outlineLevel="1" x14ac:dyDescent="0.2">
      <c r="A605" s="135">
        <v>52</v>
      </c>
      <c r="B605" s="135">
        <v>84979</v>
      </c>
      <c r="C605" s="136">
        <v>42003</v>
      </c>
      <c r="D605" s="137" t="s">
        <v>1185</v>
      </c>
      <c r="E605" s="135" t="s">
        <v>456</v>
      </c>
      <c r="F605" s="138" t="s">
        <v>115</v>
      </c>
      <c r="G605" s="139" t="s">
        <v>442</v>
      </c>
      <c r="H605" s="140"/>
      <c r="I605" s="141">
        <v>1</v>
      </c>
      <c r="J605" s="142">
        <v>33370</v>
      </c>
      <c r="K605" s="142">
        <v>33370</v>
      </c>
      <c r="L605" s="620"/>
      <c r="M605" s="651"/>
      <c r="N605" s="143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</row>
    <row r="606" spans="1:28" s="145" customFormat="1" ht="15" customHeight="1" outlineLevel="1" x14ac:dyDescent="0.2">
      <c r="A606" s="135">
        <v>45</v>
      </c>
      <c r="B606" s="135">
        <v>83727</v>
      </c>
      <c r="C606" s="136">
        <v>42002</v>
      </c>
      <c r="D606" s="137" t="s">
        <v>1186</v>
      </c>
      <c r="E606" s="135" t="s">
        <v>456</v>
      </c>
      <c r="F606" s="138" t="s">
        <v>116</v>
      </c>
      <c r="G606" s="139" t="s">
        <v>434</v>
      </c>
      <c r="H606" s="140"/>
      <c r="I606" s="141">
        <v>1</v>
      </c>
      <c r="J606" s="142">
        <v>5274</v>
      </c>
      <c r="K606" s="142">
        <v>5274</v>
      </c>
      <c r="L606" s="620"/>
      <c r="M606" s="651"/>
      <c r="N606" s="143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</row>
    <row r="607" spans="1:28" s="145" customFormat="1" ht="15" customHeight="1" outlineLevel="1" x14ac:dyDescent="0.2">
      <c r="A607" s="135">
        <v>23</v>
      </c>
      <c r="B607" s="135">
        <v>80597</v>
      </c>
      <c r="C607" s="136">
        <v>41989</v>
      </c>
      <c r="D607" s="137" t="s">
        <v>463</v>
      </c>
      <c r="E607" s="135" t="s">
        <v>456</v>
      </c>
      <c r="F607" s="138" t="s">
        <v>204</v>
      </c>
      <c r="G607" s="139" t="s">
        <v>1187</v>
      </c>
      <c r="H607" s="140"/>
      <c r="I607" s="141">
        <v>2</v>
      </c>
      <c r="J607" s="142">
        <v>17244</v>
      </c>
      <c r="K607" s="142">
        <v>34488</v>
      </c>
      <c r="L607" s="620"/>
      <c r="M607" s="651"/>
      <c r="N607" s="143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</row>
    <row r="608" spans="1:28" s="145" customFormat="1" ht="15" customHeight="1" outlineLevel="1" x14ac:dyDescent="0.2">
      <c r="A608" s="135">
        <v>52</v>
      </c>
      <c r="B608" s="135">
        <v>84504</v>
      </c>
      <c r="C608" s="136">
        <v>42003</v>
      </c>
      <c r="D608" s="137" t="s">
        <v>463</v>
      </c>
      <c r="E608" s="135" t="s">
        <v>456</v>
      </c>
      <c r="F608" s="138" t="s">
        <v>115</v>
      </c>
      <c r="G608" s="139" t="s">
        <v>419</v>
      </c>
      <c r="H608" s="140"/>
      <c r="I608" s="141">
        <v>1</v>
      </c>
      <c r="J608" s="142">
        <v>33370</v>
      </c>
      <c r="K608" s="142">
        <v>33370</v>
      </c>
      <c r="L608" s="620"/>
      <c r="M608" s="651"/>
      <c r="N608" s="143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</row>
    <row r="609" spans="1:28" s="145" customFormat="1" ht="15" customHeight="1" outlineLevel="1" x14ac:dyDescent="0.2">
      <c r="A609" s="135">
        <v>41</v>
      </c>
      <c r="B609" s="135">
        <v>83172</v>
      </c>
      <c r="C609" s="136">
        <v>41996</v>
      </c>
      <c r="D609" s="137" t="s">
        <v>1188</v>
      </c>
      <c r="E609" s="135" t="s">
        <v>456</v>
      </c>
      <c r="F609" s="138" t="s">
        <v>537</v>
      </c>
      <c r="G609" s="139" t="s">
        <v>404</v>
      </c>
      <c r="H609" s="140"/>
      <c r="I609" s="141">
        <v>1</v>
      </c>
      <c r="J609" s="142">
        <v>30429</v>
      </c>
      <c r="K609" s="142">
        <v>30429</v>
      </c>
      <c r="L609" s="620"/>
      <c r="M609" s="651"/>
      <c r="N609" s="143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</row>
    <row r="610" spans="1:28" s="145" customFormat="1" ht="15" customHeight="1" outlineLevel="1" x14ac:dyDescent="0.2">
      <c r="A610" s="135">
        <v>4</v>
      </c>
      <c r="B610" s="135">
        <v>71416</v>
      </c>
      <c r="C610" s="136">
        <v>41975</v>
      </c>
      <c r="D610" s="137" t="s">
        <v>1189</v>
      </c>
      <c r="E610" s="135" t="s">
        <v>456</v>
      </c>
      <c r="F610" s="138" t="s">
        <v>210</v>
      </c>
      <c r="G610" s="139" t="s">
        <v>417</v>
      </c>
      <c r="H610" s="140"/>
      <c r="I610" s="141">
        <v>1</v>
      </c>
      <c r="J610" s="142">
        <v>14099</v>
      </c>
      <c r="K610" s="142">
        <v>14099</v>
      </c>
      <c r="L610" s="620"/>
      <c r="M610" s="651"/>
      <c r="N610" s="143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</row>
    <row r="611" spans="1:28" s="145" customFormat="1" ht="15" customHeight="1" outlineLevel="1" x14ac:dyDescent="0.2">
      <c r="A611" s="135">
        <v>56</v>
      </c>
      <c r="B611" s="135">
        <v>84902</v>
      </c>
      <c r="C611" s="136">
        <v>42003</v>
      </c>
      <c r="D611" s="137" t="s">
        <v>1189</v>
      </c>
      <c r="E611" s="135" t="s">
        <v>456</v>
      </c>
      <c r="F611" s="138" t="s">
        <v>115</v>
      </c>
      <c r="G611" s="139" t="s">
        <v>417</v>
      </c>
      <c r="H611" s="140"/>
      <c r="I611" s="141">
        <v>1</v>
      </c>
      <c r="J611" s="142">
        <v>33370</v>
      </c>
      <c r="K611" s="142">
        <v>33370</v>
      </c>
      <c r="L611" s="620"/>
      <c r="M611" s="651"/>
      <c r="N611" s="143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</row>
    <row r="612" spans="1:28" s="145" customFormat="1" ht="15" customHeight="1" outlineLevel="1" x14ac:dyDescent="0.2">
      <c r="A612" s="135">
        <v>34</v>
      </c>
      <c r="B612" s="135">
        <v>82445</v>
      </c>
      <c r="C612" s="136">
        <v>41995</v>
      </c>
      <c r="D612" s="137" t="s">
        <v>1190</v>
      </c>
      <c r="E612" s="135" t="s">
        <v>456</v>
      </c>
      <c r="F612" s="138" t="s">
        <v>116</v>
      </c>
      <c r="G612" s="139" t="s">
        <v>1004</v>
      </c>
      <c r="H612" s="140"/>
      <c r="I612" s="141">
        <v>4</v>
      </c>
      <c r="J612" s="142">
        <v>5274</v>
      </c>
      <c r="K612" s="142">
        <v>21096</v>
      </c>
      <c r="L612" s="620"/>
      <c r="M612" s="651"/>
      <c r="N612" s="143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</row>
    <row r="613" spans="1:28" s="145" customFormat="1" ht="15" customHeight="1" outlineLevel="1" x14ac:dyDescent="0.2">
      <c r="A613" s="135">
        <v>10</v>
      </c>
      <c r="B613" s="135">
        <v>72560</v>
      </c>
      <c r="C613" s="136">
        <v>41977</v>
      </c>
      <c r="D613" s="137" t="s">
        <v>1191</v>
      </c>
      <c r="E613" s="135" t="s">
        <v>456</v>
      </c>
      <c r="F613" s="138" t="s">
        <v>682</v>
      </c>
      <c r="G613" s="139" t="s">
        <v>371</v>
      </c>
      <c r="H613" s="140"/>
      <c r="I613" s="141">
        <v>1</v>
      </c>
      <c r="J613" s="142">
        <v>55058</v>
      </c>
      <c r="K613" s="142">
        <v>55058</v>
      </c>
      <c r="L613" s="620"/>
      <c r="M613" s="651"/>
      <c r="N613" s="143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</row>
    <row r="614" spans="1:28" s="145" customFormat="1" ht="15" customHeight="1" outlineLevel="1" x14ac:dyDescent="0.2">
      <c r="A614" s="135">
        <v>7</v>
      </c>
      <c r="B614" s="135">
        <v>71816</v>
      </c>
      <c r="C614" s="136">
        <v>41975</v>
      </c>
      <c r="D614" s="137" t="s">
        <v>1192</v>
      </c>
      <c r="E614" s="135" t="s">
        <v>456</v>
      </c>
      <c r="F614" s="138" t="s">
        <v>115</v>
      </c>
      <c r="G614" s="139" t="s">
        <v>417</v>
      </c>
      <c r="H614" s="140"/>
      <c r="I614" s="141">
        <v>1</v>
      </c>
      <c r="J614" s="142">
        <v>33370</v>
      </c>
      <c r="K614" s="142">
        <v>33370</v>
      </c>
      <c r="L614" s="620"/>
      <c r="M614" s="651"/>
      <c r="N614" s="143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</row>
    <row r="615" spans="1:28" s="145" customFormat="1" ht="15" customHeight="1" outlineLevel="1" x14ac:dyDescent="0.2">
      <c r="A615" s="135">
        <v>43</v>
      </c>
      <c r="B615" s="135">
        <v>83278</v>
      </c>
      <c r="C615" s="136">
        <v>41996</v>
      </c>
      <c r="D615" s="137" t="s">
        <v>1134</v>
      </c>
      <c r="E615" s="135" t="s">
        <v>456</v>
      </c>
      <c r="F615" s="138" t="s">
        <v>115</v>
      </c>
      <c r="G615" s="139" t="s">
        <v>1193</v>
      </c>
      <c r="H615" s="140"/>
      <c r="I615" s="141">
        <v>2</v>
      </c>
      <c r="J615" s="142">
        <v>33370</v>
      </c>
      <c r="K615" s="142">
        <v>66740</v>
      </c>
      <c r="L615" s="620"/>
      <c r="M615" s="651"/>
      <c r="N615" s="143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</row>
    <row r="616" spans="1:28" s="145" customFormat="1" ht="15" customHeight="1" outlineLevel="1" x14ac:dyDescent="0.2">
      <c r="A616" s="135">
        <v>22</v>
      </c>
      <c r="B616" s="135">
        <v>80488</v>
      </c>
      <c r="C616" s="136">
        <v>41990</v>
      </c>
      <c r="D616" s="137" t="s">
        <v>1194</v>
      </c>
      <c r="E616" s="135" t="s">
        <v>1195</v>
      </c>
      <c r="F616" s="138" t="s">
        <v>197</v>
      </c>
      <c r="G616" s="139" t="s">
        <v>1196</v>
      </c>
      <c r="H616" s="140"/>
      <c r="I616" s="141">
        <v>3</v>
      </c>
      <c r="J616" s="142">
        <v>2739</v>
      </c>
      <c r="K616" s="142">
        <v>8217</v>
      </c>
      <c r="L616" s="620"/>
      <c r="M616" s="651"/>
      <c r="N616" s="143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</row>
    <row r="617" spans="1:28" s="145" customFormat="1" ht="15" customHeight="1" outlineLevel="1" x14ac:dyDescent="0.2">
      <c r="A617" s="135">
        <v>33</v>
      </c>
      <c r="B617" s="135">
        <v>82317</v>
      </c>
      <c r="C617" s="136">
        <v>41995</v>
      </c>
      <c r="D617" s="137" t="s">
        <v>1076</v>
      </c>
      <c r="E617" s="135" t="s">
        <v>396</v>
      </c>
      <c r="F617" s="138" t="s">
        <v>115</v>
      </c>
      <c r="G617" s="139" t="s">
        <v>1197</v>
      </c>
      <c r="H617" s="140"/>
      <c r="I617" s="141">
        <v>3</v>
      </c>
      <c r="J617" s="142">
        <v>33370</v>
      </c>
      <c r="K617" s="142">
        <v>100110</v>
      </c>
      <c r="L617" s="620"/>
      <c r="M617" s="651"/>
      <c r="N617" s="143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</row>
    <row r="618" spans="1:28" s="145" customFormat="1" ht="15" customHeight="1" outlineLevel="1" x14ac:dyDescent="0.2">
      <c r="A618" s="135">
        <v>54</v>
      </c>
      <c r="B618" s="135">
        <v>84635</v>
      </c>
      <c r="C618" s="136">
        <v>42002</v>
      </c>
      <c r="D618" s="137" t="s">
        <v>1076</v>
      </c>
      <c r="E618" s="135" t="s">
        <v>396</v>
      </c>
      <c r="F618" s="138" t="s">
        <v>537</v>
      </c>
      <c r="G618" s="139" t="s">
        <v>1198</v>
      </c>
      <c r="H618" s="140"/>
      <c r="I618" s="141">
        <v>3</v>
      </c>
      <c r="J618" s="142">
        <v>30429</v>
      </c>
      <c r="K618" s="142">
        <v>91287</v>
      </c>
      <c r="L618" s="620"/>
      <c r="M618" s="651"/>
      <c r="N618" s="143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</row>
    <row r="619" spans="1:28" s="145" customFormat="1" ht="15" customHeight="1" outlineLevel="1" x14ac:dyDescent="0.2">
      <c r="A619" s="135">
        <v>38</v>
      </c>
      <c r="B619" s="135">
        <v>82689</v>
      </c>
      <c r="C619" s="136">
        <v>41995</v>
      </c>
      <c r="D619" s="137" t="s">
        <v>1199</v>
      </c>
      <c r="E619" s="135" t="s">
        <v>396</v>
      </c>
      <c r="F619" s="138" t="s">
        <v>622</v>
      </c>
      <c r="G619" s="139" t="s">
        <v>387</v>
      </c>
      <c r="H619" s="140"/>
      <c r="I619" s="141">
        <v>2</v>
      </c>
      <c r="J619" s="142">
        <v>15722</v>
      </c>
      <c r="K619" s="142">
        <v>31444</v>
      </c>
      <c r="L619" s="620"/>
      <c r="M619" s="651"/>
      <c r="N619" s="143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</row>
    <row r="620" spans="1:28" s="145" customFormat="1" ht="15" customHeight="1" outlineLevel="1" x14ac:dyDescent="0.2">
      <c r="A620" s="135">
        <v>39</v>
      </c>
      <c r="B620" s="135">
        <v>82689</v>
      </c>
      <c r="C620" s="136">
        <v>41995</v>
      </c>
      <c r="D620" s="137" t="s">
        <v>1199</v>
      </c>
      <c r="E620" s="135" t="s">
        <v>396</v>
      </c>
      <c r="F620" s="138" t="s">
        <v>217</v>
      </c>
      <c r="G620" s="139" t="s">
        <v>387</v>
      </c>
      <c r="H620" s="140"/>
      <c r="I620" s="141">
        <v>2</v>
      </c>
      <c r="J620" s="142">
        <v>44597</v>
      </c>
      <c r="K620" s="142">
        <v>89194</v>
      </c>
      <c r="L620" s="620"/>
      <c r="M620" s="651"/>
      <c r="N620" s="143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</row>
    <row r="621" spans="1:28" s="145" customFormat="1" ht="15" customHeight="1" outlineLevel="1" x14ac:dyDescent="0.2">
      <c r="A621" s="135">
        <v>13</v>
      </c>
      <c r="B621" s="135">
        <v>73440</v>
      </c>
      <c r="C621" s="136">
        <v>41978</v>
      </c>
      <c r="D621" s="137" t="s">
        <v>1200</v>
      </c>
      <c r="E621" s="135" t="s">
        <v>396</v>
      </c>
      <c r="F621" s="138" t="s">
        <v>115</v>
      </c>
      <c r="G621" s="139" t="s">
        <v>1201</v>
      </c>
      <c r="H621" s="140"/>
      <c r="I621" s="141">
        <v>2</v>
      </c>
      <c r="J621" s="142">
        <v>33370</v>
      </c>
      <c r="K621" s="142">
        <v>66740</v>
      </c>
      <c r="L621" s="620"/>
      <c r="M621" s="651"/>
      <c r="N621" s="143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</row>
    <row r="622" spans="1:28" s="145" customFormat="1" ht="15" customHeight="1" outlineLevel="1" x14ac:dyDescent="0.2">
      <c r="A622" s="135">
        <v>9</v>
      </c>
      <c r="B622" s="135">
        <v>72497</v>
      </c>
      <c r="C622" s="136">
        <v>41977</v>
      </c>
      <c r="D622" s="137" t="s">
        <v>1107</v>
      </c>
      <c r="E622" s="135" t="s">
        <v>396</v>
      </c>
      <c r="F622" s="138" t="s">
        <v>232</v>
      </c>
      <c r="G622" s="139" t="s">
        <v>371</v>
      </c>
      <c r="H622" s="140"/>
      <c r="I622" s="141">
        <v>1</v>
      </c>
      <c r="J622" s="142">
        <v>17244</v>
      </c>
      <c r="K622" s="142">
        <v>17244</v>
      </c>
      <c r="L622" s="620"/>
      <c r="M622" s="651"/>
      <c r="N622" s="143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</row>
    <row r="623" spans="1:28" s="145" customFormat="1" ht="15" customHeight="1" outlineLevel="1" x14ac:dyDescent="0.2">
      <c r="A623" s="135">
        <v>28</v>
      </c>
      <c r="B623" s="135">
        <v>82055</v>
      </c>
      <c r="C623" s="136">
        <v>41995</v>
      </c>
      <c r="D623" s="137" t="s">
        <v>1202</v>
      </c>
      <c r="E623" s="135" t="s">
        <v>396</v>
      </c>
      <c r="F623" s="138" t="s">
        <v>192</v>
      </c>
      <c r="G623" s="139" t="s">
        <v>400</v>
      </c>
      <c r="H623" s="140"/>
      <c r="I623" s="141">
        <v>2</v>
      </c>
      <c r="J623" s="142">
        <v>57960</v>
      </c>
      <c r="K623" s="142">
        <v>115920</v>
      </c>
      <c r="L623" s="620"/>
      <c r="M623" s="651"/>
      <c r="N623" s="143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</row>
    <row r="624" spans="1:28" s="145" customFormat="1" ht="15" customHeight="1" outlineLevel="1" x14ac:dyDescent="0.2">
      <c r="A624" s="135">
        <v>31</v>
      </c>
      <c r="B624" s="135">
        <v>82094</v>
      </c>
      <c r="C624" s="136">
        <v>41995</v>
      </c>
      <c r="D624" s="137" t="s">
        <v>1203</v>
      </c>
      <c r="E624" s="135" t="s">
        <v>396</v>
      </c>
      <c r="F624" s="138" t="s">
        <v>217</v>
      </c>
      <c r="G624" s="139" t="s">
        <v>371</v>
      </c>
      <c r="H624" s="140"/>
      <c r="I624" s="141">
        <v>1</v>
      </c>
      <c r="J624" s="142">
        <v>44597</v>
      </c>
      <c r="K624" s="142">
        <v>44597</v>
      </c>
      <c r="L624" s="620"/>
      <c r="M624" s="651"/>
      <c r="N624" s="143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</row>
    <row r="625" spans="1:28" s="145" customFormat="1" ht="15" customHeight="1" outlineLevel="1" x14ac:dyDescent="0.2">
      <c r="A625" s="135">
        <v>19</v>
      </c>
      <c r="B625" s="135">
        <v>80117</v>
      </c>
      <c r="C625" s="136">
        <v>41988</v>
      </c>
      <c r="D625" s="137" t="s">
        <v>1204</v>
      </c>
      <c r="E625" s="135" t="s">
        <v>396</v>
      </c>
      <c r="F625" s="138" t="s">
        <v>682</v>
      </c>
      <c r="G625" s="139" t="s">
        <v>387</v>
      </c>
      <c r="H625" s="140"/>
      <c r="I625" s="141">
        <v>2</v>
      </c>
      <c r="J625" s="142">
        <v>55058</v>
      </c>
      <c r="K625" s="142">
        <v>110116</v>
      </c>
      <c r="L625" s="620"/>
      <c r="M625" s="651"/>
      <c r="N625" s="143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</row>
    <row r="626" spans="1:28" s="145" customFormat="1" ht="15" customHeight="1" outlineLevel="1" x14ac:dyDescent="0.2">
      <c r="A626" s="135">
        <v>44</v>
      </c>
      <c r="B626" s="135">
        <v>83626</v>
      </c>
      <c r="C626" s="136">
        <v>42002</v>
      </c>
      <c r="D626" s="137" t="s">
        <v>1205</v>
      </c>
      <c r="E626" s="135" t="s">
        <v>396</v>
      </c>
      <c r="F626" s="138" t="s">
        <v>537</v>
      </c>
      <c r="G626" s="139" t="s">
        <v>392</v>
      </c>
      <c r="H626" s="140"/>
      <c r="I626" s="141">
        <v>1</v>
      </c>
      <c r="J626" s="142">
        <v>30429</v>
      </c>
      <c r="K626" s="142">
        <v>30429</v>
      </c>
      <c r="L626" s="620"/>
      <c r="M626" s="651"/>
      <c r="N626" s="143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</row>
    <row r="627" spans="1:28" s="145" customFormat="1" ht="15" customHeight="1" outlineLevel="1" x14ac:dyDescent="0.2">
      <c r="A627" s="135">
        <v>50</v>
      </c>
      <c r="B627" s="135">
        <v>84403</v>
      </c>
      <c r="C627" s="136">
        <v>42002</v>
      </c>
      <c r="D627" s="137" t="s">
        <v>1206</v>
      </c>
      <c r="E627" s="135" t="s">
        <v>396</v>
      </c>
      <c r="F627" s="138" t="s">
        <v>537</v>
      </c>
      <c r="G627" s="139" t="s">
        <v>568</v>
      </c>
      <c r="H627" s="140"/>
      <c r="I627" s="141">
        <v>1</v>
      </c>
      <c r="J627" s="142">
        <v>30429</v>
      </c>
      <c r="K627" s="142">
        <v>30429</v>
      </c>
      <c r="L627" s="620"/>
      <c r="M627" s="651"/>
      <c r="N627" s="143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</row>
    <row r="628" spans="1:28" s="145" customFormat="1" ht="15" customHeight="1" outlineLevel="1" x14ac:dyDescent="0.2">
      <c r="A628" s="135">
        <v>14</v>
      </c>
      <c r="B628" s="135">
        <v>73448</v>
      </c>
      <c r="C628" s="136">
        <v>41978</v>
      </c>
      <c r="D628" s="137" t="s">
        <v>1207</v>
      </c>
      <c r="E628" s="135" t="s">
        <v>396</v>
      </c>
      <c r="F628" s="138" t="s">
        <v>115</v>
      </c>
      <c r="G628" s="139" t="s">
        <v>392</v>
      </c>
      <c r="H628" s="140"/>
      <c r="I628" s="141">
        <v>1</v>
      </c>
      <c r="J628" s="142">
        <v>33370</v>
      </c>
      <c r="K628" s="142">
        <v>33370</v>
      </c>
      <c r="L628" s="620"/>
      <c r="M628" s="651"/>
      <c r="N628" s="143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</row>
    <row r="629" spans="1:28" s="145" customFormat="1" ht="15" customHeight="1" outlineLevel="1" x14ac:dyDescent="0.2">
      <c r="A629" s="135">
        <v>8</v>
      </c>
      <c r="B629" s="135">
        <v>72352</v>
      </c>
      <c r="C629" s="136">
        <v>41976</v>
      </c>
      <c r="D629" s="137" t="s">
        <v>1208</v>
      </c>
      <c r="E629" s="135" t="s">
        <v>396</v>
      </c>
      <c r="F629" s="138" t="s">
        <v>192</v>
      </c>
      <c r="G629" s="139" t="s">
        <v>445</v>
      </c>
      <c r="H629" s="140"/>
      <c r="I629" s="141">
        <v>1</v>
      </c>
      <c r="J629" s="142">
        <v>57960</v>
      </c>
      <c r="K629" s="142">
        <v>57960</v>
      </c>
      <c r="L629" s="620"/>
      <c r="M629" s="651"/>
      <c r="N629" s="143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</row>
    <row r="630" spans="1:28" s="145" customFormat="1" ht="15" customHeight="1" outlineLevel="1" x14ac:dyDescent="0.2">
      <c r="A630" s="135">
        <v>6</v>
      </c>
      <c r="B630" s="135">
        <v>71657</v>
      </c>
      <c r="C630" s="136">
        <v>41976</v>
      </c>
      <c r="D630" s="137" t="s">
        <v>1209</v>
      </c>
      <c r="E630" s="135" t="s">
        <v>396</v>
      </c>
      <c r="F630" s="138" t="s">
        <v>217</v>
      </c>
      <c r="G630" s="139" t="s">
        <v>387</v>
      </c>
      <c r="H630" s="140"/>
      <c r="I630" s="141">
        <v>2</v>
      </c>
      <c r="J630" s="142">
        <v>44597</v>
      </c>
      <c r="K630" s="142">
        <v>89194</v>
      </c>
      <c r="L630" s="620"/>
      <c r="M630" s="651"/>
      <c r="N630" s="143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</row>
    <row r="631" spans="1:28" s="145" customFormat="1" ht="15" customHeight="1" outlineLevel="1" x14ac:dyDescent="0.2">
      <c r="A631" s="135">
        <v>47</v>
      </c>
      <c r="B631" s="135">
        <v>84012</v>
      </c>
      <c r="C631" s="136">
        <v>42002</v>
      </c>
      <c r="D631" s="137" t="s">
        <v>1210</v>
      </c>
      <c r="E631" s="135" t="s">
        <v>396</v>
      </c>
      <c r="F631" s="138" t="s">
        <v>217</v>
      </c>
      <c r="G631" s="139" t="s">
        <v>387</v>
      </c>
      <c r="H631" s="140"/>
      <c r="I631" s="141">
        <v>2</v>
      </c>
      <c r="J631" s="142">
        <v>44597</v>
      </c>
      <c r="K631" s="142">
        <v>89194</v>
      </c>
      <c r="L631" s="620"/>
      <c r="M631" s="651"/>
      <c r="N631" s="143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</row>
    <row r="632" spans="1:28" s="145" customFormat="1" ht="15" customHeight="1" outlineLevel="1" x14ac:dyDescent="0.2">
      <c r="A632" s="135">
        <v>40</v>
      </c>
      <c r="B632" s="135">
        <v>82776</v>
      </c>
      <c r="C632" s="136">
        <v>42002</v>
      </c>
      <c r="D632" s="137" t="s">
        <v>1211</v>
      </c>
      <c r="E632" s="135" t="s">
        <v>396</v>
      </c>
      <c r="F632" s="138" t="s">
        <v>116</v>
      </c>
      <c r="G632" s="139" t="s">
        <v>400</v>
      </c>
      <c r="H632" s="140"/>
      <c r="I632" s="141">
        <v>2</v>
      </c>
      <c r="J632" s="142">
        <v>5274</v>
      </c>
      <c r="K632" s="142">
        <v>10548</v>
      </c>
      <c r="L632" s="620"/>
      <c r="M632" s="651"/>
      <c r="N632" s="143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</row>
    <row r="633" spans="1:28" s="145" customFormat="1" ht="15" customHeight="1" outlineLevel="1" x14ac:dyDescent="0.2">
      <c r="A633" s="135">
        <v>48</v>
      </c>
      <c r="B633" s="135">
        <v>84228</v>
      </c>
      <c r="C633" s="136">
        <v>42002</v>
      </c>
      <c r="D633" s="137" t="s">
        <v>457</v>
      </c>
      <c r="E633" s="135" t="s">
        <v>396</v>
      </c>
      <c r="F633" s="138" t="s">
        <v>682</v>
      </c>
      <c r="G633" s="139" t="s">
        <v>387</v>
      </c>
      <c r="H633" s="140"/>
      <c r="I633" s="141">
        <v>2</v>
      </c>
      <c r="J633" s="142">
        <v>55058</v>
      </c>
      <c r="K633" s="142">
        <v>110116</v>
      </c>
      <c r="L633" s="620"/>
      <c r="M633" s="651"/>
      <c r="N633" s="143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</row>
    <row r="634" spans="1:28" s="145" customFormat="1" ht="15" customHeight="1" outlineLevel="1" x14ac:dyDescent="0.2">
      <c r="A634" s="135">
        <v>29</v>
      </c>
      <c r="B634" s="135">
        <v>82078</v>
      </c>
      <c r="C634" s="136">
        <v>41995</v>
      </c>
      <c r="D634" s="137" t="s">
        <v>470</v>
      </c>
      <c r="E634" s="135" t="s">
        <v>396</v>
      </c>
      <c r="F634" s="138" t="s">
        <v>116</v>
      </c>
      <c r="G634" s="139" t="s">
        <v>417</v>
      </c>
      <c r="H634" s="140"/>
      <c r="I634" s="141">
        <v>1</v>
      </c>
      <c r="J634" s="142">
        <v>5274</v>
      </c>
      <c r="K634" s="142">
        <v>5274</v>
      </c>
      <c r="L634" s="620"/>
      <c r="M634" s="651"/>
      <c r="N634" s="143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</row>
    <row r="635" spans="1:28" s="145" customFormat="1" ht="15" customHeight="1" outlineLevel="1" x14ac:dyDescent="0.2">
      <c r="A635" s="135">
        <v>30</v>
      </c>
      <c r="B635" s="135">
        <v>82078</v>
      </c>
      <c r="C635" s="136">
        <v>41995</v>
      </c>
      <c r="D635" s="137" t="s">
        <v>470</v>
      </c>
      <c r="E635" s="135" t="s">
        <v>396</v>
      </c>
      <c r="F635" s="138" t="s">
        <v>210</v>
      </c>
      <c r="G635" s="139" t="s">
        <v>419</v>
      </c>
      <c r="H635" s="140"/>
      <c r="I635" s="141">
        <v>1</v>
      </c>
      <c r="J635" s="142">
        <v>14099</v>
      </c>
      <c r="K635" s="142">
        <v>14099</v>
      </c>
      <c r="L635" s="620"/>
      <c r="M635" s="651"/>
      <c r="N635" s="143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</row>
    <row r="636" spans="1:28" s="145" customFormat="1" ht="15" customHeight="1" outlineLevel="1" x14ac:dyDescent="0.2">
      <c r="A636" s="135">
        <v>24</v>
      </c>
      <c r="B636" s="135">
        <v>81206</v>
      </c>
      <c r="C636" s="136">
        <v>41990</v>
      </c>
      <c r="D636" s="137" t="s">
        <v>1212</v>
      </c>
      <c r="E636" s="135" t="s">
        <v>396</v>
      </c>
      <c r="F636" s="138" t="s">
        <v>116</v>
      </c>
      <c r="G636" s="139" t="s">
        <v>1213</v>
      </c>
      <c r="H636" s="140"/>
      <c r="I636" s="141">
        <v>2</v>
      </c>
      <c r="J636" s="142">
        <v>5274</v>
      </c>
      <c r="K636" s="142">
        <v>10548</v>
      </c>
      <c r="L636" s="620"/>
      <c r="M636" s="651"/>
      <c r="N636" s="143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</row>
    <row r="637" spans="1:28" s="145" customFormat="1" ht="15" customHeight="1" outlineLevel="1" x14ac:dyDescent="0.2">
      <c r="A637" s="135">
        <v>25</v>
      </c>
      <c r="B637" s="135">
        <v>81206</v>
      </c>
      <c r="C637" s="136">
        <v>41990</v>
      </c>
      <c r="D637" s="137" t="s">
        <v>1212</v>
      </c>
      <c r="E637" s="135" t="s">
        <v>396</v>
      </c>
      <c r="F637" s="138" t="s">
        <v>210</v>
      </c>
      <c r="G637" s="139" t="s">
        <v>1213</v>
      </c>
      <c r="H637" s="140"/>
      <c r="I637" s="141">
        <v>2</v>
      </c>
      <c r="J637" s="142">
        <v>14099</v>
      </c>
      <c r="K637" s="142">
        <v>28198</v>
      </c>
      <c r="L637" s="620"/>
      <c r="M637" s="651"/>
      <c r="N637" s="143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</row>
    <row r="638" spans="1:28" s="145" customFormat="1" ht="15" customHeight="1" outlineLevel="1" x14ac:dyDescent="0.2">
      <c r="A638" s="135">
        <v>55</v>
      </c>
      <c r="B638" s="135">
        <v>84790</v>
      </c>
      <c r="C638" s="136">
        <v>41641</v>
      </c>
      <c r="D638" s="137" t="s">
        <v>1212</v>
      </c>
      <c r="E638" s="135" t="s">
        <v>396</v>
      </c>
      <c r="F638" s="138" t="s">
        <v>537</v>
      </c>
      <c r="G638" s="139" t="s">
        <v>415</v>
      </c>
      <c r="H638" s="140"/>
      <c r="I638" s="141">
        <v>1</v>
      </c>
      <c r="J638" s="142">
        <v>30429</v>
      </c>
      <c r="K638" s="142">
        <v>30429</v>
      </c>
      <c r="L638" s="620"/>
      <c r="M638" s="651"/>
      <c r="N638" s="143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</row>
    <row r="639" spans="1:28" s="145" customFormat="1" ht="15" customHeight="1" outlineLevel="1" x14ac:dyDescent="0.2">
      <c r="A639" s="135">
        <v>27</v>
      </c>
      <c r="B639" s="135">
        <v>81912</v>
      </c>
      <c r="C639" s="136">
        <v>41995</v>
      </c>
      <c r="D639" s="137" t="s">
        <v>1214</v>
      </c>
      <c r="E639" s="135" t="s">
        <v>396</v>
      </c>
      <c r="F639" s="138" t="s">
        <v>580</v>
      </c>
      <c r="G639" s="139" t="s">
        <v>371</v>
      </c>
      <c r="H639" s="140"/>
      <c r="I639" s="141">
        <v>1</v>
      </c>
      <c r="J639" s="142">
        <v>25800</v>
      </c>
      <c r="K639" s="142">
        <v>25800</v>
      </c>
      <c r="L639" s="620"/>
      <c r="M639" s="651"/>
      <c r="N639" s="143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</row>
    <row r="640" spans="1:28" s="145" customFormat="1" ht="15" customHeight="1" outlineLevel="1" x14ac:dyDescent="0.2">
      <c r="A640" s="135">
        <v>37</v>
      </c>
      <c r="B640" s="135">
        <v>82569</v>
      </c>
      <c r="C640" s="136">
        <v>41996</v>
      </c>
      <c r="D640" s="137" t="s">
        <v>1215</v>
      </c>
      <c r="E640" s="135" t="s">
        <v>396</v>
      </c>
      <c r="F640" s="138" t="s">
        <v>116</v>
      </c>
      <c r="G640" s="139" t="s">
        <v>431</v>
      </c>
      <c r="H640" s="140"/>
      <c r="I640" s="141">
        <v>1</v>
      </c>
      <c r="J640" s="142">
        <v>5274</v>
      </c>
      <c r="K640" s="142">
        <v>5274</v>
      </c>
      <c r="L640" s="620"/>
      <c r="M640" s="651"/>
      <c r="N640" s="143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</row>
    <row r="641" spans="1:28" s="145" customFormat="1" ht="15" customHeight="1" outlineLevel="1" x14ac:dyDescent="0.2">
      <c r="A641" s="135">
        <v>2</v>
      </c>
      <c r="B641" s="135">
        <v>52830</v>
      </c>
      <c r="C641" s="136">
        <v>41988</v>
      </c>
      <c r="D641" s="137" t="s">
        <v>1216</v>
      </c>
      <c r="E641" s="135" t="s">
        <v>396</v>
      </c>
      <c r="F641" s="138" t="s">
        <v>577</v>
      </c>
      <c r="G641" s="139" t="s">
        <v>431</v>
      </c>
      <c r="H641" s="140"/>
      <c r="I641" s="141">
        <v>1</v>
      </c>
      <c r="J641" s="142">
        <v>49701</v>
      </c>
      <c r="K641" s="142">
        <v>49701</v>
      </c>
      <c r="L641" s="620"/>
      <c r="M641" s="651"/>
      <c r="N641" s="143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</row>
    <row r="642" spans="1:28" s="145" customFormat="1" ht="15" customHeight="1" outlineLevel="1" x14ac:dyDescent="0.2">
      <c r="A642" s="135">
        <v>16</v>
      </c>
      <c r="B642" s="135">
        <v>74368</v>
      </c>
      <c r="C642" s="136">
        <v>41982</v>
      </c>
      <c r="D642" s="137" t="s">
        <v>1192</v>
      </c>
      <c r="E642" s="135" t="s">
        <v>396</v>
      </c>
      <c r="F642" s="138" t="s">
        <v>115</v>
      </c>
      <c r="G642" s="139" t="s">
        <v>404</v>
      </c>
      <c r="H642" s="140"/>
      <c r="I642" s="141">
        <v>1</v>
      </c>
      <c r="J642" s="142">
        <v>33370</v>
      </c>
      <c r="K642" s="142">
        <v>33370</v>
      </c>
      <c r="L642" s="620"/>
      <c r="M642" s="651"/>
      <c r="N642" s="143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</row>
    <row r="643" spans="1:28" s="145" customFormat="1" ht="15" customHeight="1" outlineLevel="1" x14ac:dyDescent="0.2">
      <c r="A643" s="135">
        <v>18</v>
      </c>
      <c r="B643" s="135">
        <v>74643</v>
      </c>
      <c r="C643" s="136">
        <v>41983</v>
      </c>
      <c r="D643" s="137" t="s">
        <v>1217</v>
      </c>
      <c r="E643" s="135" t="s">
        <v>396</v>
      </c>
      <c r="F643" s="138" t="s">
        <v>537</v>
      </c>
      <c r="G643" s="139" t="s">
        <v>645</v>
      </c>
      <c r="H643" s="140"/>
      <c r="I643" s="141">
        <v>1</v>
      </c>
      <c r="J643" s="142">
        <v>30429</v>
      </c>
      <c r="K643" s="142">
        <v>30429</v>
      </c>
      <c r="L643" s="620"/>
      <c r="M643" s="651"/>
      <c r="N643" s="143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</row>
    <row r="644" spans="1:28" s="145" customFormat="1" ht="15" customHeight="1" outlineLevel="1" x14ac:dyDescent="0.2">
      <c r="A644" s="135">
        <v>36</v>
      </c>
      <c r="B644" s="135">
        <v>82552</v>
      </c>
      <c r="C644" s="136">
        <v>41995</v>
      </c>
      <c r="D644" s="137" t="s">
        <v>1131</v>
      </c>
      <c r="E644" s="135" t="s">
        <v>396</v>
      </c>
      <c r="F644" s="138" t="s">
        <v>115</v>
      </c>
      <c r="G644" s="139" t="s">
        <v>527</v>
      </c>
      <c r="H644" s="140"/>
      <c r="I644" s="141">
        <v>1</v>
      </c>
      <c r="J644" s="142">
        <v>33370</v>
      </c>
      <c r="K644" s="142">
        <v>33370</v>
      </c>
      <c r="L644" s="620"/>
      <c r="M644" s="651"/>
      <c r="N644" s="143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</row>
    <row r="645" spans="1:28" s="145" customFormat="1" ht="15" customHeight="1" outlineLevel="1" x14ac:dyDescent="0.2">
      <c r="A645" s="135">
        <v>3</v>
      </c>
      <c r="B645" s="135">
        <v>71397</v>
      </c>
      <c r="C645" s="136">
        <v>41974</v>
      </c>
      <c r="D645" s="137" t="s">
        <v>1218</v>
      </c>
      <c r="E645" s="135" t="s">
        <v>1219</v>
      </c>
      <c r="F645" s="138" t="s">
        <v>173</v>
      </c>
      <c r="G645" s="139" t="s">
        <v>371</v>
      </c>
      <c r="H645" s="140"/>
      <c r="I645" s="141">
        <v>1</v>
      </c>
      <c r="J645" s="142">
        <v>18764</v>
      </c>
      <c r="K645" s="142">
        <v>18764</v>
      </c>
      <c r="L645" s="620"/>
      <c r="M645" s="651"/>
      <c r="N645" s="143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</row>
    <row r="646" spans="1:28" s="145" customFormat="1" ht="15" customHeight="1" outlineLevel="1" x14ac:dyDescent="0.2">
      <c r="A646" s="135">
        <v>49</v>
      </c>
      <c r="B646" s="135">
        <v>84233</v>
      </c>
      <c r="C646" s="136">
        <v>42000</v>
      </c>
      <c r="D646" s="137" t="s">
        <v>1220</v>
      </c>
      <c r="E646" s="135" t="s">
        <v>1219</v>
      </c>
      <c r="F646" s="138" t="s">
        <v>1221</v>
      </c>
      <c r="G646" s="139" t="s">
        <v>371</v>
      </c>
      <c r="H646" s="140"/>
      <c r="I646" s="141">
        <v>1</v>
      </c>
      <c r="J646" s="142">
        <v>30429</v>
      </c>
      <c r="K646" s="142">
        <v>30429</v>
      </c>
      <c r="L646" s="620"/>
      <c r="M646" s="651"/>
      <c r="N646" s="143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</row>
    <row r="647" spans="1:28" s="145" customFormat="1" ht="15" customHeight="1" outlineLevel="1" x14ac:dyDescent="0.2">
      <c r="A647" s="135">
        <v>20</v>
      </c>
      <c r="B647" s="135">
        <v>80430</v>
      </c>
      <c r="C647" s="136">
        <v>41989</v>
      </c>
      <c r="D647" s="137" t="s">
        <v>1222</v>
      </c>
      <c r="E647" s="135" t="s">
        <v>1068</v>
      </c>
      <c r="F647" s="138" t="s">
        <v>173</v>
      </c>
      <c r="G647" s="139" t="s">
        <v>371</v>
      </c>
      <c r="H647" s="140"/>
      <c r="I647" s="141">
        <v>1</v>
      </c>
      <c r="J647" s="142">
        <v>18764</v>
      </c>
      <c r="K647" s="142">
        <v>18764</v>
      </c>
      <c r="L647" s="620"/>
      <c r="M647" s="651"/>
      <c r="N647" s="143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</row>
    <row r="648" spans="1:28" s="145" customFormat="1" ht="15" customHeight="1" outlineLevel="1" x14ac:dyDescent="0.2">
      <c r="A648" s="135">
        <v>11</v>
      </c>
      <c r="B648" s="135">
        <v>72856</v>
      </c>
      <c r="C648" s="136">
        <v>41977</v>
      </c>
      <c r="D648" s="137" t="s">
        <v>1223</v>
      </c>
      <c r="E648" s="135" t="s">
        <v>1068</v>
      </c>
      <c r="F648" s="138" t="s">
        <v>1224</v>
      </c>
      <c r="G648" s="139" t="s">
        <v>371</v>
      </c>
      <c r="H648" s="140"/>
      <c r="I648" s="141">
        <v>1</v>
      </c>
      <c r="J648" s="142">
        <v>14200</v>
      </c>
      <c r="K648" s="142">
        <v>14200</v>
      </c>
      <c r="L648" s="621"/>
      <c r="M648" s="651"/>
      <c r="N648" s="143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</row>
    <row r="649" spans="1:28" s="134" customFormat="1" ht="15" customHeight="1" outlineLevel="1" x14ac:dyDescent="0.2">
      <c r="A649" s="122">
        <v>5</v>
      </c>
      <c r="B649" s="122">
        <v>86014</v>
      </c>
      <c r="C649" s="123">
        <v>41642</v>
      </c>
      <c r="D649" s="124" t="s">
        <v>1225</v>
      </c>
      <c r="E649" s="122" t="s">
        <v>476</v>
      </c>
      <c r="F649" s="125" t="s">
        <v>217</v>
      </c>
      <c r="G649" s="126" t="s">
        <v>369</v>
      </c>
      <c r="H649" s="127" t="s">
        <v>489</v>
      </c>
      <c r="I649" s="128">
        <v>1</v>
      </c>
      <c r="J649" s="129">
        <v>44597</v>
      </c>
      <c r="K649" s="129">
        <v>44597</v>
      </c>
      <c r="L649" s="613" t="s">
        <v>555</v>
      </c>
      <c r="M649" s="645" t="s">
        <v>36</v>
      </c>
      <c r="N649" s="132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</row>
    <row r="650" spans="1:28" s="134" customFormat="1" ht="15" customHeight="1" outlineLevel="1" x14ac:dyDescent="0.2">
      <c r="A650" s="122">
        <v>6</v>
      </c>
      <c r="B650" s="122">
        <v>90590</v>
      </c>
      <c r="C650" s="123">
        <v>41661</v>
      </c>
      <c r="D650" s="124" t="s">
        <v>1226</v>
      </c>
      <c r="E650" s="122" t="s">
        <v>476</v>
      </c>
      <c r="F650" s="125" t="s">
        <v>537</v>
      </c>
      <c r="G650" s="126" t="s">
        <v>472</v>
      </c>
      <c r="H650" s="127" t="s">
        <v>1227</v>
      </c>
      <c r="I650" s="128">
        <v>1</v>
      </c>
      <c r="J650" s="129">
        <v>30429</v>
      </c>
      <c r="K650" s="129">
        <v>30429</v>
      </c>
      <c r="L650" s="614"/>
      <c r="M650" s="646"/>
      <c r="N650" s="132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</row>
    <row r="651" spans="1:28" s="134" customFormat="1" ht="15" customHeight="1" outlineLevel="1" x14ac:dyDescent="0.2">
      <c r="A651" s="122">
        <v>8</v>
      </c>
      <c r="B651" s="122">
        <v>86269</v>
      </c>
      <c r="C651" s="123">
        <v>41647</v>
      </c>
      <c r="D651" s="124" t="s">
        <v>1228</v>
      </c>
      <c r="E651" s="122" t="s">
        <v>505</v>
      </c>
      <c r="F651" s="125" t="s">
        <v>580</v>
      </c>
      <c r="G651" s="126" t="s">
        <v>371</v>
      </c>
      <c r="H651" s="127"/>
      <c r="I651" s="128">
        <v>1</v>
      </c>
      <c r="J651" s="129">
        <v>25800</v>
      </c>
      <c r="K651" s="129">
        <v>25800</v>
      </c>
      <c r="L651" s="614"/>
      <c r="M651" s="646"/>
      <c r="N651" s="132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</row>
    <row r="652" spans="1:28" s="134" customFormat="1" ht="15" customHeight="1" outlineLevel="1" x14ac:dyDescent="0.2">
      <c r="A652" s="122">
        <v>9</v>
      </c>
      <c r="B652" s="122">
        <v>76648</v>
      </c>
      <c r="C652" s="123">
        <v>41610</v>
      </c>
      <c r="D652" s="124" t="s">
        <v>1229</v>
      </c>
      <c r="E652" s="122" t="s">
        <v>545</v>
      </c>
      <c r="F652" s="125" t="s">
        <v>537</v>
      </c>
      <c r="G652" s="126" t="s">
        <v>431</v>
      </c>
      <c r="H652" s="127" t="s">
        <v>629</v>
      </c>
      <c r="I652" s="128">
        <v>1</v>
      </c>
      <c r="J652" s="129">
        <v>30429</v>
      </c>
      <c r="K652" s="129">
        <v>30429</v>
      </c>
      <c r="L652" s="614"/>
      <c r="M652" s="646"/>
      <c r="N652" s="132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</row>
    <row r="653" spans="1:28" s="134" customFormat="1" ht="15" customHeight="1" outlineLevel="1" x14ac:dyDescent="0.2">
      <c r="A653" s="122">
        <v>10</v>
      </c>
      <c r="B653" s="122">
        <v>76088</v>
      </c>
      <c r="C653" s="123">
        <v>41610</v>
      </c>
      <c r="D653" s="124" t="s">
        <v>981</v>
      </c>
      <c r="E653" s="122" t="s">
        <v>474</v>
      </c>
      <c r="F653" s="125" t="s">
        <v>580</v>
      </c>
      <c r="G653" s="126" t="s">
        <v>371</v>
      </c>
      <c r="H653" s="127"/>
      <c r="I653" s="128">
        <v>1</v>
      </c>
      <c r="J653" s="129">
        <v>25800</v>
      </c>
      <c r="K653" s="129">
        <v>25800</v>
      </c>
      <c r="L653" s="614"/>
      <c r="M653" s="646"/>
      <c r="N653" s="132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</row>
    <row r="654" spans="1:28" s="134" customFormat="1" ht="15" customHeight="1" outlineLevel="1" x14ac:dyDescent="0.2">
      <c r="A654" s="122">
        <v>11</v>
      </c>
      <c r="B654" s="122">
        <v>89920</v>
      </c>
      <c r="C654" s="123">
        <v>41659</v>
      </c>
      <c r="D654" s="124" t="s">
        <v>1230</v>
      </c>
      <c r="E654" s="122" t="s">
        <v>474</v>
      </c>
      <c r="F654" s="125" t="s">
        <v>580</v>
      </c>
      <c r="G654" s="126" t="s">
        <v>371</v>
      </c>
      <c r="H654" s="127"/>
      <c r="I654" s="128">
        <v>1</v>
      </c>
      <c r="J654" s="129">
        <v>25800</v>
      </c>
      <c r="K654" s="129">
        <v>25800</v>
      </c>
      <c r="L654" s="614"/>
      <c r="M654" s="646"/>
      <c r="N654" s="132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</row>
    <row r="655" spans="1:28" s="134" customFormat="1" ht="15" customHeight="1" outlineLevel="1" x14ac:dyDescent="0.2">
      <c r="A655" s="122">
        <v>12</v>
      </c>
      <c r="B655" s="122">
        <v>85508</v>
      </c>
      <c r="C655" s="123">
        <v>41641</v>
      </c>
      <c r="D655" s="124" t="s">
        <v>1231</v>
      </c>
      <c r="E655" s="122" t="s">
        <v>476</v>
      </c>
      <c r="F655" s="125" t="s">
        <v>188</v>
      </c>
      <c r="G655" s="126" t="s">
        <v>534</v>
      </c>
      <c r="H655" s="127" t="s">
        <v>735</v>
      </c>
      <c r="I655" s="128">
        <v>1</v>
      </c>
      <c r="J655" s="129">
        <v>42601</v>
      </c>
      <c r="K655" s="129">
        <v>42601</v>
      </c>
      <c r="L655" s="614"/>
      <c r="M655" s="646"/>
      <c r="N655" s="132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</row>
    <row r="656" spans="1:28" s="134" customFormat="1" ht="15" customHeight="1" outlineLevel="1" x14ac:dyDescent="0.2">
      <c r="A656" s="122">
        <v>13</v>
      </c>
      <c r="B656" s="122">
        <v>86162</v>
      </c>
      <c r="C656" s="123">
        <v>41645</v>
      </c>
      <c r="D656" s="124" t="s">
        <v>1232</v>
      </c>
      <c r="E656" s="122" t="s">
        <v>476</v>
      </c>
      <c r="F656" s="125" t="s">
        <v>580</v>
      </c>
      <c r="G656" s="126" t="s">
        <v>371</v>
      </c>
      <c r="H656" s="127"/>
      <c r="I656" s="128">
        <v>1</v>
      </c>
      <c r="J656" s="129">
        <v>25800</v>
      </c>
      <c r="K656" s="129">
        <v>25800</v>
      </c>
      <c r="L656" s="614"/>
      <c r="M656" s="646"/>
      <c r="N656" s="132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</row>
    <row r="657" spans="1:28" s="134" customFormat="1" ht="15" customHeight="1" outlineLevel="1" x14ac:dyDescent="0.2">
      <c r="A657" s="122">
        <v>14</v>
      </c>
      <c r="B657" s="122">
        <v>85578</v>
      </c>
      <c r="C657" s="123">
        <v>41639</v>
      </c>
      <c r="D657" s="124" t="s">
        <v>1233</v>
      </c>
      <c r="E657" s="122" t="s">
        <v>1234</v>
      </c>
      <c r="F657" s="125" t="s">
        <v>577</v>
      </c>
      <c r="G657" s="126" t="s">
        <v>472</v>
      </c>
      <c r="H657" s="127" t="s">
        <v>569</v>
      </c>
      <c r="I657" s="128">
        <v>1</v>
      </c>
      <c r="J657" s="129">
        <v>49701</v>
      </c>
      <c r="K657" s="129">
        <v>49701</v>
      </c>
      <c r="L657" s="614"/>
      <c r="M657" s="646"/>
      <c r="N657" s="132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</row>
    <row r="658" spans="1:28" s="134" customFormat="1" ht="15" customHeight="1" outlineLevel="1" x14ac:dyDescent="0.2">
      <c r="A658" s="122">
        <v>15</v>
      </c>
      <c r="B658" s="122">
        <v>88900</v>
      </c>
      <c r="C658" s="123">
        <v>41654</v>
      </c>
      <c r="D658" s="124" t="s">
        <v>1235</v>
      </c>
      <c r="E658" s="122" t="s">
        <v>481</v>
      </c>
      <c r="F658" s="125" t="s">
        <v>217</v>
      </c>
      <c r="G658" s="126" t="s">
        <v>369</v>
      </c>
      <c r="H658" s="127" t="s">
        <v>1236</v>
      </c>
      <c r="I658" s="128">
        <v>1</v>
      </c>
      <c r="J658" s="129">
        <v>44597</v>
      </c>
      <c r="K658" s="129">
        <v>44597</v>
      </c>
      <c r="L658" s="614"/>
      <c r="M658" s="646"/>
      <c r="N658" s="132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</row>
    <row r="659" spans="1:28" s="134" customFormat="1" ht="15" customHeight="1" outlineLevel="1" x14ac:dyDescent="0.2">
      <c r="A659" s="122">
        <v>18</v>
      </c>
      <c r="B659" s="122">
        <v>93637</v>
      </c>
      <c r="C659" s="123">
        <v>41670</v>
      </c>
      <c r="D659" s="124" t="s">
        <v>1237</v>
      </c>
      <c r="E659" s="122" t="s">
        <v>476</v>
      </c>
      <c r="F659" s="125" t="s">
        <v>217</v>
      </c>
      <c r="G659" s="126" t="s">
        <v>371</v>
      </c>
      <c r="H659" s="127" t="s">
        <v>489</v>
      </c>
      <c r="I659" s="128">
        <v>1</v>
      </c>
      <c r="J659" s="129">
        <v>44597</v>
      </c>
      <c r="K659" s="129">
        <v>44597</v>
      </c>
      <c r="L659" s="614"/>
      <c r="M659" s="646"/>
      <c r="N659" s="132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</row>
    <row r="660" spans="1:28" s="134" customFormat="1" ht="15" customHeight="1" outlineLevel="1" x14ac:dyDescent="0.2">
      <c r="A660" s="122">
        <v>19</v>
      </c>
      <c r="B660" s="122">
        <v>69719</v>
      </c>
      <c r="C660" s="123">
        <v>41586</v>
      </c>
      <c r="D660" s="124" t="s">
        <v>1238</v>
      </c>
      <c r="E660" s="122" t="s">
        <v>484</v>
      </c>
      <c r="F660" s="125" t="s">
        <v>577</v>
      </c>
      <c r="G660" s="126" t="s">
        <v>415</v>
      </c>
      <c r="H660" s="127" t="s">
        <v>583</v>
      </c>
      <c r="I660" s="128">
        <v>1</v>
      </c>
      <c r="J660" s="129">
        <v>49701</v>
      </c>
      <c r="K660" s="129">
        <v>49701</v>
      </c>
      <c r="L660" s="614"/>
      <c r="M660" s="646"/>
      <c r="N660" s="132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</row>
    <row r="661" spans="1:28" s="134" customFormat="1" ht="15" customHeight="1" outlineLevel="1" x14ac:dyDescent="0.2">
      <c r="A661" s="122">
        <v>20</v>
      </c>
      <c r="B661" s="122">
        <v>89127</v>
      </c>
      <c r="C661" s="123">
        <v>41659</v>
      </c>
      <c r="D661" s="124" t="s">
        <v>1239</v>
      </c>
      <c r="E661" s="122" t="s">
        <v>481</v>
      </c>
      <c r="F661" s="125" t="s">
        <v>116</v>
      </c>
      <c r="G661" s="126" t="s">
        <v>407</v>
      </c>
      <c r="H661" s="127" t="s">
        <v>489</v>
      </c>
      <c r="I661" s="128">
        <v>1</v>
      </c>
      <c r="J661" s="129">
        <v>5274</v>
      </c>
      <c r="K661" s="129">
        <v>5274</v>
      </c>
      <c r="L661" s="614"/>
      <c r="M661" s="646"/>
      <c r="N661" s="132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</row>
    <row r="662" spans="1:28" s="134" customFormat="1" ht="15" customHeight="1" outlineLevel="1" x14ac:dyDescent="0.2">
      <c r="A662" s="122">
        <v>21</v>
      </c>
      <c r="B662" s="122">
        <v>89654</v>
      </c>
      <c r="C662" s="123">
        <v>41656</v>
      </c>
      <c r="D662" s="124" t="s">
        <v>1240</v>
      </c>
      <c r="E662" s="122" t="s">
        <v>476</v>
      </c>
      <c r="F662" s="125" t="s">
        <v>217</v>
      </c>
      <c r="G662" s="126" t="s">
        <v>371</v>
      </c>
      <c r="H662" s="127" t="s">
        <v>489</v>
      </c>
      <c r="I662" s="128">
        <v>1</v>
      </c>
      <c r="J662" s="129">
        <v>44597</v>
      </c>
      <c r="K662" s="129">
        <v>44597</v>
      </c>
      <c r="L662" s="614"/>
      <c r="M662" s="646"/>
      <c r="N662" s="132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</row>
    <row r="663" spans="1:28" s="134" customFormat="1" ht="15" customHeight="1" outlineLevel="1" x14ac:dyDescent="0.2">
      <c r="A663" s="122">
        <v>22</v>
      </c>
      <c r="B663" s="122">
        <v>89654</v>
      </c>
      <c r="C663" s="123">
        <v>41656</v>
      </c>
      <c r="D663" s="124" t="s">
        <v>1240</v>
      </c>
      <c r="E663" s="122" t="s">
        <v>476</v>
      </c>
      <c r="F663" s="125" t="s">
        <v>217</v>
      </c>
      <c r="G663" s="126" t="s">
        <v>369</v>
      </c>
      <c r="H663" s="127" t="s">
        <v>489</v>
      </c>
      <c r="I663" s="128">
        <v>1</v>
      </c>
      <c r="J663" s="129">
        <v>44597</v>
      </c>
      <c r="K663" s="129">
        <v>44597</v>
      </c>
      <c r="L663" s="614"/>
      <c r="M663" s="646"/>
      <c r="N663" s="132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</row>
    <row r="664" spans="1:28" s="134" customFormat="1" ht="15" customHeight="1" outlineLevel="1" x14ac:dyDescent="0.2">
      <c r="A664" s="122">
        <v>24</v>
      </c>
      <c r="B664" s="122">
        <v>92805</v>
      </c>
      <c r="C664" s="123">
        <v>41668</v>
      </c>
      <c r="D664" s="124" t="s">
        <v>1241</v>
      </c>
      <c r="E664" s="122" t="s">
        <v>476</v>
      </c>
      <c r="F664" s="125" t="s">
        <v>217</v>
      </c>
      <c r="G664" s="126" t="s">
        <v>371</v>
      </c>
      <c r="H664" s="127" t="s">
        <v>573</v>
      </c>
      <c r="I664" s="128">
        <v>1</v>
      </c>
      <c r="J664" s="129">
        <v>44597</v>
      </c>
      <c r="K664" s="129">
        <v>44597</v>
      </c>
      <c r="L664" s="614"/>
      <c r="M664" s="646"/>
      <c r="N664" s="132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</row>
    <row r="665" spans="1:28" s="134" customFormat="1" ht="15" customHeight="1" outlineLevel="1" x14ac:dyDescent="0.2">
      <c r="A665" s="122">
        <v>25</v>
      </c>
      <c r="B665" s="122">
        <v>85913</v>
      </c>
      <c r="C665" s="123">
        <v>41642</v>
      </c>
      <c r="D665" s="124" t="s">
        <v>1242</v>
      </c>
      <c r="E665" s="122" t="s">
        <v>476</v>
      </c>
      <c r="F665" s="125" t="s">
        <v>217</v>
      </c>
      <c r="G665" s="126" t="s">
        <v>485</v>
      </c>
      <c r="H665" s="127" t="s">
        <v>489</v>
      </c>
      <c r="I665" s="128">
        <v>2</v>
      </c>
      <c r="J665" s="129">
        <v>44597</v>
      </c>
      <c r="K665" s="129">
        <v>89194</v>
      </c>
      <c r="L665" s="614"/>
      <c r="M665" s="646"/>
      <c r="N665" s="132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</row>
    <row r="666" spans="1:28" s="134" customFormat="1" ht="15" customHeight="1" outlineLevel="1" x14ac:dyDescent="0.2">
      <c r="A666" s="122">
        <v>26</v>
      </c>
      <c r="B666" s="122">
        <v>86751</v>
      </c>
      <c r="C666" s="123">
        <v>41647</v>
      </c>
      <c r="D666" s="124" t="s">
        <v>1243</v>
      </c>
      <c r="E666" s="122" t="s">
        <v>474</v>
      </c>
      <c r="F666" s="125" t="s">
        <v>580</v>
      </c>
      <c r="G666" s="126" t="s">
        <v>371</v>
      </c>
      <c r="H666" s="127"/>
      <c r="I666" s="128">
        <v>1</v>
      </c>
      <c r="J666" s="129">
        <v>25800</v>
      </c>
      <c r="K666" s="129">
        <v>25800</v>
      </c>
      <c r="L666" s="614"/>
      <c r="M666" s="646"/>
      <c r="N666" s="132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</row>
    <row r="667" spans="1:28" s="134" customFormat="1" ht="15" customHeight="1" outlineLevel="1" x14ac:dyDescent="0.2">
      <c r="A667" s="122">
        <v>27</v>
      </c>
      <c r="B667" s="122">
        <v>87004</v>
      </c>
      <c r="C667" s="123">
        <v>41648</v>
      </c>
      <c r="D667" s="124" t="s">
        <v>1244</v>
      </c>
      <c r="E667" s="122" t="s">
        <v>476</v>
      </c>
      <c r="F667" s="125" t="s">
        <v>217</v>
      </c>
      <c r="G667" s="126" t="s">
        <v>369</v>
      </c>
      <c r="H667" s="127" t="s">
        <v>489</v>
      </c>
      <c r="I667" s="128">
        <v>1</v>
      </c>
      <c r="J667" s="129">
        <v>44597</v>
      </c>
      <c r="K667" s="129">
        <v>44597</v>
      </c>
      <c r="L667" s="614"/>
      <c r="M667" s="646"/>
      <c r="N667" s="132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</row>
    <row r="668" spans="1:28" s="134" customFormat="1" ht="15" customHeight="1" outlineLevel="1" x14ac:dyDescent="0.2">
      <c r="A668" s="122">
        <v>28</v>
      </c>
      <c r="B668" s="122">
        <v>92701</v>
      </c>
      <c r="C668" s="123">
        <v>41668</v>
      </c>
      <c r="D668" s="124" t="s">
        <v>1245</v>
      </c>
      <c r="E668" s="122" t="s">
        <v>476</v>
      </c>
      <c r="F668" s="125" t="s">
        <v>116</v>
      </c>
      <c r="G668" s="126" t="s">
        <v>527</v>
      </c>
      <c r="H668" s="127" t="s">
        <v>489</v>
      </c>
      <c r="I668" s="128">
        <v>1</v>
      </c>
      <c r="J668" s="129">
        <v>5274</v>
      </c>
      <c r="K668" s="129">
        <v>5274</v>
      </c>
      <c r="L668" s="614"/>
      <c r="M668" s="646"/>
      <c r="N668" s="132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</row>
    <row r="669" spans="1:28" s="134" customFormat="1" ht="15" customHeight="1" outlineLevel="1" x14ac:dyDescent="0.2">
      <c r="A669" s="122">
        <v>29</v>
      </c>
      <c r="B669" s="122">
        <v>90141</v>
      </c>
      <c r="C669" s="123">
        <v>41660</v>
      </c>
      <c r="D669" s="124" t="s">
        <v>1246</v>
      </c>
      <c r="E669" s="122" t="s">
        <v>476</v>
      </c>
      <c r="F669" s="125" t="s">
        <v>115</v>
      </c>
      <c r="G669" s="126" t="s">
        <v>392</v>
      </c>
      <c r="H669" s="127" t="s">
        <v>735</v>
      </c>
      <c r="I669" s="128">
        <v>1</v>
      </c>
      <c r="J669" s="129">
        <v>33370</v>
      </c>
      <c r="K669" s="129">
        <v>33370</v>
      </c>
      <c r="L669" s="614"/>
      <c r="M669" s="646"/>
      <c r="N669" s="132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</row>
    <row r="670" spans="1:28" s="134" customFormat="1" ht="15" customHeight="1" outlineLevel="1" x14ac:dyDescent="0.2">
      <c r="A670" s="122">
        <v>30</v>
      </c>
      <c r="B670" s="122">
        <v>92977</v>
      </c>
      <c r="C670" s="123">
        <v>41670</v>
      </c>
      <c r="D670" s="124" t="s">
        <v>1247</v>
      </c>
      <c r="E670" s="122" t="s">
        <v>476</v>
      </c>
      <c r="F670" s="125" t="s">
        <v>116</v>
      </c>
      <c r="G670" s="126" t="s">
        <v>645</v>
      </c>
      <c r="H670" s="127" t="s">
        <v>486</v>
      </c>
      <c r="I670" s="128">
        <v>1</v>
      </c>
      <c r="J670" s="129">
        <v>5274</v>
      </c>
      <c r="K670" s="129">
        <v>5274</v>
      </c>
      <c r="L670" s="614"/>
      <c r="M670" s="646"/>
      <c r="N670" s="132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</row>
    <row r="671" spans="1:28" s="134" customFormat="1" ht="15" customHeight="1" outlineLevel="1" x14ac:dyDescent="0.2">
      <c r="A671" s="166">
        <v>31</v>
      </c>
      <c r="B671" s="122">
        <v>93567</v>
      </c>
      <c r="C671" s="123">
        <v>41670</v>
      </c>
      <c r="D671" s="124" t="s">
        <v>1248</v>
      </c>
      <c r="E671" s="122" t="s">
        <v>476</v>
      </c>
      <c r="F671" s="125" t="s">
        <v>204</v>
      </c>
      <c r="G671" s="126" t="s">
        <v>527</v>
      </c>
      <c r="H671" s="127"/>
      <c r="I671" s="128">
        <v>12</v>
      </c>
      <c r="J671" s="129">
        <v>17244</v>
      </c>
      <c r="K671" s="129">
        <v>206928</v>
      </c>
      <c r="L671" s="614"/>
      <c r="M671" s="646"/>
      <c r="N671" s="132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</row>
    <row r="672" spans="1:28" s="134" customFormat="1" ht="15" customHeight="1" outlineLevel="1" x14ac:dyDescent="0.2">
      <c r="A672" s="122">
        <v>32</v>
      </c>
      <c r="B672" s="122">
        <v>76955</v>
      </c>
      <c r="C672" s="123">
        <v>41613</v>
      </c>
      <c r="D672" s="124" t="s">
        <v>1249</v>
      </c>
      <c r="E672" s="122" t="s">
        <v>545</v>
      </c>
      <c r="F672" s="125" t="s">
        <v>217</v>
      </c>
      <c r="G672" s="126" t="s">
        <v>371</v>
      </c>
      <c r="H672" s="127" t="s">
        <v>1250</v>
      </c>
      <c r="I672" s="128">
        <v>1</v>
      </c>
      <c r="J672" s="129">
        <v>44597</v>
      </c>
      <c r="K672" s="129">
        <v>44597</v>
      </c>
      <c r="L672" s="614"/>
      <c r="M672" s="646"/>
      <c r="N672" s="132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</row>
    <row r="673" spans="1:28" s="134" customFormat="1" ht="15" customHeight="1" outlineLevel="1" x14ac:dyDescent="0.2">
      <c r="A673" s="122">
        <v>33</v>
      </c>
      <c r="B673" s="122">
        <v>74240</v>
      </c>
      <c r="C673" s="123">
        <v>41603</v>
      </c>
      <c r="D673" s="124" t="s">
        <v>1251</v>
      </c>
      <c r="E673" s="122" t="s">
        <v>476</v>
      </c>
      <c r="F673" s="125" t="s">
        <v>204</v>
      </c>
      <c r="G673" s="126" t="s">
        <v>562</v>
      </c>
      <c r="H673" s="127"/>
      <c r="I673" s="128">
        <v>1</v>
      </c>
      <c r="J673" s="129">
        <v>17244</v>
      </c>
      <c r="K673" s="129">
        <v>17244</v>
      </c>
      <c r="L673" s="614"/>
      <c r="M673" s="646"/>
      <c r="N673" s="132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</row>
    <row r="674" spans="1:28" s="134" customFormat="1" ht="15" customHeight="1" outlineLevel="1" x14ac:dyDescent="0.2">
      <c r="A674" s="122">
        <v>34</v>
      </c>
      <c r="B674" s="122">
        <v>89866</v>
      </c>
      <c r="C674" s="123">
        <v>41659</v>
      </c>
      <c r="D674" s="124" t="s">
        <v>1252</v>
      </c>
      <c r="E674" s="122" t="s">
        <v>476</v>
      </c>
      <c r="F674" s="125" t="s">
        <v>537</v>
      </c>
      <c r="G674" s="126" t="s">
        <v>472</v>
      </c>
      <c r="H674" s="127" t="s">
        <v>1253</v>
      </c>
      <c r="I674" s="128">
        <v>1</v>
      </c>
      <c r="J674" s="129">
        <v>30429</v>
      </c>
      <c r="K674" s="129">
        <v>30429</v>
      </c>
      <c r="L674" s="614"/>
      <c r="M674" s="646"/>
      <c r="N674" s="132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</row>
    <row r="675" spans="1:28" s="134" customFormat="1" ht="15" customHeight="1" outlineLevel="1" x14ac:dyDescent="0.2">
      <c r="A675" s="122">
        <v>35</v>
      </c>
      <c r="B675" s="122">
        <v>86043</v>
      </c>
      <c r="C675" s="123">
        <v>41645</v>
      </c>
      <c r="D675" s="124" t="s">
        <v>1254</v>
      </c>
      <c r="E675" s="122" t="s">
        <v>476</v>
      </c>
      <c r="F675" s="125" t="s">
        <v>116</v>
      </c>
      <c r="G675" s="126" t="s">
        <v>1255</v>
      </c>
      <c r="H675" s="127" t="s">
        <v>489</v>
      </c>
      <c r="I675" s="128">
        <v>5</v>
      </c>
      <c r="J675" s="129">
        <v>5274</v>
      </c>
      <c r="K675" s="129">
        <v>26370</v>
      </c>
      <c r="L675" s="614"/>
      <c r="M675" s="646"/>
      <c r="N675" s="132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</row>
    <row r="676" spans="1:28" s="134" customFormat="1" ht="15" customHeight="1" outlineLevel="1" x14ac:dyDescent="0.2">
      <c r="A676" s="122">
        <v>36</v>
      </c>
      <c r="B676" s="122">
        <v>89808</v>
      </c>
      <c r="C676" s="123">
        <v>41659</v>
      </c>
      <c r="D676" s="124" t="s">
        <v>1256</v>
      </c>
      <c r="E676" s="122" t="s">
        <v>476</v>
      </c>
      <c r="F676" s="125" t="s">
        <v>580</v>
      </c>
      <c r="G676" s="126" t="s">
        <v>371</v>
      </c>
      <c r="H676" s="127"/>
      <c r="I676" s="128">
        <v>1</v>
      </c>
      <c r="J676" s="129">
        <v>25800</v>
      </c>
      <c r="K676" s="129">
        <v>25800</v>
      </c>
      <c r="L676" s="615"/>
      <c r="M676" s="647"/>
      <c r="N676" s="132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</row>
    <row r="677" spans="1:28" s="145" customFormat="1" ht="15" customHeight="1" outlineLevel="1" x14ac:dyDescent="0.2">
      <c r="A677" s="135">
        <v>1</v>
      </c>
      <c r="B677" s="135">
        <v>93897</v>
      </c>
      <c r="C677" s="136">
        <v>41674</v>
      </c>
      <c r="D677" s="137" t="s">
        <v>1257</v>
      </c>
      <c r="E677" s="135" t="s">
        <v>478</v>
      </c>
      <c r="F677" s="138" t="s">
        <v>217</v>
      </c>
      <c r="G677" s="139" t="s">
        <v>371</v>
      </c>
      <c r="H677" s="140" t="s">
        <v>489</v>
      </c>
      <c r="I677" s="141">
        <v>1</v>
      </c>
      <c r="J677" s="142">
        <v>44597</v>
      </c>
      <c r="K677" s="142">
        <v>44597</v>
      </c>
      <c r="L677" s="610" t="s">
        <v>558</v>
      </c>
      <c r="M677" s="625" t="s">
        <v>36</v>
      </c>
      <c r="N677" s="143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</row>
    <row r="678" spans="1:28" s="145" customFormat="1" ht="15" customHeight="1" outlineLevel="1" x14ac:dyDescent="0.2">
      <c r="A678" s="135">
        <v>2</v>
      </c>
      <c r="B678" s="135">
        <v>95714</v>
      </c>
      <c r="C678" s="136">
        <v>41681</v>
      </c>
      <c r="D678" s="137" t="s">
        <v>1257</v>
      </c>
      <c r="E678" s="135" t="s">
        <v>478</v>
      </c>
      <c r="F678" s="138" t="s">
        <v>622</v>
      </c>
      <c r="G678" s="139" t="s">
        <v>371</v>
      </c>
      <c r="H678" s="140"/>
      <c r="I678" s="141">
        <v>1</v>
      </c>
      <c r="J678" s="142">
        <v>15722</v>
      </c>
      <c r="K678" s="142">
        <v>15722</v>
      </c>
      <c r="L678" s="611"/>
      <c r="M678" s="626"/>
      <c r="N678" s="143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</row>
    <row r="679" spans="1:28" s="145" customFormat="1" ht="15" customHeight="1" outlineLevel="1" x14ac:dyDescent="0.2">
      <c r="A679" s="135">
        <v>4</v>
      </c>
      <c r="B679" s="135">
        <v>94071</v>
      </c>
      <c r="C679" s="136">
        <v>41674</v>
      </c>
      <c r="D679" s="137" t="s">
        <v>1258</v>
      </c>
      <c r="E679" s="135" t="s">
        <v>476</v>
      </c>
      <c r="F679" s="138" t="s">
        <v>217</v>
      </c>
      <c r="G679" s="139" t="s">
        <v>485</v>
      </c>
      <c r="H679" s="140" t="s">
        <v>489</v>
      </c>
      <c r="I679" s="141">
        <v>2</v>
      </c>
      <c r="J679" s="142">
        <v>44597</v>
      </c>
      <c r="K679" s="142">
        <v>89194</v>
      </c>
      <c r="L679" s="611"/>
      <c r="M679" s="626"/>
      <c r="N679" s="143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</row>
    <row r="680" spans="1:28" s="145" customFormat="1" ht="15" customHeight="1" outlineLevel="1" x14ac:dyDescent="0.2">
      <c r="A680" s="135">
        <v>5</v>
      </c>
      <c r="B680" s="135">
        <v>98952</v>
      </c>
      <c r="C680" s="136">
        <v>41698</v>
      </c>
      <c r="D680" s="137" t="s">
        <v>1259</v>
      </c>
      <c r="E680" s="135" t="s">
        <v>474</v>
      </c>
      <c r="F680" s="138" t="s">
        <v>580</v>
      </c>
      <c r="G680" s="139" t="s">
        <v>371</v>
      </c>
      <c r="H680" s="140"/>
      <c r="I680" s="141">
        <v>1</v>
      </c>
      <c r="J680" s="142">
        <v>25800</v>
      </c>
      <c r="K680" s="142">
        <v>25800</v>
      </c>
      <c r="L680" s="611"/>
      <c r="M680" s="626"/>
      <c r="N680" s="143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</row>
    <row r="681" spans="1:28" s="145" customFormat="1" ht="15" customHeight="1" outlineLevel="1" x14ac:dyDescent="0.2">
      <c r="A681" s="135">
        <v>6</v>
      </c>
      <c r="B681" s="135">
        <v>95442</v>
      </c>
      <c r="C681" s="136">
        <v>41681</v>
      </c>
      <c r="D681" s="137" t="s">
        <v>1260</v>
      </c>
      <c r="E681" s="135" t="s">
        <v>1234</v>
      </c>
      <c r="F681" s="138" t="s">
        <v>1132</v>
      </c>
      <c r="G681" s="139" t="s">
        <v>407</v>
      </c>
      <c r="H681" s="140" t="s">
        <v>566</v>
      </c>
      <c r="I681" s="141">
        <v>1</v>
      </c>
      <c r="J681" s="142">
        <v>49701</v>
      </c>
      <c r="K681" s="142">
        <v>49701</v>
      </c>
      <c r="L681" s="611"/>
      <c r="M681" s="626"/>
      <c r="N681" s="143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</row>
    <row r="682" spans="1:28" s="145" customFormat="1" ht="15" customHeight="1" outlineLevel="1" x14ac:dyDescent="0.2">
      <c r="A682" s="135">
        <v>7</v>
      </c>
      <c r="B682" s="135">
        <v>94863</v>
      </c>
      <c r="C682" s="136">
        <v>41680</v>
      </c>
      <c r="D682" s="137" t="s">
        <v>1261</v>
      </c>
      <c r="E682" s="135" t="s">
        <v>476</v>
      </c>
      <c r="F682" s="138" t="s">
        <v>116</v>
      </c>
      <c r="G682" s="139" t="s">
        <v>410</v>
      </c>
      <c r="H682" s="140" t="s">
        <v>489</v>
      </c>
      <c r="I682" s="141">
        <v>1</v>
      </c>
      <c r="J682" s="142">
        <v>5274</v>
      </c>
      <c r="K682" s="142">
        <v>5274</v>
      </c>
      <c r="L682" s="611"/>
      <c r="M682" s="626"/>
      <c r="N682" s="143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</row>
    <row r="683" spans="1:28" s="145" customFormat="1" ht="15" customHeight="1" outlineLevel="1" x14ac:dyDescent="0.2">
      <c r="A683" s="135">
        <v>8</v>
      </c>
      <c r="B683" s="135">
        <v>97232</v>
      </c>
      <c r="C683" s="136">
        <v>41689</v>
      </c>
      <c r="D683" s="137" t="s">
        <v>1262</v>
      </c>
      <c r="E683" s="135" t="s">
        <v>476</v>
      </c>
      <c r="F683" s="138" t="s">
        <v>188</v>
      </c>
      <c r="G683" s="139" t="s">
        <v>1263</v>
      </c>
      <c r="H683" s="140"/>
      <c r="I683" s="141">
        <v>4</v>
      </c>
      <c r="J683" s="142">
        <v>42601</v>
      </c>
      <c r="K683" s="142">
        <v>170404</v>
      </c>
      <c r="L683" s="611"/>
      <c r="M683" s="626"/>
      <c r="N683" s="143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</row>
    <row r="684" spans="1:28" s="145" customFormat="1" ht="15" customHeight="1" outlineLevel="1" x14ac:dyDescent="0.2">
      <c r="A684" s="135">
        <v>9</v>
      </c>
      <c r="B684" s="135">
        <v>95841</v>
      </c>
      <c r="C684" s="136">
        <v>41682</v>
      </c>
      <c r="D684" s="137" t="s">
        <v>1264</v>
      </c>
      <c r="E684" s="135" t="s">
        <v>476</v>
      </c>
      <c r="F684" s="138" t="s">
        <v>188</v>
      </c>
      <c r="G684" s="139" t="s">
        <v>594</v>
      </c>
      <c r="H684" s="140" t="s">
        <v>642</v>
      </c>
      <c r="I684" s="141">
        <v>1</v>
      </c>
      <c r="J684" s="142">
        <v>42601</v>
      </c>
      <c r="K684" s="142">
        <v>42601</v>
      </c>
      <c r="L684" s="611"/>
      <c r="M684" s="626"/>
      <c r="N684" s="143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</row>
    <row r="685" spans="1:28" s="145" customFormat="1" ht="15" customHeight="1" outlineLevel="1" x14ac:dyDescent="0.2">
      <c r="A685" s="135">
        <v>10</v>
      </c>
      <c r="B685" s="135">
        <v>98230</v>
      </c>
      <c r="C685" s="136">
        <v>41697</v>
      </c>
      <c r="D685" s="137" t="s">
        <v>1265</v>
      </c>
      <c r="E685" s="135" t="s">
        <v>481</v>
      </c>
      <c r="F685" s="138" t="s">
        <v>116</v>
      </c>
      <c r="G685" s="139" t="s">
        <v>538</v>
      </c>
      <c r="H685" s="140"/>
      <c r="I685" s="141">
        <v>1</v>
      </c>
      <c r="J685" s="142">
        <v>5274</v>
      </c>
      <c r="K685" s="142">
        <v>5274</v>
      </c>
      <c r="L685" s="611"/>
      <c r="M685" s="626"/>
      <c r="N685" s="143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</row>
    <row r="686" spans="1:28" s="145" customFormat="1" ht="15" customHeight="1" outlineLevel="1" x14ac:dyDescent="0.2">
      <c r="A686" s="135">
        <v>11</v>
      </c>
      <c r="B686" s="135">
        <v>87030</v>
      </c>
      <c r="C686" s="136">
        <v>41647</v>
      </c>
      <c r="D686" s="137" t="s">
        <v>1266</v>
      </c>
      <c r="E686" s="135" t="s">
        <v>481</v>
      </c>
      <c r="F686" s="138" t="s">
        <v>622</v>
      </c>
      <c r="G686" s="139" t="s">
        <v>369</v>
      </c>
      <c r="H686" s="140"/>
      <c r="I686" s="141">
        <v>1</v>
      </c>
      <c r="J686" s="142">
        <v>15722</v>
      </c>
      <c r="K686" s="169">
        <v>15722</v>
      </c>
      <c r="L686" s="611"/>
      <c r="M686" s="626"/>
      <c r="N686" s="143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</row>
    <row r="687" spans="1:28" s="145" customFormat="1" ht="15" customHeight="1" outlineLevel="1" x14ac:dyDescent="0.2">
      <c r="A687" s="135">
        <v>12</v>
      </c>
      <c r="B687" s="135">
        <v>96391</v>
      </c>
      <c r="C687" s="136">
        <v>41684</v>
      </c>
      <c r="D687" s="137" t="s">
        <v>1267</v>
      </c>
      <c r="E687" s="135" t="s">
        <v>476</v>
      </c>
      <c r="F687" s="138" t="s">
        <v>537</v>
      </c>
      <c r="G687" s="139" t="s">
        <v>431</v>
      </c>
      <c r="H687" s="140" t="s">
        <v>735</v>
      </c>
      <c r="I687" s="141">
        <v>1</v>
      </c>
      <c r="J687" s="142">
        <v>30429</v>
      </c>
      <c r="K687" s="142">
        <v>30429</v>
      </c>
      <c r="L687" s="611"/>
      <c r="M687" s="626"/>
      <c r="N687" s="143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</row>
    <row r="688" spans="1:28" s="145" customFormat="1" ht="15" customHeight="1" outlineLevel="1" x14ac:dyDescent="0.2">
      <c r="A688" s="135">
        <v>13</v>
      </c>
      <c r="B688" s="135">
        <v>96306</v>
      </c>
      <c r="C688" s="136">
        <v>41684</v>
      </c>
      <c r="D688" s="137" t="s">
        <v>1268</v>
      </c>
      <c r="E688" s="135" t="s">
        <v>476</v>
      </c>
      <c r="F688" s="138" t="s">
        <v>115</v>
      </c>
      <c r="G688" s="139" t="s">
        <v>417</v>
      </c>
      <c r="H688" s="140" t="s">
        <v>1269</v>
      </c>
      <c r="I688" s="141">
        <v>1</v>
      </c>
      <c r="J688" s="142">
        <v>33370</v>
      </c>
      <c r="K688" s="142">
        <v>33370</v>
      </c>
      <c r="L688" s="611"/>
      <c r="M688" s="626"/>
      <c r="N688" s="143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</row>
    <row r="689" spans="1:28" s="145" customFormat="1" ht="15" customHeight="1" outlineLevel="1" x14ac:dyDescent="0.2">
      <c r="A689" s="135">
        <v>14</v>
      </c>
      <c r="B689" s="135">
        <v>95287</v>
      </c>
      <c r="C689" s="136">
        <v>41680</v>
      </c>
      <c r="D689" s="137" t="s">
        <v>1270</v>
      </c>
      <c r="E689" s="135" t="s">
        <v>476</v>
      </c>
      <c r="F689" s="199" t="s">
        <v>682</v>
      </c>
      <c r="G689" s="139" t="s">
        <v>369</v>
      </c>
      <c r="H689" s="140" t="s">
        <v>489</v>
      </c>
      <c r="I689" s="141">
        <v>1</v>
      </c>
      <c r="J689" s="142">
        <v>55058</v>
      </c>
      <c r="K689" s="142">
        <v>55058</v>
      </c>
      <c r="L689" s="611"/>
      <c r="M689" s="626"/>
      <c r="N689" s="143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</row>
    <row r="690" spans="1:28" s="145" customFormat="1" ht="15" customHeight="1" outlineLevel="1" x14ac:dyDescent="0.2">
      <c r="A690" s="135">
        <v>15</v>
      </c>
      <c r="B690" s="135">
        <v>95299</v>
      </c>
      <c r="C690" s="136">
        <v>41680</v>
      </c>
      <c r="D690" s="137" t="s">
        <v>1271</v>
      </c>
      <c r="E690" s="135" t="s">
        <v>476</v>
      </c>
      <c r="F690" s="138" t="s">
        <v>115</v>
      </c>
      <c r="G690" s="139" t="s">
        <v>1272</v>
      </c>
      <c r="H690" s="140" t="s">
        <v>563</v>
      </c>
      <c r="I690" s="141">
        <v>2</v>
      </c>
      <c r="J690" s="142">
        <v>33370</v>
      </c>
      <c r="K690" s="142">
        <v>66740</v>
      </c>
      <c r="L690" s="611"/>
      <c r="M690" s="626"/>
      <c r="N690" s="143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</row>
    <row r="691" spans="1:28" s="145" customFormat="1" ht="15" customHeight="1" outlineLevel="1" x14ac:dyDescent="0.2">
      <c r="A691" s="135">
        <v>16</v>
      </c>
      <c r="B691" s="135">
        <v>98465</v>
      </c>
      <c r="C691" s="136">
        <v>41696</v>
      </c>
      <c r="D691" s="137" t="s">
        <v>1273</v>
      </c>
      <c r="E691" s="135" t="s">
        <v>484</v>
      </c>
      <c r="F691" s="138" t="s">
        <v>116</v>
      </c>
      <c r="G691" s="139" t="s">
        <v>1274</v>
      </c>
      <c r="H691" s="140" t="s">
        <v>718</v>
      </c>
      <c r="I691" s="141">
        <v>2</v>
      </c>
      <c r="J691" s="142">
        <v>5274</v>
      </c>
      <c r="K691" s="142">
        <v>10548</v>
      </c>
      <c r="L691" s="611"/>
      <c r="M691" s="626"/>
      <c r="N691" s="143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</row>
    <row r="692" spans="1:28" s="145" customFormat="1" ht="15" customHeight="1" outlineLevel="1" x14ac:dyDescent="0.2">
      <c r="A692" s="135">
        <v>17</v>
      </c>
      <c r="B692" s="135">
        <v>96400</v>
      </c>
      <c r="C692" s="136">
        <v>41696</v>
      </c>
      <c r="D692" s="137" t="s">
        <v>1275</v>
      </c>
      <c r="E692" s="135" t="s">
        <v>912</v>
      </c>
      <c r="F692" s="138" t="s">
        <v>177</v>
      </c>
      <c r="G692" s="139" t="s">
        <v>371</v>
      </c>
      <c r="H692" s="140"/>
      <c r="I692" s="141">
        <v>2</v>
      </c>
      <c r="J692" s="142">
        <v>4521</v>
      </c>
      <c r="K692" s="142">
        <v>9042</v>
      </c>
      <c r="L692" s="611"/>
      <c r="M692" s="626"/>
      <c r="N692" s="143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</row>
    <row r="693" spans="1:28" s="145" customFormat="1" ht="15" customHeight="1" outlineLevel="1" x14ac:dyDescent="0.2">
      <c r="A693" s="135">
        <v>18</v>
      </c>
      <c r="B693" s="135">
        <v>96400</v>
      </c>
      <c r="C693" s="136">
        <v>41696</v>
      </c>
      <c r="D693" s="137" t="s">
        <v>1275</v>
      </c>
      <c r="E693" s="135" t="s">
        <v>912</v>
      </c>
      <c r="F693" s="138" t="s">
        <v>178</v>
      </c>
      <c r="G693" s="139" t="s">
        <v>371</v>
      </c>
      <c r="H693" s="140"/>
      <c r="I693" s="141">
        <v>1</v>
      </c>
      <c r="J693" s="142">
        <v>12374</v>
      </c>
      <c r="K693" s="142">
        <v>12374</v>
      </c>
      <c r="L693" s="611"/>
      <c r="M693" s="626"/>
      <c r="N693" s="143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</row>
    <row r="694" spans="1:28" s="145" customFormat="1" ht="15" customHeight="1" outlineLevel="1" x14ac:dyDescent="0.2">
      <c r="A694" s="135">
        <v>19</v>
      </c>
      <c r="B694" s="135">
        <v>96286</v>
      </c>
      <c r="C694" s="136">
        <v>41684</v>
      </c>
      <c r="D694" s="137" t="s">
        <v>1276</v>
      </c>
      <c r="E694" s="135" t="s">
        <v>476</v>
      </c>
      <c r="F694" s="138" t="s">
        <v>580</v>
      </c>
      <c r="G694" s="139" t="s">
        <v>371</v>
      </c>
      <c r="H694" s="140"/>
      <c r="I694" s="141">
        <v>1</v>
      </c>
      <c r="J694" s="142">
        <v>25800</v>
      </c>
      <c r="K694" s="142">
        <v>25800</v>
      </c>
      <c r="L694" s="611"/>
      <c r="M694" s="626"/>
      <c r="N694" s="143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</row>
    <row r="695" spans="1:28" s="145" customFormat="1" ht="15" customHeight="1" outlineLevel="1" x14ac:dyDescent="0.2">
      <c r="A695" s="135">
        <v>20</v>
      </c>
      <c r="B695" s="135">
        <v>96573</v>
      </c>
      <c r="C695" s="136">
        <v>41684</v>
      </c>
      <c r="D695" s="137" t="s">
        <v>1277</v>
      </c>
      <c r="E695" s="135" t="s">
        <v>476</v>
      </c>
      <c r="F695" s="138" t="s">
        <v>217</v>
      </c>
      <c r="G695" s="139" t="s">
        <v>371</v>
      </c>
      <c r="H695" s="140" t="s">
        <v>489</v>
      </c>
      <c r="I695" s="141">
        <v>1</v>
      </c>
      <c r="J695" s="142">
        <v>44597</v>
      </c>
      <c r="K695" s="142">
        <v>44597</v>
      </c>
      <c r="L695" s="611"/>
      <c r="M695" s="626"/>
      <c r="N695" s="143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</row>
    <row r="696" spans="1:28" s="145" customFormat="1" ht="15" customHeight="1" outlineLevel="1" x14ac:dyDescent="0.2">
      <c r="A696" s="135">
        <v>21</v>
      </c>
      <c r="B696" s="135">
        <v>95851</v>
      </c>
      <c r="C696" s="136">
        <v>41684</v>
      </c>
      <c r="D696" s="137" t="s">
        <v>1278</v>
      </c>
      <c r="E696" s="135" t="s">
        <v>476</v>
      </c>
      <c r="F696" s="138" t="s">
        <v>682</v>
      </c>
      <c r="G696" s="139" t="s">
        <v>371</v>
      </c>
      <c r="H696" s="140" t="s">
        <v>489</v>
      </c>
      <c r="I696" s="141">
        <v>1</v>
      </c>
      <c r="J696" s="142">
        <v>55058</v>
      </c>
      <c r="K696" s="142">
        <v>55058</v>
      </c>
      <c r="L696" s="611"/>
      <c r="M696" s="626"/>
      <c r="N696" s="143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</row>
    <row r="697" spans="1:28" s="145" customFormat="1" ht="15" customHeight="1" outlineLevel="1" x14ac:dyDescent="0.2">
      <c r="A697" s="135">
        <v>22</v>
      </c>
      <c r="B697" s="135">
        <v>95713</v>
      </c>
      <c r="C697" s="136">
        <v>41681</v>
      </c>
      <c r="D697" s="137" t="s">
        <v>1279</v>
      </c>
      <c r="E697" s="135" t="s">
        <v>476</v>
      </c>
      <c r="F697" s="138" t="s">
        <v>537</v>
      </c>
      <c r="G697" s="139" t="s">
        <v>562</v>
      </c>
      <c r="H697" s="140" t="s">
        <v>560</v>
      </c>
      <c r="I697" s="141">
        <v>1</v>
      </c>
      <c r="J697" s="142">
        <v>30429</v>
      </c>
      <c r="K697" s="142">
        <v>30429</v>
      </c>
      <c r="L697" s="611"/>
      <c r="M697" s="626"/>
      <c r="N697" s="143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</row>
    <row r="698" spans="1:28" s="145" customFormat="1" ht="15" customHeight="1" outlineLevel="1" x14ac:dyDescent="0.2">
      <c r="A698" s="135">
        <v>23</v>
      </c>
      <c r="B698" s="135">
        <v>95465</v>
      </c>
      <c r="C698" s="136">
        <v>41680</v>
      </c>
      <c r="D698" s="137" t="s">
        <v>1280</v>
      </c>
      <c r="E698" s="135" t="s">
        <v>476</v>
      </c>
      <c r="F698" s="138" t="s">
        <v>116</v>
      </c>
      <c r="G698" s="139" t="s">
        <v>472</v>
      </c>
      <c r="H698" s="140" t="s">
        <v>573</v>
      </c>
      <c r="I698" s="141">
        <v>1</v>
      </c>
      <c r="J698" s="142">
        <v>5274</v>
      </c>
      <c r="K698" s="142">
        <v>5274</v>
      </c>
      <c r="L698" s="611"/>
      <c r="M698" s="626"/>
      <c r="N698" s="143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</row>
    <row r="699" spans="1:28" s="145" customFormat="1" ht="15" customHeight="1" outlineLevel="1" x14ac:dyDescent="0.2">
      <c r="A699" s="135">
        <v>25</v>
      </c>
      <c r="B699" s="135">
        <v>94204</v>
      </c>
      <c r="C699" s="136">
        <v>41674</v>
      </c>
      <c r="D699" s="137" t="s">
        <v>1281</v>
      </c>
      <c r="E699" s="135" t="s">
        <v>478</v>
      </c>
      <c r="F699" s="138" t="s">
        <v>217</v>
      </c>
      <c r="G699" s="139" t="s">
        <v>371</v>
      </c>
      <c r="H699" s="140" t="s">
        <v>718</v>
      </c>
      <c r="I699" s="141">
        <v>1</v>
      </c>
      <c r="J699" s="142">
        <v>44597</v>
      </c>
      <c r="K699" s="142">
        <v>44597</v>
      </c>
      <c r="L699" s="611"/>
      <c r="M699" s="626"/>
      <c r="N699" s="143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</row>
    <row r="700" spans="1:28" s="145" customFormat="1" ht="15" customHeight="1" outlineLevel="1" x14ac:dyDescent="0.2">
      <c r="A700" s="135">
        <v>26</v>
      </c>
      <c r="B700" s="135">
        <v>93877</v>
      </c>
      <c r="C700" s="136">
        <v>41674</v>
      </c>
      <c r="D700" s="137" t="s">
        <v>1282</v>
      </c>
      <c r="E700" s="135" t="s">
        <v>697</v>
      </c>
      <c r="F700" s="138" t="s">
        <v>219</v>
      </c>
      <c r="G700" s="139" t="s">
        <v>400</v>
      </c>
      <c r="H700" s="140" t="s">
        <v>489</v>
      </c>
      <c r="I700" s="141">
        <v>1</v>
      </c>
      <c r="J700" s="142">
        <v>22299</v>
      </c>
      <c r="K700" s="142">
        <v>22299</v>
      </c>
      <c r="L700" s="611"/>
      <c r="M700" s="626"/>
      <c r="N700" s="143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</row>
    <row r="701" spans="1:28" s="145" customFormat="1" ht="15" customHeight="1" outlineLevel="1" x14ac:dyDescent="0.2">
      <c r="A701" s="135">
        <v>28</v>
      </c>
      <c r="B701" s="135">
        <v>95734</v>
      </c>
      <c r="C701" s="136">
        <v>41682</v>
      </c>
      <c r="D701" s="137" t="s">
        <v>1283</v>
      </c>
      <c r="E701" s="135" t="s">
        <v>476</v>
      </c>
      <c r="F701" s="138" t="s">
        <v>537</v>
      </c>
      <c r="G701" s="139" t="s">
        <v>431</v>
      </c>
      <c r="H701" s="140" t="s">
        <v>597</v>
      </c>
      <c r="I701" s="141">
        <v>1</v>
      </c>
      <c r="J701" s="142">
        <v>30429</v>
      </c>
      <c r="K701" s="142">
        <v>30429</v>
      </c>
      <c r="L701" s="611"/>
      <c r="M701" s="626"/>
      <c r="N701" s="143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</row>
    <row r="702" spans="1:28" s="145" customFormat="1" ht="15" customHeight="1" outlineLevel="1" x14ac:dyDescent="0.2">
      <c r="A702" s="135">
        <v>29</v>
      </c>
      <c r="B702" s="135">
        <v>96922</v>
      </c>
      <c r="C702" s="136">
        <v>41688</v>
      </c>
      <c r="D702" s="137" t="s">
        <v>1254</v>
      </c>
      <c r="E702" s="135" t="s">
        <v>476</v>
      </c>
      <c r="F702" s="138" t="s">
        <v>622</v>
      </c>
      <c r="G702" s="139" t="s">
        <v>387</v>
      </c>
      <c r="H702" s="140"/>
      <c r="I702" s="141">
        <v>2</v>
      </c>
      <c r="J702" s="142">
        <v>15722</v>
      </c>
      <c r="K702" s="142">
        <v>31444</v>
      </c>
      <c r="L702" s="611"/>
      <c r="M702" s="626"/>
      <c r="N702" s="143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</row>
    <row r="703" spans="1:28" s="145" customFormat="1" ht="15" customHeight="1" outlineLevel="1" x14ac:dyDescent="0.2">
      <c r="A703" s="135">
        <v>30</v>
      </c>
      <c r="B703" s="135">
        <v>89036</v>
      </c>
      <c r="C703" s="136">
        <v>41656</v>
      </c>
      <c r="D703" s="137" t="s">
        <v>1284</v>
      </c>
      <c r="E703" s="135" t="s">
        <v>476</v>
      </c>
      <c r="F703" s="138" t="s">
        <v>537</v>
      </c>
      <c r="G703" s="139" t="s">
        <v>527</v>
      </c>
      <c r="H703" s="140" t="s">
        <v>1285</v>
      </c>
      <c r="I703" s="141">
        <v>1</v>
      </c>
      <c r="J703" s="142">
        <v>30429</v>
      </c>
      <c r="K703" s="169">
        <v>30429</v>
      </c>
      <c r="L703" s="611"/>
      <c r="M703" s="626"/>
      <c r="N703" s="143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</row>
    <row r="704" spans="1:28" s="145" customFormat="1" ht="15" customHeight="1" outlineLevel="1" x14ac:dyDescent="0.2">
      <c r="A704" s="135">
        <v>31</v>
      </c>
      <c r="B704" s="135">
        <v>95463</v>
      </c>
      <c r="C704" s="136">
        <v>41680</v>
      </c>
      <c r="D704" s="137" t="s">
        <v>1286</v>
      </c>
      <c r="E704" s="135" t="s">
        <v>476</v>
      </c>
      <c r="F704" s="138" t="s">
        <v>537</v>
      </c>
      <c r="G704" s="139" t="s">
        <v>538</v>
      </c>
      <c r="H704" s="140" t="s">
        <v>1269</v>
      </c>
      <c r="I704" s="141">
        <v>1</v>
      </c>
      <c r="J704" s="142">
        <v>30429</v>
      </c>
      <c r="K704" s="142">
        <v>30429</v>
      </c>
      <c r="L704" s="612"/>
      <c r="M704" s="627"/>
      <c r="N704" s="143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</row>
    <row r="705" spans="1:28" s="134" customFormat="1" ht="15" customHeight="1" outlineLevel="1" x14ac:dyDescent="0.2">
      <c r="A705" s="122">
        <v>1</v>
      </c>
      <c r="B705" s="122">
        <v>5574</v>
      </c>
      <c r="C705" s="123">
        <v>41724</v>
      </c>
      <c r="D705" s="124" t="s">
        <v>1287</v>
      </c>
      <c r="E705" s="122" t="s">
        <v>476</v>
      </c>
      <c r="F705" s="125" t="s">
        <v>580</v>
      </c>
      <c r="G705" s="126" t="s">
        <v>371</v>
      </c>
      <c r="H705" s="127"/>
      <c r="I705" s="128">
        <v>1</v>
      </c>
      <c r="J705" s="129">
        <v>25800</v>
      </c>
      <c r="K705" s="129">
        <v>25800</v>
      </c>
      <c r="L705" s="628" t="s">
        <v>581</v>
      </c>
      <c r="M705" s="608" t="s">
        <v>36</v>
      </c>
      <c r="N705" s="132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</row>
    <row r="706" spans="1:28" s="134" customFormat="1" ht="15" customHeight="1" outlineLevel="1" x14ac:dyDescent="0.2">
      <c r="A706" s="122">
        <v>2</v>
      </c>
      <c r="B706" s="122">
        <v>2414</v>
      </c>
      <c r="C706" s="123">
        <v>41712</v>
      </c>
      <c r="D706" s="124" t="s">
        <v>1288</v>
      </c>
      <c r="E706" s="122" t="s">
        <v>484</v>
      </c>
      <c r="F706" s="125" t="s">
        <v>217</v>
      </c>
      <c r="G706" s="126" t="s">
        <v>387</v>
      </c>
      <c r="H706" s="127" t="s">
        <v>489</v>
      </c>
      <c r="I706" s="128">
        <v>2</v>
      </c>
      <c r="J706" s="129">
        <v>44597</v>
      </c>
      <c r="K706" s="129">
        <v>89194</v>
      </c>
      <c r="L706" s="629"/>
      <c r="M706" s="648"/>
      <c r="N706" s="132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</row>
    <row r="707" spans="1:28" s="134" customFormat="1" ht="15" customHeight="1" outlineLevel="1" x14ac:dyDescent="0.2">
      <c r="A707" s="122">
        <v>3</v>
      </c>
      <c r="B707" s="122">
        <v>3300</v>
      </c>
      <c r="C707" s="123">
        <v>41718</v>
      </c>
      <c r="D707" s="124" t="s">
        <v>1289</v>
      </c>
      <c r="E707" s="122" t="s">
        <v>484</v>
      </c>
      <c r="F707" s="125" t="s">
        <v>116</v>
      </c>
      <c r="G707" s="126" t="s">
        <v>419</v>
      </c>
      <c r="H707" s="127" t="s">
        <v>489</v>
      </c>
      <c r="I707" s="128">
        <v>1</v>
      </c>
      <c r="J707" s="129">
        <v>5274</v>
      </c>
      <c r="K707" s="129">
        <v>5274</v>
      </c>
      <c r="L707" s="629"/>
      <c r="M707" s="648"/>
      <c r="N707" s="132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</row>
    <row r="708" spans="1:28" s="134" customFormat="1" ht="15" customHeight="1" outlineLevel="1" x14ac:dyDescent="0.2">
      <c r="A708" s="122">
        <v>4</v>
      </c>
      <c r="B708" s="122">
        <v>1271</v>
      </c>
      <c r="C708" s="123">
        <v>41710</v>
      </c>
      <c r="D708" s="124" t="s">
        <v>1290</v>
      </c>
      <c r="E708" s="122" t="s">
        <v>481</v>
      </c>
      <c r="F708" s="125" t="s">
        <v>116</v>
      </c>
      <c r="G708" s="126" t="s">
        <v>407</v>
      </c>
      <c r="H708" s="127" t="s">
        <v>573</v>
      </c>
      <c r="I708" s="128">
        <v>1</v>
      </c>
      <c r="J708" s="129">
        <v>5274</v>
      </c>
      <c r="K708" s="129">
        <v>5274</v>
      </c>
      <c r="L708" s="629"/>
      <c r="M708" s="648"/>
      <c r="N708" s="132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</row>
    <row r="709" spans="1:28" s="134" customFormat="1" ht="15" customHeight="1" outlineLevel="1" x14ac:dyDescent="0.2">
      <c r="A709" s="122">
        <v>5</v>
      </c>
      <c r="B709" s="122">
        <v>950</v>
      </c>
      <c r="C709" s="123">
        <v>41708</v>
      </c>
      <c r="D709" s="124" t="s">
        <v>1291</v>
      </c>
      <c r="E709" s="122" t="s">
        <v>476</v>
      </c>
      <c r="F709" s="125" t="s">
        <v>217</v>
      </c>
      <c r="G709" s="126" t="s">
        <v>387</v>
      </c>
      <c r="H709" s="127" t="s">
        <v>489</v>
      </c>
      <c r="I709" s="128">
        <v>2</v>
      </c>
      <c r="J709" s="129">
        <v>44597</v>
      </c>
      <c r="K709" s="129">
        <v>89194</v>
      </c>
      <c r="L709" s="629"/>
      <c r="M709" s="648"/>
      <c r="N709" s="132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</row>
    <row r="710" spans="1:28" s="134" customFormat="1" ht="15" customHeight="1" outlineLevel="1" x14ac:dyDescent="0.2">
      <c r="A710" s="122">
        <v>6</v>
      </c>
      <c r="B710" s="122">
        <v>98608</v>
      </c>
      <c r="C710" s="123">
        <v>41696</v>
      </c>
      <c r="D710" s="124" t="s">
        <v>1292</v>
      </c>
      <c r="E710" s="122" t="s">
        <v>484</v>
      </c>
      <c r="F710" s="125" t="s">
        <v>217</v>
      </c>
      <c r="G710" s="126" t="s">
        <v>371</v>
      </c>
      <c r="H710" s="127" t="s">
        <v>489</v>
      </c>
      <c r="I710" s="128">
        <v>1</v>
      </c>
      <c r="J710" s="129">
        <v>44597</v>
      </c>
      <c r="K710" s="207">
        <v>44597</v>
      </c>
      <c r="L710" s="629"/>
      <c r="M710" s="648"/>
      <c r="N710" s="132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</row>
    <row r="711" spans="1:28" s="134" customFormat="1" ht="15" customHeight="1" outlineLevel="1" x14ac:dyDescent="0.2">
      <c r="A711" s="122">
        <v>7</v>
      </c>
      <c r="B711" s="122">
        <v>3630</v>
      </c>
      <c r="C711" s="123">
        <v>41717</v>
      </c>
      <c r="D711" s="124" t="s">
        <v>1293</v>
      </c>
      <c r="E711" s="122" t="s">
        <v>476</v>
      </c>
      <c r="F711" s="125" t="s">
        <v>537</v>
      </c>
      <c r="G711" s="126" t="s">
        <v>442</v>
      </c>
      <c r="H711" s="127"/>
      <c r="I711" s="128">
        <v>1</v>
      </c>
      <c r="J711" s="129">
        <v>30429</v>
      </c>
      <c r="K711" s="129">
        <v>30429</v>
      </c>
      <c r="L711" s="629"/>
      <c r="M711" s="648"/>
      <c r="N711" s="132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</row>
    <row r="712" spans="1:28" s="134" customFormat="1" ht="15" customHeight="1" outlineLevel="1" x14ac:dyDescent="0.2">
      <c r="A712" s="122">
        <v>8</v>
      </c>
      <c r="B712" s="122">
        <v>3576</v>
      </c>
      <c r="C712" s="123">
        <v>41718</v>
      </c>
      <c r="D712" s="124" t="s">
        <v>1294</v>
      </c>
      <c r="E712" s="122" t="s">
        <v>474</v>
      </c>
      <c r="F712" s="125" t="s">
        <v>116</v>
      </c>
      <c r="G712" s="126" t="s">
        <v>431</v>
      </c>
      <c r="H712" s="127" t="s">
        <v>489</v>
      </c>
      <c r="I712" s="128">
        <v>1</v>
      </c>
      <c r="J712" s="129">
        <v>5274</v>
      </c>
      <c r="K712" s="129">
        <v>5274</v>
      </c>
      <c r="L712" s="629"/>
      <c r="M712" s="648"/>
      <c r="N712" s="132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</row>
    <row r="713" spans="1:28" s="134" customFormat="1" ht="15" customHeight="1" outlineLevel="1" x14ac:dyDescent="0.2">
      <c r="A713" s="122">
        <v>9</v>
      </c>
      <c r="B713" s="122">
        <v>4649</v>
      </c>
      <c r="C713" s="123">
        <v>41719</v>
      </c>
      <c r="D713" s="124" t="s">
        <v>1295</v>
      </c>
      <c r="E713" s="122" t="s">
        <v>1296</v>
      </c>
      <c r="F713" s="125" t="s">
        <v>217</v>
      </c>
      <c r="G713" s="126" t="s">
        <v>485</v>
      </c>
      <c r="H713" s="127" t="s">
        <v>489</v>
      </c>
      <c r="I713" s="128">
        <v>2</v>
      </c>
      <c r="J713" s="129">
        <v>44597</v>
      </c>
      <c r="K713" s="129">
        <v>89194</v>
      </c>
      <c r="L713" s="629"/>
      <c r="M713" s="648"/>
      <c r="N713" s="132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</row>
    <row r="714" spans="1:28" s="134" customFormat="1" ht="15" customHeight="1" outlineLevel="1" x14ac:dyDescent="0.2">
      <c r="A714" s="122">
        <v>10</v>
      </c>
      <c r="B714" s="122">
        <v>6601</v>
      </c>
      <c r="C714" s="123">
        <v>41729</v>
      </c>
      <c r="D714" s="124" t="s">
        <v>1297</v>
      </c>
      <c r="E714" s="122" t="s">
        <v>484</v>
      </c>
      <c r="F714" s="125" t="s">
        <v>116</v>
      </c>
      <c r="G714" s="126" t="s">
        <v>434</v>
      </c>
      <c r="H714" s="127" t="s">
        <v>703</v>
      </c>
      <c r="I714" s="128">
        <v>1</v>
      </c>
      <c r="J714" s="129">
        <v>5274</v>
      </c>
      <c r="K714" s="129">
        <v>5274</v>
      </c>
      <c r="L714" s="629"/>
      <c r="M714" s="648"/>
      <c r="N714" s="132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</row>
    <row r="715" spans="1:28" s="134" customFormat="1" ht="15" customHeight="1" outlineLevel="1" x14ac:dyDescent="0.2">
      <c r="A715" s="122">
        <v>11</v>
      </c>
      <c r="B715" s="122">
        <v>673</v>
      </c>
      <c r="C715" s="123">
        <v>41705</v>
      </c>
      <c r="D715" s="124" t="s">
        <v>1298</v>
      </c>
      <c r="E715" s="122" t="s">
        <v>484</v>
      </c>
      <c r="F715" s="125" t="s">
        <v>116</v>
      </c>
      <c r="G715" s="126" t="s">
        <v>527</v>
      </c>
      <c r="H715" s="127" t="s">
        <v>489</v>
      </c>
      <c r="I715" s="128">
        <v>1</v>
      </c>
      <c r="J715" s="129">
        <v>5274</v>
      </c>
      <c r="K715" s="129">
        <v>5274</v>
      </c>
      <c r="L715" s="629"/>
      <c r="M715" s="648"/>
      <c r="N715" s="132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</row>
    <row r="716" spans="1:28" s="134" customFormat="1" ht="15" customHeight="1" outlineLevel="1" x14ac:dyDescent="0.2">
      <c r="A716" s="122">
        <v>12</v>
      </c>
      <c r="B716" s="122">
        <v>5105</v>
      </c>
      <c r="C716" s="123">
        <v>41722</v>
      </c>
      <c r="D716" s="124" t="s">
        <v>1299</v>
      </c>
      <c r="E716" s="122" t="s">
        <v>476</v>
      </c>
      <c r="F716" s="125" t="s">
        <v>204</v>
      </c>
      <c r="G716" s="126" t="s">
        <v>415</v>
      </c>
      <c r="H716" s="127"/>
      <c r="I716" s="128">
        <v>1</v>
      </c>
      <c r="J716" s="129">
        <v>17244</v>
      </c>
      <c r="K716" s="129">
        <v>17244</v>
      </c>
      <c r="L716" s="629"/>
      <c r="M716" s="648"/>
      <c r="N716" s="132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</row>
    <row r="717" spans="1:28" s="134" customFormat="1" ht="15" customHeight="1" outlineLevel="1" x14ac:dyDescent="0.2">
      <c r="A717" s="122">
        <v>13</v>
      </c>
      <c r="B717" s="135">
        <v>99734</v>
      </c>
      <c r="C717" s="136">
        <v>41703</v>
      </c>
      <c r="D717" s="137" t="s">
        <v>1300</v>
      </c>
      <c r="E717" s="135" t="s">
        <v>484</v>
      </c>
      <c r="F717" s="138" t="s">
        <v>1301</v>
      </c>
      <c r="G717" s="139" t="s">
        <v>371</v>
      </c>
      <c r="H717" s="140"/>
      <c r="I717" s="141">
        <v>1</v>
      </c>
      <c r="J717" s="142">
        <v>35501</v>
      </c>
      <c r="K717" s="142">
        <v>35501</v>
      </c>
      <c r="L717" s="629"/>
      <c r="M717" s="648"/>
      <c r="N717" s="132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</row>
    <row r="718" spans="1:28" s="134" customFormat="1" ht="15" customHeight="1" outlineLevel="1" x14ac:dyDescent="0.2">
      <c r="A718" s="122">
        <v>14</v>
      </c>
      <c r="B718" s="135">
        <v>6526</v>
      </c>
      <c r="C718" s="136">
        <v>41729</v>
      </c>
      <c r="D718" s="137" t="s">
        <v>1231</v>
      </c>
      <c r="E718" s="135" t="s">
        <v>476</v>
      </c>
      <c r="F718" s="138" t="s">
        <v>116</v>
      </c>
      <c r="G718" s="139" t="s">
        <v>1302</v>
      </c>
      <c r="H718" s="140"/>
      <c r="I718" s="141">
        <v>3</v>
      </c>
      <c r="J718" s="142">
        <v>5274</v>
      </c>
      <c r="K718" s="142">
        <v>15822</v>
      </c>
      <c r="L718" s="629"/>
      <c r="M718" s="648"/>
      <c r="N718" s="132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</row>
    <row r="719" spans="1:28" s="134" customFormat="1" ht="15" customHeight="1" outlineLevel="1" x14ac:dyDescent="0.2">
      <c r="A719" s="122">
        <v>15</v>
      </c>
      <c r="B719" s="135">
        <v>283</v>
      </c>
      <c r="C719" s="136">
        <v>41704</v>
      </c>
      <c r="D719" s="137" t="s">
        <v>1303</v>
      </c>
      <c r="E719" s="135" t="s">
        <v>484</v>
      </c>
      <c r="F719" s="138" t="s">
        <v>116</v>
      </c>
      <c r="G719" s="139" t="s">
        <v>410</v>
      </c>
      <c r="H719" s="140" t="s">
        <v>486</v>
      </c>
      <c r="I719" s="141">
        <v>1</v>
      </c>
      <c r="J719" s="142">
        <v>5274</v>
      </c>
      <c r="K719" s="142">
        <v>5274</v>
      </c>
      <c r="L719" s="629"/>
      <c r="M719" s="648"/>
      <c r="N719" s="132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</row>
    <row r="720" spans="1:28" s="134" customFormat="1" ht="15" customHeight="1" outlineLevel="1" x14ac:dyDescent="0.2">
      <c r="A720" s="122">
        <v>16</v>
      </c>
      <c r="B720" s="135">
        <v>198</v>
      </c>
      <c r="C720" s="136">
        <v>41701</v>
      </c>
      <c r="D720" s="137" t="s">
        <v>1304</v>
      </c>
      <c r="E720" s="135" t="s">
        <v>484</v>
      </c>
      <c r="F720" s="138" t="s">
        <v>116</v>
      </c>
      <c r="G720" s="139" t="s">
        <v>472</v>
      </c>
      <c r="H720" s="140" t="s">
        <v>489</v>
      </c>
      <c r="I720" s="141">
        <v>1</v>
      </c>
      <c r="J720" s="142">
        <v>5274</v>
      </c>
      <c r="K720" s="142">
        <v>5274</v>
      </c>
      <c r="L720" s="629"/>
      <c r="M720" s="648"/>
      <c r="N720" s="132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</row>
    <row r="721" spans="1:28" s="134" customFormat="1" ht="15" customHeight="1" outlineLevel="1" x14ac:dyDescent="0.2">
      <c r="A721" s="122">
        <v>17</v>
      </c>
      <c r="B721" s="135">
        <v>5470</v>
      </c>
      <c r="C721" s="136">
        <v>41723</v>
      </c>
      <c r="D721" s="137" t="s">
        <v>1305</v>
      </c>
      <c r="E721" s="135" t="s">
        <v>484</v>
      </c>
      <c r="F721" s="138" t="s">
        <v>217</v>
      </c>
      <c r="G721" s="139" t="s">
        <v>485</v>
      </c>
      <c r="H721" s="140" t="s">
        <v>1236</v>
      </c>
      <c r="I721" s="141">
        <v>2</v>
      </c>
      <c r="J721" s="142">
        <v>44597</v>
      </c>
      <c r="K721" s="142">
        <v>89194</v>
      </c>
      <c r="L721" s="629"/>
      <c r="M721" s="648"/>
      <c r="N721" s="132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</row>
    <row r="722" spans="1:28" s="134" customFormat="1" ht="15" customHeight="1" outlineLevel="1" x14ac:dyDescent="0.2">
      <c r="A722" s="122">
        <v>18</v>
      </c>
      <c r="B722" s="135">
        <v>997</v>
      </c>
      <c r="C722" s="136">
        <v>41708</v>
      </c>
      <c r="D722" s="137" t="s">
        <v>1267</v>
      </c>
      <c r="E722" s="135" t="s">
        <v>476</v>
      </c>
      <c r="F722" s="138" t="s">
        <v>115</v>
      </c>
      <c r="G722" s="139" t="s">
        <v>472</v>
      </c>
      <c r="H722" s="140" t="s">
        <v>678</v>
      </c>
      <c r="I722" s="141">
        <v>1</v>
      </c>
      <c r="J722" s="142">
        <v>33370</v>
      </c>
      <c r="K722" s="142">
        <v>33370</v>
      </c>
      <c r="L722" s="629"/>
      <c r="M722" s="648"/>
      <c r="N722" s="132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</row>
    <row r="723" spans="1:28" s="134" customFormat="1" ht="15" customHeight="1" outlineLevel="1" x14ac:dyDescent="0.2">
      <c r="A723" s="122">
        <v>19</v>
      </c>
      <c r="B723" s="135">
        <v>3343</v>
      </c>
      <c r="C723" s="136">
        <v>41717</v>
      </c>
      <c r="D723" s="137" t="s">
        <v>1306</v>
      </c>
      <c r="E723" s="135" t="s">
        <v>484</v>
      </c>
      <c r="F723" s="138" t="s">
        <v>116</v>
      </c>
      <c r="G723" s="139" t="s">
        <v>511</v>
      </c>
      <c r="H723" s="140" t="s">
        <v>489</v>
      </c>
      <c r="I723" s="141">
        <v>1</v>
      </c>
      <c r="J723" s="142">
        <v>5274</v>
      </c>
      <c r="K723" s="142">
        <v>5274</v>
      </c>
      <c r="L723" s="629"/>
      <c r="M723" s="648"/>
      <c r="N723" s="132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</row>
    <row r="724" spans="1:28" s="134" customFormat="1" ht="15" customHeight="1" outlineLevel="1" x14ac:dyDescent="0.2">
      <c r="A724" s="122">
        <v>20</v>
      </c>
      <c r="B724" s="135">
        <v>3822</v>
      </c>
      <c r="C724" s="136">
        <v>41717</v>
      </c>
      <c r="D724" s="137" t="s">
        <v>1307</v>
      </c>
      <c r="E724" s="135" t="s">
        <v>476</v>
      </c>
      <c r="F724" s="138" t="s">
        <v>580</v>
      </c>
      <c r="G724" s="139" t="s">
        <v>371</v>
      </c>
      <c r="H724" s="140"/>
      <c r="I724" s="141">
        <v>1</v>
      </c>
      <c r="J724" s="142">
        <v>25800</v>
      </c>
      <c r="K724" s="142">
        <v>25800</v>
      </c>
      <c r="L724" s="629"/>
      <c r="M724" s="648"/>
      <c r="N724" s="132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</row>
    <row r="725" spans="1:28" s="134" customFormat="1" ht="15" customHeight="1" outlineLevel="1" x14ac:dyDescent="0.2">
      <c r="A725" s="122">
        <v>21</v>
      </c>
      <c r="B725" s="135">
        <v>5887</v>
      </c>
      <c r="C725" s="136">
        <v>41725</v>
      </c>
      <c r="D725" s="137" t="s">
        <v>1308</v>
      </c>
      <c r="E725" s="135" t="s">
        <v>476</v>
      </c>
      <c r="F725" s="138" t="s">
        <v>116</v>
      </c>
      <c r="G725" s="139" t="s">
        <v>442</v>
      </c>
      <c r="H725" s="140" t="s">
        <v>486</v>
      </c>
      <c r="I725" s="141">
        <v>1</v>
      </c>
      <c r="J725" s="142">
        <v>5274</v>
      </c>
      <c r="K725" s="142">
        <v>5274</v>
      </c>
      <c r="L725" s="629"/>
      <c r="M725" s="648"/>
      <c r="N725" s="132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</row>
    <row r="726" spans="1:28" s="134" customFormat="1" ht="15" customHeight="1" outlineLevel="1" x14ac:dyDescent="0.2">
      <c r="A726" s="122">
        <v>22</v>
      </c>
      <c r="B726" s="135">
        <v>114</v>
      </c>
      <c r="C726" s="136">
        <v>41703</v>
      </c>
      <c r="D726" s="137" t="s">
        <v>1309</v>
      </c>
      <c r="E726" s="135" t="s">
        <v>484</v>
      </c>
      <c r="F726" s="138" t="s">
        <v>116</v>
      </c>
      <c r="G726" s="139" t="s">
        <v>442</v>
      </c>
      <c r="H726" s="140" t="s">
        <v>718</v>
      </c>
      <c r="I726" s="141">
        <v>1</v>
      </c>
      <c r="J726" s="142">
        <v>5274</v>
      </c>
      <c r="K726" s="142">
        <v>5274</v>
      </c>
      <c r="L726" s="629"/>
      <c r="M726" s="648"/>
      <c r="N726" s="132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</row>
    <row r="727" spans="1:28" s="134" customFormat="1" ht="15" customHeight="1" outlineLevel="1" x14ac:dyDescent="0.2">
      <c r="A727" s="122">
        <v>23</v>
      </c>
      <c r="B727" s="135">
        <v>2526</v>
      </c>
      <c r="C727" s="136">
        <v>41715</v>
      </c>
      <c r="D727" s="137" t="s">
        <v>1273</v>
      </c>
      <c r="E727" s="135" t="s">
        <v>484</v>
      </c>
      <c r="F727" s="138" t="s">
        <v>115</v>
      </c>
      <c r="G727" s="139" t="s">
        <v>511</v>
      </c>
      <c r="H727" s="140" t="s">
        <v>489</v>
      </c>
      <c r="I727" s="141">
        <v>1</v>
      </c>
      <c r="J727" s="142">
        <v>33370</v>
      </c>
      <c r="K727" s="142">
        <v>33370</v>
      </c>
      <c r="L727" s="629"/>
      <c r="M727" s="648"/>
      <c r="N727" s="132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</row>
    <row r="728" spans="1:28" s="134" customFormat="1" ht="15" customHeight="1" outlineLevel="1" x14ac:dyDescent="0.2">
      <c r="A728" s="122">
        <v>24</v>
      </c>
      <c r="B728" s="135">
        <v>3731</v>
      </c>
      <c r="C728" s="136">
        <v>41718</v>
      </c>
      <c r="D728" s="137" t="s">
        <v>1310</v>
      </c>
      <c r="E728" s="135" t="s">
        <v>484</v>
      </c>
      <c r="F728" s="138" t="s">
        <v>116</v>
      </c>
      <c r="G728" s="139" t="s">
        <v>410</v>
      </c>
      <c r="H728" s="140" t="s">
        <v>489</v>
      </c>
      <c r="I728" s="141">
        <v>1</v>
      </c>
      <c r="J728" s="142">
        <v>5274</v>
      </c>
      <c r="K728" s="142">
        <v>5274</v>
      </c>
      <c r="L728" s="629"/>
      <c r="M728" s="648"/>
      <c r="N728" s="132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</row>
    <row r="729" spans="1:28" s="134" customFormat="1" ht="15" customHeight="1" outlineLevel="1" x14ac:dyDescent="0.2">
      <c r="A729" s="122">
        <v>25</v>
      </c>
      <c r="B729" s="135">
        <v>2529</v>
      </c>
      <c r="C729" s="136">
        <v>41715</v>
      </c>
      <c r="D729" s="137" t="s">
        <v>1311</v>
      </c>
      <c r="E729" s="135" t="s">
        <v>484</v>
      </c>
      <c r="F729" s="138" t="s">
        <v>116</v>
      </c>
      <c r="G729" s="139" t="s">
        <v>383</v>
      </c>
      <c r="H729" s="140" t="s">
        <v>718</v>
      </c>
      <c r="I729" s="141">
        <v>1</v>
      </c>
      <c r="J729" s="142">
        <v>5274</v>
      </c>
      <c r="K729" s="142">
        <v>5274</v>
      </c>
      <c r="L729" s="629"/>
      <c r="M729" s="648"/>
      <c r="N729" s="132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</row>
    <row r="730" spans="1:28" s="134" customFormat="1" ht="15" customHeight="1" outlineLevel="1" x14ac:dyDescent="0.2">
      <c r="A730" s="122">
        <v>26</v>
      </c>
      <c r="B730" s="135">
        <v>2648</v>
      </c>
      <c r="C730" s="136">
        <v>41715</v>
      </c>
      <c r="D730" s="137" t="s">
        <v>1312</v>
      </c>
      <c r="E730" s="135" t="s">
        <v>484</v>
      </c>
      <c r="F730" s="138" t="s">
        <v>116</v>
      </c>
      <c r="G730" s="139" t="s">
        <v>527</v>
      </c>
      <c r="H730" s="140" t="s">
        <v>489</v>
      </c>
      <c r="I730" s="141">
        <v>1</v>
      </c>
      <c r="J730" s="142">
        <v>5274</v>
      </c>
      <c r="K730" s="142">
        <v>5274</v>
      </c>
      <c r="L730" s="629"/>
      <c r="M730" s="648"/>
      <c r="N730" s="132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</row>
    <row r="731" spans="1:28" s="134" customFormat="1" ht="15" customHeight="1" outlineLevel="1" x14ac:dyDescent="0.2">
      <c r="A731" s="122">
        <v>27</v>
      </c>
      <c r="B731" s="135">
        <v>5638</v>
      </c>
      <c r="C731" s="136">
        <v>41724</v>
      </c>
      <c r="D731" s="137" t="s">
        <v>1313</v>
      </c>
      <c r="E731" s="135" t="s">
        <v>476</v>
      </c>
      <c r="F731" s="138" t="s">
        <v>682</v>
      </c>
      <c r="G731" s="139" t="s">
        <v>369</v>
      </c>
      <c r="H731" s="140" t="s">
        <v>489</v>
      </c>
      <c r="I731" s="141">
        <v>1</v>
      </c>
      <c r="J731" s="142">
        <v>55058</v>
      </c>
      <c r="K731" s="142">
        <v>55058</v>
      </c>
      <c r="L731" s="629"/>
      <c r="M731" s="648"/>
      <c r="N731" s="132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</row>
    <row r="732" spans="1:28" s="134" customFormat="1" ht="15" customHeight="1" outlineLevel="1" x14ac:dyDescent="0.2">
      <c r="A732" s="122">
        <v>28</v>
      </c>
      <c r="B732" s="135">
        <v>5638</v>
      </c>
      <c r="C732" s="136">
        <v>41724</v>
      </c>
      <c r="D732" s="137" t="s">
        <v>1313</v>
      </c>
      <c r="E732" s="135" t="s">
        <v>476</v>
      </c>
      <c r="F732" s="138" t="s">
        <v>217</v>
      </c>
      <c r="G732" s="139" t="s">
        <v>371</v>
      </c>
      <c r="H732" s="140" t="s">
        <v>489</v>
      </c>
      <c r="I732" s="141">
        <v>1</v>
      </c>
      <c r="J732" s="142">
        <v>44597</v>
      </c>
      <c r="K732" s="142">
        <v>44597</v>
      </c>
      <c r="L732" s="629"/>
      <c r="M732" s="648"/>
      <c r="N732" s="132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</row>
    <row r="733" spans="1:28" s="134" customFormat="1" ht="15" customHeight="1" outlineLevel="1" x14ac:dyDescent="0.2">
      <c r="A733" s="122">
        <v>29</v>
      </c>
      <c r="B733" s="135">
        <v>6589</v>
      </c>
      <c r="C733" s="136">
        <v>41726</v>
      </c>
      <c r="D733" s="137" t="s">
        <v>1237</v>
      </c>
      <c r="E733" s="135" t="s">
        <v>476</v>
      </c>
      <c r="F733" s="138" t="s">
        <v>682</v>
      </c>
      <c r="G733" s="139" t="s">
        <v>369</v>
      </c>
      <c r="H733" s="140" t="s">
        <v>489</v>
      </c>
      <c r="I733" s="141">
        <v>1</v>
      </c>
      <c r="J733" s="142">
        <v>55058</v>
      </c>
      <c r="K733" s="142">
        <v>55058</v>
      </c>
      <c r="L733" s="629"/>
      <c r="M733" s="648"/>
      <c r="N733" s="132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</row>
    <row r="734" spans="1:28" s="134" customFormat="1" ht="15" customHeight="1" outlineLevel="1" x14ac:dyDescent="0.2">
      <c r="A734" s="122">
        <v>30</v>
      </c>
      <c r="B734" s="135">
        <v>7337</v>
      </c>
      <c r="C734" s="136">
        <v>41729</v>
      </c>
      <c r="D734" s="137" t="s">
        <v>1314</v>
      </c>
      <c r="E734" s="135" t="s">
        <v>476</v>
      </c>
      <c r="F734" s="138" t="s">
        <v>116</v>
      </c>
      <c r="G734" s="139" t="s">
        <v>407</v>
      </c>
      <c r="H734" s="140" t="s">
        <v>486</v>
      </c>
      <c r="I734" s="141">
        <v>1</v>
      </c>
      <c r="J734" s="142">
        <v>5274</v>
      </c>
      <c r="K734" s="142">
        <v>5274</v>
      </c>
      <c r="L734" s="629"/>
      <c r="M734" s="648"/>
      <c r="N734" s="132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</row>
    <row r="735" spans="1:28" s="134" customFormat="1" ht="15" customHeight="1" outlineLevel="1" x14ac:dyDescent="0.2">
      <c r="A735" s="122">
        <v>31</v>
      </c>
      <c r="B735" s="135">
        <v>4921</v>
      </c>
      <c r="C735" s="136">
        <v>41723</v>
      </c>
      <c r="D735" s="137" t="s">
        <v>1315</v>
      </c>
      <c r="E735" s="135" t="s">
        <v>1316</v>
      </c>
      <c r="F735" s="138" t="s">
        <v>1069</v>
      </c>
      <c r="G735" s="139" t="s">
        <v>371</v>
      </c>
      <c r="H735" s="140"/>
      <c r="I735" s="141">
        <v>1</v>
      </c>
      <c r="J735" s="142">
        <v>18764</v>
      </c>
      <c r="K735" s="142">
        <v>18764</v>
      </c>
      <c r="L735" s="629"/>
      <c r="M735" s="648"/>
      <c r="N735" s="132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</row>
    <row r="736" spans="1:28" s="134" customFormat="1" ht="15" customHeight="1" outlineLevel="1" x14ac:dyDescent="0.2">
      <c r="A736" s="122">
        <v>32</v>
      </c>
      <c r="B736" s="135">
        <v>5565</v>
      </c>
      <c r="C736" s="136">
        <v>41724</v>
      </c>
      <c r="D736" s="137" t="s">
        <v>1317</v>
      </c>
      <c r="E736" s="135" t="s">
        <v>505</v>
      </c>
      <c r="F736" s="138" t="s">
        <v>580</v>
      </c>
      <c r="G736" s="139" t="s">
        <v>371</v>
      </c>
      <c r="H736" s="140"/>
      <c r="I736" s="141">
        <v>1</v>
      </c>
      <c r="J736" s="142">
        <v>25800</v>
      </c>
      <c r="K736" s="142">
        <v>25800</v>
      </c>
      <c r="L736" s="629"/>
      <c r="M736" s="648"/>
      <c r="N736" s="132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</row>
    <row r="737" spans="1:28" s="134" customFormat="1" ht="15" customHeight="1" outlineLevel="1" x14ac:dyDescent="0.2">
      <c r="A737" s="122">
        <v>33</v>
      </c>
      <c r="B737" s="135">
        <v>3573</v>
      </c>
      <c r="C737" s="136">
        <v>41717</v>
      </c>
      <c r="D737" s="137" t="s">
        <v>1318</v>
      </c>
      <c r="E737" s="135" t="s">
        <v>474</v>
      </c>
      <c r="F737" s="138" t="s">
        <v>580</v>
      </c>
      <c r="G737" s="139" t="s">
        <v>371</v>
      </c>
      <c r="H737" s="140"/>
      <c r="I737" s="141">
        <v>1</v>
      </c>
      <c r="J737" s="142">
        <v>25800</v>
      </c>
      <c r="K737" s="142">
        <v>25800</v>
      </c>
      <c r="L737" s="629"/>
      <c r="M737" s="648"/>
      <c r="N737" s="132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</row>
    <row r="738" spans="1:28" s="134" customFormat="1" ht="15" customHeight="1" outlineLevel="1" x14ac:dyDescent="0.2">
      <c r="A738" s="122">
        <v>34</v>
      </c>
      <c r="B738" s="135">
        <v>2905</v>
      </c>
      <c r="C738" s="136">
        <v>41715</v>
      </c>
      <c r="D738" s="137" t="s">
        <v>1319</v>
      </c>
      <c r="E738" s="135" t="s">
        <v>476</v>
      </c>
      <c r="F738" s="138" t="s">
        <v>580</v>
      </c>
      <c r="G738" s="139" t="s">
        <v>371</v>
      </c>
      <c r="H738" s="140"/>
      <c r="I738" s="141">
        <v>1</v>
      </c>
      <c r="J738" s="142">
        <v>25800</v>
      </c>
      <c r="K738" s="142">
        <v>25800</v>
      </c>
      <c r="L738" s="629"/>
      <c r="M738" s="648"/>
      <c r="N738" s="132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</row>
    <row r="739" spans="1:28" s="134" customFormat="1" ht="15" customHeight="1" outlineLevel="1" x14ac:dyDescent="0.2">
      <c r="A739" s="122">
        <v>35</v>
      </c>
      <c r="B739" s="135">
        <v>623</v>
      </c>
      <c r="C739" s="136">
        <v>41708</v>
      </c>
      <c r="D739" s="137" t="s">
        <v>1320</v>
      </c>
      <c r="E739" s="135" t="s">
        <v>474</v>
      </c>
      <c r="F739" s="138" t="s">
        <v>580</v>
      </c>
      <c r="G739" s="139" t="s">
        <v>371</v>
      </c>
      <c r="H739" s="140"/>
      <c r="I739" s="141">
        <v>1</v>
      </c>
      <c r="J739" s="142">
        <v>25800</v>
      </c>
      <c r="K739" s="142">
        <v>25800</v>
      </c>
      <c r="L739" s="629"/>
      <c r="M739" s="648"/>
      <c r="N739" s="132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</row>
    <row r="740" spans="1:28" s="134" customFormat="1" ht="15" customHeight="1" outlineLevel="1" x14ac:dyDescent="0.2">
      <c r="A740" s="122">
        <v>36</v>
      </c>
      <c r="B740" s="135">
        <v>99841</v>
      </c>
      <c r="C740" s="136">
        <v>41703</v>
      </c>
      <c r="D740" s="137" t="s">
        <v>1321</v>
      </c>
      <c r="E740" s="135" t="s">
        <v>481</v>
      </c>
      <c r="F740" s="138" t="s">
        <v>116</v>
      </c>
      <c r="G740" s="139" t="s">
        <v>442</v>
      </c>
      <c r="H740" s="140"/>
      <c r="I740" s="141">
        <v>1</v>
      </c>
      <c r="J740" s="142">
        <v>5274</v>
      </c>
      <c r="K740" s="142">
        <v>5274</v>
      </c>
      <c r="L740" s="629"/>
      <c r="M740" s="648"/>
      <c r="N740" s="132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</row>
    <row r="741" spans="1:28" s="134" customFormat="1" ht="15" customHeight="1" outlineLevel="1" x14ac:dyDescent="0.2">
      <c r="A741" s="122">
        <v>37</v>
      </c>
      <c r="B741" s="135">
        <v>2721</v>
      </c>
      <c r="C741" s="136">
        <v>41715</v>
      </c>
      <c r="D741" s="137" t="s">
        <v>1322</v>
      </c>
      <c r="E741" s="135" t="s">
        <v>476</v>
      </c>
      <c r="F741" s="138" t="s">
        <v>682</v>
      </c>
      <c r="G741" s="139" t="s">
        <v>371</v>
      </c>
      <c r="H741" s="140" t="s">
        <v>721</v>
      </c>
      <c r="I741" s="141">
        <v>1</v>
      </c>
      <c r="J741" s="142">
        <v>55058</v>
      </c>
      <c r="K741" s="142">
        <v>55058</v>
      </c>
      <c r="L741" s="629"/>
      <c r="M741" s="648"/>
      <c r="N741" s="132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</row>
    <row r="742" spans="1:28" s="134" customFormat="1" ht="15" customHeight="1" outlineLevel="1" x14ac:dyDescent="0.2">
      <c r="A742" s="122">
        <v>38</v>
      </c>
      <c r="B742" s="135">
        <v>6130</v>
      </c>
      <c r="C742" s="136">
        <v>41726</v>
      </c>
      <c r="D742" s="137" t="s">
        <v>1323</v>
      </c>
      <c r="E742" s="135" t="s">
        <v>484</v>
      </c>
      <c r="F742" s="138" t="s">
        <v>116</v>
      </c>
      <c r="G742" s="139" t="s">
        <v>431</v>
      </c>
      <c r="H742" s="140" t="s">
        <v>489</v>
      </c>
      <c r="I742" s="141">
        <v>1</v>
      </c>
      <c r="J742" s="142">
        <v>5274</v>
      </c>
      <c r="K742" s="142">
        <v>5274</v>
      </c>
      <c r="L742" s="629"/>
      <c r="M742" s="648"/>
      <c r="N742" s="132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</row>
    <row r="743" spans="1:28" s="134" customFormat="1" ht="15" customHeight="1" outlineLevel="1" x14ac:dyDescent="0.2">
      <c r="A743" s="122">
        <v>39</v>
      </c>
      <c r="B743" s="135">
        <v>84749</v>
      </c>
      <c r="C743" s="136">
        <v>41635</v>
      </c>
      <c r="D743" s="137" t="s">
        <v>1324</v>
      </c>
      <c r="E743" s="135" t="s">
        <v>484</v>
      </c>
      <c r="F743" s="138" t="s">
        <v>682</v>
      </c>
      <c r="G743" s="139" t="s">
        <v>369</v>
      </c>
      <c r="H743" s="140"/>
      <c r="I743" s="141">
        <v>1</v>
      </c>
      <c r="J743" s="142">
        <v>55058</v>
      </c>
      <c r="K743" s="142">
        <v>55058</v>
      </c>
      <c r="L743" s="629"/>
      <c r="M743" s="648"/>
      <c r="N743" s="132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</row>
    <row r="744" spans="1:28" s="134" customFormat="1" ht="15" customHeight="1" outlineLevel="1" x14ac:dyDescent="0.2">
      <c r="A744" s="122">
        <v>40</v>
      </c>
      <c r="B744" s="135">
        <v>99842</v>
      </c>
      <c r="C744" s="136">
        <v>41703</v>
      </c>
      <c r="D744" s="137" t="s">
        <v>1325</v>
      </c>
      <c r="E744" s="135" t="s">
        <v>481</v>
      </c>
      <c r="F744" s="138" t="s">
        <v>116</v>
      </c>
      <c r="G744" s="139" t="s">
        <v>417</v>
      </c>
      <c r="H744" s="140" t="s">
        <v>489</v>
      </c>
      <c r="I744" s="141">
        <v>4</v>
      </c>
      <c r="J744" s="142">
        <v>5274</v>
      </c>
      <c r="K744" s="142">
        <v>21096</v>
      </c>
      <c r="L744" s="629"/>
      <c r="M744" s="648"/>
      <c r="N744" s="132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</row>
    <row r="745" spans="1:28" s="134" customFormat="1" ht="15" customHeight="1" outlineLevel="1" x14ac:dyDescent="0.2">
      <c r="A745" s="122">
        <v>41</v>
      </c>
      <c r="B745" s="135">
        <v>1539</v>
      </c>
      <c r="C745" s="136">
        <v>41709</v>
      </c>
      <c r="D745" s="137" t="s">
        <v>1326</v>
      </c>
      <c r="E745" s="135" t="s">
        <v>484</v>
      </c>
      <c r="F745" s="138" t="s">
        <v>116</v>
      </c>
      <c r="G745" s="139" t="s">
        <v>431</v>
      </c>
      <c r="H745" s="140" t="s">
        <v>573</v>
      </c>
      <c r="I745" s="141">
        <v>1</v>
      </c>
      <c r="J745" s="142">
        <v>5274</v>
      </c>
      <c r="K745" s="142">
        <v>5274</v>
      </c>
      <c r="L745" s="629"/>
      <c r="M745" s="648"/>
      <c r="N745" s="132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</row>
    <row r="746" spans="1:28" s="134" customFormat="1" ht="15" customHeight="1" outlineLevel="1" x14ac:dyDescent="0.2">
      <c r="A746" s="122">
        <v>42</v>
      </c>
      <c r="B746" s="135">
        <v>5648</v>
      </c>
      <c r="C746" s="136">
        <v>41724</v>
      </c>
      <c r="D746" s="137" t="s">
        <v>1327</v>
      </c>
      <c r="E746" s="135" t="s">
        <v>476</v>
      </c>
      <c r="F746" s="138" t="s">
        <v>115</v>
      </c>
      <c r="G746" s="139" t="s">
        <v>419</v>
      </c>
      <c r="H746" s="140" t="s">
        <v>560</v>
      </c>
      <c r="I746" s="141">
        <v>1</v>
      </c>
      <c r="J746" s="142">
        <v>33370</v>
      </c>
      <c r="K746" s="142">
        <v>33370</v>
      </c>
      <c r="L746" s="629"/>
      <c r="M746" s="648"/>
      <c r="N746" s="132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</row>
    <row r="747" spans="1:28" s="134" customFormat="1" ht="15" customHeight="1" outlineLevel="1" x14ac:dyDescent="0.2">
      <c r="A747" s="122">
        <v>43</v>
      </c>
      <c r="B747" s="135">
        <v>2052</v>
      </c>
      <c r="C747" s="136">
        <v>41712</v>
      </c>
      <c r="D747" s="137" t="s">
        <v>1328</v>
      </c>
      <c r="E747" s="135" t="s">
        <v>476</v>
      </c>
      <c r="F747" s="138" t="s">
        <v>537</v>
      </c>
      <c r="G747" s="139" t="s">
        <v>527</v>
      </c>
      <c r="H747" s="140" t="s">
        <v>560</v>
      </c>
      <c r="I747" s="141">
        <v>1</v>
      </c>
      <c r="J747" s="142">
        <v>30429</v>
      </c>
      <c r="K747" s="142">
        <v>30429</v>
      </c>
      <c r="L747" s="629"/>
      <c r="M747" s="648"/>
      <c r="N747" s="132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</row>
    <row r="748" spans="1:28" s="134" customFormat="1" ht="15" customHeight="1" outlineLevel="1" x14ac:dyDescent="0.2">
      <c r="A748" s="122">
        <v>44</v>
      </c>
      <c r="B748" s="135">
        <v>6828</v>
      </c>
      <c r="C748" s="136">
        <v>41729</v>
      </c>
      <c r="D748" s="137" t="s">
        <v>1329</v>
      </c>
      <c r="E748" s="135" t="s">
        <v>476</v>
      </c>
      <c r="F748" s="138" t="s">
        <v>682</v>
      </c>
      <c r="G748" s="139" t="s">
        <v>371</v>
      </c>
      <c r="H748" s="140" t="s">
        <v>489</v>
      </c>
      <c r="I748" s="141">
        <v>1</v>
      </c>
      <c r="J748" s="142">
        <v>55058</v>
      </c>
      <c r="K748" s="142">
        <v>55058</v>
      </c>
      <c r="L748" s="629"/>
      <c r="M748" s="648"/>
      <c r="N748" s="132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</row>
    <row r="749" spans="1:28" s="134" customFormat="1" ht="15" customHeight="1" outlineLevel="1" x14ac:dyDescent="0.2">
      <c r="A749" s="122">
        <v>45</v>
      </c>
      <c r="B749" s="135">
        <v>2785</v>
      </c>
      <c r="C749" s="136">
        <v>41715</v>
      </c>
      <c r="D749" s="137" t="s">
        <v>1330</v>
      </c>
      <c r="E749" s="135" t="s">
        <v>476</v>
      </c>
      <c r="F749" s="138" t="s">
        <v>235</v>
      </c>
      <c r="G749" s="139" t="s">
        <v>369</v>
      </c>
      <c r="H749" s="140"/>
      <c r="I749" s="141">
        <v>1</v>
      </c>
      <c r="J749" s="142">
        <v>12499</v>
      </c>
      <c r="K749" s="142">
        <v>12499</v>
      </c>
      <c r="L749" s="630"/>
      <c r="M749" s="609"/>
      <c r="N749" s="132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</row>
    <row r="750" spans="1:28" s="134" customFormat="1" ht="15" customHeight="1" outlineLevel="1" x14ac:dyDescent="0.2">
      <c r="A750" s="122">
        <v>1</v>
      </c>
      <c r="B750" s="135">
        <v>11927</v>
      </c>
      <c r="C750" s="136">
        <v>41746</v>
      </c>
      <c r="D750" s="137" t="s">
        <v>1331</v>
      </c>
      <c r="E750" s="135" t="s">
        <v>697</v>
      </c>
      <c r="F750" s="138" t="s">
        <v>580</v>
      </c>
      <c r="G750" s="139" t="s">
        <v>371</v>
      </c>
      <c r="H750" s="140"/>
      <c r="I750" s="141">
        <v>1</v>
      </c>
      <c r="J750" s="142">
        <v>25800</v>
      </c>
      <c r="K750" s="142">
        <v>25800</v>
      </c>
      <c r="L750" s="610" t="s">
        <v>600</v>
      </c>
      <c r="M750" s="625" t="s">
        <v>36</v>
      </c>
      <c r="N750" s="132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</row>
    <row r="751" spans="1:28" s="134" customFormat="1" ht="15" customHeight="1" outlineLevel="1" x14ac:dyDescent="0.2">
      <c r="A751" s="122">
        <v>2</v>
      </c>
      <c r="B751" s="174">
        <v>817</v>
      </c>
      <c r="C751" s="175">
        <v>41708</v>
      </c>
      <c r="D751" s="172" t="s">
        <v>1332</v>
      </c>
      <c r="E751" s="174" t="s">
        <v>484</v>
      </c>
      <c r="F751" s="176" t="s">
        <v>116</v>
      </c>
      <c r="G751" s="177" t="s">
        <v>410</v>
      </c>
      <c r="H751" s="178" t="s">
        <v>1250</v>
      </c>
      <c r="I751" s="179">
        <v>1</v>
      </c>
      <c r="J751" s="142">
        <v>5274</v>
      </c>
      <c r="K751" s="142">
        <v>5274</v>
      </c>
      <c r="L751" s="611"/>
      <c r="M751" s="626"/>
      <c r="N751" s="132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</row>
    <row r="752" spans="1:28" s="134" customFormat="1" ht="15" customHeight="1" outlineLevel="1" x14ac:dyDescent="0.2">
      <c r="A752" s="122">
        <v>3</v>
      </c>
      <c r="B752" s="135">
        <v>14810</v>
      </c>
      <c r="C752" s="136">
        <v>41758</v>
      </c>
      <c r="D752" s="137" t="s">
        <v>1333</v>
      </c>
      <c r="E752" s="135" t="s">
        <v>476</v>
      </c>
      <c r="F752" s="138" t="s">
        <v>537</v>
      </c>
      <c r="G752" s="139" t="s">
        <v>472</v>
      </c>
      <c r="H752" s="140" t="s">
        <v>1269</v>
      </c>
      <c r="I752" s="141">
        <v>1</v>
      </c>
      <c r="J752" s="142">
        <v>30429</v>
      </c>
      <c r="K752" s="142">
        <v>30429</v>
      </c>
      <c r="L752" s="611"/>
      <c r="M752" s="626"/>
      <c r="N752" s="132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</row>
    <row r="753" spans="1:28" s="134" customFormat="1" ht="15" customHeight="1" outlineLevel="1" x14ac:dyDescent="0.2">
      <c r="A753" s="122">
        <v>4</v>
      </c>
      <c r="B753" s="135">
        <v>14810</v>
      </c>
      <c r="C753" s="136">
        <v>41758</v>
      </c>
      <c r="D753" s="137" t="s">
        <v>1333</v>
      </c>
      <c r="E753" s="135" t="s">
        <v>476</v>
      </c>
      <c r="F753" s="138" t="s">
        <v>115</v>
      </c>
      <c r="G753" s="139" t="s">
        <v>442</v>
      </c>
      <c r="H753" s="140" t="s">
        <v>1269</v>
      </c>
      <c r="I753" s="141">
        <v>1</v>
      </c>
      <c r="J753" s="142">
        <v>33370</v>
      </c>
      <c r="K753" s="142">
        <v>33370</v>
      </c>
      <c r="L753" s="611"/>
      <c r="M753" s="626"/>
      <c r="N753" s="132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</row>
    <row r="754" spans="1:28" s="134" customFormat="1" ht="15" customHeight="1" outlineLevel="1" x14ac:dyDescent="0.2">
      <c r="A754" s="122">
        <v>5</v>
      </c>
      <c r="B754" s="135">
        <v>12069</v>
      </c>
      <c r="C754" s="136">
        <v>41750</v>
      </c>
      <c r="D754" s="137" t="s">
        <v>1334</v>
      </c>
      <c r="E754" s="135" t="s">
        <v>484</v>
      </c>
      <c r="F754" s="138" t="s">
        <v>580</v>
      </c>
      <c r="G754" s="139" t="s">
        <v>371</v>
      </c>
      <c r="H754" s="140"/>
      <c r="I754" s="141">
        <v>1</v>
      </c>
      <c r="J754" s="142">
        <v>25800</v>
      </c>
      <c r="K754" s="142">
        <v>25800</v>
      </c>
      <c r="L754" s="611"/>
      <c r="M754" s="626"/>
      <c r="N754" s="132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</row>
    <row r="755" spans="1:28" s="134" customFormat="1" ht="15" customHeight="1" outlineLevel="1" x14ac:dyDescent="0.2">
      <c r="A755" s="122">
        <v>6</v>
      </c>
      <c r="B755" s="135">
        <v>14107</v>
      </c>
      <c r="C755" s="136">
        <v>41754</v>
      </c>
      <c r="D755" s="137" t="s">
        <v>1335</v>
      </c>
      <c r="E755" s="135" t="s">
        <v>474</v>
      </c>
      <c r="F755" s="138" t="s">
        <v>217</v>
      </c>
      <c r="G755" s="139" t="s">
        <v>371</v>
      </c>
      <c r="H755" s="140" t="s">
        <v>489</v>
      </c>
      <c r="I755" s="141">
        <v>1</v>
      </c>
      <c r="J755" s="142">
        <v>44597</v>
      </c>
      <c r="K755" s="142">
        <v>44597</v>
      </c>
      <c r="L755" s="611"/>
      <c r="M755" s="626"/>
      <c r="N755" s="132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</row>
    <row r="756" spans="1:28" s="134" customFormat="1" ht="15" customHeight="1" outlineLevel="1" x14ac:dyDescent="0.2">
      <c r="A756" s="122">
        <v>7</v>
      </c>
      <c r="B756" s="135">
        <v>9255</v>
      </c>
      <c r="C756" s="136">
        <v>41738</v>
      </c>
      <c r="D756" s="137" t="s">
        <v>1336</v>
      </c>
      <c r="E756" s="135" t="s">
        <v>484</v>
      </c>
      <c r="F756" s="138" t="s">
        <v>116</v>
      </c>
      <c r="G756" s="139" t="s">
        <v>417</v>
      </c>
      <c r="H756" s="140" t="s">
        <v>573</v>
      </c>
      <c r="I756" s="141">
        <v>1</v>
      </c>
      <c r="J756" s="142">
        <v>5274</v>
      </c>
      <c r="K756" s="142">
        <v>5274</v>
      </c>
      <c r="L756" s="611"/>
      <c r="M756" s="626"/>
      <c r="N756" s="132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</row>
    <row r="757" spans="1:28" s="134" customFormat="1" ht="15" customHeight="1" outlineLevel="1" x14ac:dyDescent="0.2">
      <c r="A757" s="122">
        <v>8</v>
      </c>
      <c r="B757" s="135">
        <v>14707</v>
      </c>
      <c r="C757" s="136">
        <v>41758</v>
      </c>
      <c r="D757" s="137" t="s">
        <v>1337</v>
      </c>
      <c r="E757" s="135" t="s">
        <v>476</v>
      </c>
      <c r="F757" s="138" t="s">
        <v>537</v>
      </c>
      <c r="G757" s="139" t="s">
        <v>472</v>
      </c>
      <c r="H757" s="140" t="s">
        <v>1269</v>
      </c>
      <c r="I757" s="141">
        <v>1</v>
      </c>
      <c r="J757" s="142">
        <v>30429</v>
      </c>
      <c r="K757" s="142">
        <v>30429</v>
      </c>
      <c r="L757" s="611"/>
      <c r="M757" s="626"/>
      <c r="N757" s="132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</row>
    <row r="758" spans="1:28" s="134" customFormat="1" ht="15" customHeight="1" outlineLevel="1" x14ac:dyDescent="0.2">
      <c r="A758" s="122">
        <v>10</v>
      </c>
      <c r="B758" s="135">
        <v>13664</v>
      </c>
      <c r="C758" s="136">
        <v>41753</v>
      </c>
      <c r="D758" s="137" t="s">
        <v>1338</v>
      </c>
      <c r="E758" s="135" t="s">
        <v>484</v>
      </c>
      <c r="F758" s="138" t="s">
        <v>217</v>
      </c>
      <c r="G758" s="139" t="s">
        <v>371</v>
      </c>
      <c r="H758" s="140" t="s">
        <v>489</v>
      </c>
      <c r="I758" s="141">
        <v>1</v>
      </c>
      <c r="J758" s="142">
        <v>44597</v>
      </c>
      <c r="K758" s="142">
        <v>44597</v>
      </c>
      <c r="L758" s="611"/>
      <c r="M758" s="626"/>
      <c r="N758" s="132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</row>
    <row r="759" spans="1:28" s="134" customFormat="1" ht="15" customHeight="1" outlineLevel="1" x14ac:dyDescent="0.2">
      <c r="A759" s="122">
        <v>11</v>
      </c>
      <c r="B759" s="135">
        <v>12148</v>
      </c>
      <c r="C759" s="136">
        <v>41750</v>
      </c>
      <c r="D759" s="137" t="s">
        <v>1339</v>
      </c>
      <c r="E759" s="135" t="s">
        <v>484</v>
      </c>
      <c r="F759" s="138" t="s">
        <v>682</v>
      </c>
      <c r="G759" s="139" t="s">
        <v>371</v>
      </c>
      <c r="H759" s="140" t="s">
        <v>1340</v>
      </c>
      <c r="I759" s="141">
        <v>1</v>
      </c>
      <c r="J759" s="142">
        <v>55058</v>
      </c>
      <c r="K759" s="142">
        <v>55058</v>
      </c>
      <c r="L759" s="611"/>
      <c r="M759" s="626"/>
      <c r="N759" s="132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</row>
    <row r="760" spans="1:28" s="134" customFormat="1" ht="15" customHeight="1" outlineLevel="1" x14ac:dyDescent="0.2">
      <c r="A760" s="122">
        <v>12</v>
      </c>
      <c r="B760" s="135">
        <v>10875</v>
      </c>
      <c r="C760" s="136">
        <v>41744</v>
      </c>
      <c r="D760" s="137" t="s">
        <v>1231</v>
      </c>
      <c r="E760" s="135" t="s">
        <v>476</v>
      </c>
      <c r="F760" s="138" t="s">
        <v>115</v>
      </c>
      <c r="G760" s="139" t="s">
        <v>1302</v>
      </c>
      <c r="H760" s="140" t="s">
        <v>1285</v>
      </c>
      <c r="I760" s="141">
        <v>3</v>
      </c>
      <c r="J760" s="142">
        <v>33370</v>
      </c>
      <c r="K760" s="142">
        <v>100110</v>
      </c>
      <c r="L760" s="611"/>
      <c r="M760" s="626"/>
      <c r="N760" s="132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</row>
    <row r="761" spans="1:28" s="134" customFormat="1" ht="15" customHeight="1" outlineLevel="1" x14ac:dyDescent="0.2">
      <c r="A761" s="122">
        <v>13</v>
      </c>
      <c r="B761" s="135">
        <v>12582</v>
      </c>
      <c r="C761" s="136">
        <v>41750</v>
      </c>
      <c r="D761" s="137" t="s">
        <v>1341</v>
      </c>
      <c r="E761" s="135" t="s">
        <v>484</v>
      </c>
      <c r="F761" s="138" t="s">
        <v>217</v>
      </c>
      <c r="G761" s="139" t="s">
        <v>485</v>
      </c>
      <c r="H761" s="140"/>
      <c r="I761" s="141">
        <v>2</v>
      </c>
      <c r="J761" s="142">
        <v>44597</v>
      </c>
      <c r="K761" s="142">
        <v>89194</v>
      </c>
      <c r="L761" s="611"/>
      <c r="M761" s="626"/>
      <c r="N761" s="132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</row>
    <row r="762" spans="1:28" s="134" customFormat="1" ht="15" customHeight="1" outlineLevel="1" x14ac:dyDescent="0.2">
      <c r="A762" s="122">
        <v>14</v>
      </c>
      <c r="B762" s="135">
        <v>11743</v>
      </c>
      <c r="C762" s="136">
        <v>41746</v>
      </c>
      <c r="D762" s="137" t="s">
        <v>1342</v>
      </c>
      <c r="E762" s="135" t="s">
        <v>481</v>
      </c>
      <c r="F762" s="138" t="s">
        <v>219</v>
      </c>
      <c r="G762" s="139" t="s">
        <v>371</v>
      </c>
      <c r="H762" s="140" t="s">
        <v>489</v>
      </c>
      <c r="I762" s="141">
        <v>1</v>
      </c>
      <c r="J762" s="142">
        <v>22299</v>
      </c>
      <c r="K762" s="142">
        <v>22299</v>
      </c>
      <c r="L762" s="611"/>
      <c r="M762" s="626"/>
      <c r="N762" s="132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</row>
    <row r="763" spans="1:28" s="134" customFormat="1" ht="15" customHeight="1" outlineLevel="1" x14ac:dyDescent="0.2">
      <c r="A763" s="122">
        <v>16</v>
      </c>
      <c r="B763" s="135">
        <v>12770</v>
      </c>
      <c r="C763" s="136">
        <v>41751</v>
      </c>
      <c r="D763" s="137" t="s">
        <v>488</v>
      </c>
      <c r="E763" s="135" t="s">
        <v>476</v>
      </c>
      <c r="F763" s="138" t="s">
        <v>217</v>
      </c>
      <c r="G763" s="139" t="s">
        <v>371</v>
      </c>
      <c r="H763" s="140" t="s">
        <v>489</v>
      </c>
      <c r="I763" s="141">
        <v>1</v>
      </c>
      <c r="J763" s="142">
        <v>44597</v>
      </c>
      <c r="K763" s="142">
        <v>44597</v>
      </c>
      <c r="L763" s="611"/>
      <c r="M763" s="626"/>
      <c r="N763" s="132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</row>
    <row r="764" spans="1:28" s="134" customFormat="1" ht="15" customHeight="1" outlineLevel="1" x14ac:dyDescent="0.2">
      <c r="A764" s="122">
        <v>17</v>
      </c>
      <c r="B764" s="135">
        <v>9923</v>
      </c>
      <c r="C764" s="136">
        <v>41739</v>
      </c>
      <c r="D764" s="137" t="s">
        <v>1343</v>
      </c>
      <c r="E764" s="135" t="s">
        <v>476</v>
      </c>
      <c r="F764" s="138" t="s">
        <v>217</v>
      </c>
      <c r="G764" s="139" t="s">
        <v>371</v>
      </c>
      <c r="H764" s="140"/>
      <c r="I764" s="141">
        <v>1</v>
      </c>
      <c r="J764" s="142">
        <v>44597</v>
      </c>
      <c r="K764" s="142">
        <v>44597</v>
      </c>
      <c r="L764" s="611"/>
      <c r="M764" s="626"/>
      <c r="N764" s="132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</row>
    <row r="765" spans="1:28" s="134" customFormat="1" ht="15" customHeight="1" outlineLevel="1" x14ac:dyDescent="0.2">
      <c r="A765" s="122">
        <v>18</v>
      </c>
      <c r="B765" s="135">
        <v>10707</v>
      </c>
      <c r="C765" s="136">
        <v>41743</v>
      </c>
      <c r="D765" s="137" t="s">
        <v>1344</v>
      </c>
      <c r="E765" s="135" t="s">
        <v>476</v>
      </c>
      <c r="F765" s="138" t="s">
        <v>217</v>
      </c>
      <c r="G765" s="139" t="s">
        <v>485</v>
      </c>
      <c r="H765" s="140" t="s">
        <v>489</v>
      </c>
      <c r="I765" s="141">
        <v>2</v>
      </c>
      <c r="J765" s="142">
        <v>44597</v>
      </c>
      <c r="K765" s="142">
        <v>89194</v>
      </c>
      <c r="L765" s="611"/>
      <c r="M765" s="626"/>
      <c r="N765" s="132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</row>
    <row r="766" spans="1:28" s="134" customFormat="1" ht="15" customHeight="1" outlineLevel="1" x14ac:dyDescent="0.2">
      <c r="A766" s="122">
        <v>19</v>
      </c>
      <c r="B766" s="135">
        <v>8235</v>
      </c>
      <c r="C766" s="136">
        <v>41733</v>
      </c>
      <c r="D766" s="137" t="s">
        <v>1277</v>
      </c>
      <c r="E766" s="135" t="s">
        <v>478</v>
      </c>
      <c r="F766" s="138" t="s">
        <v>217</v>
      </c>
      <c r="G766" s="139" t="s">
        <v>369</v>
      </c>
      <c r="H766" s="140" t="s">
        <v>489</v>
      </c>
      <c r="I766" s="141">
        <v>1</v>
      </c>
      <c r="J766" s="142">
        <v>44597</v>
      </c>
      <c r="K766" s="142">
        <v>44597</v>
      </c>
      <c r="L766" s="611"/>
      <c r="M766" s="626"/>
      <c r="N766" s="132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</row>
    <row r="767" spans="1:28" s="134" customFormat="1" ht="15" customHeight="1" outlineLevel="1" x14ac:dyDescent="0.2">
      <c r="A767" s="122">
        <v>20</v>
      </c>
      <c r="B767" s="135">
        <v>11148</v>
      </c>
      <c r="C767" s="136">
        <v>41744</v>
      </c>
      <c r="D767" s="137" t="s">
        <v>1277</v>
      </c>
      <c r="E767" s="135" t="s">
        <v>478</v>
      </c>
      <c r="F767" s="138" t="s">
        <v>622</v>
      </c>
      <c r="G767" s="139" t="s">
        <v>371</v>
      </c>
      <c r="H767" s="140" t="s">
        <v>489</v>
      </c>
      <c r="I767" s="141">
        <v>1</v>
      </c>
      <c r="J767" s="142">
        <v>15722</v>
      </c>
      <c r="K767" s="142">
        <v>15722</v>
      </c>
      <c r="L767" s="611"/>
      <c r="M767" s="626"/>
      <c r="N767" s="132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</row>
    <row r="768" spans="1:28" s="134" customFormat="1" ht="15" customHeight="1" outlineLevel="1" x14ac:dyDescent="0.2">
      <c r="A768" s="122">
        <v>21</v>
      </c>
      <c r="B768" s="135">
        <v>10342</v>
      </c>
      <c r="C768" s="136">
        <v>41740</v>
      </c>
      <c r="D768" s="137" t="s">
        <v>1345</v>
      </c>
      <c r="E768" s="135" t="s">
        <v>484</v>
      </c>
      <c r="F768" s="138" t="s">
        <v>116</v>
      </c>
      <c r="G768" s="139" t="s">
        <v>417</v>
      </c>
      <c r="H768" s="140" t="s">
        <v>486</v>
      </c>
      <c r="I768" s="141">
        <v>1</v>
      </c>
      <c r="J768" s="142">
        <v>5274</v>
      </c>
      <c r="K768" s="142">
        <v>5274</v>
      </c>
      <c r="L768" s="611"/>
      <c r="M768" s="626"/>
      <c r="N768" s="132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</row>
    <row r="769" spans="1:28" s="134" customFormat="1" ht="15" customHeight="1" outlineLevel="1" x14ac:dyDescent="0.2">
      <c r="A769" s="122">
        <v>22</v>
      </c>
      <c r="B769" s="135">
        <v>6626</v>
      </c>
      <c r="C769" s="136">
        <v>41729</v>
      </c>
      <c r="D769" s="137" t="s">
        <v>1346</v>
      </c>
      <c r="E769" s="135" t="s">
        <v>481</v>
      </c>
      <c r="F769" s="138" t="s">
        <v>622</v>
      </c>
      <c r="G769" s="139" t="s">
        <v>371</v>
      </c>
      <c r="H769" s="140"/>
      <c r="I769" s="141">
        <v>1</v>
      </c>
      <c r="J769" s="142">
        <v>15722</v>
      </c>
      <c r="K769" s="142">
        <v>15722</v>
      </c>
      <c r="L769" s="611"/>
      <c r="M769" s="626"/>
      <c r="N769" s="132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</row>
    <row r="770" spans="1:28" s="134" customFormat="1" ht="15" customHeight="1" outlineLevel="1" x14ac:dyDescent="0.2">
      <c r="A770" s="122">
        <v>23</v>
      </c>
      <c r="B770" s="135">
        <v>1541</v>
      </c>
      <c r="C770" s="136">
        <v>41710</v>
      </c>
      <c r="D770" s="137" t="s">
        <v>1347</v>
      </c>
      <c r="E770" s="135" t="s">
        <v>481</v>
      </c>
      <c r="F770" s="138" t="s">
        <v>219</v>
      </c>
      <c r="G770" s="139" t="s">
        <v>371</v>
      </c>
      <c r="H770" s="140"/>
      <c r="I770" s="141">
        <v>1</v>
      </c>
      <c r="J770" s="142">
        <v>22299</v>
      </c>
      <c r="K770" s="142">
        <v>22299</v>
      </c>
      <c r="L770" s="611"/>
      <c r="M770" s="626"/>
      <c r="N770" s="132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</row>
    <row r="771" spans="1:28" s="134" customFormat="1" ht="15" customHeight="1" outlineLevel="1" x14ac:dyDescent="0.2">
      <c r="A771" s="122">
        <v>24</v>
      </c>
      <c r="B771" s="135">
        <v>9341</v>
      </c>
      <c r="C771" s="136">
        <v>41737</v>
      </c>
      <c r="D771" s="137" t="s">
        <v>1348</v>
      </c>
      <c r="E771" s="135" t="s">
        <v>476</v>
      </c>
      <c r="F771" s="138" t="s">
        <v>115</v>
      </c>
      <c r="G771" s="139" t="s">
        <v>1066</v>
      </c>
      <c r="H771" s="140"/>
      <c r="I771" s="141">
        <v>3</v>
      </c>
      <c r="J771" s="142">
        <v>33370</v>
      </c>
      <c r="K771" s="142">
        <v>100110</v>
      </c>
      <c r="L771" s="611"/>
      <c r="M771" s="626"/>
      <c r="N771" s="132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</row>
    <row r="772" spans="1:28" s="134" customFormat="1" ht="15" customHeight="1" outlineLevel="1" x14ac:dyDescent="0.2">
      <c r="A772" s="122">
        <v>25</v>
      </c>
      <c r="B772" s="135">
        <v>81240</v>
      </c>
      <c r="C772" s="136">
        <v>41624</v>
      </c>
      <c r="D772" s="137" t="s">
        <v>1349</v>
      </c>
      <c r="E772" s="135" t="s">
        <v>481</v>
      </c>
      <c r="F772" s="138" t="s">
        <v>217</v>
      </c>
      <c r="G772" s="139" t="s">
        <v>371</v>
      </c>
      <c r="H772" s="140" t="s">
        <v>489</v>
      </c>
      <c r="I772" s="141">
        <v>1</v>
      </c>
      <c r="J772" s="142">
        <v>44597</v>
      </c>
      <c r="K772" s="142">
        <v>44597</v>
      </c>
      <c r="L772" s="611"/>
      <c r="M772" s="626"/>
      <c r="N772" s="132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</row>
    <row r="773" spans="1:28" s="134" customFormat="1" ht="15" customHeight="1" outlineLevel="1" x14ac:dyDescent="0.2">
      <c r="A773" s="122">
        <v>26</v>
      </c>
      <c r="B773" s="135">
        <v>8554</v>
      </c>
      <c r="C773" s="136">
        <v>41736</v>
      </c>
      <c r="D773" s="137" t="s">
        <v>1350</v>
      </c>
      <c r="E773" s="135" t="s">
        <v>484</v>
      </c>
      <c r="F773" s="138" t="s">
        <v>116</v>
      </c>
      <c r="G773" s="139" t="s">
        <v>431</v>
      </c>
      <c r="H773" s="140" t="s">
        <v>573</v>
      </c>
      <c r="I773" s="141">
        <v>1</v>
      </c>
      <c r="J773" s="142">
        <v>5274</v>
      </c>
      <c r="K773" s="142">
        <v>5274</v>
      </c>
      <c r="L773" s="611"/>
      <c r="M773" s="626"/>
      <c r="N773" s="132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</row>
    <row r="774" spans="1:28" s="134" customFormat="1" ht="15" customHeight="1" outlineLevel="1" x14ac:dyDescent="0.2">
      <c r="A774" s="122">
        <v>28</v>
      </c>
      <c r="B774" s="135">
        <v>14702</v>
      </c>
      <c r="C774" s="136">
        <v>41758</v>
      </c>
      <c r="D774" s="137" t="s">
        <v>1351</v>
      </c>
      <c r="E774" s="135" t="s">
        <v>476</v>
      </c>
      <c r="F774" s="138" t="s">
        <v>192</v>
      </c>
      <c r="G774" s="139" t="s">
        <v>383</v>
      </c>
      <c r="H774" s="140" t="s">
        <v>583</v>
      </c>
      <c r="I774" s="141">
        <v>1</v>
      </c>
      <c r="J774" s="142">
        <v>57960</v>
      </c>
      <c r="K774" s="142">
        <v>57960</v>
      </c>
      <c r="L774" s="611"/>
      <c r="M774" s="626"/>
      <c r="N774" s="132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</row>
    <row r="775" spans="1:28" s="134" customFormat="1" ht="15" customHeight="1" outlineLevel="1" x14ac:dyDescent="0.2">
      <c r="A775" s="122">
        <v>29</v>
      </c>
      <c r="B775" s="135">
        <v>12954</v>
      </c>
      <c r="C775" s="136">
        <v>41751</v>
      </c>
      <c r="D775" s="137" t="s">
        <v>1352</v>
      </c>
      <c r="E775" s="135" t="s">
        <v>484</v>
      </c>
      <c r="F775" s="138" t="s">
        <v>217</v>
      </c>
      <c r="G775" s="139" t="s">
        <v>371</v>
      </c>
      <c r="H775" s="140" t="s">
        <v>1340</v>
      </c>
      <c r="I775" s="141">
        <v>1</v>
      </c>
      <c r="J775" s="142">
        <v>44597</v>
      </c>
      <c r="K775" s="142">
        <v>44597</v>
      </c>
      <c r="L775" s="611"/>
      <c r="M775" s="626"/>
      <c r="N775" s="132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</row>
    <row r="776" spans="1:28" s="134" customFormat="1" ht="15" customHeight="1" outlineLevel="1" x14ac:dyDescent="0.2">
      <c r="A776" s="122">
        <v>30</v>
      </c>
      <c r="B776" s="135">
        <v>9967</v>
      </c>
      <c r="C776" s="136">
        <v>41740</v>
      </c>
      <c r="D776" s="137" t="s">
        <v>1353</v>
      </c>
      <c r="E776" s="135" t="s">
        <v>476</v>
      </c>
      <c r="F776" s="138" t="s">
        <v>217</v>
      </c>
      <c r="G776" s="139" t="s">
        <v>371</v>
      </c>
      <c r="H776" s="140" t="s">
        <v>489</v>
      </c>
      <c r="I776" s="141">
        <v>1</v>
      </c>
      <c r="J776" s="142">
        <v>44597</v>
      </c>
      <c r="K776" s="142">
        <v>44597</v>
      </c>
      <c r="L776" s="611"/>
      <c r="M776" s="626"/>
      <c r="N776" s="132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</row>
    <row r="777" spans="1:28" s="134" customFormat="1" ht="15" customHeight="1" outlineLevel="1" x14ac:dyDescent="0.2">
      <c r="A777" s="122">
        <v>31</v>
      </c>
      <c r="B777" s="135">
        <v>14244</v>
      </c>
      <c r="C777" s="136">
        <v>41755</v>
      </c>
      <c r="D777" s="137" t="s">
        <v>1354</v>
      </c>
      <c r="E777" s="135" t="s">
        <v>476</v>
      </c>
      <c r="F777" s="138" t="s">
        <v>115</v>
      </c>
      <c r="G777" s="139" t="s">
        <v>472</v>
      </c>
      <c r="H777" s="140"/>
      <c r="I777" s="141">
        <v>1</v>
      </c>
      <c r="J777" s="142">
        <v>33370</v>
      </c>
      <c r="K777" s="142">
        <v>33370</v>
      </c>
      <c r="L777" s="611"/>
      <c r="M777" s="626"/>
      <c r="N777" s="208" t="s">
        <v>1355</v>
      </c>
      <c r="O777" s="187"/>
      <c r="P777" s="132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</row>
    <row r="778" spans="1:28" s="134" customFormat="1" ht="15" customHeight="1" outlineLevel="1" x14ac:dyDescent="0.2">
      <c r="A778" s="122">
        <v>32</v>
      </c>
      <c r="B778" s="135">
        <v>14244</v>
      </c>
      <c r="C778" s="136">
        <v>41755</v>
      </c>
      <c r="D778" s="137" t="s">
        <v>1354</v>
      </c>
      <c r="E778" s="135" t="s">
        <v>476</v>
      </c>
      <c r="F778" s="138" t="s">
        <v>188</v>
      </c>
      <c r="G778" s="139" t="s">
        <v>1356</v>
      </c>
      <c r="H778" s="140"/>
      <c r="I778" s="141">
        <v>2</v>
      </c>
      <c r="J778" s="142">
        <v>42601</v>
      </c>
      <c r="K778" s="142">
        <v>85202</v>
      </c>
      <c r="L778" s="611"/>
      <c r="M778" s="626"/>
      <c r="N778" s="132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</row>
    <row r="779" spans="1:28" s="134" customFormat="1" ht="15" customHeight="1" outlineLevel="1" x14ac:dyDescent="0.2">
      <c r="A779" s="122">
        <v>33</v>
      </c>
      <c r="B779" s="135">
        <v>84970</v>
      </c>
      <c r="C779" s="136">
        <v>41638</v>
      </c>
      <c r="D779" s="137" t="s">
        <v>1357</v>
      </c>
      <c r="E779" s="135" t="s">
        <v>481</v>
      </c>
      <c r="F779" s="138" t="s">
        <v>217</v>
      </c>
      <c r="G779" s="139" t="s">
        <v>485</v>
      </c>
      <c r="H779" s="140" t="s">
        <v>489</v>
      </c>
      <c r="I779" s="141">
        <v>2</v>
      </c>
      <c r="J779" s="142">
        <v>44597</v>
      </c>
      <c r="K779" s="142">
        <v>89194</v>
      </c>
      <c r="L779" s="611"/>
      <c r="M779" s="626"/>
      <c r="N779" s="132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</row>
    <row r="780" spans="1:28" s="134" customFormat="1" ht="15" customHeight="1" outlineLevel="1" x14ac:dyDescent="0.2">
      <c r="A780" s="122">
        <v>34</v>
      </c>
      <c r="B780" s="135">
        <v>8933</v>
      </c>
      <c r="C780" s="136">
        <v>41736</v>
      </c>
      <c r="D780" s="137" t="s">
        <v>1358</v>
      </c>
      <c r="E780" s="135" t="s">
        <v>484</v>
      </c>
      <c r="F780" s="138" t="s">
        <v>116</v>
      </c>
      <c r="G780" s="139" t="s">
        <v>511</v>
      </c>
      <c r="H780" s="140" t="s">
        <v>489</v>
      </c>
      <c r="I780" s="141">
        <v>1</v>
      </c>
      <c r="J780" s="142">
        <v>5274</v>
      </c>
      <c r="K780" s="142">
        <v>5274</v>
      </c>
      <c r="L780" s="611"/>
      <c r="M780" s="626"/>
      <c r="N780" s="132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</row>
    <row r="781" spans="1:28" s="134" customFormat="1" ht="15" customHeight="1" outlineLevel="1" x14ac:dyDescent="0.2">
      <c r="A781" s="122">
        <v>35</v>
      </c>
      <c r="B781" s="135">
        <v>6258</v>
      </c>
      <c r="C781" s="136">
        <v>41725</v>
      </c>
      <c r="D781" s="137" t="s">
        <v>1359</v>
      </c>
      <c r="E781" s="135" t="s">
        <v>505</v>
      </c>
      <c r="F781" s="138" t="s">
        <v>580</v>
      </c>
      <c r="G781" s="139" t="s">
        <v>371</v>
      </c>
      <c r="H781" s="140"/>
      <c r="I781" s="141">
        <v>1</v>
      </c>
      <c r="J781" s="142">
        <v>25800</v>
      </c>
      <c r="K781" s="142">
        <v>25800</v>
      </c>
      <c r="L781" s="611"/>
      <c r="M781" s="626"/>
      <c r="N781" s="132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</row>
    <row r="782" spans="1:28" s="134" customFormat="1" ht="15" customHeight="1" outlineLevel="1" x14ac:dyDescent="0.2">
      <c r="A782" s="122">
        <v>36</v>
      </c>
      <c r="B782" s="135">
        <v>10553</v>
      </c>
      <c r="C782" s="136">
        <v>41744</v>
      </c>
      <c r="D782" s="137" t="s">
        <v>1254</v>
      </c>
      <c r="E782" s="135" t="s">
        <v>476</v>
      </c>
      <c r="F782" s="138" t="s">
        <v>116</v>
      </c>
      <c r="G782" s="139" t="s">
        <v>407</v>
      </c>
      <c r="H782" s="140"/>
      <c r="I782" s="141">
        <v>1</v>
      </c>
      <c r="J782" s="142">
        <v>5274</v>
      </c>
      <c r="K782" s="142">
        <v>5274</v>
      </c>
      <c r="L782" s="611"/>
      <c r="M782" s="626"/>
      <c r="N782" s="132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</row>
    <row r="783" spans="1:28" s="134" customFormat="1" ht="15" customHeight="1" outlineLevel="1" x14ac:dyDescent="0.2">
      <c r="A783" s="122">
        <v>37</v>
      </c>
      <c r="B783" s="135">
        <v>10553</v>
      </c>
      <c r="C783" s="136">
        <v>41744</v>
      </c>
      <c r="D783" s="137" t="s">
        <v>1254</v>
      </c>
      <c r="E783" s="135" t="s">
        <v>476</v>
      </c>
      <c r="F783" s="138" t="s">
        <v>210</v>
      </c>
      <c r="G783" s="139" t="s">
        <v>407</v>
      </c>
      <c r="H783" s="140"/>
      <c r="I783" s="141">
        <v>1</v>
      </c>
      <c r="J783" s="142">
        <v>14099</v>
      </c>
      <c r="K783" s="142">
        <v>14099</v>
      </c>
      <c r="L783" s="612"/>
      <c r="M783" s="627"/>
      <c r="N783" s="132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</row>
    <row r="784" spans="1:28" s="134" customFormat="1" ht="15" customHeight="1" outlineLevel="1" x14ac:dyDescent="0.2">
      <c r="A784" s="122">
        <v>1</v>
      </c>
      <c r="B784" s="122">
        <v>22821</v>
      </c>
      <c r="C784" s="123">
        <v>41790</v>
      </c>
      <c r="D784" s="124" t="s">
        <v>1360</v>
      </c>
      <c r="E784" s="122" t="s">
        <v>484</v>
      </c>
      <c r="F784" s="125" t="s">
        <v>116</v>
      </c>
      <c r="G784" s="126" t="s">
        <v>1361</v>
      </c>
      <c r="H784" s="127" t="s">
        <v>489</v>
      </c>
      <c r="I784" s="128">
        <v>1</v>
      </c>
      <c r="J784" s="129">
        <v>5274</v>
      </c>
      <c r="K784" s="129">
        <v>5274</v>
      </c>
      <c r="L784" s="622" t="s">
        <v>606</v>
      </c>
      <c r="M784" s="168" t="s">
        <v>36</v>
      </c>
      <c r="N784" s="132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</row>
    <row r="785" spans="1:28" s="134" customFormat="1" ht="15" customHeight="1" outlineLevel="1" x14ac:dyDescent="0.2">
      <c r="A785" s="122">
        <v>2</v>
      </c>
      <c r="B785" s="122">
        <v>19167</v>
      </c>
      <c r="C785" s="123">
        <v>41775</v>
      </c>
      <c r="D785" s="124" t="s">
        <v>1362</v>
      </c>
      <c r="E785" s="122" t="s">
        <v>484</v>
      </c>
      <c r="F785" s="125" t="s">
        <v>580</v>
      </c>
      <c r="G785" s="126" t="s">
        <v>371</v>
      </c>
      <c r="H785" s="127"/>
      <c r="I785" s="128">
        <v>1</v>
      </c>
      <c r="J785" s="129">
        <v>25800</v>
      </c>
      <c r="K785" s="129">
        <v>25800</v>
      </c>
      <c r="L785" s="611"/>
      <c r="M785" s="168" t="s">
        <v>36</v>
      </c>
      <c r="N785" s="132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</row>
    <row r="786" spans="1:28" s="134" customFormat="1" ht="15" customHeight="1" outlineLevel="1" x14ac:dyDescent="0.2">
      <c r="A786" s="122">
        <v>3</v>
      </c>
      <c r="B786" s="122">
        <v>21246</v>
      </c>
      <c r="C786" s="123">
        <v>41785</v>
      </c>
      <c r="D786" s="124" t="s">
        <v>1363</v>
      </c>
      <c r="E786" s="122" t="s">
        <v>474</v>
      </c>
      <c r="F786" s="125" t="s">
        <v>580</v>
      </c>
      <c r="G786" s="126" t="s">
        <v>371</v>
      </c>
      <c r="H786" s="127"/>
      <c r="I786" s="128">
        <v>1</v>
      </c>
      <c r="J786" s="129">
        <v>25800</v>
      </c>
      <c r="K786" s="129">
        <v>25800</v>
      </c>
      <c r="L786" s="611"/>
      <c r="M786" s="168" t="s">
        <v>36</v>
      </c>
      <c r="N786" s="132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</row>
    <row r="787" spans="1:28" s="134" customFormat="1" ht="15" customHeight="1" outlineLevel="1" x14ac:dyDescent="0.2">
      <c r="A787" s="122">
        <v>4</v>
      </c>
      <c r="B787" s="122">
        <v>16675</v>
      </c>
      <c r="C787" s="123">
        <v>41767</v>
      </c>
      <c r="D787" s="124" t="s">
        <v>1364</v>
      </c>
      <c r="E787" s="122" t="s">
        <v>474</v>
      </c>
      <c r="F787" s="125" t="s">
        <v>682</v>
      </c>
      <c r="G787" s="126" t="s">
        <v>369</v>
      </c>
      <c r="H787" s="127" t="s">
        <v>703</v>
      </c>
      <c r="I787" s="128">
        <v>1</v>
      </c>
      <c r="J787" s="129">
        <v>55058</v>
      </c>
      <c r="K787" s="129">
        <v>55058</v>
      </c>
      <c r="L787" s="611"/>
      <c r="M787" s="168" t="s">
        <v>36</v>
      </c>
      <c r="N787" s="132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</row>
    <row r="788" spans="1:28" s="193" customFormat="1" ht="15" customHeight="1" outlineLevel="1" x14ac:dyDescent="0.2">
      <c r="A788" s="122">
        <v>5</v>
      </c>
      <c r="B788" s="148">
        <v>12191</v>
      </c>
      <c r="C788" s="149">
        <v>41750</v>
      </c>
      <c r="D788" s="150" t="s">
        <v>1365</v>
      </c>
      <c r="E788" s="148" t="s">
        <v>474</v>
      </c>
      <c r="F788" s="151" t="s">
        <v>580</v>
      </c>
      <c r="G788" s="152" t="s">
        <v>371</v>
      </c>
      <c r="H788" s="153"/>
      <c r="I788" s="154">
        <v>1</v>
      </c>
      <c r="J788" s="129">
        <v>25800</v>
      </c>
      <c r="K788" s="129">
        <v>25800</v>
      </c>
      <c r="L788" s="611"/>
      <c r="M788" s="168" t="s">
        <v>36</v>
      </c>
      <c r="N788" s="191"/>
      <c r="O788" s="192"/>
      <c r="P788" s="192"/>
      <c r="Q788" s="192"/>
      <c r="R788" s="192"/>
      <c r="S788" s="192"/>
      <c r="T788" s="192"/>
      <c r="U788" s="192"/>
      <c r="V788" s="192"/>
      <c r="W788" s="192"/>
      <c r="X788" s="192"/>
      <c r="Y788" s="192"/>
      <c r="Z788" s="192"/>
      <c r="AA788" s="192"/>
      <c r="AB788" s="192"/>
    </row>
    <row r="789" spans="1:28" s="134" customFormat="1" ht="15" customHeight="1" outlineLevel="1" x14ac:dyDescent="0.2">
      <c r="A789" s="122">
        <v>6</v>
      </c>
      <c r="B789" s="122">
        <v>17982</v>
      </c>
      <c r="C789" s="123">
        <v>41769</v>
      </c>
      <c r="D789" s="124" t="s">
        <v>1366</v>
      </c>
      <c r="E789" s="122" t="s">
        <v>484</v>
      </c>
      <c r="F789" s="125" t="s">
        <v>116</v>
      </c>
      <c r="G789" s="126" t="s">
        <v>511</v>
      </c>
      <c r="H789" s="127" t="s">
        <v>573</v>
      </c>
      <c r="I789" s="128">
        <v>1</v>
      </c>
      <c r="J789" s="129">
        <v>5274</v>
      </c>
      <c r="K789" s="129">
        <v>5274</v>
      </c>
      <c r="L789" s="611"/>
      <c r="M789" s="168" t="s">
        <v>36</v>
      </c>
      <c r="N789" s="132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</row>
    <row r="790" spans="1:28" s="193" customFormat="1" ht="15" customHeight="1" outlineLevel="1" x14ac:dyDescent="0.2">
      <c r="A790" s="122">
        <v>7</v>
      </c>
      <c r="B790" s="148">
        <v>13907</v>
      </c>
      <c r="C790" s="149">
        <v>41754</v>
      </c>
      <c r="D790" s="150" t="s">
        <v>1233</v>
      </c>
      <c r="E790" s="148" t="s">
        <v>481</v>
      </c>
      <c r="F790" s="151" t="s">
        <v>846</v>
      </c>
      <c r="G790" s="152" t="s">
        <v>371</v>
      </c>
      <c r="H790" s="153"/>
      <c r="I790" s="154">
        <v>1</v>
      </c>
      <c r="J790" s="129">
        <v>334719</v>
      </c>
      <c r="K790" s="129">
        <v>334719</v>
      </c>
      <c r="L790" s="611"/>
      <c r="M790" s="168" t="s">
        <v>36</v>
      </c>
      <c r="N790" s="191"/>
      <c r="O790" s="192"/>
      <c r="P790" s="192"/>
      <c r="Q790" s="192"/>
      <c r="R790" s="192"/>
      <c r="S790" s="192"/>
      <c r="T790" s="192"/>
      <c r="U790" s="192"/>
      <c r="V790" s="192"/>
      <c r="W790" s="192"/>
      <c r="X790" s="192"/>
      <c r="Y790" s="192"/>
      <c r="Z790" s="192"/>
      <c r="AA790" s="192"/>
      <c r="AB790" s="192"/>
    </row>
    <row r="791" spans="1:28" s="134" customFormat="1" ht="15" customHeight="1" outlineLevel="1" x14ac:dyDescent="0.2">
      <c r="A791" s="122">
        <v>8</v>
      </c>
      <c r="B791" s="122">
        <v>21884</v>
      </c>
      <c r="C791" s="123">
        <v>41787</v>
      </c>
      <c r="D791" s="124" t="s">
        <v>1367</v>
      </c>
      <c r="E791" s="122" t="s">
        <v>484</v>
      </c>
      <c r="F791" s="125" t="s">
        <v>116</v>
      </c>
      <c r="G791" s="126" t="s">
        <v>392</v>
      </c>
      <c r="H791" s="127" t="s">
        <v>1236</v>
      </c>
      <c r="I791" s="128">
        <v>1</v>
      </c>
      <c r="J791" s="129">
        <v>5274</v>
      </c>
      <c r="K791" s="129">
        <v>5274</v>
      </c>
      <c r="L791" s="611"/>
      <c r="M791" s="168" t="s">
        <v>36</v>
      </c>
      <c r="N791" s="132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</row>
    <row r="792" spans="1:28" s="134" customFormat="1" ht="15" customHeight="1" outlineLevel="1" x14ac:dyDescent="0.2">
      <c r="A792" s="122">
        <v>9</v>
      </c>
      <c r="B792" s="122">
        <v>20225</v>
      </c>
      <c r="C792" s="123">
        <v>41779</v>
      </c>
      <c r="D792" s="124" t="s">
        <v>1368</v>
      </c>
      <c r="E792" s="122" t="s">
        <v>476</v>
      </c>
      <c r="F792" s="125" t="s">
        <v>537</v>
      </c>
      <c r="G792" s="126" t="s">
        <v>511</v>
      </c>
      <c r="H792" s="127" t="s">
        <v>583</v>
      </c>
      <c r="I792" s="128">
        <v>1</v>
      </c>
      <c r="J792" s="129">
        <v>30429</v>
      </c>
      <c r="K792" s="129">
        <v>30429</v>
      </c>
      <c r="L792" s="611"/>
      <c r="M792" s="168" t="s">
        <v>36</v>
      </c>
      <c r="N792" s="132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</row>
    <row r="793" spans="1:28" s="134" customFormat="1" ht="15" customHeight="1" outlineLevel="1" x14ac:dyDescent="0.2">
      <c r="A793" s="122">
        <v>10</v>
      </c>
      <c r="B793" s="122">
        <v>21853</v>
      </c>
      <c r="C793" s="123">
        <v>41786</v>
      </c>
      <c r="D793" s="124" t="s">
        <v>1369</v>
      </c>
      <c r="E793" s="122" t="s">
        <v>476</v>
      </c>
      <c r="F793" s="125" t="s">
        <v>217</v>
      </c>
      <c r="G793" s="126" t="s">
        <v>369</v>
      </c>
      <c r="H793" s="127" t="s">
        <v>486</v>
      </c>
      <c r="I793" s="128">
        <v>1</v>
      </c>
      <c r="J793" s="129">
        <v>44597</v>
      </c>
      <c r="K793" s="129">
        <v>44597</v>
      </c>
      <c r="L793" s="611"/>
      <c r="M793" s="168" t="s">
        <v>36</v>
      </c>
      <c r="N793" s="132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</row>
    <row r="794" spans="1:28" s="134" customFormat="1" ht="15" customHeight="1" outlineLevel="1" x14ac:dyDescent="0.2">
      <c r="A794" s="122">
        <v>11</v>
      </c>
      <c r="B794" s="122">
        <v>21821</v>
      </c>
      <c r="C794" s="123">
        <v>41786</v>
      </c>
      <c r="D794" s="124" t="s">
        <v>1370</v>
      </c>
      <c r="E794" s="122" t="s">
        <v>474</v>
      </c>
      <c r="F794" s="125" t="s">
        <v>235</v>
      </c>
      <c r="G794" s="126" t="s">
        <v>369</v>
      </c>
      <c r="H794" s="127"/>
      <c r="I794" s="128">
        <v>1</v>
      </c>
      <c r="J794" s="129">
        <v>12499</v>
      </c>
      <c r="K794" s="129">
        <v>12499</v>
      </c>
      <c r="L794" s="611"/>
      <c r="M794" s="168" t="s">
        <v>36</v>
      </c>
      <c r="N794" s="132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</row>
    <row r="795" spans="1:28" s="134" customFormat="1" ht="15" customHeight="1" outlineLevel="1" x14ac:dyDescent="0.2">
      <c r="A795" s="122">
        <v>12</v>
      </c>
      <c r="B795" s="122">
        <v>19800</v>
      </c>
      <c r="C795" s="123">
        <v>41778</v>
      </c>
      <c r="D795" s="124" t="s">
        <v>1371</v>
      </c>
      <c r="E795" s="122" t="s">
        <v>474</v>
      </c>
      <c r="F795" s="125" t="s">
        <v>580</v>
      </c>
      <c r="G795" s="126" t="s">
        <v>371</v>
      </c>
      <c r="H795" s="127"/>
      <c r="I795" s="128">
        <v>1</v>
      </c>
      <c r="J795" s="129">
        <v>25800</v>
      </c>
      <c r="K795" s="129">
        <v>25800</v>
      </c>
      <c r="L795" s="611"/>
      <c r="M795" s="168" t="s">
        <v>36</v>
      </c>
      <c r="N795" s="132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</row>
    <row r="796" spans="1:28" s="134" customFormat="1" ht="15" customHeight="1" outlineLevel="1" x14ac:dyDescent="0.2">
      <c r="A796" s="122">
        <v>13</v>
      </c>
      <c r="B796" s="122">
        <v>20988</v>
      </c>
      <c r="C796" s="123">
        <v>41782</v>
      </c>
      <c r="D796" s="124" t="s">
        <v>1372</v>
      </c>
      <c r="E796" s="122" t="s">
        <v>476</v>
      </c>
      <c r="F796" s="125" t="s">
        <v>580</v>
      </c>
      <c r="G796" s="126" t="s">
        <v>371</v>
      </c>
      <c r="H796" s="127"/>
      <c r="I796" s="128">
        <v>1</v>
      </c>
      <c r="J796" s="129">
        <v>25800</v>
      </c>
      <c r="K796" s="129">
        <v>25800</v>
      </c>
      <c r="L796" s="611"/>
      <c r="M796" s="168" t="s">
        <v>36</v>
      </c>
      <c r="N796" s="132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</row>
    <row r="797" spans="1:28" s="134" customFormat="1" ht="15" customHeight="1" outlineLevel="1" x14ac:dyDescent="0.2">
      <c r="A797" s="122">
        <v>14</v>
      </c>
      <c r="B797" s="122">
        <v>16649</v>
      </c>
      <c r="C797" s="123">
        <v>41766</v>
      </c>
      <c r="D797" s="124" t="s">
        <v>1373</v>
      </c>
      <c r="E797" s="122" t="s">
        <v>697</v>
      </c>
      <c r="F797" s="125" t="s">
        <v>197</v>
      </c>
      <c r="G797" s="126" t="s">
        <v>400</v>
      </c>
      <c r="H797" s="127"/>
      <c r="I797" s="128">
        <v>2</v>
      </c>
      <c r="J797" s="129">
        <v>2739</v>
      </c>
      <c r="K797" s="129">
        <v>5478</v>
      </c>
      <c r="L797" s="611"/>
      <c r="M797" s="168" t="s">
        <v>36</v>
      </c>
      <c r="N797" s="132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</row>
    <row r="798" spans="1:28" s="134" customFormat="1" ht="15" customHeight="1" outlineLevel="1" x14ac:dyDescent="0.2">
      <c r="A798" s="122">
        <v>15</v>
      </c>
      <c r="B798" s="122">
        <v>18564</v>
      </c>
      <c r="C798" s="123">
        <v>41773</v>
      </c>
      <c r="D798" s="124" t="s">
        <v>1374</v>
      </c>
      <c r="E798" s="122" t="s">
        <v>505</v>
      </c>
      <c r="F798" s="125" t="s">
        <v>580</v>
      </c>
      <c r="G798" s="126" t="s">
        <v>371</v>
      </c>
      <c r="H798" s="127"/>
      <c r="I798" s="128">
        <v>1</v>
      </c>
      <c r="J798" s="129">
        <v>25800</v>
      </c>
      <c r="K798" s="129">
        <v>25800</v>
      </c>
      <c r="L798" s="611"/>
      <c r="M798" s="168" t="s">
        <v>36</v>
      </c>
      <c r="N798" s="132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</row>
    <row r="799" spans="1:28" s="134" customFormat="1" ht="15" customHeight="1" outlineLevel="1" x14ac:dyDescent="0.2">
      <c r="A799" s="122">
        <v>16</v>
      </c>
      <c r="B799" s="122">
        <v>17902</v>
      </c>
      <c r="C799" s="123">
        <v>41771</v>
      </c>
      <c r="D799" s="124" t="s">
        <v>1375</v>
      </c>
      <c r="E799" s="122" t="s">
        <v>474</v>
      </c>
      <c r="F799" s="125" t="s">
        <v>580</v>
      </c>
      <c r="G799" s="126" t="s">
        <v>371</v>
      </c>
      <c r="H799" s="127"/>
      <c r="I799" s="128">
        <v>1</v>
      </c>
      <c r="J799" s="129">
        <v>25800</v>
      </c>
      <c r="K799" s="129">
        <v>25800</v>
      </c>
      <c r="L799" s="611"/>
      <c r="M799" s="168" t="s">
        <v>36</v>
      </c>
      <c r="N799" s="132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</row>
    <row r="800" spans="1:28" s="134" customFormat="1" ht="15" customHeight="1" outlineLevel="1" x14ac:dyDescent="0.2">
      <c r="A800" s="122">
        <v>17</v>
      </c>
      <c r="B800" s="122">
        <v>21885</v>
      </c>
      <c r="C800" s="123">
        <v>41787</v>
      </c>
      <c r="D800" s="124" t="s">
        <v>1376</v>
      </c>
      <c r="E800" s="122" t="s">
        <v>484</v>
      </c>
      <c r="F800" s="125" t="s">
        <v>116</v>
      </c>
      <c r="G800" s="126" t="s">
        <v>417</v>
      </c>
      <c r="H800" s="127" t="s">
        <v>486</v>
      </c>
      <c r="I800" s="128">
        <v>1</v>
      </c>
      <c r="J800" s="129">
        <v>5274</v>
      </c>
      <c r="K800" s="129">
        <v>5274</v>
      </c>
      <c r="L800" s="611"/>
      <c r="M800" s="168" t="s">
        <v>36</v>
      </c>
      <c r="N800" s="132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</row>
    <row r="801" spans="1:28" s="193" customFormat="1" ht="15" customHeight="1" outlineLevel="1" x14ac:dyDescent="0.2">
      <c r="A801" s="122">
        <v>18</v>
      </c>
      <c r="B801" s="148">
        <v>12999</v>
      </c>
      <c r="C801" s="149">
        <v>41752</v>
      </c>
      <c r="D801" s="150" t="s">
        <v>1377</v>
      </c>
      <c r="E801" s="148" t="s">
        <v>476</v>
      </c>
      <c r="F801" s="151" t="s">
        <v>115</v>
      </c>
      <c r="G801" s="152" t="s">
        <v>1378</v>
      </c>
      <c r="H801" s="153" t="s">
        <v>563</v>
      </c>
      <c r="I801" s="154">
        <v>2</v>
      </c>
      <c r="J801" s="129">
        <v>33370</v>
      </c>
      <c r="K801" s="129">
        <v>66740</v>
      </c>
      <c r="L801" s="611"/>
      <c r="M801" s="168" t="s">
        <v>36</v>
      </c>
      <c r="N801" s="191"/>
      <c r="O801" s="192"/>
      <c r="P801" s="192"/>
      <c r="Q801" s="192"/>
      <c r="R801" s="192"/>
      <c r="S801" s="192"/>
      <c r="T801" s="192"/>
      <c r="U801" s="192"/>
      <c r="V801" s="192"/>
      <c r="W801" s="192"/>
      <c r="X801" s="192"/>
      <c r="Y801" s="192"/>
      <c r="Z801" s="192"/>
      <c r="AA801" s="192"/>
      <c r="AB801" s="192"/>
    </row>
    <row r="802" spans="1:28" s="134" customFormat="1" ht="15" customHeight="1" outlineLevel="1" x14ac:dyDescent="0.2">
      <c r="A802" s="122">
        <v>19</v>
      </c>
      <c r="B802" s="122">
        <v>16656</v>
      </c>
      <c r="C802" s="123">
        <v>41766</v>
      </c>
      <c r="D802" s="124" t="s">
        <v>1379</v>
      </c>
      <c r="E802" s="122" t="s">
        <v>484</v>
      </c>
      <c r="F802" s="125" t="s">
        <v>116</v>
      </c>
      <c r="G802" s="126" t="s">
        <v>1380</v>
      </c>
      <c r="H802" s="127" t="s">
        <v>489</v>
      </c>
      <c r="I802" s="128">
        <v>2</v>
      </c>
      <c r="J802" s="129">
        <v>5274</v>
      </c>
      <c r="K802" s="129">
        <v>10548</v>
      </c>
      <c r="L802" s="611"/>
      <c r="M802" s="168" t="s">
        <v>36</v>
      </c>
      <c r="N802" s="132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</row>
    <row r="803" spans="1:28" s="134" customFormat="1" ht="15" customHeight="1" outlineLevel="1" x14ac:dyDescent="0.2">
      <c r="A803" s="122">
        <v>20</v>
      </c>
      <c r="B803" s="122">
        <v>19524</v>
      </c>
      <c r="C803" s="123">
        <v>41775</v>
      </c>
      <c r="D803" s="124" t="s">
        <v>1381</v>
      </c>
      <c r="E803" s="122" t="s">
        <v>474</v>
      </c>
      <c r="F803" s="125" t="s">
        <v>580</v>
      </c>
      <c r="G803" s="126" t="s">
        <v>371</v>
      </c>
      <c r="H803" s="127"/>
      <c r="I803" s="128">
        <v>1</v>
      </c>
      <c r="J803" s="129">
        <v>25800</v>
      </c>
      <c r="K803" s="129">
        <v>25800</v>
      </c>
      <c r="L803" s="611"/>
      <c r="M803" s="168" t="s">
        <v>36</v>
      </c>
      <c r="N803" s="132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</row>
    <row r="804" spans="1:28" s="134" customFormat="1" ht="15" customHeight="1" outlineLevel="1" x14ac:dyDescent="0.2">
      <c r="A804" s="122">
        <v>21</v>
      </c>
      <c r="B804" s="122">
        <v>19393</v>
      </c>
      <c r="C804" s="123">
        <v>41778</v>
      </c>
      <c r="D804" s="124" t="s">
        <v>1382</v>
      </c>
      <c r="E804" s="122" t="s">
        <v>481</v>
      </c>
      <c r="F804" s="125" t="s">
        <v>219</v>
      </c>
      <c r="G804" s="126" t="s">
        <v>371</v>
      </c>
      <c r="H804" s="127"/>
      <c r="I804" s="128">
        <v>1</v>
      </c>
      <c r="J804" s="129">
        <v>22299</v>
      </c>
      <c r="K804" s="129">
        <v>22299</v>
      </c>
      <c r="L804" s="611"/>
      <c r="M804" s="168" t="s">
        <v>36</v>
      </c>
      <c r="N804" s="132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</row>
    <row r="805" spans="1:28" s="134" customFormat="1" ht="15" customHeight="1" outlineLevel="1" x14ac:dyDescent="0.2">
      <c r="A805" s="122">
        <v>22</v>
      </c>
      <c r="B805" s="122">
        <v>19091</v>
      </c>
      <c r="C805" s="123">
        <v>41778</v>
      </c>
      <c r="D805" s="124" t="s">
        <v>1383</v>
      </c>
      <c r="E805" s="122" t="s">
        <v>481</v>
      </c>
      <c r="F805" s="125" t="s">
        <v>219</v>
      </c>
      <c r="G805" s="126" t="s">
        <v>371</v>
      </c>
      <c r="H805" s="127"/>
      <c r="I805" s="128">
        <v>1</v>
      </c>
      <c r="J805" s="129">
        <v>22299</v>
      </c>
      <c r="K805" s="129">
        <v>22299</v>
      </c>
      <c r="L805" s="611"/>
      <c r="M805" s="168" t="s">
        <v>36</v>
      </c>
      <c r="N805" s="132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</row>
    <row r="806" spans="1:28" s="134" customFormat="1" ht="15" customHeight="1" outlineLevel="1" x14ac:dyDescent="0.2">
      <c r="A806" s="122">
        <v>23</v>
      </c>
      <c r="B806" s="122">
        <v>18816</v>
      </c>
      <c r="C806" s="123">
        <v>41774</v>
      </c>
      <c r="D806" s="124" t="s">
        <v>1384</v>
      </c>
      <c r="E806" s="122" t="s">
        <v>481</v>
      </c>
      <c r="F806" s="125" t="s">
        <v>237</v>
      </c>
      <c r="G806" s="126" t="s">
        <v>369</v>
      </c>
      <c r="H806" s="127"/>
      <c r="I806" s="128">
        <v>1</v>
      </c>
      <c r="J806" s="129">
        <v>10401</v>
      </c>
      <c r="K806" s="129">
        <v>10401</v>
      </c>
      <c r="L806" s="611"/>
      <c r="M806" s="168" t="s">
        <v>36</v>
      </c>
      <c r="N806" s="132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</row>
    <row r="807" spans="1:28" s="134" customFormat="1" ht="15" customHeight="1" outlineLevel="1" x14ac:dyDescent="0.2">
      <c r="A807" s="122">
        <v>24</v>
      </c>
      <c r="B807" s="122">
        <v>20679</v>
      </c>
      <c r="C807" s="123">
        <v>41781</v>
      </c>
      <c r="D807" s="124" t="s">
        <v>1385</v>
      </c>
      <c r="E807" s="122" t="s">
        <v>476</v>
      </c>
      <c r="F807" s="125" t="s">
        <v>116</v>
      </c>
      <c r="G807" s="126" t="s">
        <v>442</v>
      </c>
      <c r="H807" s="127" t="s">
        <v>573</v>
      </c>
      <c r="I807" s="128">
        <v>1</v>
      </c>
      <c r="J807" s="129">
        <v>5274</v>
      </c>
      <c r="K807" s="129">
        <v>5274</v>
      </c>
      <c r="L807" s="611"/>
      <c r="M807" s="168" t="s">
        <v>36</v>
      </c>
      <c r="N807" s="132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</row>
    <row r="808" spans="1:28" s="134" customFormat="1" ht="15" customHeight="1" outlineLevel="1" x14ac:dyDescent="0.2">
      <c r="A808" s="122">
        <v>25</v>
      </c>
      <c r="B808" s="122">
        <v>20679</v>
      </c>
      <c r="C808" s="123">
        <v>41781</v>
      </c>
      <c r="D808" s="124" t="s">
        <v>1385</v>
      </c>
      <c r="E808" s="122" t="s">
        <v>476</v>
      </c>
      <c r="F808" s="125" t="s">
        <v>210</v>
      </c>
      <c r="G808" s="126" t="s">
        <v>442</v>
      </c>
      <c r="H808" s="127"/>
      <c r="I808" s="128">
        <v>1</v>
      </c>
      <c r="J808" s="129">
        <v>14099</v>
      </c>
      <c r="K808" s="129">
        <v>14099</v>
      </c>
      <c r="L808" s="611"/>
      <c r="M808" s="168" t="s">
        <v>36</v>
      </c>
      <c r="N808" s="132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</row>
    <row r="809" spans="1:28" s="134" customFormat="1" ht="15" customHeight="1" outlineLevel="1" x14ac:dyDescent="0.2">
      <c r="A809" s="122">
        <v>26</v>
      </c>
      <c r="B809" s="122">
        <v>22441</v>
      </c>
      <c r="C809" s="123">
        <v>41787</v>
      </c>
      <c r="D809" s="124" t="s">
        <v>1386</v>
      </c>
      <c r="E809" s="122" t="s">
        <v>484</v>
      </c>
      <c r="F809" s="125" t="s">
        <v>1301</v>
      </c>
      <c r="G809" s="126" t="s">
        <v>371</v>
      </c>
      <c r="H809" s="127"/>
      <c r="I809" s="128">
        <v>1</v>
      </c>
      <c r="J809" s="129">
        <v>35501</v>
      </c>
      <c r="K809" s="129">
        <v>35501</v>
      </c>
      <c r="L809" s="611"/>
      <c r="M809" s="168" t="s">
        <v>36</v>
      </c>
      <c r="N809" s="132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</row>
    <row r="810" spans="1:28" s="134" customFormat="1" ht="15" customHeight="1" outlineLevel="1" x14ac:dyDescent="0.2">
      <c r="A810" s="122">
        <v>27</v>
      </c>
      <c r="B810" s="122">
        <v>17981</v>
      </c>
      <c r="C810" s="123">
        <v>41771</v>
      </c>
      <c r="D810" s="124" t="s">
        <v>1387</v>
      </c>
      <c r="E810" s="122" t="s">
        <v>484</v>
      </c>
      <c r="F810" s="125" t="s">
        <v>235</v>
      </c>
      <c r="G810" s="126" t="s">
        <v>371</v>
      </c>
      <c r="H810" s="127"/>
      <c r="I810" s="128">
        <v>1</v>
      </c>
      <c r="J810" s="129">
        <v>12499</v>
      </c>
      <c r="K810" s="129">
        <v>12499</v>
      </c>
      <c r="L810" s="612"/>
      <c r="M810" s="168" t="s">
        <v>36</v>
      </c>
      <c r="N810" s="132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</row>
    <row r="811" spans="1:28" s="134" customFormat="1" ht="15" customHeight="1" outlineLevel="1" x14ac:dyDescent="0.2">
      <c r="A811" s="122">
        <v>5</v>
      </c>
      <c r="B811" s="148">
        <v>16974</v>
      </c>
      <c r="C811" s="149">
        <v>41768</v>
      </c>
      <c r="D811" s="150" t="s">
        <v>1388</v>
      </c>
      <c r="E811" s="148" t="s">
        <v>474</v>
      </c>
      <c r="F811" s="151" t="s">
        <v>580</v>
      </c>
      <c r="G811" s="152" t="s">
        <v>371</v>
      </c>
      <c r="H811" s="153"/>
      <c r="I811" s="154">
        <v>1</v>
      </c>
      <c r="J811" s="129">
        <v>25800</v>
      </c>
      <c r="K811" s="129">
        <v>25800</v>
      </c>
      <c r="L811" s="649" t="s">
        <v>608</v>
      </c>
      <c r="M811" s="608" t="s">
        <v>36</v>
      </c>
      <c r="N811" s="132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</row>
    <row r="812" spans="1:28" s="134" customFormat="1" ht="15" customHeight="1" outlineLevel="1" x14ac:dyDescent="0.2">
      <c r="A812" s="122">
        <v>6</v>
      </c>
      <c r="B812" s="148">
        <v>17579</v>
      </c>
      <c r="C812" s="149">
        <v>41768</v>
      </c>
      <c r="D812" s="150" t="s">
        <v>1389</v>
      </c>
      <c r="E812" s="148" t="s">
        <v>484</v>
      </c>
      <c r="F812" s="151" t="s">
        <v>580</v>
      </c>
      <c r="G812" s="152" t="s">
        <v>371</v>
      </c>
      <c r="H812" s="153"/>
      <c r="I812" s="154">
        <v>1</v>
      </c>
      <c r="J812" s="129">
        <v>25800</v>
      </c>
      <c r="K812" s="129">
        <v>25800</v>
      </c>
      <c r="L812" s="620"/>
      <c r="M812" s="648"/>
      <c r="N812" s="132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</row>
    <row r="813" spans="1:28" s="134" customFormat="1" ht="15" customHeight="1" outlineLevel="1" x14ac:dyDescent="0.2">
      <c r="A813" s="122">
        <v>7</v>
      </c>
      <c r="B813" s="148">
        <v>20195</v>
      </c>
      <c r="C813" s="149">
        <v>41779</v>
      </c>
      <c r="D813" s="150" t="s">
        <v>1390</v>
      </c>
      <c r="E813" s="148" t="s">
        <v>476</v>
      </c>
      <c r="F813" s="151" t="s">
        <v>580</v>
      </c>
      <c r="G813" s="152" t="s">
        <v>371</v>
      </c>
      <c r="H813" s="153"/>
      <c r="I813" s="154">
        <v>1</v>
      </c>
      <c r="J813" s="129">
        <v>25800</v>
      </c>
      <c r="K813" s="129">
        <v>25800</v>
      </c>
      <c r="L813" s="620"/>
      <c r="M813" s="648"/>
      <c r="N813" s="132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</row>
    <row r="814" spans="1:28" s="134" customFormat="1" ht="15" customHeight="1" outlineLevel="1" x14ac:dyDescent="0.2">
      <c r="A814" s="122">
        <v>8</v>
      </c>
      <c r="B814" s="148">
        <v>20930</v>
      </c>
      <c r="C814" s="149">
        <v>41782</v>
      </c>
      <c r="D814" s="150" t="s">
        <v>1391</v>
      </c>
      <c r="E814" s="148" t="s">
        <v>476</v>
      </c>
      <c r="F814" s="151" t="s">
        <v>580</v>
      </c>
      <c r="G814" s="152" t="s">
        <v>371</v>
      </c>
      <c r="H814" s="153"/>
      <c r="I814" s="154">
        <v>1</v>
      </c>
      <c r="J814" s="129">
        <v>25800</v>
      </c>
      <c r="K814" s="129">
        <v>25800</v>
      </c>
      <c r="L814" s="620"/>
      <c r="M814" s="648"/>
      <c r="N814" s="132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</row>
    <row r="815" spans="1:28" s="134" customFormat="1" ht="15" customHeight="1" outlineLevel="1" x14ac:dyDescent="0.2">
      <c r="A815" s="122">
        <v>9</v>
      </c>
      <c r="B815" s="122">
        <v>23660</v>
      </c>
      <c r="C815" s="123">
        <v>41792</v>
      </c>
      <c r="D815" s="124" t="s">
        <v>1392</v>
      </c>
      <c r="E815" s="122" t="s">
        <v>474</v>
      </c>
      <c r="F815" s="125" t="s">
        <v>237</v>
      </c>
      <c r="G815" s="126" t="s">
        <v>371</v>
      </c>
      <c r="H815" s="127"/>
      <c r="I815" s="128">
        <v>1</v>
      </c>
      <c r="J815" s="129">
        <v>10401</v>
      </c>
      <c r="K815" s="129">
        <v>10401</v>
      </c>
      <c r="L815" s="620"/>
      <c r="M815" s="648"/>
      <c r="N815" s="132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</row>
    <row r="816" spans="1:28" s="134" customFormat="1" ht="15" customHeight="1" outlineLevel="1" x14ac:dyDescent="0.2">
      <c r="A816" s="122">
        <v>10</v>
      </c>
      <c r="B816" s="122">
        <v>23754</v>
      </c>
      <c r="C816" s="123">
        <v>41793</v>
      </c>
      <c r="D816" s="124" t="s">
        <v>1393</v>
      </c>
      <c r="E816" s="122" t="s">
        <v>476</v>
      </c>
      <c r="F816" s="125" t="s">
        <v>115</v>
      </c>
      <c r="G816" s="126" t="s">
        <v>1394</v>
      </c>
      <c r="H816" s="127"/>
      <c r="I816" s="128">
        <v>2</v>
      </c>
      <c r="J816" s="129">
        <v>33370</v>
      </c>
      <c r="K816" s="129">
        <v>66740</v>
      </c>
      <c r="L816" s="620"/>
      <c r="M816" s="648"/>
      <c r="N816" s="132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</row>
    <row r="817" spans="1:28" s="134" customFormat="1" ht="15" customHeight="1" outlineLevel="1" x14ac:dyDescent="0.2">
      <c r="A817" s="122">
        <v>11</v>
      </c>
      <c r="B817" s="122">
        <v>23837</v>
      </c>
      <c r="C817" s="123">
        <v>41793</v>
      </c>
      <c r="D817" s="124" t="s">
        <v>1395</v>
      </c>
      <c r="E817" s="122" t="s">
        <v>476</v>
      </c>
      <c r="F817" s="125" t="s">
        <v>682</v>
      </c>
      <c r="G817" s="126" t="s">
        <v>371</v>
      </c>
      <c r="H817" s="127"/>
      <c r="I817" s="128">
        <v>1</v>
      </c>
      <c r="J817" s="129">
        <v>55058</v>
      </c>
      <c r="K817" s="129">
        <v>55058</v>
      </c>
      <c r="L817" s="620"/>
      <c r="M817" s="648"/>
      <c r="N817" s="132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</row>
    <row r="818" spans="1:28" s="134" customFormat="1" ht="15" customHeight="1" outlineLevel="1" x14ac:dyDescent="0.2">
      <c r="A818" s="122">
        <v>12</v>
      </c>
      <c r="B818" s="122">
        <v>24143</v>
      </c>
      <c r="C818" s="123">
        <v>41793</v>
      </c>
      <c r="D818" s="124" t="s">
        <v>1396</v>
      </c>
      <c r="E818" s="122" t="s">
        <v>484</v>
      </c>
      <c r="F818" s="125" t="s">
        <v>188</v>
      </c>
      <c r="G818" s="126" t="s">
        <v>442</v>
      </c>
      <c r="H818" s="127"/>
      <c r="I818" s="128">
        <v>1</v>
      </c>
      <c r="J818" s="129">
        <v>42601</v>
      </c>
      <c r="K818" s="129">
        <v>42601</v>
      </c>
      <c r="L818" s="620"/>
      <c r="M818" s="648"/>
      <c r="N818" s="132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</row>
    <row r="819" spans="1:28" s="134" customFormat="1" ht="15" customHeight="1" outlineLevel="1" x14ac:dyDescent="0.2">
      <c r="A819" s="122">
        <v>13</v>
      </c>
      <c r="B819" s="122">
        <v>24143</v>
      </c>
      <c r="C819" s="123">
        <v>41793</v>
      </c>
      <c r="D819" s="124" t="s">
        <v>1396</v>
      </c>
      <c r="E819" s="122" t="s">
        <v>484</v>
      </c>
      <c r="F819" s="125" t="s">
        <v>184</v>
      </c>
      <c r="G819" s="126" t="s">
        <v>392</v>
      </c>
      <c r="H819" s="127"/>
      <c r="I819" s="128">
        <v>1</v>
      </c>
      <c r="J819" s="129">
        <v>45644</v>
      </c>
      <c r="K819" s="129">
        <v>45644</v>
      </c>
      <c r="L819" s="620"/>
      <c r="M819" s="648"/>
      <c r="N819" s="132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</row>
    <row r="820" spans="1:28" s="134" customFormat="1" ht="15" customHeight="1" outlineLevel="1" x14ac:dyDescent="0.2">
      <c r="A820" s="122">
        <v>14</v>
      </c>
      <c r="B820" s="122">
        <v>24147</v>
      </c>
      <c r="C820" s="123">
        <v>41793</v>
      </c>
      <c r="D820" s="124" t="s">
        <v>1379</v>
      </c>
      <c r="E820" s="122" t="s">
        <v>484</v>
      </c>
      <c r="F820" s="125" t="s">
        <v>115</v>
      </c>
      <c r="G820" s="126" t="s">
        <v>1397</v>
      </c>
      <c r="H820" s="127"/>
      <c r="I820" s="128">
        <v>2</v>
      </c>
      <c r="J820" s="129">
        <v>33370</v>
      </c>
      <c r="K820" s="129">
        <v>66740</v>
      </c>
      <c r="L820" s="620"/>
      <c r="M820" s="648"/>
      <c r="N820" s="132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</row>
    <row r="821" spans="1:28" s="193" customFormat="1" ht="15" customHeight="1" outlineLevel="1" x14ac:dyDescent="0.2">
      <c r="A821" s="122">
        <v>15</v>
      </c>
      <c r="B821" s="122">
        <v>24494</v>
      </c>
      <c r="C821" s="123">
        <v>41794</v>
      </c>
      <c r="D821" s="124" t="s">
        <v>1398</v>
      </c>
      <c r="E821" s="122" t="s">
        <v>484</v>
      </c>
      <c r="F821" s="125" t="s">
        <v>217</v>
      </c>
      <c r="G821" s="126" t="s">
        <v>371</v>
      </c>
      <c r="H821" s="127"/>
      <c r="I821" s="128">
        <v>1</v>
      </c>
      <c r="J821" s="129">
        <v>44597</v>
      </c>
      <c r="K821" s="129">
        <v>44597</v>
      </c>
      <c r="L821" s="620"/>
      <c r="M821" s="648"/>
      <c r="N821" s="191"/>
      <c r="O821" s="192"/>
      <c r="P821" s="192"/>
      <c r="Q821" s="192"/>
      <c r="R821" s="192"/>
      <c r="S821" s="192"/>
      <c r="T821" s="192"/>
      <c r="U821" s="192"/>
      <c r="V821" s="192"/>
      <c r="W821" s="192"/>
      <c r="X821" s="192"/>
      <c r="Y821" s="192"/>
      <c r="Z821" s="192"/>
      <c r="AA821" s="192"/>
      <c r="AB821" s="192"/>
    </row>
    <row r="822" spans="1:28" s="134" customFormat="1" ht="15" customHeight="1" outlineLevel="1" x14ac:dyDescent="0.2">
      <c r="A822" s="122">
        <v>16</v>
      </c>
      <c r="B822" s="122">
        <v>24728</v>
      </c>
      <c r="C822" s="123">
        <v>41799</v>
      </c>
      <c r="D822" s="124" t="s">
        <v>1399</v>
      </c>
      <c r="E822" s="122" t="s">
        <v>484</v>
      </c>
      <c r="F822" s="125" t="s">
        <v>217</v>
      </c>
      <c r="G822" s="126" t="s">
        <v>369</v>
      </c>
      <c r="H822" s="127"/>
      <c r="I822" s="128">
        <v>1</v>
      </c>
      <c r="J822" s="129">
        <v>44597</v>
      </c>
      <c r="K822" s="129">
        <v>44597</v>
      </c>
      <c r="L822" s="620"/>
      <c r="M822" s="648"/>
      <c r="N822" s="132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</row>
    <row r="823" spans="1:28" s="134" customFormat="1" ht="15" customHeight="1" outlineLevel="1" x14ac:dyDescent="0.2">
      <c r="A823" s="122">
        <v>17</v>
      </c>
      <c r="B823" s="122">
        <v>24954</v>
      </c>
      <c r="C823" s="123">
        <v>41797</v>
      </c>
      <c r="D823" s="124" t="s">
        <v>1400</v>
      </c>
      <c r="E823" s="122" t="s">
        <v>484</v>
      </c>
      <c r="F823" s="125" t="s">
        <v>116</v>
      </c>
      <c r="G823" s="126" t="s">
        <v>431</v>
      </c>
      <c r="H823" s="127"/>
      <c r="I823" s="128">
        <v>1</v>
      </c>
      <c r="J823" s="129">
        <v>5274</v>
      </c>
      <c r="K823" s="129">
        <v>5274</v>
      </c>
      <c r="L823" s="620"/>
      <c r="M823" s="648"/>
      <c r="N823" s="132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</row>
    <row r="824" spans="1:28" s="134" customFormat="1" ht="15" customHeight="1" outlineLevel="1" x14ac:dyDescent="0.2">
      <c r="A824" s="122">
        <v>18</v>
      </c>
      <c r="B824" s="122">
        <v>25839</v>
      </c>
      <c r="C824" s="123">
        <v>41800</v>
      </c>
      <c r="D824" s="124" t="s">
        <v>1401</v>
      </c>
      <c r="E824" s="122" t="s">
        <v>476</v>
      </c>
      <c r="F824" s="125" t="s">
        <v>204</v>
      </c>
      <c r="G824" s="126" t="s">
        <v>415</v>
      </c>
      <c r="H824" s="127"/>
      <c r="I824" s="128">
        <v>1</v>
      </c>
      <c r="J824" s="129">
        <v>17244</v>
      </c>
      <c r="K824" s="129">
        <v>17244</v>
      </c>
      <c r="L824" s="620"/>
      <c r="M824" s="648"/>
      <c r="N824" s="132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</row>
    <row r="825" spans="1:28" s="134" customFormat="1" ht="15" customHeight="1" outlineLevel="1" x14ac:dyDescent="0.2">
      <c r="A825" s="122">
        <v>19</v>
      </c>
      <c r="B825" s="122">
        <v>26063</v>
      </c>
      <c r="C825" s="123">
        <v>41801</v>
      </c>
      <c r="D825" s="124" t="s">
        <v>1402</v>
      </c>
      <c r="E825" s="122" t="s">
        <v>484</v>
      </c>
      <c r="F825" s="125" t="s">
        <v>682</v>
      </c>
      <c r="G825" s="126" t="s">
        <v>369</v>
      </c>
      <c r="H825" s="127"/>
      <c r="I825" s="128">
        <v>1</v>
      </c>
      <c r="J825" s="129">
        <v>55058</v>
      </c>
      <c r="K825" s="129">
        <v>55058</v>
      </c>
      <c r="L825" s="620"/>
      <c r="M825" s="648"/>
      <c r="N825" s="132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</row>
    <row r="826" spans="1:28" s="134" customFormat="1" ht="15" customHeight="1" outlineLevel="1" x14ac:dyDescent="0.2">
      <c r="A826" s="122">
        <v>20</v>
      </c>
      <c r="B826" s="122">
        <v>26290</v>
      </c>
      <c r="C826" s="123">
        <v>41802</v>
      </c>
      <c r="D826" s="124" t="s">
        <v>1403</v>
      </c>
      <c r="E826" s="122" t="s">
        <v>484</v>
      </c>
      <c r="F826" s="125" t="s">
        <v>682</v>
      </c>
      <c r="G826" s="126" t="s">
        <v>369</v>
      </c>
      <c r="H826" s="127"/>
      <c r="I826" s="128">
        <v>1</v>
      </c>
      <c r="J826" s="129">
        <v>55058</v>
      </c>
      <c r="K826" s="129">
        <v>55058</v>
      </c>
      <c r="L826" s="620"/>
      <c r="M826" s="648"/>
      <c r="N826" s="132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</row>
    <row r="827" spans="1:28" s="134" customFormat="1" ht="15" customHeight="1" outlineLevel="1" x14ac:dyDescent="0.2">
      <c r="A827" s="122">
        <v>21</v>
      </c>
      <c r="B827" s="122">
        <v>26568</v>
      </c>
      <c r="C827" s="123">
        <v>41802</v>
      </c>
      <c r="D827" s="124" t="s">
        <v>1404</v>
      </c>
      <c r="E827" s="122" t="s">
        <v>505</v>
      </c>
      <c r="F827" s="125" t="s">
        <v>580</v>
      </c>
      <c r="G827" s="126" t="s">
        <v>371</v>
      </c>
      <c r="H827" s="127"/>
      <c r="I827" s="128">
        <v>1</v>
      </c>
      <c r="J827" s="129">
        <v>25800</v>
      </c>
      <c r="K827" s="129">
        <v>25800</v>
      </c>
      <c r="L827" s="620"/>
      <c r="M827" s="648"/>
      <c r="N827" s="132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</row>
    <row r="828" spans="1:28" s="134" customFormat="1" ht="15" customHeight="1" outlineLevel="1" x14ac:dyDescent="0.2">
      <c r="A828" s="122">
        <v>22</v>
      </c>
      <c r="B828" s="122">
        <v>26906</v>
      </c>
      <c r="C828" s="123">
        <v>41803</v>
      </c>
      <c r="D828" s="124" t="s">
        <v>1405</v>
      </c>
      <c r="E828" s="122" t="s">
        <v>474</v>
      </c>
      <c r="F828" s="125" t="s">
        <v>682</v>
      </c>
      <c r="G828" s="126" t="s">
        <v>371</v>
      </c>
      <c r="H828" s="127"/>
      <c r="I828" s="128">
        <v>1</v>
      </c>
      <c r="J828" s="129">
        <v>55058</v>
      </c>
      <c r="K828" s="129">
        <v>55058</v>
      </c>
      <c r="L828" s="620"/>
      <c r="M828" s="648"/>
      <c r="N828" s="132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</row>
    <row r="829" spans="1:28" s="134" customFormat="1" ht="15" customHeight="1" outlineLevel="1" x14ac:dyDescent="0.2">
      <c r="A829" s="122">
        <v>23</v>
      </c>
      <c r="B829" s="122">
        <v>27378</v>
      </c>
      <c r="C829" s="123">
        <v>41806</v>
      </c>
      <c r="D829" s="124" t="s">
        <v>1406</v>
      </c>
      <c r="E829" s="122" t="s">
        <v>476</v>
      </c>
      <c r="F829" s="125" t="s">
        <v>217</v>
      </c>
      <c r="G829" s="126" t="s">
        <v>387</v>
      </c>
      <c r="H829" s="127"/>
      <c r="I829" s="128">
        <v>2</v>
      </c>
      <c r="J829" s="129">
        <v>44597</v>
      </c>
      <c r="K829" s="129">
        <v>89194</v>
      </c>
      <c r="L829" s="620"/>
      <c r="M829" s="648"/>
      <c r="N829" s="132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</row>
    <row r="830" spans="1:28" s="134" customFormat="1" ht="15" customHeight="1" outlineLevel="1" x14ac:dyDescent="0.2">
      <c r="A830" s="122">
        <v>24</v>
      </c>
      <c r="B830" s="122">
        <v>27486</v>
      </c>
      <c r="C830" s="123">
        <v>41806</v>
      </c>
      <c r="D830" s="124" t="s">
        <v>1407</v>
      </c>
      <c r="E830" s="122" t="s">
        <v>476</v>
      </c>
      <c r="F830" s="125" t="s">
        <v>537</v>
      </c>
      <c r="G830" s="126" t="s">
        <v>527</v>
      </c>
      <c r="H830" s="127"/>
      <c r="I830" s="128">
        <v>1</v>
      </c>
      <c r="J830" s="129">
        <v>30429</v>
      </c>
      <c r="K830" s="129">
        <v>30429</v>
      </c>
      <c r="L830" s="620"/>
      <c r="M830" s="648"/>
      <c r="N830" s="132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</row>
    <row r="831" spans="1:28" s="134" customFormat="1" ht="15" customHeight="1" outlineLevel="1" x14ac:dyDescent="0.2">
      <c r="A831" s="122">
        <v>25</v>
      </c>
      <c r="B831" s="122">
        <v>27534</v>
      </c>
      <c r="C831" s="123">
        <v>41807</v>
      </c>
      <c r="D831" s="124" t="s">
        <v>1379</v>
      </c>
      <c r="E831" s="122" t="s">
        <v>484</v>
      </c>
      <c r="F831" s="125" t="s">
        <v>1408</v>
      </c>
      <c r="G831" s="126" t="s">
        <v>369</v>
      </c>
      <c r="H831" s="127"/>
      <c r="I831" s="128">
        <v>1</v>
      </c>
      <c r="J831" s="129">
        <v>83071</v>
      </c>
      <c r="K831" s="129">
        <v>83071</v>
      </c>
      <c r="L831" s="620"/>
      <c r="M831" s="648"/>
      <c r="N831" s="132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</row>
    <row r="832" spans="1:28" s="193" customFormat="1" ht="15" customHeight="1" outlineLevel="1" x14ac:dyDescent="0.2">
      <c r="A832" s="122">
        <v>3</v>
      </c>
      <c r="B832" s="122">
        <v>27571</v>
      </c>
      <c r="C832" s="123">
        <v>41808</v>
      </c>
      <c r="D832" s="124" t="s">
        <v>1409</v>
      </c>
      <c r="E832" s="122" t="s">
        <v>484</v>
      </c>
      <c r="F832" s="125" t="s">
        <v>237</v>
      </c>
      <c r="G832" s="126" t="s">
        <v>371</v>
      </c>
      <c r="H832" s="127"/>
      <c r="I832" s="128">
        <v>1</v>
      </c>
      <c r="J832" s="129">
        <v>10401</v>
      </c>
      <c r="K832" s="129">
        <v>10401</v>
      </c>
      <c r="L832" s="620"/>
      <c r="M832" s="648"/>
      <c r="N832" s="191"/>
      <c r="O832" s="192"/>
      <c r="P832" s="192"/>
      <c r="Q832" s="192"/>
      <c r="R832" s="192"/>
      <c r="S832" s="192"/>
      <c r="T832" s="192"/>
      <c r="U832" s="192"/>
      <c r="V832" s="192"/>
      <c r="W832" s="192"/>
      <c r="X832" s="192"/>
      <c r="Y832" s="192"/>
      <c r="Z832" s="192"/>
      <c r="AA832" s="192"/>
      <c r="AB832" s="192"/>
    </row>
    <row r="833" spans="1:28" s="193" customFormat="1" ht="15" customHeight="1" outlineLevel="1" x14ac:dyDescent="0.2">
      <c r="A833" s="122">
        <v>27</v>
      </c>
      <c r="B833" s="122">
        <v>27686</v>
      </c>
      <c r="C833" s="123">
        <v>41809</v>
      </c>
      <c r="D833" s="124" t="s">
        <v>1360</v>
      </c>
      <c r="E833" s="122" t="s">
        <v>481</v>
      </c>
      <c r="F833" s="125" t="s">
        <v>217</v>
      </c>
      <c r="G833" s="126" t="s">
        <v>371</v>
      </c>
      <c r="H833" s="127"/>
      <c r="I833" s="128">
        <v>1</v>
      </c>
      <c r="J833" s="129">
        <v>44597</v>
      </c>
      <c r="K833" s="129">
        <v>44597</v>
      </c>
      <c r="L833" s="620"/>
      <c r="M833" s="648"/>
      <c r="N833" s="191"/>
      <c r="O833" s="192"/>
      <c r="P833" s="192"/>
      <c r="Q833" s="192"/>
      <c r="R833" s="192"/>
      <c r="S833" s="192"/>
      <c r="T833" s="192"/>
      <c r="U833" s="192"/>
      <c r="V833" s="192"/>
      <c r="W833" s="192"/>
      <c r="X833" s="192"/>
      <c r="Y833" s="192"/>
      <c r="Z833" s="192"/>
      <c r="AA833" s="192"/>
      <c r="AB833" s="192"/>
    </row>
    <row r="834" spans="1:28" s="134" customFormat="1" ht="15" customHeight="1" outlineLevel="1" x14ac:dyDescent="0.2">
      <c r="A834" s="122">
        <v>28</v>
      </c>
      <c r="B834" s="122">
        <v>27947</v>
      </c>
      <c r="C834" s="123">
        <v>41807</v>
      </c>
      <c r="D834" s="124" t="s">
        <v>1410</v>
      </c>
      <c r="E834" s="122" t="s">
        <v>484</v>
      </c>
      <c r="F834" s="125" t="s">
        <v>580</v>
      </c>
      <c r="G834" s="126" t="s">
        <v>369</v>
      </c>
      <c r="H834" s="127"/>
      <c r="I834" s="128">
        <v>1</v>
      </c>
      <c r="J834" s="129">
        <v>25800</v>
      </c>
      <c r="K834" s="129">
        <v>25800</v>
      </c>
      <c r="L834" s="620"/>
      <c r="M834" s="648"/>
      <c r="N834" s="132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</row>
    <row r="835" spans="1:28" s="134" customFormat="1" ht="15" customHeight="1" outlineLevel="1" x14ac:dyDescent="0.2">
      <c r="A835" s="122">
        <v>29</v>
      </c>
      <c r="B835" s="122">
        <v>28186</v>
      </c>
      <c r="C835" s="123">
        <v>41809</v>
      </c>
      <c r="D835" s="124" t="s">
        <v>1411</v>
      </c>
      <c r="E835" s="122" t="s">
        <v>484</v>
      </c>
      <c r="F835" s="125" t="s">
        <v>217</v>
      </c>
      <c r="G835" s="126" t="s">
        <v>369</v>
      </c>
      <c r="H835" s="127"/>
      <c r="I835" s="128">
        <v>1</v>
      </c>
      <c r="J835" s="129">
        <v>44597</v>
      </c>
      <c r="K835" s="129">
        <v>44597</v>
      </c>
      <c r="L835" s="620"/>
      <c r="M835" s="648"/>
      <c r="N835" s="132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</row>
    <row r="836" spans="1:28" s="134" customFormat="1" ht="15" customHeight="1" outlineLevel="1" x14ac:dyDescent="0.2">
      <c r="A836" s="122">
        <v>30</v>
      </c>
      <c r="B836" s="122">
        <v>28208</v>
      </c>
      <c r="C836" s="123">
        <v>41808</v>
      </c>
      <c r="D836" s="124" t="s">
        <v>1412</v>
      </c>
      <c r="E836" s="122" t="s">
        <v>476</v>
      </c>
      <c r="F836" s="125" t="s">
        <v>115</v>
      </c>
      <c r="G836" s="126" t="s">
        <v>392</v>
      </c>
      <c r="H836" s="127"/>
      <c r="I836" s="128">
        <v>1</v>
      </c>
      <c r="J836" s="129">
        <v>33370</v>
      </c>
      <c r="K836" s="129">
        <v>33370</v>
      </c>
      <c r="L836" s="620"/>
      <c r="M836" s="648"/>
      <c r="N836" s="132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</row>
    <row r="837" spans="1:28" s="134" customFormat="1" ht="15" customHeight="1" outlineLevel="1" x14ac:dyDescent="0.2">
      <c r="A837" s="122">
        <v>31</v>
      </c>
      <c r="B837" s="122">
        <v>28350</v>
      </c>
      <c r="C837" s="123">
        <v>41809</v>
      </c>
      <c r="D837" s="124" t="s">
        <v>1413</v>
      </c>
      <c r="E837" s="122" t="s">
        <v>476</v>
      </c>
      <c r="F837" s="125" t="s">
        <v>204</v>
      </c>
      <c r="G837" s="126" t="s">
        <v>568</v>
      </c>
      <c r="H837" s="127"/>
      <c r="I837" s="128">
        <v>1</v>
      </c>
      <c r="J837" s="129">
        <v>17244</v>
      </c>
      <c r="K837" s="129">
        <v>17244</v>
      </c>
      <c r="L837" s="620"/>
      <c r="M837" s="648"/>
      <c r="N837" s="132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</row>
    <row r="838" spans="1:28" s="134" customFormat="1" ht="15" customHeight="1" outlineLevel="1" x14ac:dyDescent="0.2">
      <c r="A838" s="122">
        <v>32</v>
      </c>
      <c r="B838" s="122">
        <v>28451</v>
      </c>
      <c r="C838" s="123">
        <v>41810</v>
      </c>
      <c r="D838" s="124" t="s">
        <v>1414</v>
      </c>
      <c r="E838" s="122" t="s">
        <v>484</v>
      </c>
      <c r="F838" s="125" t="s">
        <v>217</v>
      </c>
      <c r="G838" s="126" t="s">
        <v>371</v>
      </c>
      <c r="H838" s="127"/>
      <c r="I838" s="128">
        <v>1</v>
      </c>
      <c r="J838" s="129">
        <v>44597</v>
      </c>
      <c r="K838" s="129">
        <v>44597</v>
      </c>
      <c r="L838" s="620"/>
      <c r="M838" s="648"/>
      <c r="N838" s="132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</row>
    <row r="839" spans="1:28" s="134" customFormat="1" ht="15" customHeight="1" outlineLevel="1" x14ac:dyDescent="0.2">
      <c r="A839" s="122">
        <v>33</v>
      </c>
      <c r="B839" s="122">
        <v>28610</v>
      </c>
      <c r="C839" s="123">
        <v>41809</v>
      </c>
      <c r="D839" s="124" t="s">
        <v>1415</v>
      </c>
      <c r="E839" s="122" t="s">
        <v>476</v>
      </c>
      <c r="F839" s="125" t="s">
        <v>188</v>
      </c>
      <c r="G839" s="126" t="s">
        <v>419</v>
      </c>
      <c r="H839" s="127"/>
      <c r="I839" s="128">
        <v>1</v>
      </c>
      <c r="J839" s="129">
        <v>42601</v>
      </c>
      <c r="K839" s="129" t="s">
        <v>1018</v>
      </c>
      <c r="L839" s="620"/>
      <c r="M839" s="648"/>
      <c r="N839" s="132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</row>
    <row r="840" spans="1:28" s="134" customFormat="1" ht="15" customHeight="1" outlineLevel="1" x14ac:dyDescent="0.2">
      <c r="A840" s="122">
        <v>34</v>
      </c>
      <c r="B840" s="122">
        <v>28869</v>
      </c>
      <c r="C840" s="123">
        <v>41810</v>
      </c>
      <c r="D840" s="124" t="s">
        <v>1416</v>
      </c>
      <c r="E840" s="122" t="s">
        <v>484</v>
      </c>
      <c r="F840" s="125" t="s">
        <v>682</v>
      </c>
      <c r="G840" s="126" t="s">
        <v>369</v>
      </c>
      <c r="H840" s="127"/>
      <c r="I840" s="128">
        <v>1</v>
      </c>
      <c r="J840" s="129">
        <v>55058</v>
      </c>
      <c r="K840" s="129">
        <v>55058</v>
      </c>
      <c r="L840" s="620"/>
      <c r="M840" s="648"/>
      <c r="N840" s="132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</row>
    <row r="841" spans="1:28" s="134" customFormat="1" ht="15" customHeight="1" outlineLevel="1" x14ac:dyDescent="0.2">
      <c r="A841" s="122">
        <v>35</v>
      </c>
      <c r="B841" s="122">
        <v>28943</v>
      </c>
      <c r="C841" s="123">
        <v>41810</v>
      </c>
      <c r="D841" s="124" t="s">
        <v>1417</v>
      </c>
      <c r="E841" s="122" t="s">
        <v>476</v>
      </c>
      <c r="F841" s="125" t="s">
        <v>115</v>
      </c>
      <c r="G841" s="126" t="s">
        <v>898</v>
      </c>
      <c r="H841" s="127"/>
      <c r="I841" s="128">
        <v>3</v>
      </c>
      <c r="J841" s="129">
        <v>33370</v>
      </c>
      <c r="K841" s="129">
        <v>100110</v>
      </c>
      <c r="L841" s="620"/>
      <c r="M841" s="648"/>
      <c r="N841" s="132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</row>
    <row r="842" spans="1:28" s="134" customFormat="1" ht="15" customHeight="1" outlineLevel="1" x14ac:dyDescent="0.2">
      <c r="A842" s="122">
        <v>36</v>
      </c>
      <c r="B842" s="122">
        <v>29107</v>
      </c>
      <c r="C842" s="123">
        <v>41807</v>
      </c>
      <c r="D842" s="124" t="s">
        <v>1418</v>
      </c>
      <c r="E842" s="122" t="s">
        <v>476</v>
      </c>
      <c r="F842" s="125" t="s">
        <v>115</v>
      </c>
      <c r="G842" s="126" t="s">
        <v>1419</v>
      </c>
      <c r="H842" s="127"/>
      <c r="I842" s="128">
        <v>2</v>
      </c>
      <c r="J842" s="129">
        <v>33370</v>
      </c>
      <c r="K842" s="129">
        <v>66740</v>
      </c>
      <c r="L842" s="620"/>
      <c r="M842" s="648"/>
      <c r="N842" s="132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</row>
    <row r="843" spans="1:28" s="134" customFormat="1" ht="15" customHeight="1" outlineLevel="1" x14ac:dyDescent="0.2">
      <c r="A843" s="122">
        <v>37</v>
      </c>
      <c r="B843" s="122">
        <v>29152</v>
      </c>
      <c r="C843" s="123">
        <v>41813</v>
      </c>
      <c r="D843" s="124" t="s">
        <v>1420</v>
      </c>
      <c r="E843" s="122" t="s">
        <v>476</v>
      </c>
      <c r="F843" s="125" t="s">
        <v>217</v>
      </c>
      <c r="G843" s="126" t="s">
        <v>371</v>
      </c>
      <c r="H843" s="127"/>
      <c r="I843" s="128">
        <v>1</v>
      </c>
      <c r="J843" s="129">
        <v>44597</v>
      </c>
      <c r="K843" s="129">
        <v>44597</v>
      </c>
      <c r="L843" s="620"/>
      <c r="M843" s="648"/>
      <c r="N843" s="132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</row>
    <row r="844" spans="1:28" s="134" customFormat="1" ht="15" customHeight="1" outlineLevel="1" x14ac:dyDescent="0.2">
      <c r="A844" s="122">
        <v>38</v>
      </c>
      <c r="B844" s="122">
        <v>29170</v>
      </c>
      <c r="C844" s="123">
        <v>41813</v>
      </c>
      <c r="D844" s="124" t="s">
        <v>1241</v>
      </c>
      <c r="E844" s="122" t="s">
        <v>476</v>
      </c>
      <c r="F844" s="125" t="s">
        <v>682</v>
      </c>
      <c r="G844" s="126" t="s">
        <v>371</v>
      </c>
      <c r="H844" s="127"/>
      <c r="I844" s="128">
        <v>1</v>
      </c>
      <c r="J844" s="129">
        <v>55058</v>
      </c>
      <c r="K844" s="129">
        <v>55058</v>
      </c>
      <c r="L844" s="620"/>
      <c r="M844" s="648"/>
      <c r="N844" s="132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</row>
    <row r="845" spans="1:28" s="134" customFormat="1" ht="15" customHeight="1" outlineLevel="1" x14ac:dyDescent="0.2">
      <c r="A845" s="122">
        <v>39</v>
      </c>
      <c r="B845" s="122">
        <v>29354</v>
      </c>
      <c r="C845" s="123">
        <v>41813</v>
      </c>
      <c r="D845" s="124" t="s">
        <v>1421</v>
      </c>
      <c r="E845" s="122" t="s">
        <v>476</v>
      </c>
      <c r="F845" s="125" t="s">
        <v>580</v>
      </c>
      <c r="G845" s="126" t="s">
        <v>371</v>
      </c>
      <c r="H845" s="127"/>
      <c r="I845" s="128">
        <v>1</v>
      </c>
      <c r="J845" s="129">
        <v>25800</v>
      </c>
      <c r="K845" s="129">
        <v>25800</v>
      </c>
      <c r="L845" s="620"/>
      <c r="M845" s="648"/>
      <c r="N845" s="132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</row>
    <row r="846" spans="1:28" s="193" customFormat="1" ht="15" customHeight="1" outlineLevel="1" x14ac:dyDescent="0.2">
      <c r="A846" s="122">
        <v>40</v>
      </c>
      <c r="B846" s="122">
        <v>29525</v>
      </c>
      <c r="C846" s="123">
        <v>41814</v>
      </c>
      <c r="D846" s="124" t="s">
        <v>493</v>
      </c>
      <c r="E846" s="122" t="s">
        <v>484</v>
      </c>
      <c r="F846" s="125" t="s">
        <v>682</v>
      </c>
      <c r="G846" s="126" t="s">
        <v>369</v>
      </c>
      <c r="H846" s="127"/>
      <c r="I846" s="128">
        <v>1</v>
      </c>
      <c r="J846" s="129">
        <v>55058</v>
      </c>
      <c r="K846" s="129">
        <v>55058</v>
      </c>
      <c r="L846" s="620"/>
      <c r="M846" s="648"/>
      <c r="N846" s="191"/>
      <c r="O846" s="192"/>
      <c r="P846" s="192"/>
      <c r="Q846" s="192"/>
      <c r="R846" s="192"/>
      <c r="S846" s="192"/>
      <c r="T846" s="192"/>
      <c r="U846" s="192"/>
      <c r="V846" s="192"/>
      <c r="W846" s="192"/>
      <c r="X846" s="192"/>
      <c r="Y846" s="192"/>
      <c r="Z846" s="192"/>
      <c r="AA846" s="192"/>
      <c r="AB846" s="192"/>
    </row>
    <row r="847" spans="1:28" s="134" customFormat="1" ht="15" customHeight="1" outlineLevel="1" x14ac:dyDescent="0.2">
      <c r="A847" s="122">
        <v>41</v>
      </c>
      <c r="B847" s="122">
        <v>29562</v>
      </c>
      <c r="C847" s="123">
        <v>41814</v>
      </c>
      <c r="D847" s="124" t="s">
        <v>1422</v>
      </c>
      <c r="E847" s="122" t="s">
        <v>484</v>
      </c>
      <c r="F847" s="125" t="s">
        <v>116</v>
      </c>
      <c r="G847" s="126" t="s">
        <v>445</v>
      </c>
      <c r="H847" s="127"/>
      <c r="I847" s="128">
        <v>1</v>
      </c>
      <c r="J847" s="129">
        <v>5274</v>
      </c>
      <c r="K847" s="129">
        <v>5274</v>
      </c>
      <c r="L847" s="620"/>
      <c r="M847" s="648"/>
      <c r="N847" s="132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</row>
    <row r="848" spans="1:28" s="134" customFormat="1" ht="15" customHeight="1" outlineLevel="1" x14ac:dyDescent="0.2">
      <c r="A848" s="122">
        <v>42</v>
      </c>
      <c r="B848" s="122">
        <v>29839</v>
      </c>
      <c r="C848" s="123">
        <v>41814</v>
      </c>
      <c r="D848" s="124" t="s">
        <v>1423</v>
      </c>
      <c r="E848" s="122" t="s">
        <v>476</v>
      </c>
      <c r="F848" s="125" t="s">
        <v>580</v>
      </c>
      <c r="G848" s="126" t="s">
        <v>371</v>
      </c>
      <c r="H848" s="127"/>
      <c r="I848" s="128">
        <v>1</v>
      </c>
      <c r="J848" s="129">
        <v>25800</v>
      </c>
      <c r="K848" s="129">
        <v>25800</v>
      </c>
      <c r="L848" s="620"/>
      <c r="M848" s="648"/>
      <c r="N848" s="132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</row>
    <row r="849" spans="1:28" s="134" customFormat="1" ht="15" customHeight="1" outlineLevel="1" x14ac:dyDescent="0.2">
      <c r="A849" s="122">
        <v>43</v>
      </c>
      <c r="B849" s="122">
        <v>30104</v>
      </c>
      <c r="C849" s="123">
        <v>41815</v>
      </c>
      <c r="D849" s="124" t="s">
        <v>1424</v>
      </c>
      <c r="E849" s="122" t="s">
        <v>478</v>
      </c>
      <c r="F849" s="125" t="s">
        <v>217</v>
      </c>
      <c r="G849" s="126" t="s">
        <v>371</v>
      </c>
      <c r="H849" s="127"/>
      <c r="I849" s="128">
        <v>1</v>
      </c>
      <c r="J849" s="129">
        <v>44597</v>
      </c>
      <c r="K849" s="129">
        <v>44597</v>
      </c>
      <c r="L849" s="620"/>
      <c r="M849" s="648"/>
      <c r="N849" s="132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</row>
    <row r="850" spans="1:28" s="134" customFormat="1" ht="15" customHeight="1" outlineLevel="1" x14ac:dyDescent="0.2">
      <c r="A850" s="122">
        <v>44</v>
      </c>
      <c r="B850" s="122">
        <v>30158</v>
      </c>
      <c r="C850" s="123">
        <v>41816</v>
      </c>
      <c r="D850" s="124" t="s">
        <v>1425</v>
      </c>
      <c r="E850" s="122" t="s">
        <v>474</v>
      </c>
      <c r="F850" s="125" t="s">
        <v>580</v>
      </c>
      <c r="G850" s="126" t="s">
        <v>371</v>
      </c>
      <c r="H850" s="127"/>
      <c r="I850" s="128">
        <v>1</v>
      </c>
      <c r="J850" s="129">
        <v>25800</v>
      </c>
      <c r="K850" s="129">
        <v>25800</v>
      </c>
      <c r="L850" s="620"/>
      <c r="M850" s="648"/>
      <c r="N850" s="132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</row>
    <row r="851" spans="1:28" s="134" customFormat="1" ht="15" customHeight="1" outlineLevel="1" x14ac:dyDescent="0.2">
      <c r="A851" s="122">
        <v>45</v>
      </c>
      <c r="B851" s="122">
        <v>30283</v>
      </c>
      <c r="C851" s="123">
        <v>41816</v>
      </c>
      <c r="D851" s="124" t="s">
        <v>1426</v>
      </c>
      <c r="E851" s="122" t="s">
        <v>484</v>
      </c>
      <c r="F851" s="125" t="s">
        <v>682</v>
      </c>
      <c r="G851" s="126" t="s">
        <v>387</v>
      </c>
      <c r="H851" s="127"/>
      <c r="I851" s="128">
        <v>2</v>
      </c>
      <c r="J851" s="129">
        <v>55058</v>
      </c>
      <c r="K851" s="129">
        <v>110116</v>
      </c>
      <c r="L851" s="620"/>
      <c r="M851" s="648"/>
      <c r="N851" s="132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</row>
    <row r="852" spans="1:28" s="193" customFormat="1" ht="15" customHeight="1" outlineLevel="1" x14ac:dyDescent="0.2">
      <c r="A852" s="122">
        <v>46</v>
      </c>
      <c r="B852" s="122">
        <v>30870</v>
      </c>
      <c r="C852" s="123">
        <v>41820</v>
      </c>
      <c r="D852" s="124" t="s">
        <v>1427</v>
      </c>
      <c r="E852" s="122" t="s">
        <v>1428</v>
      </c>
      <c r="F852" s="125" t="s">
        <v>580</v>
      </c>
      <c r="G852" s="126" t="s">
        <v>371</v>
      </c>
      <c r="H852" s="127"/>
      <c r="I852" s="128">
        <v>1</v>
      </c>
      <c r="J852" s="129">
        <v>25800</v>
      </c>
      <c r="K852" s="129">
        <v>25800</v>
      </c>
      <c r="L852" s="621"/>
      <c r="M852" s="609"/>
      <c r="N852" s="191"/>
      <c r="O852" s="192"/>
      <c r="P852" s="192"/>
      <c r="Q852" s="192"/>
      <c r="R852" s="192"/>
      <c r="S852" s="192"/>
      <c r="T852" s="192"/>
      <c r="U852" s="192"/>
      <c r="V852" s="192"/>
      <c r="W852" s="192"/>
      <c r="X852" s="192"/>
      <c r="Y852" s="192"/>
      <c r="Z852" s="192"/>
      <c r="AA852" s="192"/>
      <c r="AB852" s="192"/>
    </row>
    <row r="853" spans="1:28" s="134" customFormat="1" ht="15" customHeight="1" outlineLevel="1" x14ac:dyDescent="0.2">
      <c r="A853" s="122">
        <v>1</v>
      </c>
      <c r="B853" s="148">
        <v>18744</v>
      </c>
      <c r="C853" s="149">
        <v>41774</v>
      </c>
      <c r="D853" s="150" t="s">
        <v>1429</v>
      </c>
      <c r="E853" s="148" t="s">
        <v>474</v>
      </c>
      <c r="F853" s="151" t="s">
        <v>217</v>
      </c>
      <c r="G853" s="152" t="s">
        <v>371</v>
      </c>
      <c r="H853" s="153"/>
      <c r="I853" s="154">
        <v>1</v>
      </c>
      <c r="J853" s="129">
        <v>44597</v>
      </c>
      <c r="K853" s="209">
        <v>44597</v>
      </c>
      <c r="L853" s="610" t="s">
        <v>760</v>
      </c>
      <c r="M853" s="167" t="s">
        <v>36</v>
      </c>
      <c r="N853" s="132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</row>
    <row r="854" spans="1:28" s="134" customFormat="1" ht="15" customHeight="1" outlineLevel="1" x14ac:dyDescent="0.2">
      <c r="A854" s="122">
        <v>2</v>
      </c>
      <c r="B854" s="122">
        <v>28817</v>
      </c>
      <c r="C854" s="123">
        <v>41810</v>
      </c>
      <c r="D854" s="124" t="s">
        <v>1430</v>
      </c>
      <c r="E854" s="122" t="s">
        <v>474</v>
      </c>
      <c r="F854" s="125" t="s">
        <v>682</v>
      </c>
      <c r="G854" s="126" t="s">
        <v>387</v>
      </c>
      <c r="H854" s="127"/>
      <c r="I854" s="128">
        <v>2</v>
      </c>
      <c r="J854" s="129">
        <v>55058</v>
      </c>
      <c r="K854" s="209">
        <v>110116</v>
      </c>
      <c r="L854" s="611"/>
      <c r="M854" s="167" t="s">
        <v>36</v>
      </c>
      <c r="N854" s="132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</row>
    <row r="855" spans="1:28" s="134" customFormat="1" ht="15" customHeight="1" outlineLevel="1" x14ac:dyDescent="0.2">
      <c r="A855" s="122">
        <v>3</v>
      </c>
      <c r="B855" s="122">
        <v>28943</v>
      </c>
      <c r="C855" s="123">
        <v>41810</v>
      </c>
      <c r="D855" s="124" t="s">
        <v>1417</v>
      </c>
      <c r="E855" s="122" t="s">
        <v>476</v>
      </c>
      <c r="F855" s="125" t="s">
        <v>188</v>
      </c>
      <c r="G855" s="126" t="s">
        <v>1431</v>
      </c>
      <c r="H855" s="127"/>
      <c r="I855" s="128">
        <v>7</v>
      </c>
      <c r="J855" s="129">
        <v>42601</v>
      </c>
      <c r="K855" s="209">
        <v>298207</v>
      </c>
      <c r="L855" s="611"/>
      <c r="M855" s="167" t="s">
        <v>36</v>
      </c>
      <c r="N855" s="132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</row>
    <row r="856" spans="1:28" s="134" customFormat="1" ht="15" customHeight="1" outlineLevel="1" x14ac:dyDescent="0.2">
      <c r="A856" s="122">
        <v>4</v>
      </c>
      <c r="B856" s="122">
        <v>30907</v>
      </c>
      <c r="C856" s="123">
        <v>41817</v>
      </c>
      <c r="D856" s="124" t="s">
        <v>1432</v>
      </c>
      <c r="E856" s="122" t="s">
        <v>474</v>
      </c>
      <c r="F856" s="125" t="s">
        <v>682</v>
      </c>
      <c r="G856" s="126" t="s">
        <v>371</v>
      </c>
      <c r="H856" s="127"/>
      <c r="I856" s="128">
        <v>1</v>
      </c>
      <c r="J856" s="129">
        <v>55058</v>
      </c>
      <c r="K856" s="209">
        <v>55058</v>
      </c>
      <c r="L856" s="611"/>
      <c r="M856" s="167" t="s">
        <v>36</v>
      </c>
      <c r="N856" s="132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</row>
    <row r="857" spans="1:28" s="134" customFormat="1" ht="15" customHeight="1" outlineLevel="1" x14ac:dyDescent="0.2">
      <c r="A857" s="122">
        <v>5</v>
      </c>
      <c r="B857" s="122">
        <v>32169</v>
      </c>
      <c r="C857" s="123">
        <v>41822</v>
      </c>
      <c r="D857" s="124" t="s">
        <v>1433</v>
      </c>
      <c r="E857" s="122" t="s">
        <v>484</v>
      </c>
      <c r="F857" s="125" t="s">
        <v>217</v>
      </c>
      <c r="G857" s="126" t="s">
        <v>371</v>
      </c>
      <c r="H857" s="127"/>
      <c r="I857" s="128">
        <v>1</v>
      </c>
      <c r="J857" s="129">
        <v>44597</v>
      </c>
      <c r="K857" s="129">
        <v>44597</v>
      </c>
      <c r="L857" s="611"/>
      <c r="M857" s="167" t="s">
        <v>36</v>
      </c>
      <c r="N857" s="132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</row>
    <row r="858" spans="1:28" s="134" customFormat="1" ht="15" customHeight="1" outlineLevel="1" x14ac:dyDescent="0.2">
      <c r="A858" s="122">
        <v>6</v>
      </c>
      <c r="B858" s="122">
        <v>33095</v>
      </c>
      <c r="C858" s="123">
        <v>41827</v>
      </c>
      <c r="D858" s="124" t="s">
        <v>1367</v>
      </c>
      <c r="E858" s="122" t="s">
        <v>484</v>
      </c>
      <c r="F858" s="125" t="s">
        <v>115</v>
      </c>
      <c r="G858" s="126" t="s">
        <v>392</v>
      </c>
      <c r="H858" s="127"/>
      <c r="I858" s="128">
        <v>1</v>
      </c>
      <c r="J858" s="129">
        <v>33370</v>
      </c>
      <c r="K858" s="129">
        <v>33370</v>
      </c>
      <c r="L858" s="611"/>
      <c r="M858" s="167" t="s">
        <v>36</v>
      </c>
      <c r="N858" s="132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</row>
    <row r="859" spans="1:28" s="134" customFormat="1" ht="15" customHeight="1" outlineLevel="1" x14ac:dyDescent="0.2">
      <c r="A859" s="122">
        <v>7</v>
      </c>
      <c r="B859" s="122">
        <v>33120</v>
      </c>
      <c r="C859" s="123">
        <v>41827</v>
      </c>
      <c r="D859" s="124" t="s">
        <v>1434</v>
      </c>
      <c r="E859" s="122" t="s">
        <v>476</v>
      </c>
      <c r="F859" s="125" t="s">
        <v>682</v>
      </c>
      <c r="G859" s="126" t="s">
        <v>387</v>
      </c>
      <c r="H859" s="127"/>
      <c r="I859" s="128">
        <v>2</v>
      </c>
      <c r="J859" s="129">
        <v>55058</v>
      </c>
      <c r="K859" s="129">
        <v>110116</v>
      </c>
      <c r="L859" s="611"/>
      <c r="M859" s="167" t="s">
        <v>36</v>
      </c>
      <c r="N859" s="132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</row>
    <row r="860" spans="1:28" s="134" customFormat="1" ht="15" customHeight="1" outlineLevel="1" x14ac:dyDescent="0.2">
      <c r="A860" s="122">
        <v>8</v>
      </c>
      <c r="B860" s="122">
        <v>33180</v>
      </c>
      <c r="C860" s="123">
        <v>41827</v>
      </c>
      <c r="D860" s="124" t="s">
        <v>952</v>
      </c>
      <c r="E860" s="122" t="s">
        <v>476</v>
      </c>
      <c r="F860" s="125" t="s">
        <v>682</v>
      </c>
      <c r="G860" s="126" t="s">
        <v>387</v>
      </c>
      <c r="H860" s="127"/>
      <c r="I860" s="128">
        <v>2</v>
      </c>
      <c r="J860" s="129">
        <v>55058</v>
      </c>
      <c r="K860" s="129">
        <v>110116</v>
      </c>
      <c r="L860" s="611"/>
      <c r="M860" s="167" t="s">
        <v>36</v>
      </c>
      <c r="N860" s="132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</row>
    <row r="861" spans="1:28" s="134" customFormat="1" ht="15" customHeight="1" outlineLevel="1" x14ac:dyDescent="0.2">
      <c r="A861" s="122">
        <v>9</v>
      </c>
      <c r="B861" s="122">
        <v>34239</v>
      </c>
      <c r="C861" s="123">
        <v>41851</v>
      </c>
      <c r="D861" s="124" t="s">
        <v>1435</v>
      </c>
      <c r="E861" s="122" t="s">
        <v>697</v>
      </c>
      <c r="F861" s="125" t="s">
        <v>682</v>
      </c>
      <c r="G861" s="126" t="s">
        <v>387</v>
      </c>
      <c r="H861" s="127"/>
      <c r="I861" s="128">
        <v>2</v>
      </c>
      <c r="J861" s="129">
        <v>55058</v>
      </c>
      <c r="K861" s="129">
        <v>110116</v>
      </c>
      <c r="L861" s="611"/>
      <c r="M861" s="167" t="s">
        <v>36</v>
      </c>
      <c r="N861" s="132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</row>
    <row r="862" spans="1:28" s="134" customFormat="1" ht="15" customHeight="1" outlineLevel="1" x14ac:dyDescent="0.2">
      <c r="A862" s="122">
        <v>10</v>
      </c>
      <c r="B862" s="122">
        <v>34354</v>
      </c>
      <c r="C862" s="123">
        <v>41830</v>
      </c>
      <c r="D862" s="124" t="s">
        <v>1338</v>
      </c>
      <c r="E862" s="122" t="s">
        <v>484</v>
      </c>
      <c r="F862" s="125" t="s">
        <v>682</v>
      </c>
      <c r="G862" s="126" t="s">
        <v>369</v>
      </c>
      <c r="H862" s="127"/>
      <c r="I862" s="128">
        <v>1</v>
      </c>
      <c r="J862" s="129">
        <v>55058</v>
      </c>
      <c r="K862" s="129">
        <v>55058</v>
      </c>
      <c r="L862" s="611"/>
      <c r="M862" s="167" t="s">
        <v>36</v>
      </c>
      <c r="N862" s="132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</row>
    <row r="863" spans="1:28" s="134" customFormat="1" ht="15" customHeight="1" outlineLevel="1" x14ac:dyDescent="0.2">
      <c r="A863" s="122">
        <v>11</v>
      </c>
      <c r="B863" s="122">
        <v>34626</v>
      </c>
      <c r="C863" s="123">
        <v>41830</v>
      </c>
      <c r="D863" s="124" t="s">
        <v>1436</v>
      </c>
      <c r="E863" s="122" t="s">
        <v>484</v>
      </c>
      <c r="F863" s="125" t="s">
        <v>217</v>
      </c>
      <c r="G863" s="126" t="s">
        <v>387</v>
      </c>
      <c r="H863" s="127"/>
      <c r="I863" s="128">
        <v>2</v>
      </c>
      <c r="J863" s="129">
        <v>44597</v>
      </c>
      <c r="K863" s="129">
        <v>89194</v>
      </c>
      <c r="L863" s="611"/>
      <c r="M863" s="167" t="s">
        <v>36</v>
      </c>
      <c r="N863" s="132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</row>
    <row r="864" spans="1:28" s="134" customFormat="1" ht="15" customHeight="1" outlineLevel="1" x14ac:dyDescent="0.2">
      <c r="A864" s="122">
        <v>12</v>
      </c>
      <c r="B864" s="122">
        <v>35021</v>
      </c>
      <c r="C864" s="123">
        <v>41831</v>
      </c>
      <c r="D864" s="124" t="s">
        <v>1437</v>
      </c>
      <c r="E864" s="122" t="s">
        <v>481</v>
      </c>
      <c r="F864" s="125" t="s">
        <v>622</v>
      </c>
      <c r="G864" s="126" t="s">
        <v>369</v>
      </c>
      <c r="H864" s="127"/>
      <c r="I864" s="128">
        <v>1</v>
      </c>
      <c r="J864" s="129">
        <v>15722</v>
      </c>
      <c r="K864" s="129">
        <v>15722</v>
      </c>
      <c r="L864" s="611"/>
      <c r="M864" s="167" t="s">
        <v>36</v>
      </c>
      <c r="N864" s="132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</row>
    <row r="865" spans="1:28" s="134" customFormat="1" ht="15" customHeight="1" outlineLevel="1" x14ac:dyDescent="0.2">
      <c r="A865" s="122">
        <v>13</v>
      </c>
      <c r="B865" s="122">
        <v>35230</v>
      </c>
      <c r="C865" s="123">
        <v>41834</v>
      </c>
      <c r="D865" s="124" t="s">
        <v>1438</v>
      </c>
      <c r="E865" s="122" t="s">
        <v>474</v>
      </c>
      <c r="F865" s="125" t="s">
        <v>580</v>
      </c>
      <c r="G865" s="126" t="s">
        <v>371</v>
      </c>
      <c r="H865" s="127"/>
      <c r="I865" s="128">
        <v>1</v>
      </c>
      <c r="J865" s="129">
        <v>25800</v>
      </c>
      <c r="K865" s="129">
        <v>25800</v>
      </c>
      <c r="L865" s="611"/>
      <c r="M865" s="167" t="s">
        <v>36</v>
      </c>
      <c r="N865" s="132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</row>
    <row r="866" spans="1:28" s="134" customFormat="1" ht="15" customHeight="1" outlineLevel="1" x14ac:dyDescent="0.2">
      <c r="A866" s="122">
        <v>14</v>
      </c>
      <c r="B866" s="122">
        <v>35498</v>
      </c>
      <c r="C866" s="123">
        <v>41834</v>
      </c>
      <c r="D866" s="124" t="s">
        <v>1439</v>
      </c>
      <c r="E866" s="122" t="s">
        <v>476</v>
      </c>
      <c r="F866" s="125" t="s">
        <v>217</v>
      </c>
      <c r="G866" s="126" t="s">
        <v>371</v>
      </c>
      <c r="H866" s="127"/>
      <c r="I866" s="128">
        <v>1</v>
      </c>
      <c r="J866" s="129">
        <v>44597</v>
      </c>
      <c r="K866" s="129">
        <v>44597</v>
      </c>
      <c r="L866" s="611"/>
      <c r="M866" s="167" t="s">
        <v>36</v>
      </c>
      <c r="N866" s="132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</row>
    <row r="867" spans="1:28" s="134" customFormat="1" ht="15" customHeight="1" outlineLevel="1" x14ac:dyDescent="0.2">
      <c r="A867" s="122">
        <v>15</v>
      </c>
      <c r="B867" s="122">
        <v>35537</v>
      </c>
      <c r="C867" s="123">
        <v>41834</v>
      </c>
      <c r="D867" s="124" t="s">
        <v>1440</v>
      </c>
      <c r="E867" s="122" t="s">
        <v>484</v>
      </c>
      <c r="F867" s="125" t="s">
        <v>235</v>
      </c>
      <c r="G867" s="126" t="s">
        <v>371</v>
      </c>
      <c r="H867" s="127"/>
      <c r="I867" s="128">
        <v>1</v>
      </c>
      <c r="J867" s="129">
        <v>12499</v>
      </c>
      <c r="K867" s="129">
        <v>12499</v>
      </c>
      <c r="L867" s="611"/>
      <c r="M867" s="167" t="s">
        <v>36</v>
      </c>
      <c r="N867" s="132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</row>
    <row r="868" spans="1:28" s="134" customFormat="1" ht="15" customHeight="1" outlineLevel="1" x14ac:dyDescent="0.2">
      <c r="A868" s="122">
        <v>16</v>
      </c>
      <c r="B868" s="122">
        <v>36126</v>
      </c>
      <c r="C868" s="123">
        <v>41837</v>
      </c>
      <c r="D868" s="124" t="s">
        <v>1441</v>
      </c>
      <c r="E868" s="122" t="s">
        <v>484</v>
      </c>
      <c r="F868" s="125" t="s">
        <v>580</v>
      </c>
      <c r="G868" s="126" t="s">
        <v>371</v>
      </c>
      <c r="H868" s="127"/>
      <c r="I868" s="128">
        <v>1</v>
      </c>
      <c r="J868" s="129">
        <v>25800</v>
      </c>
      <c r="K868" s="129">
        <v>25800</v>
      </c>
      <c r="L868" s="611"/>
      <c r="M868" s="167" t="s">
        <v>36</v>
      </c>
      <c r="N868" s="132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</row>
    <row r="869" spans="1:28" s="134" customFormat="1" ht="15" customHeight="1" outlineLevel="1" x14ac:dyDescent="0.2">
      <c r="A869" s="122">
        <v>17</v>
      </c>
      <c r="B869" s="122">
        <v>36201</v>
      </c>
      <c r="C869" s="123">
        <v>41838</v>
      </c>
      <c r="D869" s="124" t="s">
        <v>1442</v>
      </c>
      <c r="E869" s="122" t="s">
        <v>484</v>
      </c>
      <c r="F869" s="125" t="s">
        <v>580</v>
      </c>
      <c r="G869" s="126" t="s">
        <v>371</v>
      </c>
      <c r="H869" s="127"/>
      <c r="I869" s="128">
        <v>1</v>
      </c>
      <c r="J869" s="129">
        <v>25800</v>
      </c>
      <c r="K869" s="129">
        <v>25800</v>
      </c>
      <c r="L869" s="611"/>
      <c r="M869" s="167" t="s">
        <v>36</v>
      </c>
      <c r="N869" s="132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</row>
    <row r="870" spans="1:28" s="134" customFormat="1" ht="15" customHeight="1" outlineLevel="1" x14ac:dyDescent="0.2">
      <c r="A870" s="122">
        <v>18</v>
      </c>
      <c r="B870" s="122">
        <v>36211</v>
      </c>
      <c r="C870" s="123">
        <v>41838</v>
      </c>
      <c r="D870" s="124" t="s">
        <v>1443</v>
      </c>
      <c r="E870" s="122" t="s">
        <v>474</v>
      </c>
      <c r="F870" s="125" t="s">
        <v>580</v>
      </c>
      <c r="G870" s="126" t="s">
        <v>371</v>
      </c>
      <c r="H870" s="127"/>
      <c r="I870" s="128">
        <v>1</v>
      </c>
      <c r="J870" s="129">
        <v>25800</v>
      </c>
      <c r="K870" s="129">
        <v>25800</v>
      </c>
      <c r="L870" s="611"/>
      <c r="M870" s="167" t="s">
        <v>36</v>
      </c>
      <c r="N870" s="132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</row>
    <row r="871" spans="1:28" s="134" customFormat="1" ht="15" customHeight="1" outlineLevel="1" x14ac:dyDescent="0.2">
      <c r="A871" s="122">
        <v>19</v>
      </c>
      <c r="B871" s="122">
        <v>37177</v>
      </c>
      <c r="C871" s="123">
        <v>41844</v>
      </c>
      <c r="D871" s="124" t="s">
        <v>1444</v>
      </c>
      <c r="E871" s="122" t="s">
        <v>505</v>
      </c>
      <c r="F871" s="125" t="s">
        <v>580</v>
      </c>
      <c r="G871" s="126" t="s">
        <v>371</v>
      </c>
      <c r="H871" s="127"/>
      <c r="I871" s="128">
        <v>1</v>
      </c>
      <c r="J871" s="129">
        <v>25800</v>
      </c>
      <c r="K871" s="129">
        <v>25800</v>
      </c>
      <c r="L871" s="611"/>
      <c r="M871" s="167" t="s">
        <v>36</v>
      </c>
      <c r="N871" s="132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</row>
    <row r="872" spans="1:28" s="134" customFormat="1" ht="15" customHeight="1" outlineLevel="1" x14ac:dyDescent="0.2">
      <c r="A872" s="122">
        <v>20</v>
      </c>
      <c r="B872" s="122">
        <v>37259</v>
      </c>
      <c r="C872" s="123">
        <v>41842</v>
      </c>
      <c r="D872" s="124" t="s">
        <v>1445</v>
      </c>
      <c r="E872" s="122" t="s">
        <v>505</v>
      </c>
      <c r="F872" s="125" t="s">
        <v>580</v>
      </c>
      <c r="G872" s="126" t="s">
        <v>522</v>
      </c>
      <c r="H872" s="127"/>
      <c r="I872" s="128">
        <v>1</v>
      </c>
      <c r="J872" s="129">
        <v>25800</v>
      </c>
      <c r="K872" s="129">
        <v>25800</v>
      </c>
      <c r="L872" s="611"/>
      <c r="M872" s="167" t="s">
        <v>36</v>
      </c>
      <c r="N872" s="132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</row>
    <row r="873" spans="1:28" s="134" customFormat="1" ht="15" customHeight="1" outlineLevel="1" x14ac:dyDescent="0.2">
      <c r="A873" s="122">
        <v>21</v>
      </c>
      <c r="B873" s="122">
        <v>38463</v>
      </c>
      <c r="C873" s="123">
        <v>41848</v>
      </c>
      <c r="D873" s="124" t="s">
        <v>1446</v>
      </c>
      <c r="E873" s="122" t="s">
        <v>481</v>
      </c>
      <c r="F873" s="125" t="s">
        <v>217</v>
      </c>
      <c r="G873" s="126" t="s">
        <v>371</v>
      </c>
      <c r="H873" s="127"/>
      <c r="I873" s="128">
        <v>1</v>
      </c>
      <c r="J873" s="129">
        <v>22299</v>
      </c>
      <c r="K873" s="129">
        <v>22299</v>
      </c>
      <c r="L873" s="611"/>
      <c r="M873" s="167" t="s">
        <v>36</v>
      </c>
      <c r="N873" s="132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</row>
    <row r="874" spans="1:28" s="134" customFormat="1" ht="15" customHeight="1" outlineLevel="1" x14ac:dyDescent="0.2">
      <c r="A874" s="122">
        <v>22</v>
      </c>
      <c r="B874" s="122">
        <v>39053</v>
      </c>
      <c r="C874" s="123">
        <v>41850</v>
      </c>
      <c r="D874" s="124" t="s">
        <v>1447</v>
      </c>
      <c r="E874" s="122" t="s">
        <v>481</v>
      </c>
      <c r="F874" s="125" t="s">
        <v>217</v>
      </c>
      <c r="G874" s="126" t="s">
        <v>371</v>
      </c>
      <c r="H874" s="127"/>
      <c r="I874" s="128">
        <v>1</v>
      </c>
      <c r="J874" s="129">
        <v>44597</v>
      </c>
      <c r="K874" s="129">
        <v>44597</v>
      </c>
      <c r="L874" s="611"/>
      <c r="M874" s="167" t="s">
        <v>36</v>
      </c>
      <c r="N874" s="132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</row>
    <row r="875" spans="1:28" s="134" customFormat="1" ht="15" customHeight="1" outlineLevel="1" x14ac:dyDescent="0.2">
      <c r="A875" s="122">
        <v>23</v>
      </c>
      <c r="B875" s="122">
        <v>39490</v>
      </c>
      <c r="C875" s="123">
        <v>41851</v>
      </c>
      <c r="D875" s="124" t="s">
        <v>1448</v>
      </c>
      <c r="E875" s="122" t="s">
        <v>474</v>
      </c>
      <c r="F875" s="125" t="s">
        <v>580</v>
      </c>
      <c r="G875" s="126" t="s">
        <v>371</v>
      </c>
      <c r="H875" s="127"/>
      <c r="I875" s="128">
        <v>1</v>
      </c>
      <c r="J875" s="129">
        <v>25800</v>
      </c>
      <c r="K875" s="129">
        <v>25800</v>
      </c>
      <c r="L875" s="611"/>
      <c r="M875" s="167" t="s">
        <v>36</v>
      </c>
      <c r="N875" s="132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</row>
    <row r="876" spans="1:28" s="134" customFormat="1" ht="15" customHeight="1" outlineLevel="1" x14ac:dyDescent="0.2">
      <c r="A876" s="122">
        <v>24</v>
      </c>
      <c r="B876" s="122">
        <v>39606</v>
      </c>
      <c r="C876" s="123">
        <v>41851</v>
      </c>
      <c r="D876" s="124" t="s">
        <v>1449</v>
      </c>
      <c r="E876" s="122" t="s">
        <v>697</v>
      </c>
      <c r="F876" s="125" t="s">
        <v>580</v>
      </c>
      <c r="G876" s="126" t="s">
        <v>371</v>
      </c>
      <c r="H876" s="127"/>
      <c r="I876" s="128">
        <v>1</v>
      </c>
      <c r="J876" s="129">
        <v>25800</v>
      </c>
      <c r="K876" s="129">
        <v>25800</v>
      </c>
      <c r="L876" s="611"/>
      <c r="M876" s="167" t="s">
        <v>36</v>
      </c>
      <c r="N876" s="132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</row>
    <row r="877" spans="1:28" s="134" customFormat="1" ht="15" customHeight="1" outlineLevel="1" x14ac:dyDescent="0.2">
      <c r="A877" s="122">
        <v>25</v>
      </c>
      <c r="B877" s="122">
        <v>39790</v>
      </c>
      <c r="C877" s="123">
        <v>41852</v>
      </c>
      <c r="D877" s="124" t="s">
        <v>1450</v>
      </c>
      <c r="E877" s="122" t="s">
        <v>484</v>
      </c>
      <c r="F877" s="125" t="s">
        <v>116</v>
      </c>
      <c r="G877" s="126" t="s">
        <v>417</v>
      </c>
      <c r="H877" s="127"/>
      <c r="I877" s="128">
        <v>1</v>
      </c>
      <c r="J877" s="129">
        <v>5274</v>
      </c>
      <c r="K877" s="129">
        <v>5274</v>
      </c>
      <c r="L877" s="611"/>
      <c r="M877" s="167" t="s">
        <v>36</v>
      </c>
      <c r="N877" s="132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</row>
    <row r="878" spans="1:28" s="134" customFormat="1" ht="15" customHeight="1" outlineLevel="1" x14ac:dyDescent="0.2">
      <c r="A878" s="122">
        <v>26</v>
      </c>
      <c r="B878" s="122">
        <v>39851</v>
      </c>
      <c r="C878" s="123">
        <v>41851</v>
      </c>
      <c r="D878" s="124" t="s">
        <v>1451</v>
      </c>
      <c r="E878" s="122" t="s">
        <v>474</v>
      </c>
      <c r="F878" s="125" t="s">
        <v>217</v>
      </c>
      <c r="G878" s="126" t="s">
        <v>371</v>
      </c>
      <c r="H878" s="127"/>
      <c r="I878" s="128">
        <v>1</v>
      </c>
      <c r="J878" s="129">
        <v>44597</v>
      </c>
      <c r="K878" s="129">
        <v>44597</v>
      </c>
      <c r="L878" s="612"/>
      <c r="M878" s="167" t="s">
        <v>36</v>
      </c>
      <c r="N878" s="132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</row>
    <row r="879" spans="1:28" s="134" customFormat="1" ht="15" customHeight="1" outlineLevel="1" x14ac:dyDescent="0.2">
      <c r="A879" s="122">
        <v>1</v>
      </c>
      <c r="B879" s="122">
        <v>47540</v>
      </c>
      <c r="C879" s="123">
        <v>41878</v>
      </c>
      <c r="D879" s="124" t="s">
        <v>1452</v>
      </c>
      <c r="E879" s="122" t="s">
        <v>697</v>
      </c>
      <c r="F879" s="125" t="s">
        <v>235</v>
      </c>
      <c r="G879" s="126" t="s">
        <v>371</v>
      </c>
      <c r="H879" s="127"/>
      <c r="I879" s="128">
        <v>1</v>
      </c>
      <c r="J879" s="129">
        <v>12499</v>
      </c>
      <c r="K879" s="129">
        <v>12499</v>
      </c>
      <c r="L879" s="167" t="s">
        <v>788</v>
      </c>
      <c r="M879" s="168" t="s">
        <v>36</v>
      </c>
      <c r="N879" s="132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</row>
    <row r="880" spans="1:28" s="134" customFormat="1" ht="15" customHeight="1" outlineLevel="1" x14ac:dyDescent="0.2">
      <c r="A880" s="122">
        <v>3</v>
      </c>
      <c r="B880" s="122">
        <v>40199</v>
      </c>
      <c r="C880" s="123">
        <v>41855</v>
      </c>
      <c r="D880" s="124" t="s">
        <v>1453</v>
      </c>
      <c r="E880" s="122" t="s">
        <v>697</v>
      </c>
      <c r="F880" s="125" t="s">
        <v>580</v>
      </c>
      <c r="G880" s="126" t="s">
        <v>371</v>
      </c>
      <c r="H880" s="127"/>
      <c r="I880" s="128">
        <v>1</v>
      </c>
      <c r="J880" s="129">
        <v>25800</v>
      </c>
      <c r="K880" s="129">
        <v>25800</v>
      </c>
      <c r="L880" s="167" t="s">
        <v>788</v>
      </c>
      <c r="M880" s="168" t="s">
        <v>36</v>
      </c>
      <c r="N880" s="132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</row>
    <row r="881" spans="1:28" s="134" customFormat="1" ht="15" customHeight="1" outlineLevel="1" x14ac:dyDescent="0.2">
      <c r="A881" s="122">
        <v>4</v>
      </c>
      <c r="B881" s="122">
        <v>44291</v>
      </c>
      <c r="C881" s="123">
        <v>41869</v>
      </c>
      <c r="D881" s="124" t="s">
        <v>1454</v>
      </c>
      <c r="E881" s="122" t="s">
        <v>474</v>
      </c>
      <c r="F881" s="125" t="s">
        <v>580</v>
      </c>
      <c r="G881" s="126" t="s">
        <v>371</v>
      </c>
      <c r="H881" s="127"/>
      <c r="I881" s="128">
        <v>1</v>
      </c>
      <c r="J881" s="129">
        <v>25800</v>
      </c>
      <c r="K881" s="129">
        <v>25800</v>
      </c>
      <c r="L881" s="167" t="s">
        <v>788</v>
      </c>
      <c r="M881" s="168" t="s">
        <v>36</v>
      </c>
      <c r="N881" s="132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</row>
    <row r="882" spans="1:28" s="134" customFormat="1" ht="15" customHeight="1" outlineLevel="1" x14ac:dyDescent="0.2">
      <c r="A882" s="122">
        <v>5</v>
      </c>
      <c r="B882" s="122">
        <v>43390</v>
      </c>
      <c r="C882" s="123">
        <v>41865</v>
      </c>
      <c r="D882" s="124" t="s">
        <v>1455</v>
      </c>
      <c r="E882" s="122" t="s">
        <v>484</v>
      </c>
      <c r="F882" s="125" t="s">
        <v>217</v>
      </c>
      <c r="G882" s="126" t="s">
        <v>371</v>
      </c>
      <c r="H882" s="127"/>
      <c r="I882" s="128">
        <v>1</v>
      </c>
      <c r="J882" s="129">
        <v>44597</v>
      </c>
      <c r="K882" s="129">
        <v>44597</v>
      </c>
      <c r="L882" s="167" t="s">
        <v>788</v>
      </c>
      <c r="M882" s="168" t="s">
        <v>36</v>
      </c>
      <c r="N882" s="132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</row>
    <row r="883" spans="1:28" s="134" customFormat="1" ht="15" customHeight="1" outlineLevel="1" x14ac:dyDescent="0.2">
      <c r="A883" s="122">
        <v>6</v>
      </c>
      <c r="B883" s="122">
        <v>42873</v>
      </c>
      <c r="C883" s="123">
        <v>41863</v>
      </c>
      <c r="D883" s="124" t="s">
        <v>1456</v>
      </c>
      <c r="E883" s="122" t="s">
        <v>484</v>
      </c>
      <c r="F883" s="125" t="s">
        <v>217</v>
      </c>
      <c r="G883" s="126" t="s">
        <v>387</v>
      </c>
      <c r="H883" s="127"/>
      <c r="I883" s="128">
        <v>2</v>
      </c>
      <c r="J883" s="129">
        <v>44597</v>
      </c>
      <c r="K883" s="129">
        <v>89194</v>
      </c>
      <c r="L883" s="167" t="s">
        <v>788</v>
      </c>
      <c r="M883" s="168" t="s">
        <v>36</v>
      </c>
      <c r="N883" s="132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</row>
    <row r="884" spans="1:28" s="134" customFormat="1" ht="15" customHeight="1" outlineLevel="1" x14ac:dyDescent="0.2">
      <c r="A884" s="122">
        <v>7</v>
      </c>
      <c r="B884" s="122">
        <v>42388</v>
      </c>
      <c r="C884" s="123">
        <v>41862</v>
      </c>
      <c r="D884" s="124" t="s">
        <v>1457</v>
      </c>
      <c r="E884" s="122" t="s">
        <v>505</v>
      </c>
      <c r="F884" s="125" t="s">
        <v>580</v>
      </c>
      <c r="G884" s="126" t="s">
        <v>371</v>
      </c>
      <c r="H884" s="127"/>
      <c r="I884" s="128">
        <v>1</v>
      </c>
      <c r="J884" s="129">
        <v>25800</v>
      </c>
      <c r="K884" s="129">
        <v>25800</v>
      </c>
      <c r="L884" s="167" t="s">
        <v>788</v>
      </c>
      <c r="M884" s="168" t="s">
        <v>36</v>
      </c>
      <c r="N884" s="132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</row>
    <row r="885" spans="1:28" s="134" customFormat="1" ht="15" customHeight="1" outlineLevel="1" x14ac:dyDescent="0.2">
      <c r="A885" s="122">
        <v>9</v>
      </c>
      <c r="B885" s="122">
        <v>40212</v>
      </c>
      <c r="C885" s="123">
        <v>41852</v>
      </c>
      <c r="D885" s="124" t="s">
        <v>1458</v>
      </c>
      <c r="E885" s="122" t="s">
        <v>1316</v>
      </c>
      <c r="F885" s="125" t="s">
        <v>237</v>
      </c>
      <c r="G885" s="126" t="s">
        <v>371</v>
      </c>
      <c r="H885" s="127"/>
      <c r="I885" s="128">
        <v>1</v>
      </c>
      <c r="J885" s="129">
        <v>10401</v>
      </c>
      <c r="K885" s="129">
        <v>10401</v>
      </c>
      <c r="L885" s="167" t="s">
        <v>788</v>
      </c>
      <c r="M885" s="168" t="s">
        <v>36</v>
      </c>
      <c r="N885" s="132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</row>
    <row r="886" spans="1:28" s="134" customFormat="1" ht="15" customHeight="1" outlineLevel="1" x14ac:dyDescent="0.2">
      <c r="A886" s="122">
        <v>10</v>
      </c>
      <c r="B886" s="122">
        <v>47477</v>
      </c>
      <c r="C886" s="123">
        <v>41878</v>
      </c>
      <c r="D886" s="124" t="s">
        <v>1459</v>
      </c>
      <c r="E886" s="122" t="s">
        <v>484</v>
      </c>
      <c r="F886" s="125" t="s">
        <v>580</v>
      </c>
      <c r="G886" s="126" t="s">
        <v>371</v>
      </c>
      <c r="H886" s="127"/>
      <c r="I886" s="128">
        <v>1</v>
      </c>
      <c r="J886" s="129">
        <v>25800</v>
      </c>
      <c r="K886" s="129">
        <v>25800</v>
      </c>
      <c r="L886" s="167" t="s">
        <v>788</v>
      </c>
      <c r="M886" s="168" t="s">
        <v>36</v>
      </c>
      <c r="N886" s="132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</row>
    <row r="887" spans="1:28" s="134" customFormat="1" ht="15" customHeight="1" outlineLevel="1" x14ac:dyDescent="0.2">
      <c r="A887" s="122">
        <v>11</v>
      </c>
      <c r="B887" s="122">
        <v>44989</v>
      </c>
      <c r="C887" s="123">
        <v>41870</v>
      </c>
      <c r="D887" s="124" t="s">
        <v>1460</v>
      </c>
      <c r="E887" s="122" t="s">
        <v>697</v>
      </c>
      <c r="F887" s="125" t="s">
        <v>580</v>
      </c>
      <c r="G887" s="126" t="s">
        <v>371</v>
      </c>
      <c r="H887" s="127"/>
      <c r="I887" s="128">
        <v>1</v>
      </c>
      <c r="J887" s="129">
        <v>25800</v>
      </c>
      <c r="K887" s="129">
        <v>25800</v>
      </c>
      <c r="L887" s="167" t="s">
        <v>788</v>
      </c>
      <c r="M887" s="168" t="s">
        <v>36</v>
      </c>
      <c r="N887" s="132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</row>
    <row r="888" spans="1:28" s="134" customFormat="1" ht="15" customHeight="1" outlineLevel="1" x14ac:dyDescent="0.2">
      <c r="A888" s="122">
        <v>12</v>
      </c>
      <c r="B888" s="122">
        <v>47475</v>
      </c>
      <c r="C888" s="123">
        <v>41879</v>
      </c>
      <c r="D888" s="124" t="s">
        <v>1461</v>
      </c>
      <c r="E888" s="122" t="s">
        <v>484</v>
      </c>
      <c r="F888" s="125" t="s">
        <v>580</v>
      </c>
      <c r="G888" s="126" t="s">
        <v>371</v>
      </c>
      <c r="H888" s="127"/>
      <c r="I888" s="128">
        <v>1</v>
      </c>
      <c r="J888" s="129">
        <v>25800</v>
      </c>
      <c r="K888" s="129">
        <v>25800</v>
      </c>
      <c r="L888" s="167" t="s">
        <v>788</v>
      </c>
      <c r="M888" s="168" t="s">
        <v>36</v>
      </c>
      <c r="N888" s="132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</row>
    <row r="889" spans="1:28" s="134" customFormat="1" ht="15" customHeight="1" outlineLevel="1" x14ac:dyDescent="0.2">
      <c r="A889" s="122">
        <v>1</v>
      </c>
      <c r="B889" s="122">
        <v>56440</v>
      </c>
      <c r="C889" s="123">
        <v>41912</v>
      </c>
      <c r="D889" s="124" t="s">
        <v>1462</v>
      </c>
      <c r="E889" s="122" t="s">
        <v>484</v>
      </c>
      <c r="F889" s="125" t="s">
        <v>217</v>
      </c>
      <c r="G889" s="126" t="s">
        <v>387</v>
      </c>
      <c r="H889" s="127"/>
      <c r="I889" s="128">
        <v>2</v>
      </c>
      <c r="J889" s="129">
        <v>44597</v>
      </c>
      <c r="K889" s="129">
        <v>89194</v>
      </c>
      <c r="L889" s="613" t="s">
        <v>617</v>
      </c>
      <c r="M889" s="625" t="s">
        <v>36</v>
      </c>
      <c r="N889" s="132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</row>
    <row r="890" spans="1:28" s="134" customFormat="1" ht="15" customHeight="1" outlineLevel="1" x14ac:dyDescent="0.2">
      <c r="A890" s="122">
        <v>2</v>
      </c>
      <c r="B890" s="122">
        <v>54107</v>
      </c>
      <c r="C890" s="123">
        <v>41904</v>
      </c>
      <c r="D890" s="124" t="s">
        <v>1463</v>
      </c>
      <c r="E890" s="122" t="s">
        <v>484</v>
      </c>
      <c r="F890" s="125" t="s">
        <v>682</v>
      </c>
      <c r="G890" s="126" t="s">
        <v>369</v>
      </c>
      <c r="H890" s="127"/>
      <c r="I890" s="128">
        <v>1</v>
      </c>
      <c r="J890" s="129">
        <v>55058</v>
      </c>
      <c r="K890" s="129">
        <v>55058</v>
      </c>
      <c r="L890" s="614"/>
      <c r="M890" s="626"/>
      <c r="N890" s="132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</row>
    <row r="891" spans="1:28" s="134" customFormat="1" ht="15" customHeight="1" outlineLevel="1" x14ac:dyDescent="0.2">
      <c r="A891" s="122">
        <v>3</v>
      </c>
      <c r="B891" s="122">
        <v>54635</v>
      </c>
      <c r="C891" s="123">
        <v>41904</v>
      </c>
      <c r="D891" s="124" t="s">
        <v>1464</v>
      </c>
      <c r="E891" s="122" t="s">
        <v>484</v>
      </c>
      <c r="F891" s="125" t="s">
        <v>235</v>
      </c>
      <c r="G891" s="126" t="s">
        <v>371</v>
      </c>
      <c r="H891" s="127"/>
      <c r="I891" s="128">
        <v>1</v>
      </c>
      <c r="J891" s="129">
        <v>12499</v>
      </c>
      <c r="K891" s="129">
        <v>12499</v>
      </c>
      <c r="L891" s="614"/>
      <c r="M891" s="626"/>
      <c r="N891" s="132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</row>
    <row r="892" spans="1:28" s="134" customFormat="1" ht="15" customHeight="1" outlineLevel="1" x14ac:dyDescent="0.2">
      <c r="A892" s="122">
        <v>4</v>
      </c>
      <c r="B892" s="122">
        <v>53050</v>
      </c>
      <c r="C892" s="123">
        <v>41894</v>
      </c>
      <c r="D892" s="124" t="s">
        <v>1465</v>
      </c>
      <c r="E892" s="122" t="s">
        <v>484</v>
      </c>
      <c r="F892" s="125" t="s">
        <v>217</v>
      </c>
      <c r="G892" s="126" t="s">
        <v>387</v>
      </c>
      <c r="H892" s="127"/>
      <c r="I892" s="128">
        <v>2</v>
      </c>
      <c r="J892" s="129">
        <v>44597</v>
      </c>
      <c r="K892" s="129">
        <v>89194</v>
      </c>
      <c r="L892" s="614"/>
      <c r="M892" s="626"/>
      <c r="N892" s="132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</row>
    <row r="893" spans="1:28" s="134" customFormat="1" ht="15" customHeight="1" outlineLevel="1" x14ac:dyDescent="0.2">
      <c r="A893" s="122">
        <v>6</v>
      </c>
      <c r="B893" s="122">
        <v>50647</v>
      </c>
      <c r="C893" s="123">
        <v>41887</v>
      </c>
      <c r="D893" s="124" t="s">
        <v>1466</v>
      </c>
      <c r="E893" s="122" t="s">
        <v>484</v>
      </c>
      <c r="F893" s="125" t="s">
        <v>116</v>
      </c>
      <c r="G893" s="126" t="s">
        <v>400</v>
      </c>
      <c r="H893" s="127"/>
      <c r="I893" s="128">
        <v>2</v>
      </c>
      <c r="J893" s="129">
        <v>5274</v>
      </c>
      <c r="K893" s="129">
        <v>10548</v>
      </c>
      <c r="L893" s="614"/>
      <c r="M893" s="626"/>
      <c r="N893" s="132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</row>
    <row r="894" spans="1:28" s="134" customFormat="1" ht="15" customHeight="1" outlineLevel="1" x14ac:dyDescent="0.2">
      <c r="A894" s="122">
        <v>7</v>
      </c>
      <c r="B894" s="122">
        <v>55548</v>
      </c>
      <c r="C894" s="123">
        <v>41911</v>
      </c>
      <c r="D894" s="124" t="s">
        <v>1467</v>
      </c>
      <c r="E894" s="122" t="s">
        <v>484</v>
      </c>
      <c r="F894" s="125" t="s">
        <v>580</v>
      </c>
      <c r="G894" s="126" t="s">
        <v>371</v>
      </c>
      <c r="H894" s="127"/>
      <c r="I894" s="128">
        <v>1</v>
      </c>
      <c r="J894" s="129">
        <v>25800</v>
      </c>
      <c r="K894" s="129">
        <v>25800</v>
      </c>
      <c r="L894" s="614"/>
      <c r="M894" s="626"/>
      <c r="N894" s="132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</row>
    <row r="895" spans="1:28" s="134" customFormat="1" ht="15" customHeight="1" outlineLevel="1" x14ac:dyDescent="0.2">
      <c r="A895" s="122">
        <v>8</v>
      </c>
      <c r="B895" s="122">
        <v>45598</v>
      </c>
      <c r="C895" s="123">
        <v>41872</v>
      </c>
      <c r="D895" s="124" t="s">
        <v>1468</v>
      </c>
      <c r="E895" s="122" t="s">
        <v>474</v>
      </c>
      <c r="F895" s="125" t="s">
        <v>682</v>
      </c>
      <c r="G895" s="126" t="s">
        <v>371</v>
      </c>
      <c r="H895" s="127"/>
      <c r="I895" s="128">
        <v>1</v>
      </c>
      <c r="J895" s="129">
        <v>55058</v>
      </c>
      <c r="K895" s="210">
        <v>55058</v>
      </c>
      <c r="L895" s="614"/>
      <c r="M895" s="626"/>
      <c r="N895" s="132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</row>
    <row r="896" spans="1:28" s="134" customFormat="1" ht="15" customHeight="1" outlineLevel="1" x14ac:dyDescent="0.2">
      <c r="A896" s="122">
        <v>9</v>
      </c>
      <c r="B896" s="122">
        <v>49611</v>
      </c>
      <c r="C896" s="123">
        <v>41885</v>
      </c>
      <c r="D896" s="124" t="s">
        <v>1469</v>
      </c>
      <c r="E896" s="122" t="s">
        <v>481</v>
      </c>
      <c r="F896" s="125" t="s">
        <v>217</v>
      </c>
      <c r="G896" s="126" t="s">
        <v>371</v>
      </c>
      <c r="H896" s="127"/>
      <c r="I896" s="128">
        <v>1</v>
      </c>
      <c r="J896" s="129">
        <v>44597</v>
      </c>
      <c r="K896" s="129">
        <v>44597</v>
      </c>
      <c r="L896" s="614"/>
      <c r="M896" s="626"/>
      <c r="N896" s="132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</row>
    <row r="897" spans="1:28" s="134" customFormat="1" ht="15" customHeight="1" outlineLevel="1" x14ac:dyDescent="0.2">
      <c r="A897" s="122">
        <v>10</v>
      </c>
      <c r="B897" s="122">
        <v>54103</v>
      </c>
      <c r="C897" s="123">
        <v>41904</v>
      </c>
      <c r="D897" s="124" t="s">
        <v>1470</v>
      </c>
      <c r="E897" s="122" t="s">
        <v>484</v>
      </c>
      <c r="F897" s="125" t="s">
        <v>217</v>
      </c>
      <c r="G897" s="126" t="s">
        <v>371</v>
      </c>
      <c r="H897" s="127"/>
      <c r="I897" s="128">
        <v>1</v>
      </c>
      <c r="J897" s="129">
        <v>44597</v>
      </c>
      <c r="K897" s="129">
        <v>44597</v>
      </c>
      <c r="L897" s="614"/>
      <c r="M897" s="626"/>
      <c r="N897" s="132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</row>
    <row r="898" spans="1:28" s="134" customFormat="1" ht="15" customHeight="1" outlineLevel="1" x14ac:dyDescent="0.2">
      <c r="A898" s="122">
        <v>11</v>
      </c>
      <c r="B898" s="122">
        <v>55930</v>
      </c>
      <c r="C898" s="123">
        <v>41911</v>
      </c>
      <c r="D898" s="124" t="s">
        <v>1471</v>
      </c>
      <c r="E898" s="122" t="s">
        <v>1472</v>
      </c>
      <c r="F898" s="125" t="s">
        <v>116</v>
      </c>
      <c r="G898" s="126" t="s">
        <v>1473</v>
      </c>
      <c r="H898" s="127"/>
      <c r="I898" s="128">
        <v>2</v>
      </c>
      <c r="J898" s="129">
        <v>5274</v>
      </c>
      <c r="K898" s="129">
        <v>10548</v>
      </c>
      <c r="L898" s="614"/>
      <c r="M898" s="626"/>
      <c r="N898" s="132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</row>
    <row r="899" spans="1:28" s="134" customFormat="1" ht="15" customHeight="1" outlineLevel="1" x14ac:dyDescent="0.2">
      <c r="A899" s="122">
        <v>12</v>
      </c>
      <c r="B899" s="122">
        <v>53996</v>
      </c>
      <c r="C899" s="123">
        <v>41899</v>
      </c>
      <c r="D899" s="124" t="s">
        <v>1474</v>
      </c>
      <c r="E899" s="122" t="s">
        <v>484</v>
      </c>
      <c r="F899" s="125" t="s">
        <v>217</v>
      </c>
      <c r="G899" s="126" t="s">
        <v>369</v>
      </c>
      <c r="H899" s="127"/>
      <c r="I899" s="128">
        <v>1</v>
      </c>
      <c r="J899" s="129">
        <v>44597</v>
      </c>
      <c r="K899" s="129">
        <v>44597</v>
      </c>
      <c r="L899" s="614"/>
      <c r="M899" s="626"/>
      <c r="N899" s="132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</row>
    <row r="900" spans="1:28" s="134" customFormat="1" ht="15" customHeight="1" outlineLevel="1" x14ac:dyDescent="0.2">
      <c r="A900" s="122">
        <v>13</v>
      </c>
      <c r="B900" s="122">
        <v>53186</v>
      </c>
      <c r="C900" s="123">
        <v>41897</v>
      </c>
      <c r="D900" s="124" t="s">
        <v>1475</v>
      </c>
      <c r="E900" s="122" t="s">
        <v>484</v>
      </c>
      <c r="F900" s="125" t="s">
        <v>682</v>
      </c>
      <c r="G900" s="126" t="s">
        <v>369</v>
      </c>
      <c r="H900" s="127"/>
      <c r="I900" s="128">
        <v>1</v>
      </c>
      <c r="J900" s="129">
        <v>55058</v>
      </c>
      <c r="K900" s="129">
        <v>55058</v>
      </c>
      <c r="L900" s="614"/>
      <c r="M900" s="626"/>
      <c r="N900" s="132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</row>
    <row r="901" spans="1:28" s="134" customFormat="1" ht="15" customHeight="1" outlineLevel="1" x14ac:dyDescent="0.2">
      <c r="A901" s="122">
        <v>14</v>
      </c>
      <c r="B901" s="122">
        <v>49557</v>
      </c>
      <c r="C901" s="123">
        <v>41886</v>
      </c>
      <c r="D901" s="124" t="s">
        <v>1476</v>
      </c>
      <c r="E901" s="122" t="s">
        <v>505</v>
      </c>
      <c r="F901" s="125" t="s">
        <v>580</v>
      </c>
      <c r="G901" s="126" t="s">
        <v>371</v>
      </c>
      <c r="H901" s="127"/>
      <c r="I901" s="128">
        <v>1</v>
      </c>
      <c r="J901" s="129">
        <v>25800</v>
      </c>
      <c r="K901" s="129">
        <v>25800</v>
      </c>
      <c r="L901" s="614"/>
      <c r="M901" s="626"/>
      <c r="N901" s="132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</row>
    <row r="902" spans="1:28" s="134" customFormat="1" ht="15" customHeight="1" outlineLevel="1" x14ac:dyDescent="0.2">
      <c r="A902" s="122">
        <v>17</v>
      </c>
      <c r="B902" s="122">
        <v>55071</v>
      </c>
      <c r="C902" s="123">
        <v>41907</v>
      </c>
      <c r="D902" s="124" t="s">
        <v>1477</v>
      </c>
      <c r="E902" s="122" t="s">
        <v>484</v>
      </c>
      <c r="F902" s="125" t="s">
        <v>580</v>
      </c>
      <c r="G902" s="126" t="s">
        <v>371</v>
      </c>
      <c r="H902" s="127"/>
      <c r="I902" s="128">
        <v>1</v>
      </c>
      <c r="J902" s="129">
        <v>25800</v>
      </c>
      <c r="K902" s="129">
        <v>25800</v>
      </c>
      <c r="L902" s="614"/>
      <c r="M902" s="626"/>
      <c r="N902" s="132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</row>
    <row r="903" spans="1:28" s="134" customFormat="1" ht="15" customHeight="1" outlineLevel="1" x14ac:dyDescent="0.2">
      <c r="A903" s="122">
        <v>18</v>
      </c>
      <c r="B903" s="122">
        <v>43565</v>
      </c>
      <c r="C903" s="123">
        <v>41871</v>
      </c>
      <c r="D903" s="124" t="s">
        <v>1478</v>
      </c>
      <c r="E903" s="122" t="s">
        <v>484</v>
      </c>
      <c r="F903" s="125" t="s">
        <v>217</v>
      </c>
      <c r="G903" s="126" t="s">
        <v>369</v>
      </c>
      <c r="H903" s="127"/>
      <c r="I903" s="128">
        <v>1</v>
      </c>
      <c r="J903" s="129">
        <v>44597</v>
      </c>
      <c r="K903" s="210">
        <v>44597</v>
      </c>
      <c r="L903" s="614"/>
      <c r="M903" s="626"/>
      <c r="N903" s="132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</row>
    <row r="904" spans="1:28" s="134" customFormat="1" ht="15" customHeight="1" outlineLevel="1" x14ac:dyDescent="0.2">
      <c r="A904" s="122">
        <v>19</v>
      </c>
      <c r="B904" s="122">
        <v>51127</v>
      </c>
      <c r="C904" s="123">
        <v>41890</v>
      </c>
      <c r="D904" s="124" t="s">
        <v>1479</v>
      </c>
      <c r="E904" s="122" t="s">
        <v>474</v>
      </c>
      <c r="F904" s="125" t="s">
        <v>682</v>
      </c>
      <c r="G904" s="126" t="s">
        <v>387</v>
      </c>
      <c r="H904" s="127"/>
      <c r="I904" s="128">
        <v>2</v>
      </c>
      <c r="J904" s="129">
        <v>55058</v>
      </c>
      <c r="K904" s="129">
        <v>110116</v>
      </c>
      <c r="L904" s="614"/>
      <c r="M904" s="626"/>
      <c r="N904" s="132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</row>
    <row r="905" spans="1:28" s="134" customFormat="1" ht="15" customHeight="1" outlineLevel="1" x14ac:dyDescent="0.2">
      <c r="A905" s="122">
        <v>20</v>
      </c>
      <c r="B905" s="122">
        <v>51335</v>
      </c>
      <c r="C905" s="123">
        <v>41892</v>
      </c>
      <c r="D905" s="124" t="s">
        <v>1480</v>
      </c>
      <c r="E905" s="122" t="s">
        <v>1428</v>
      </c>
      <c r="F905" s="125" t="s">
        <v>580</v>
      </c>
      <c r="G905" s="126" t="s">
        <v>371</v>
      </c>
      <c r="H905" s="127"/>
      <c r="I905" s="128">
        <v>1</v>
      </c>
      <c r="J905" s="129">
        <v>25800</v>
      </c>
      <c r="K905" s="129">
        <v>25800</v>
      </c>
      <c r="L905" s="614"/>
      <c r="M905" s="626"/>
      <c r="N905" s="132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</row>
    <row r="906" spans="1:28" s="134" customFormat="1" ht="14.25" customHeight="1" outlineLevel="1" x14ac:dyDescent="0.2">
      <c r="A906" s="122">
        <v>21</v>
      </c>
      <c r="B906" s="122">
        <v>52176</v>
      </c>
      <c r="C906" s="123">
        <v>41892</v>
      </c>
      <c r="D906" s="124" t="s">
        <v>1458</v>
      </c>
      <c r="E906" s="122" t="s">
        <v>484</v>
      </c>
      <c r="F906" s="125" t="s">
        <v>217</v>
      </c>
      <c r="G906" s="126" t="s">
        <v>371</v>
      </c>
      <c r="H906" s="127"/>
      <c r="I906" s="128">
        <v>1</v>
      </c>
      <c r="J906" s="129">
        <v>44597</v>
      </c>
      <c r="K906" s="129">
        <v>44597</v>
      </c>
      <c r="L906" s="614"/>
      <c r="M906" s="626"/>
      <c r="N906" s="132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</row>
    <row r="907" spans="1:28" s="134" customFormat="1" ht="14.25" customHeight="1" outlineLevel="1" x14ac:dyDescent="0.2">
      <c r="A907" s="122">
        <v>22</v>
      </c>
      <c r="B907" s="122">
        <v>56405</v>
      </c>
      <c r="C907" s="123">
        <v>41912</v>
      </c>
      <c r="D907" s="124" t="s">
        <v>1481</v>
      </c>
      <c r="E907" s="122" t="s">
        <v>484</v>
      </c>
      <c r="F907" s="125" t="s">
        <v>580</v>
      </c>
      <c r="G907" s="126" t="s">
        <v>371</v>
      </c>
      <c r="H907" s="127"/>
      <c r="I907" s="128">
        <v>1</v>
      </c>
      <c r="J907" s="129">
        <v>25800</v>
      </c>
      <c r="K907" s="129">
        <v>25800</v>
      </c>
      <c r="L907" s="614"/>
      <c r="M907" s="626"/>
      <c r="N907" s="132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</row>
    <row r="908" spans="1:28" s="134" customFormat="1" ht="15" customHeight="1" outlineLevel="1" x14ac:dyDescent="0.2">
      <c r="A908" s="122">
        <v>23</v>
      </c>
      <c r="B908" s="122">
        <v>52007</v>
      </c>
      <c r="C908" s="123">
        <v>41893</v>
      </c>
      <c r="D908" s="124" t="s">
        <v>1324</v>
      </c>
      <c r="E908" s="122" t="s">
        <v>484</v>
      </c>
      <c r="F908" s="125" t="s">
        <v>682</v>
      </c>
      <c r="G908" s="126" t="s">
        <v>371</v>
      </c>
      <c r="H908" s="127"/>
      <c r="I908" s="128">
        <v>1</v>
      </c>
      <c r="J908" s="129">
        <v>55058</v>
      </c>
      <c r="K908" s="129">
        <v>55058</v>
      </c>
      <c r="L908" s="614"/>
      <c r="M908" s="626"/>
      <c r="N908" s="132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</row>
    <row r="909" spans="1:28" s="134" customFormat="1" ht="15" customHeight="1" outlineLevel="1" x14ac:dyDescent="0.2">
      <c r="A909" s="122">
        <v>24</v>
      </c>
      <c r="B909" s="122">
        <v>46325</v>
      </c>
      <c r="C909" s="123">
        <v>41876</v>
      </c>
      <c r="D909" s="124" t="s">
        <v>1482</v>
      </c>
      <c r="E909" s="122" t="s">
        <v>505</v>
      </c>
      <c r="F909" s="125" t="s">
        <v>580</v>
      </c>
      <c r="G909" s="126" t="s">
        <v>371</v>
      </c>
      <c r="H909" s="127"/>
      <c r="I909" s="128">
        <v>1</v>
      </c>
      <c r="J909" s="129">
        <v>25800</v>
      </c>
      <c r="K909" s="210">
        <v>25800</v>
      </c>
      <c r="L909" s="614"/>
      <c r="M909" s="626"/>
      <c r="N909" s="132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</row>
    <row r="910" spans="1:28" s="134" customFormat="1" ht="15" customHeight="1" outlineLevel="1" x14ac:dyDescent="0.2">
      <c r="A910" s="122">
        <v>26</v>
      </c>
      <c r="B910" s="122">
        <v>55750</v>
      </c>
      <c r="C910" s="123">
        <v>41911</v>
      </c>
      <c r="D910" s="124" t="s">
        <v>1483</v>
      </c>
      <c r="E910" s="122" t="s">
        <v>484</v>
      </c>
      <c r="F910" s="125" t="s">
        <v>217</v>
      </c>
      <c r="G910" s="126" t="s">
        <v>369</v>
      </c>
      <c r="H910" s="127"/>
      <c r="I910" s="128">
        <v>1</v>
      </c>
      <c r="J910" s="129">
        <v>44597</v>
      </c>
      <c r="K910" s="129">
        <v>44597</v>
      </c>
      <c r="L910" s="614"/>
      <c r="M910" s="626"/>
      <c r="N910" s="132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</row>
    <row r="911" spans="1:28" s="134" customFormat="1" ht="15" customHeight="1" outlineLevel="1" x14ac:dyDescent="0.2">
      <c r="A911" s="122">
        <v>27</v>
      </c>
      <c r="B911" s="122">
        <v>56198</v>
      </c>
      <c r="C911" s="123">
        <v>41912</v>
      </c>
      <c r="D911" s="124" t="s">
        <v>495</v>
      </c>
      <c r="E911" s="122" t="s">
        <v>478</v>
      </c>
      <c r="F911" s="125" t="s">
        <v>188</v>
      </c>
      <c r="G911" s="126" t="s">
        <v>725</v>
      </c>
      <c r="H911" s="127"/>
      <c r="I911" s="128">
        <v>3</v>
      </c>
      <c r="J911" s="129">
        <v>42601</v>
      </c>
      <c r="K911" s="129">
        <v>127803</v>
      </c>
      <c r="L911" s="615"/>
      <c r="M911" s="627"/>
      <c r="N911" s="132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</row>
    <row r="912" spans="1:28" s="134" customFormat="1" ht="15" customHeight="1" outlineLevel="1" x14ac:dyDescent="0.2">
      <c r="A912" s="122">
        <v>1</v>
      </c>
      <c r="B912" s="148">
        <v>59081</v>
      </c>
      <c r="C912" s="123">
        <v>41940</v>
      </c>
      <c r="D912" s="124" t="s">
        <v>501</v>
      </c>
      <c r="E912" s="122" t="s">
        <v>500</v>
      </c>
      <c r="F912" s="125" t="s">
        <v>580</v>
      </c>
      <c r="G912" s="126" t="s">
        <v>371</v>
      </c>
      <c r="H912" s="127"/>
      <c r="I912" s="128">
        <v>1</v>
      </c>
      <c r="J912" s="129">
        <v>25800</v>
      </c>
      <c r="K912" s="129">
        <v>25800</v>
      </c>
      <c r="L912" s="211" t="s">
        <v>620</v>
      </c>
      <c r="M912" s="168" t="s">
        <v>36</v>
      </c>
      <c r="N912" s="132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</row>
    <row r="913" spans="1:28" s="134" customFormat="1" ht="15" customHeight="1" outlineLevel="1" x14ac:dyDescent="0.2">
      <c r="A913" s="122">
        <v>2</v>
      </c>
      <c r="B913" s="148">
        <v>54852</v>
      </c>
      <c r="C913" s="123">
        <v>41928</v>
      </c>
      <c r="D913" s="124" t="s">
        <v>1484</v>
      </c>
      <c r="E913" s="122" t="s">
        <v>1234</v>
      </c>
      <c r="F913" s="125" t="s">
        <v>1485</v>
      </c>
      <c r="G913" s="126" t="s">
        <v>431</v>
      </c>
      <c r="H913" s="127"/>
      <c r="I913" s="128">
        <v>1</v>
      </c>
      <c r="J913" s="129">
        <v>48203</v>
      </c>
      <c r="K913" s="129">
        <v>48203</v>
      </c>
      <c r="L913" s="211" t="s">
        <v>620</v>
      </c>
      <c r="M913" s="168" t="s">
        <v>36</v>
      </c>
      <c r="N913" s="132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</row>
    <row r="914" spans="1:28" s="134" customFormat="1" ht="15" customHeight="1" outlineLevel="1" x14ac:dyDescent="0.2">
      <c r="A914" s="122">
        <v>3</v>
      </c>
      <c r="B914" s="148">
        <v>53422</v>
      </c>
      <c r="C914" s="123">
        <v>41922</v>
      </c>
      <c r="D914" s="124" t="s">
        <v>1486</v>
      </c>
      <c r="E914" s="122" t="s">
        <v>500</v>
      </c>
      <c r="F914" s="125" t="s">
        <v>116</v>
      </c>
      <c r="G914" s="126" t="s">
        <v>1361</v>
      </c>
      <c r="H914" s="127"/>
      <c r="I914" s="128">
        <v>1</v>
      </c>
      <c r="J914" s="129">
        <v>5274</v>
      </c>
      <c r="K914" s="129">
        <v>5274</v>
      </c>
      <c r="L914" s="211" t="s">
        <v>620</v>
      </c>
      <c r="M914" s="168" t="s">
        <v>36</v>
      </c>
      <c r="N914" s="132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</row>
    <row r="915" spans="1:28" s="134" customFormat="1" ht="15" customHeight="1" outlineLevel="1" x14ac:dyDescent="0.2">
      <c r="A915" s="122">
        <v>4</v>
      </c>
      <c r="B915" s="148">
        <v>59283</v>
      </c>
      <c r="C915" s="123">
        <v>41941</v>
      </c>
      <c r="D915" s="124" t="s">
        <v>1487</v>
      </c>
      <c r="E915" s="122" t="s">
        <v>474</v>
      </c>
      <c r="F915" s="125" t="s">
        <v>580</v>
      </c>
      <c r="G915" s="126" t="s">
        <v>371</v>
      </c>
      <c r="H915" s="127"/>
      <c r="I915" s="128">
        <v>1</v>
      </c>
      <c r="J915" s="129">
        <v>25800</v>
      </c>
      <c r="K915" s="129">
        <v>25800</v>
      </c>
      <c r="L915" s="211" t="s">
        <v>620</v>
      </c>
      <c r="M915" s="168" t="s">
        <v>36</v>
      </c>
      <c r="N915" s="132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</row>
    <row r="916" spans="1:28" s="134" customFormat="1" ht="15" customHeight="1" outlineLevel="1" x14ac:dyDescent="0.2">
      <c r="A916" s="122">
        <v>5</v>
      </c>
      <c r="B916" s="122">
        <v>49545</v>
      </c>
      <c r="C916" s="123">
        <v>41885</v>
      </c>
      <c r="D916" s="124" t="s">
        <v>1488</v>
      </c>
      <c r="E916" s="122" t="s">
        <v>697</v>
      </c>
      <c r="F916" s="125" t="s">
        <v>235</v>
      </c>
      <c r="G916" s="126" t="s">
        <v>369</v>
      </c>
      <c r="H916" s="127"/>
      <c r="I916" s="128">
        <v>1</v>
      </c>
      <c r="J916" s="129">
        <v>12499</v>
      </c>
      <c r="K916" s="142">
        <v>12499</v>
      </c>
      <c r="L916" s="211" t="s">
        <v>620</v>
      </c>
      <c r="M916" s="168" t="s">
        <v>36</v>
      </c>
      <c r="N916" s="132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</row>
    <row r="917" spans="1:28" s="134" customFormat="1" ht="15" customHeight="1" outlineLevel="1" x14ac:dyDescent="0.2">
      <c r="A917" s="122">
        <v>6</v>
      </c>
      <c r="B917" s="148">
        <v>55602</v>
      </c>
      <c r="C917" s="123">
        <v>41929</v>
      </c>
      <c r="D917" s="124" t="s">
        <v>1489</v>
      </c>
      <c r="E917" s="122" t="s">
        <v>474</v>
      </c>
      <c r="F917" s="125" t="s">
        <v>217</v>
      </c>
      <c r="G917" s="126" t="s">
        <v>371</v>
      </c>
      <c r="H917" s="127"/>
      <c r="I917" s="128">
        <v>1</v>
      </c>
      <c r="J917" s="129">
        <v>44597</v>
      </c>
      <c r="K917" s="129">
        <v>44597</v>
      </c>
      <c r="L917" s="211" t="s">
        <v>620</v>
      </c>
      <c r="M917" s="168" t="s">
        <v>36</v>
      </c>
      <c r="N917" s="132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</row>
    <row r="918" spans="1:28" s="134" customFormat="1" ht="15" customHeight="1" outlineLevel="1" x14ac:dyDescent="0.2">
      <c r="A918" s="122">
        <v>7</v>
      </c>
      <c r="B918" s="148">
        <v>54423</v>
      </c>
      <c r="C918" s="123">
        <v>41926</v>
      </c>
      <c r="D918" s="124" t="s">
        <v>1452</v>
      </c>
      <c r="E918" s="122" t="s">
        <v>1234</v>
      </c>
      <c r="F918" s="125" t="s">
        <v>235</v>
      </c>
      <c r="G918" s="126" t="s">
        <v>371</v>
      </c>
      <c r="H918" s="127"/>
      <c r="I918" s="128">
        <v>1</v>
      </c>
      <c r="J918" s="129">
        <v>12499</v>
      </c>
      <c r="K918" s="129">
        <v>12499</v>
      </c>
      <c r="L918" s="211" t="s">
        <v>620</v>
      </c>
      <c r="M918" s="168" t="s">
        <v>36</v>
      </c>
      <c r="N918" s="132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</row>
    <row r="919" spans="1:28" s="134" customFormat="1" ht="15" customHeight="1" outlineLevel="1" x14ac:dyDescent="0.2">
      <c r="A919" s="122">
        <v>8</v>
      </c>
      <c r="B919" s="148">
        <v>57736</v>
      </c>
      <c r="C919" s="123">
        <v>41915</v>
      </c>
      <c r="D919" s="124" t="s">
        <v>1490</v>
      </c>
      <c r="E919" s="122" t="s">
        <v>484</v>
      </c>
      <c r="F919" s="125" t="s">
        <v>235</v>
      </c>
      <c r="G919" s="126" t="s">
        <v>369</v>
      </c>
      <c r="H919" s="127"/>
      <c r="I919" s="128">
        <v>1</v>
      </c>
      <c r="J919" s="129">
        <v>12499</v>
      </c>
      <c r="K919" s="129">
        <v>12499</v>
      </c>
      <c r="L919" s="211" t="s">
        <v>620</v>
      </c>
      <c r="M919" s="168" t="s">
        <v>36</v>
      </c>
      <c r="N919" s="132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</row>
    <row r="920" spans="1:28" s="134" customFormat="1" ht="15" customHeight="1" outlineLevel="1" x14ac:dyDescent="0.2">
      <c r="A920" s="122">
        <v>9</v>
      </c>
      <c r="B920" s="148">
        <v>57736</v>
      </c>
      <c r="C920" s="123">
        <v>41915</v>
      </c>
      <c r="D920" s="124" t="s">
        <v>1490</v>
      </c>
      <c r="E920" s="122" t="s">
        <v>484</v>
      </c>
      <c r="F920" s="125" t="s">
        <v>1035</v>
      </c>
      <c r="G920" s="126" t="s">
        <v>369</v>
      </c>
      <c r="H920" s="127"/>
      <c r="I920" s="128">
        <v>1</v>
      </c>
      <c r="J920" s="129">
        <v>10143</v>
      </c>
      <c r="K920" s="129">
        <v>10143</v>
      </c>
      <c r="L920" s="211" t="s">
        <v>620</v>
      </c>
      <c r="M920" s="168" t="s">
        <v>36</v>
      </c>
      <c r="N920" s="132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</row>
    <row r="921" spans="1:28" s="134" customFormat="1" ht="15" customHeight="1" outlineLevel="1" x14ac:dyDescent="0.2">
      <c r="A921" s="122">
        <v>10</v>
      </c>
      <c r="B921" s="148">
        <v>57784</v>
      </c>
      <c r="C921" s="123">
        <v>41940</v>
      </c>
      <c r="D921" s="124" t="s">
        <v>1491</v>
      </c>
      <c r="E921" s="122" t="s">
        <v>484</v>
      </c>
      <c r="F921" s="125" t="s">
        <v>682</v>
      </c>
      <c r="G921" s="126" t="s">
        <v>371</v>
      </c>
      <c r="H921" s="127"/>
      <c r="I921" s="128">
        <v>1</v>
      </c>
      <c r="J921" s="129">
        <v>55058</v>
      </c>
      <c r="K921" s="129">
        <v>55058</v>
      </c>
      <c r="L921" s="211" t="s">
        <v>620</v>
      </c>
      <c r="M921" s="168" t="s">
        <v>36</v>
      </c>
      <c r="N921" s="132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</row>
    <row r="922" spans="1:28" s="134" customFormat="1" ht="15" customHeight="1" outlineLevel="1" x14ac:dyDescent="0.2">
      <c r="A922" s="122">
        <v>11</v>
      </c>
      <c r="B922" s="148">
        <v>58774</v>
      </c>
      <c r="C922" s="123">
        <v>41940</v>
      </c>
      <c r="D922" s="124" t="s">
        <v>1492</v>
      </c>
      <c r="E922" s="122" t="s">
        <v>500</v>
      </c>
      <c r="F922" s="125" t="s">
        <v>537</v>
      </c>
      <c r="G922" s="126" t="s">
        <v>431</v>
      </c>
      <c r="H922" s="127"/>
      <c r="I922" s="128">
        <v>1</v>
      </c>
      <c r="J922" s="129">
        <v>30429</v>
      </c>
      <c r="K922" s="129">
        <v>30429</v>
      </c>
      <c r="L922" s="211" t="s">
        <v>620</v>
      </c>
      <c r="M922" s="168" t="s">
        <v>36</v>
      </c>
      <c r="N922" s="132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</row>
    <row r="923" spans="1:28" s="134" customFormat="1" ht="15" customHeight="1" outlineLevel="1" x14ac:dyDescent="0.2">
      <c r="A923" s="122">
        <v>12</v>
      </c>
      <c r="B923" s="148">
        <v>55560</v>
      </c>
      <c r="C923" s="123">
        <v>41929</v>
      </c>
      <c r="D923" s="124" t="s">
        <v>1493</v>
      </c>
      <c r="E923" s="122" t="s">
        <v>500</v>
      </c>
      <c r="F923" s="125" t="s">
        <v>537</v>
      </c>
      <c r="G923" s="126" t="s">
        <v>527</v>
      </c>
      <c r="H923" s="127"/>
      <c r="I923" s="128">
        <v>1</v>
      </c>
      <c r="J923" s="129">
        <v>30429</v>
      </c>
      <c r="K923" s="129">
        <v>30429</v>
      </c>
      <c r="L923" s="211" t="s">
        <v>620</v>
      </c>
      <c r="M923" s="168" t="s">
        <v>36</v>
      </c>
      <c r="N923" s="132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</row>
    <row r="924" spans="1:28" s="134" customFormat="1" ht="15" customHeight="1" outlineLevel="1" x14ac:dyDescent="0.2">
      <c r="A924" s="122">
        <v>13</v>
      </c>
      <c r="B924" s="148">
        <v>55689</v>
      </c>
      <c r="C924" s="123">
        <v>41929</v>
      </c>
      <c r="D924" s="124" t="s">
        <v>1494</v>
      </c>
      <c r="E924" s="122" t="s">
        <v>500</v>
      </c>
      <c r="F924" s="125" t="s">
        <v>115</v>
      </c>
      <c r="G924" s="126" t="s">
        <v>417</v>
      </c>
      <c r="H924" s="127"/>
      <c r="I924" s="128">
        <v>1</v>
      </c>
      <c r="J924" s="129">
        <v>33370</v>
      </c>
      <c r="K924" s="129">
        <v>33370</v>
      </c>
      <c r="L924" s="211" t="s">
        <v>620</v>
      </c>
      <c r="M924" s="168" t="s">
        <v>36</v>
      </c>
      <c r="N924" s="132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</row>
    <row r="925" spans="1:28" s="134" customFormat="1" ht="15" customHeight="1" outlineLevel="1" x14ac:dyDescent="0.2">
      <c r="A925" s="122">
        <v>14</v>
      </c>
      <c r="B925" s="148">
        <v>59218</v>
      </c>
      <c r="C925" s="123">
        <v>41921</v>
      </c>
      <c r="D925" s="124" t="s">
        <v>1495</v>
      </c>
      <c r="E925" s="122" t="s">
        <v>481</v>
      </c>
      <c r="F925" s="125" t="s">
        <v>237</v>
      </c>
      <c r="G925" s="126" t="s">
        <v>369</v>
      </c>
      <c r="H925" s="127"/>
      <c r="I925" s="128">
        <v>1</v>
      </c>
      <c r="J925" s="129">
        <v>10401</v>
      </c>
      <c r="K925" s="129">
        <v>10401</v>
      </c>
      <c r="L925" s="211" t="s">
        <v>620</v>
      </c>
      <c r="M925" s="168" t="s">
        <v>36</v>
      </c>
      <c r="N925" s="132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</row>
    <row r="926" spans="1:28" s="134" customFormat="1" ht="15" customHeight="1" outlineLevel="1" x14ac:dyDescent="0.2">
      <c r="A926" s="122">
        <v>15</v>
      </c>
      <c r="B926" s="148">
        <v>58805</v>
      </c>
      <c r="C926" s="123">
        <v>41939</v>
      </c>
      <c r="D926" s="124" t="s">
        <v>1496</v>
      </c>
      <c r="E926" s="122" t="s">
        <v>500</v>
      </c>
      <c r="F926" s="125" t="s">
        <v>537</v>
      </c>
      <c r="G926" s="126" t="s">
        <v>562</v>
      </c>
      <c r="H926" s="127"/>
      <c r="I926" s="128">
        <v>1</v>
      </c>
      <c r="J926" s="129">
        <v>30429</v>
      </c>
      <c r="K926" s="129">
        <v>30429</v>
      </c>
      <c r="L926" s="211" t="s">
        <v>620</v>
      </c>
      <c r="M926" s="168" t="s">
        <v>36</v>
      </c>
      <c r="N926" s="132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</row>
    <row r="927" spans="1:28" s="134" customFormat="1" ht="15" customHeight="1" outlineLevel="1" x14ac:dyDescent="0.2">
      <c r="A927" s="122">
        <v>16</v>
      </c>
      <c r="B927" s="148">
        <v>54154</v>
      </c>
      <c r="C927" s="123">
        <v>41926</v>
      </c>
      <c r="D927" s="124" t="s">
        <v>1497</v>
      </c>
      <c r="E927" s="122" t="s">
        <v>500</v>
      </c>
      <c r="F927" s="125" t="s">
        <v>537</v>
      </c>
      <c r="G927" s="126" t="s">
        <v>562</v>
      </c>
      <c r="H927" s="127"/>
      <c r="I927" s="128">
        <v>1</v>
      </c>
      <c r="J927" s="129">
        <v>30429</v>
      </c>
      <c r="K927" s="129">
        <v>30429</v>
      </c>
      <c r="L927" s="211" t="s">
        <v>620</v>
      </c>
      <c r="M927" s="168" t="s">
        <v>36</v>
      </c>
      <c r="N927" s="132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</row>
    <row r="928" spans="1:28" s="134" customFormat="1" ht="15" customHeight="1" outlineLevel="1" x14ac:dyDescent="0.2">
      <c r="A928" s="122">
        <v>17</v>
      </c>
      <c r="B928" s="148">
        <v>58723</v>
      </c>
      <c r="C928" s="123">
        <v>41920</v>
      </c>
      <c r="D928" s="124" t="s">
        <v>1498</v>
      </c>
      <c r="E928" s="122" t="s">
        <v>1428</v>
      </c>
      <c r="F928" s="125" t="s">
        <v>580</v>
      </c>
      <c r="G928" s="126" t="s">
        <v>371</v>
      </c>
      <c r="H928" s="127"/>
      <c r="I928" s="128">
        <v>1</v>
      </c>
      <c r="J928" s="129">
        <v>25800</v>
      </c>
      <c r="K928" s="129">
        <v>25800</v>
      </c>
      <c r="L928" s="211" t="s">
        <v>620</v>
      </c>
      <c r="M928" s="168" t="s">
        <v>36</v>
      </c>
      <c r="N928" s="132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</row>
    <row r="929" spans="1:28" s="134" customFormat="1" ht="15" customHeight="1" outlineLevel="1" x14ac:dyDescent="0.2">
      <c r="A929" s="122">
        <v>18</v>
      </c>
      <c r="B929" s="148">
        <v>58979</v>
      </c>
      <c r="C929" s="123">
        <v>41939</v>
      </c>
      <c r="D929" s="124" t="s">
        <v>1499</v>
      </c>
      <c r="E929" s="122" t="s">
        <v>484</v>
      </c>
      <c r="F929" s="125" t="s">
        <v>1035</v>
      </c>
      <c r="G929" s="126" t="s">
        <v>371</v>
      </c>
      <c r="H929" s="127"/>
      <c r="I929" s="128">
        <v>1</v>
      </c>
      <c r="J929" s="129">
        <v>10143</v>
      </c>
      <c r="K929" s="129">
        <v>10143</v>
      </c>
      <c r="L929" s="211" t="s">
        <v>620</v>
      </c>
      <c r="M929" s="168" t="s">
        <v>36</v>
      </c>
      <c r="N929" s="132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</row>
    <row r="930" spans="1:28" s="134" customFormat="1" ht="15" customHeight="1" outlineLevel="1" x14ac:dyDescent="0.2">
      <c r="A930" s="122">
        <v>19</v>
      </c>
      <c r="B930" s="148">
        <v>58979</v>
      </c>
      <c r="C930" s="123">
        <v>41939</v>
      </c>
      <c r="D930" s="124" t="s">
        <v>1499</v>
      </c>
      <c r="E930" s="122" t="s">
        <v>484</v>
      </c>
      <c r="F930" s="125" t="s">
        <v>237</v>
      </c>
      <c r="G930" s="126" t="s">
        <v>371</v>
      </c>
      <c r="H930" s="127"/>
      <c r="I930" s="128">
        <v>1</v>
      </c>
      <c r="J930" s="129">
        <v>10401</v>
      </c>
      <c r="K930" s="129">
        <v>10401</v>
      </c>
      <c r="L930" s="211" t="s">
        <v>620</v>
      </c>
      <c r="M930" s="168" t="s">
        <v>36</v>
      </c>
      <c r="N930" s="132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</row>
    <row r="931" spans="1:28" s="134" customFormat="1" ht="15" customHeight="1" outlineLevel="1" x14ac:dyDescent="0.2">
      <c r="A931" s="122">
        <v>20</v>
      </c>
      <c r="B931" s="148">
        <v>58597</v>
      </c>
      <c r="C931" s="123">
        <v>41939</v>
      </c>
      <c r="D931" s="124" t="s">
        <v>1500</v>
      </c>
      <c r="E931" s="122" t="s">
        <v>500</v>
      </c>
      <c r="F931" s="125" t="s">
        <v>537</v>
      </c>
      <c r="G931" s="126" t="s">
        <v>415</v>
      </c>
      <c r="H931" s="127"/>
      <c r="I931" s="128">
        <v>1</v>
      </c>
      <c r="J931" s="129">
        <v>30429</v>
      </c>
      <c r="K931" s="129">
        <v>30429</v>
      </c>
      <c r="L931" s="211" t="s">
        <v>620</v>
      </c>
      <c r="M931" s="168" t="s">
        <v>36</v>
      </c>
      <c r="N931" s="132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</row>
    <row r="932" spans="1:28" s="134" customFormat="1" ht="15" customHeight="1" outlineLevel="1" x14ac:dyDescent="0.2">
      <c r="A932" s="122">
        <v>21</v>
      </c>
      <c r="B932" s="122">
        <v>48758</v>
      </c>
      <c r="C932" s="123">
        <v>41883</v>
      </c>
      <c r="D932" s="124" t="s">
        <v>1501</v>
      </c>
      <c r="E932" s="122" t="s">
        <v>474</v>
      </c>
      <c r="F932" s="125" t="s">
        <v>217</v>
      </c>
      <c r="G932" s="126" t="s">
        <v>371</v>
      </c>
      <c r="H932" s="127"/>
      <c r="I932" s="128">
        <v>1</v>
      </c>
      <c r="J932" s="129">
        <v>44597</v>
      </c>
      <c r="K932" s="142">
        <v>44597</v>
      </c>
      <c r="L932" s="211" t="s">
        <v>620</v>
      </c>
      <c r="M932" s="168" t="s">
        <v>36</v>
      </c>
      <c r="N932" s="132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</row>
    <row r="933" spans="1:28" s="134" customFormat="1" ht="15" customHeight="1" outlineLevel="1" x14ac:dyDescent="0.2">
      <c r="A933" s="122">
        <v>22</v>
      </c>
      <c r="B933" s="148">
        <v>57544</v>
      </c>
      <c r="C933" s="123">
        <v>41935</v>
      </c>
      <c r="D933" s="124" t="s">
        <v>1502</v>
      </c>
      <c r="E933" s="122" t="s">
        <v>1296</v>
      </c>
      <c r="F933" s="125" t="s">
        <v>580</v>
      </c>
      <c r="G933" s="126" t="s">
        <v>371</v>
      </c>
      <c r="H933" s="127"/>
      <c r="I933" s="128">
        <v>1</v>
      </c>
      <c r="J933" s="129">
        <v>25800</v>
      </c>
      <c r="K933" s="129">
        <v>25800</v>
      </c>
      <c r="L933" s="211" t="s">
        <v>620</v>
      </c>
      <c r="M933" s="168" t="s">
        <v>36</v>
      </c>
      <c r="N933" s="132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</row>
    <row r="934" spans="1:28" s="134" customFormat="1" ht="15" customHeight="1" outlineLevel="1" x14ac:dyDescent="0.2">
      <c r="A934" s="122">
        <v>23</v>
      </c>
      <c r="B934" s="122">
        <v>52120</v>
      </c>
      <c r="C934" s="123">
        <v>41894</v>
      </c>
      <c r="D934" s="124" t="s">
        <v>1503</v>
      </c>
      <c r="E934" s="122" t="s">
        <v>478</v>
      </c>
      <c r="F934" s="125" t="s">
        <v>217</v>
      </c>
      <c r="G934" s="126" t="s">
        <v>371</v>
      </c>
      <c r="H934" s="127"/>
      <c r="I934" s="128">
        <v>1</v>
      </c>
      <c r="J934" s="129">
        <v>44597</v>
      </c>
      <c r="K934" s="142">
        <v>44597</v>
      </c>
      <c r="L934" s="211" t="s">
        <v>620</v>
      </c>
      <c r="M934" s="168" t="s">
        <v>36</v>
      </c>
      <c r="N934" s="132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</row>
    <row r="935" spans="1:28" s="134" customFormat="1" ht="15" customHeight="1" outlineLevel="1" x14ac:dyDescent="0.2">
      <c r="A935" s="122">
        <v>24</v>
      </c>
      <c r="B935" s="148">
        <v>55512</v>
      </c>
      <c r="C935" s="123">
        <v>41929</v>
      </c>
      <c r="D935" s="124" t="s">
        <v>1504</v>
      </c>
      <c r="E935" s="122" t="s">
        <v>500</v>
      </c>
      <c r="F935" s="125" t="s">
        <v>580</v>
      </c>
      <c r="G935" s="126" t="s">
        <v>371</v>
      </c>
      <c r="H935" s="127"/>
      <c r="I935" s="128">
        <v>1</v>
      </c>
      <c r="J935" s="129">
        <v>25800</v>
      </c>
      <c r="K935" s="129">
        <v>25800</v>
      </c>
      <c r="L935" s="211" t="s">
        <v>620</v>
      </c>
      <c r="M935" s="168" t="s">
        <v>36</v>
      </c>
      <c r="N935" s="132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</row>
    <row r="936" spans="1:28" s="134" customFormat="1" ht="15" customHeight="1" outlineLevel="1" x14ac:dyDescent="0.2">
      <c r="A936" s="122">
        <v>25</v>
      </c>
      <c r="B936" s="148">
        <v>53106</v>
      </c>
      <c r="C936" s="123">
        <v>41922</v>
      </c>
      <c r="D936" s="124" t="s">
        <v>1505</v>
      </c>
      <c r="E936" s="122" t="s">
        <v>500</v>
      </c>
      <c r="F936" s="125" t="s">
        <v>116</v>
      </c>
      <c r="G936" s="126" t="s">
        <v>400</v>
      </c>
      <c r="H936" s="127"/>
      <c r="I936" s="128">
        <v>2</v>
      </c>
      <c r="J936" s="129">
        <v>5274</v>
      </c>
      <c r="K936" s="129">
        <v>10548</v>
      </c>
      <c r="L936" s="211" t="s">
        <v>620</v>
      </c>
      <c r="M936" s="168" t="s">
        <v>36</v>
      </c>
      <c r="N936" s="132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</row>
    <row r="937" spans="1:28" s="134" customFormat="1" ht="15" customHeight="1" outlineLevel="1" x14ac:dyDescent="0.2">
      <c r="A937" s="122">
        <v>26</v>
      </c>
      <c r="B937" s="148">
        <v>54182</v>
      </c>
      <c r="C937" s="123">
        <v>41927</v>
      </c>
      <c r="D937" s="124" t="s">
        <v>1460</v>
      </c>
      <c r="E937" s="122" t="s">
        <v>697</v>
      </c>
      <c r="F937" s="125" t="s">
        <v>580</v>
      </c>
      <c r="G937" s="126" t="s">
        <v>371</v>
      </c>
      <c r="H937" s="127"/>
      <c r="I937" s="128">
        <v>1</v>
      </c>
      <c r="J937" s="129">
        <v>25800</v>
      </c>
      <c r="K937" s="129">
        <v>25800</v>
      </c>
      <c r="L937" s="211" t="s">
        <v>620</v>
      </c>
      <c r="M937" s="168" t="s">
        <v>36</v>
      </c>
      <c r="N937" s="132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</row>
    <row r="938" spans="1:28" s="134" customFormat="1" ht="15" customHeight="1" outlineLevel="1" x14ac:dyDescent="0.2">
      <c r="A938" s="122">
        <v>27</v>
      </c>
      <c r="B938" s="148">
        <v>59172</v>
      </c>
      <c r="C938" s="123">
        <v>41940</v>
      </c>
      <c r="D938" s="124" t="s">
        <v>1506</v>
      </c>
      <c r="E938" s="122" t="s">
        <v>500</v>
      </c>
      <c r="F938" s="125" t="s">
        <v>537</v>
      </c>
      <c r="G938" s="126" t="s">
        <v>527</v>
      </c>
      <c r="H938" s="127"/>
      <c r="I938" s="128">
        <v>1</v>
      </c>
      <c r="J938" s="129">
        <v>30429</v>
      </c>
      <c r="K938" s="129">
        <v>30429</v>
      </c>
      <c r="L938" s="211" t="s">
        <v>620</v>
      </c>
      <c r="M938" s="168" t="s">
        <v>36</v>
      </c>
      <c r="N938" s="132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</row>
    <row r="939" spans="1:28" s="134" customFormat="1" ht="15" customHeight="1" outlineLevel="1" x14ac:dyDescent="0.2">
      <c r="A939" s="122">
        <v>28</v>
      </c>
      <c r="B939" s="148">
        <v>57635</v>
      </c>
      <c r="C939" s="123">
        <v>41919</v>
      </c>
      <c r="D939" s="124" t="s">
        <v>1507</v>
      </c>
      <c r="E939" s="122"/>
      <c r="F939" s="125" t="s">
        <v>217</v>
      </c>
      <c r="G939" s="126" t="s">
        <v>371</v>
      </c>
      <c r="H939" s="127"/>
      <c r="I939" s="128">
        <v>1</v>
      </c>
      <c r="J939" s="129">
        <v>44597</v>
      </c>
      <c r="K939" s="129">
        <v>44597</v>
      </c>
      <c r="L939" s="211" t="s">
        <v>620</v>
      </c>
      <c r="M939" s="168" t="s">
        <v>36</v>
      </c>
      <c r="N939" s="132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</row>
    <row r="940" spans="1:28" s="134" customFormat="1" ht="15" customHeight="1" outlineLevel="1" x14ac:dyDescent="0.2">
      <c r="A940" s="122">
        <v>29</v>
      </c>
      <c r="B940" s="148">
        <v>57635</v>
      </c>
      <c r="C940" s="123">
        <v>41919</v>
      </c>
      <c r="D940" s="124" t="s">
        <v>1507</v>
      </c>
      <c r="E940" s="122"/>
      <c r="F940" s="125" t="s">
        <v>682</v>
      </c>
      <c r="G940" s="126" t="s">
        <v>371</v>
      </c>
      <c r="H940" s="127"/>
      <c r="I940" s="128">
        <v>1</v>
      </c>
      <c r="J940" s="129">
        <v>55058</v>
      </c>
      <c r="K940" s="129">
        <v>55058</v>
      </c>
      <c r="L940" s="211" t="s">
        <v>620</v>
      </c>
      <c r="M940" s="168" t="s">
        <v>36</v>
      </c>
      <c r="N940" s="132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</row>
    <row r="941" spans="1:28" s="134" customFormat="1" ht="15" customHeight="1" outlineLevel="1" x14ac:dyDescent="0.2">
      <c r="A941" s="122">
        <v>30</v>
      </c>
      <c r="B941" s="148">
        <v>58898</v>
      </c>
      <c r="C941" s="123">
        <v>41919</v>
      </c>
      <c r="D941" s="124" t="s">
        <v>1508</v>
      </c>
      <c r="E941" s="122" t="s">
        <v>500</v>
      </c>
      <c r="F941" s="125" t="s">
        <v>537</v>
      </c>
      <c r="G941" s="126" t="s">
        <v>562</v>
      </c>
      <c r="H941" s="127"/>
      <c r="I941" s="128">
        <v>1</v>
      </c>
      <c r="J941" s="129">
        <v>30429</v>
      </c>
      <c r="K941" s="129">
        <v>30429</v>
      </c>
      <c r="L941" s="211" t="s">
        <v>620</v>
      </c>
      <c r="M941" s="168" t="s">
        <v>36</v>
      </c>
      <c r="N941" s="132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</row>
    <row r="942" spans="1:28" s="134" customFormat="1" ht="15" customHeight="1" outlineLevel="1" x14ac:dyDescent="0.2">
      <c r="A942" s="122">
        <v>31</v>
      </c>
      <c r="B942" s="148">
        <v>54445</v>
      </c>
      <c r="C942" s="123">
        <v>41929</v>
      </c>
      <c r="D942" s="124" t="s">
        <v>1509</v>
      </c>
      <c r="E942" s="122" t="s">
        <v>484</v>
      </c>
      <c r="F942" s="125" t="s">
        <v>217</v>
      </c>
      <c r="G942" s="126" t="s">
        <v>371</v>
      </c>
      <c r="H942" s="127"/>
      <c r="I942" s="128">
        <v>1</v>
      </c>
      <c r="J942" s="129">
        <v>44597</v>
      </c>
      <c r="K942" s="129">
        <v>44597</v>
      </c>
      <c r="L942" s="211" t="s">
        <v>620</v>
      </c>
      <c r="M942" s="168" t="s">
        <v>36</v>
      </c>
      <c r="N942" s="132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</row>
    <row r="943" spans="1:28" s="134" customFormat="1" ht="15" customHeight="1" outlineLevel="1" x14ac:dyDescent="0.2">
      <c r="A943" s="122">
        <v>32</v>
      </c>
      <c r="B943" s="148">
        <v>56474</v>
      </c>
      <c r="C943" s="123">
        <v>41912</v>
      </c>
      <c r="D943" s="124" t="s">
        <v>1510</v>
      </c>
      <c r="E943" s="122" t="s">
        <v>484</v>
      </c>
      <c r="F943" s="125" t="s">
        <v>1301</v>
      </c>
      <c r="G943" s="126" t="s">
        <v>371</v>
      </c>
      <c r="H943" s="127"/>
      <c r="I943" s="128">
        <v>1</v>
      </c>
      <c r="J943" s="129">
        <v>35501</v>
      </c>
      <c r="K943" s="142">
        <v>35501</v>
      </c>
      <c r="L943" s="211" t="s">
        <v>620</v>
      </c>
      <c r="M943" s="168" t="s">
        <v>36</v>
      </c>
      <c r="N943" s="132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</row>
    <row r="944" spans="1:28" s="134" customFormat="1" ht="15" customHeight="1" outlineLevel="1" x14ac:dyDescent="0.2">
      <c r="A944" s="122">
        <v>33</v>
      </c>
      <c r="B944" s="148">
        <v>59026</v>
      </c>
      <c r="C944" s="123">
        <v>41920</v>
      </c>
      <c r="D944" s="124" t="s">
        <v>1511</v>
      </c>
      <c r="E944" s="122" t="s">
        <v>1428</v>
      </c>
      <c r="F944" s="125" t="s">
        <v>580</v>
      </c>
      <c r="G944" s="126" t="s">
        <v>371</v>
      </c>
      <c r="H944" s="127"/>
      <c r="I944" s="128">
        <v>1</v>
      </c>
      <c r="J944" s="129">
        <v>25800</v>
      </c>
      <c r="K944" s="129">
        <v>25800</v>
      </c>
      <c r="L944" s="211" t="s">
        <v>620</v>
      </c>
      <c r="M944" s="168" t="s">
        <v>36</v>
      </c>
      <c r="N944" s="132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</row>
    <row r="945" spans="1:28" s="134" customFormat="1" ht="15" customHeight="1" outlineLevel="1" x14ac:dyDescent="0.2">
      <c r="A945" s="122">
        <v>34</v>
      </c>
      <c r="B945" s="148">
        <v>59462</v>
      </c>
      <c r="C945" s="123">
        <v>41941</v>
      </c>
      <c r="D945" s="124" t="s">
        <v>1384</v>
      </c>
      <c r="E945" s="122" t="s">
        <v>474</v>
      </c>
      <c r="F945" s="125" t="s">
        <v>217</v>
      </c>
      <c r="G945" s="126" t="s">
        <v>369</v>
      </c>
      <c r="H945" s="127"/>
      <c r="I945" s="128">
        <v>1</v>
      </c>
      <c r="J945" s="129">
        <v>44597</v>
      </c>
      <c r="K945" s="129">
        <v>44597</v>
      </c>
      <c r="L945" s="211" t="s">
        <v>620</v>
      </c>
      <c r="M945" s="168" t="s">
        <v>36</v>
      </c>
      <c r="N945" s="132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</row>
    <row r="946" spans="1:28" s="134" customFormat="1" ht="15" customHeight="1" outlineLevel="1" x14ac:dyDescent="0.2">
      <c r="A946" s="122">
        <v>1</v>
      </c>
      <c r="B946" s="122">
        <v>70199</v>
      </c>
      <c r="C946" s="123">
        <v>41970</v>
      </c>
      <c r="D946" s="124" t="s">
        <v>504</v>
      </c>
      <c r="E946" s="122" t="s">
        <v>505</v>
      </c>
      <c r="F946" s="125" t="s">
        <v>580</v>
      </c>
      <c r="G946" s="126" t="s">
        <v>371</v>
      </c>
      <c r="H946" s="127"/>
      <c r="I946" s="128">
        <v>1</v>
      </c>
      <c r="J946" s="129">
        <v>25800</v>
      </c>
      <c r="K946" s="142">
        <v>25800</v>
      </c>
      <c r="L946" s="628" t="s">
        <v>960</v>
      </c>
      <c r="M946" s="625" t="s">
        <v>36</v>
      </c>
      <c r="N946" s="132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</row>
    <row r="947" spans="1:28" s="134" customFormat="1" ht="15" customHeight="1" outlineLevel="1" x14ac:dyDescent="0.2">
      <c r="A947" s="122">
        <v>2</v>
      </c>
      <c r="B947" s="122">
        <v>67618</v>
      </c>
      <c r="C947" s="123">
        <v>41963</v>
      </c>
      <c r="D947" s="124" t="s">
        <v>1512</v>
      </c>
      <c r="E947" s="122" t="s">
        <v>505</v>
      </c>
      <c r="F947" s="125" t="s">
        <v>580</v>
      </c>
      <c r="G947" s="126" t="s">
        <v>371</v>
      </c>
      <c r="H947" s="127"/>
      <c r="I947" s="128">
        <v>1</v>
      </c>
      <c r="J947" s="129">
        <v>25800</v>
      </c>
      <c r="K947" s="142">
        <v>25800</v>
      </c>
      <c r="L947" s="629"/>
      <c r="M947" s="626"/>
      <c r="N947" s="132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</row>
    <row r="948" spans="1:28" s="134" customFormat="1" ht="15" customHeight="1" outlineLevel="1" x14ac:dyDescent="0.2">
      <c r="A948" s="122">
        <v>4</v>
      </c>
      <c r="B948" s="122">
        <v>61565</v>
      </c>
      <c r="C948" s="123">
        <v>41949</v>
      </c>
      <c r="D948" s="124" t="s">
        <v>1513</v>
      </c>
      <c r="E948" s="122" t="s">
        <v>697</v>
      </c>
      <c r="F948" s="125" t="s">
        <v>580</v>
      </c>
      <c r="G948" s="126" t="s">
        <v>371</v>
      </c>
      <c r="H948" s="127"/>
      <c r="I948" s="128">
        <v>1</v>
      </c>
      <c r="J948" s="129">
        <v>25800</v>
      </c>
      <c r="K948" s="142">
        <v>25800</v>
      </c>
      <c r="L948" s="629"/>
      <c r="M948" s="626"/>
      <c r="N948" s="132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</row>
    <row r="949" spans="1:28" s="134" customFormat="1" ht="15" customHeight="1" outlineLevel="1" x14ac:dyDescent="0.2">
      <c r="A949" s="122">
        <v>5</v>
      </c>
      <c r="B949" s="122">
        <v>61642</v>
      </c>
      <c r="C949" s="123">
        <v>41948</v>
      </c>
      <c r="D949" s="124" t="s">
        <v>1489</v>
      </c>
      <c r="E949" s="122" t="s">
        <v>474</v>
      </c>
      <c r="F949" s="125" t="s">
        <v>217</v>
      </c>
      <c r="G949" s="126" t="s">
        <v>371</v>
      </c>
      <c r="H949" s="127"/>
      <c r="I949" s="128">
        <v>1</v>
      </c>
      <c r="J949" s="129">
        <v>44597</v>
      </c>
      <c r="K949" s="142">
        <v>44597</v>
      </c>
      <c r="L949" s="629"/>
      <c r="M949" s="626"/>
      <c r="N949" s="132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</row>
    <row r="950" spans="1:28" s="134" customFormat="1" ht="15" customHeight="1" outlineLevel="1" x14ac:dyDescent="0.2">
      <c r="A950" s="122">
        <v>6</v>
      </c>
      <c r="B950" s="122">
        <v>63741</v>
      </c>
      <c r="C950" s="123">
        <v>41954</v>
      </c>
      <c r="D950" s="124" t="s">
        <v>1514</v>
      </c>
      <c r="E950" s="122" t="s">
        <v>500</v>
      </c>
      <c r="F950" s="125" t="s">
        <v>115</v>
      </c>
      <c r="G950" s="126" t="s">
        <v>594</v>
      </c>
      <c r="H950" s="127"/>
      <c r="I950" s="128">
        <v>1</v>
      </c>
      <c r="J950" s="129">
        <v>33370</v>
      </c>
      <c r="K950" s="142">
        <v>33370</v>
      </c>
      <c r="L950" s="629"/>
      <c r="M950" s="626"/>
      <c r="N950" s="132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</row>
    <row r="951" spans="1:28" s="134" customFormat="1" ht="15" customHeight="1" outlineLevel="1" x14ac:dyDescent="0.2">
      <c r="A951" s="122">
        <v>7</v>
      </c>
      <c r="B951" s="122">
        <v>62915</v>
      </c>
      <c r="C951" s="123">
        <v>41953</v>
      </c>
      <c r="D951" s="124" t="s">
        <v>1515</v>
      </c>
      <c r="E951" s="122" t="s">
        <v>474</v>
      </c>
      <c r="F951" s="125" t="s">
        <v>1011</v>
      </c>
      <c r="G951" s="126" t="s">
        <v>387</v>
      </c>
      <c r="H951" s="127"/>
      <c r="I951" s="128">
        <v>2</v>
      </c>
      <c r="J951" s="129">
        <v>9129</v>
      </c>
      <c r="K951" s="142">
        <v>18258</v>
      </c>
      <c r="L951" s="629"/>
      <c r="M951" s="626"/>
      <c r="N951" s="132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</row>
    <row r="952" spans="1:28" s="134" customFormat="1" ht="15" customHeight="1" outlineLevel="1" x14ac:dyDescent="0.2">
      <c r="A952" s="122">
        <v>8</v>
      </c>
      <c r="B952" s="122">
        <v>61884</v>
      </c>
      <c r="C952" s="123">
        <v>41949</v>
      </c>
      <c r="D952" s="124" t="s">
        <v>1516</v>
      </c>
      <c r="E952" s="122" t="s">
        <v>1428</v>
      </c>
      <c r="F952" s="125" t="s">
        <v>217</v>
      </c>
      <c r="G952" s="126" t="s">
        <v>371</v>
      </c>
      <c r="H952" s="127"/>
      <c r="I952" s="128">
        <v>1</v>
      </c>
      <c r="J952" s="129">
        <v>44597</v>
      </c>
      <c r="K952" s="142">
        <v>44597</v>
      </c>
      <c r="L952" s="629"/>
      <c r="M952" s="626"/>
      <c r="N952" s="132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</row>
    <row r="953" spans="1:28" s="134" customFormat="1" ht="15" customHeight="1" outlineLevel="1" x14ac:dyDescent="0.2">
      <c r="A953" s="122">
        <v>9</v>
      </c>
      <c r="B953" s="122">
        <v>65082</v>
      </c>
      <c r="C953" s="123">
        <v>41960</v>
      </c>
      <c r="D953" s="124" t="s">
        <v>1517</v>
      </c>
      <c r="E953" s="122" t="s">
        <v>484</v>
      </c>
      <c r="F953" s="125" t="s">
        <v>1301</v>
      </c>
      <c r="G953" s="126" t="s">
        <v>371</v>
      </c>
      <c r="H953" s="127"/>
      <c r="I953" s="128">
        <v>1</v>
      </c>
      <c r="J953" s="129">
        <v>35501</v>
      </c>
      <c r="K953" s="142">
        <v>35501</v>
      </c>
      <c r="L953" s="629"/>
      <c r="M953" s="626"/>
      <c r="N953" s="132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</row>
    <row r="954" spans="1:28" s="134" customFormat="1" ht="15" customHeight="1" outlineLevel="1" x14ac:dyDescent="0.2">
      <c r="A954" s="122">
        <v>10</v>
      </c>
      <c r="B954" s="122">
        <v>65477</v>
      </c>
      <c r="C954" s="123">
        <v>41960</v>
      </c>
      <c r="D954" s="124" t="s">
        <v>502</v>
      </c>
      <c r="E954" s="122" t="s">
        <v>484</v>
      </c>
      <c r="F954" s="125" t="s">
        <v>682</v>
      </c>
      <c r="G954" s="126" t="s">
        <v>369</v>
      </c>
      <c r="H954" s="127"/>
      <c r="I954" s="128">
        <v>1</v>
      </c>
      <c r="J954" s="129">
        <v>55058</v>
      </c>
      <c r="K954" s="142">
        <v>55058</v>
      </c>
      <c r="L954" s="629"/>
      <c r="M954" s="626"/>
      <c r="N954" s="132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</row>
    <row r="955" spans="1:28" s="134" customFormat="1" ht="15" customHeight="1" outlineLevel="1" x14ac:dyDescent="0.2">
      <c r="A955" s="122">
        <v>11</v>
      </c>
      <c r="B955" s="122">
        <v>63098</v>
      </c>
      <c r="C955" s="123">
        <v>41951</v>
      </c>
      <c r="D955" s="124" t="s">
        <v>1436</v>
      </c>
      <c r="E955" s="122" t="s">
        <v>484</v>
      </c>
      <c r="F955" s="125" t="s">
        <v>1035</v>
      </c>
      <c r="G955" s="126" t="s">
        <v>369</v>
      </c>
      <c r="H955" s="127"/>
      <c r="I955" s="128">
        <v>1</v>
      </c>
      <c r="J955" s="129">
        <v>10143</v>
      </c>
      <c r="K955" s="142">
        <v>10143</v>
      </c>
      <c r="L955" s="629"/>
      <c r="M955" s="626"/>
      <c r="N955" s="132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</row>
    <row r="956" spans="1:28" s="134" customFormat="1" ht="15" customHeight="1" outlineLevel="1" x14ac:dyDescent="0.2">
      <c r="A956" s="122">
        <v>12</v>
      </c>
      <c r="B956" s="122">
        <v>64830</v>
      </c>
      <c r="C956" s="123">
        <v>41960</v>
      </c>
      <c r="D956" s="124" t="s">
        <v>1518</v>
      </c>
      <c r="E956" s="122" t="s">
        <v>484</v>
      </c>
      <c r="F956" s="125" t="s">
        <v>682</v>
      </c>
      <c r="G956" s="126" t="s">
        <v>369</v>
      </c>
      <c r="H956" s="127"/>
      <c r="I956" s="128">
        <v>1</v>
      </c>
      <c r="J956" s="129">
        <v>55058</v>
      </c>
      <c r="K956" s="142">
        <v>55058</v>
      </c>
      <c r="L956" s="629"/>
      <c r="M956" s="626"/>
      <c r="N956" s="132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</row>
    <row r="957" spans="1:28" s="134" customFormat="1" ht="15" customHeight="1" outlineLevel="1" x14ac:dyDescent="0.2">
      <c r="A957" s="122">
        <v>13</v>
      </c>
      <c r="B957" s="122">
        <v>63541</v>
      </c>
      <c r="C957" s="123">
        <v>41954</v>
      </c>
      <c r="D957" s="124" t="s">
        <v>1519</v>
      </c>
      <c r="E957" s="122" t="s">
        <v>500</v>
      </c>
      <c r="F957" s="125" t="s">
        <v>192</v>
      </c>
      <c r="G957" s="126" t="s">
        <v>419</v>
      </c>
      <c r="H957" s="127"/>
      <c r="I957" s="128">
        <v>1</v>
      </c>
      <c r="J957" s="129">
        <v>57960</v>
      </c>
      <c r="K957" s="142">
        <v>57960</v>
      </c>
      <c r="L957" s="629"/>
      <c r="M957" s="626"/>
      <c r="N957" s="132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</row>
    <row r="958" spans="1:28" s="134" customFormat="1" ht="15" customHeight="1" outlineLevel="1" x14ac:dyDescent="0.2">
      <c r="A958" s="122">
        <v>14</v>
      </c>
      <c r="B958" s="122">
        <v>61383</v>
      </c>
      <c r="C958" s="123">
        <v>41948</v>
      </c>
      <c r="D958" s="124" t="s">
        <v>499</v>
      </c>
      <c r="E958" s="122" t="s">
        <v>500</v>
      </c>
      <c r="F958" s="125" t="s">
        <v>192</v>
      </c>
      <c r="G958" s="126" t="s">
        <v>417</v>
      </c>
      <c r="H958" s="127"/>
      <c r="I958" s="128">
        <v>1</v>
      </c>
      <c r="J958" s="129">
        <v>57960</v>
      </c>
      <c r="K958" s="142">
        <v>57960</v>
      </c>
      <c r="L958" s="629"/>
      <c r="M958" s="626"/>
      <c r="N958" s="132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</row>
    <row r="959" spans="1:28" s="134" customFormat="1" ht="15" customHeight="1" outlineLevel="1" x14ac:dyDescent="0.2">
      <c r="A959" s="122">
        <v>15</v>
      </c>
      <c r="B959" s="122">
        <v>69814</v>
      </c>
      <c r="C959" s="123">
        <v>41969</v>
      </c>
      <c r="D959" s="124" t="s">
        <v>1520</v>
      </c>
      <c r="E959" s="122" t="s">
        <v>697</v>
      </c>
      <c r="F959" s="125" t="s">
        <v>235</v>
      </c>
      <c r="G959" s="126" t="s">
        <v>371</v>
      </c>
      <c r="H959" s="127"/>
      <c r="I959" s="128">
        <v>1</v>
      </c>
      <c r="J959" s="129">
        <v>12499</v>
      </c>
      <c r="K959" s="142">
        <v>12499</v>
      </c>
      <c r="L959" s="629"/>
      <c r="M959" s="626"/>
      <c r="N959" s="132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</row>
    <row r="960" spans="1:28" s="134" customFormat="1" ht="15" customHeight="1" outlineLevel="1" x14ac:dyDescent="0.2">
      <c r="A960" s="122">
        <v>16</v>
      </c>
      <c r="B960" s="122">
        <v>64562</v>
      </c>
      <c r="C960" s="123">
        <v>41956</v>
      </c>
      <c r="D960" s="124" t="s">
        <v>1521</v>
      </c>
      <c r="E960" s="122" t="s">
        <v>1428</v>
      </c>
      <c r="F960" s="125" t="s">
        <v>580</v>
      </c>
      <c r="G960" s="126" t="s">
        <v>371</v>
      </c>
      <c r="H960" s="127"/>
      <c r="I960" s="128">
        <v>1</v>
      </c>
      <c r="J960" s="129">
        <v>25800</v>
      </c>
      <c r="K960" s="142">
        <v>25800</v>
      </c>
      <c r="L960" s="629"/>
      <c r="M960" s="626"/>
      <c r="N960" s="132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</row>
    <row r="961" spans="1:28" s="134" customFormat="1" ht="15" customHeight="1" outlineLevel="1" x14ac:dyDescent="0.2">
      <c r="A961" s="122">
        <v>17</v>
      </c>
      <c r="B961" s="122">
        <v>61104</v>
      </c>
      <c r="C961" s="123">
        <v>41947</v>
      </c>
      <c r="D961" s="124" t="s">
        <v>1522</v>
      </c>
      <c r="E961" s="122" t="s">
        <v>500</v>
      </c>
      <c r="F961" s="125" t="s">
        <v>537</v>
      </c>
      <c r="G961" s="126" t="s">
        <v>527</v>
      </c>
      <c r="H961" s="127"/>
      <c r="I961" s="128">
        <v>1</v>
      </c>
      <c r="J961" s="129">
        <v>30429</v>
      </c>
      <c r="K961" s="142">
        <v>30429</v>
      </c>
      <c r="L961" s="629"/>
      <c r="M961" s="626"/>
      <c r="N961" s="132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</row>
    <row r="962" spans="1:28" s="134" customFormat="1" ht="15" customHeight="1" outlineLevel="1" x14ac:dyDescent="0.2">
      <c r="A962" s="122">
        <v>19</v>
      </c>
      <c r="B962" s="122">
        <v>60589</v>
      </c>
      <c r="C962" s="123">
        <v>41946</v>
      </c>
      <c r="D962" s="124" t="s">
        <v>1523</v>
      </c>
      <c r="E962" s="122" t="s">
        <v>1428</v>
      </c>
      <c r="F962" s="125" t="s">
        <v>580</v>
      </c>
      <c r="G962" s="126" t="s">
        <v>371</v>
      </c>
      <c r="H962" s="127"/>
      <c r="I962" s="128">
        <v>1</v>
      </c>
      <c r="J962" s="129">
        <v>25800</v>
      </c>
      <c r="K962" s="142">
        <v>25800</v>
      </c>
      <c r="L962" s="629"/>
      <c r="M962" s="626"/>
      <c r="N962" s="132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</row>
    <row r="963" spans="1:28" s="134" customFormat="1" ht="15" customHeight="1" outlineLevel="1" x14ac:dyDescent="0.2">
      <c r="A963" s="122">
        <v>20</v>
      </c>
      <c r="B963" s="122">
        <v>61043</v>
      </c>
      <c r="C963" s="123">
        <v>41946</v>
      </c>
      <c r="D963" s="124" t="s">
        <v>1505</v>
      </c>
      <c r="E963" s="122" t="s">
        <v>500</v>
      </c>
      <c r="F963" s="125" t="s">
        <v>210</v>
      </c>
      <c r="G963" s="126" t="s">
        <v>400</v>
      </c>
      <c r="H963" s="127"/>
      <c r="I963" s="128">
        <v>2</v>
      </c>
      <c r="J963" s="129">
        <v>14099</v>
      </c>
      <c r="K963" s="142">
        <v>28198</v>
      </c>
      <c r="L963" s="629"/>
      <c r="M963" s="626"/>
      <c r="N963" s="132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</row>
    <row r="964" spans="1:28" s="134" customFormat="1" ht="15" customHeight="1" outlineLevel="1" x14ac:dyDescent="0.2">
      <c r="A964" s="122">
        <v>21</v>
      </c>
      <c r="B964" s="122">
        <v>65793</v>
      </c>
      <c r="C964" s="123">
        <v>41960</v>
      </c>
      <c r="D964" s="124" t="s">
        <v>1505</v>
      </c>
      <c r="E964" s="122" t="s">
        <v>500</v>
      </c>
      <c r="F964" s="125" t="s">
        <v>192</v>
      </c>
      <c r="G964" s="126" t="s">
        <v>400</v>
      </c>
      <c r="H964" s="127"/>
      <c r="I964" s="128">
        <v>2</v>
      </c>
      <c r="J964" s="129">
        <v>57960</v>
      </c>
      <c r="K964" s="142">
        <v>115920</v>
      </c>
      <c r="L964" s="629"/>
      <c r="M964" s="626"/>
      <c r="N964" s="132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</row>
    <row r="965" spans="1:28" s="134" customFormat="1" ht="15" customHeight="1" outlineLevel="1" x14ac:dyDescent="0.2">
      <c r="A965" s="122">
        <v>22</v>
      </c>
      <c r="B965" s="122">
        <v>62368</v>
      </c>
      <c r="C965" s="123">
        <v>41960</v>
      </c>
      <c r="D965" s="124" t="s">
        <v>1524</v>
      </c>
      <c r="E965" s="122" t="s">
        <v>484</v>
      </c>
      <c r="F965" s="125" t="s">
        <v>217</v>
      </c>
      <c r="G965" s="126" t="s">
        <v>371</v>
      </c>
      <c r="H965" s="127"/>
      <c r="I965" s="128">
        <v>1</v>
      </c>
      <c r="J965" s="129">
        <v>44597</v>
      </c>
      <c r="K965" s="142">
        <v>44597</v>
      </c>
      <c r="L965" s="629"/>
      <c r="M965" s="626"/>
      <c r="N965" s="132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</row>
    <row r="966" spans="1:28" s="134" customFormat="1" ht="15" customHeight="1" outlineLevel="1" x14ac:dyDescent="0.2">
      <c r="A966" s="122">
        <v>23</v>
      </c>
      <c r="B966" s="122">
        <v>63516</v>
      </c>
      <c r="C966" s="123">
        <v>41954</v>
      </c>
      <c r="D966" s="124" t="s">
        <v>1508</v>
      </c>
      <c r="E966" s="122" t="s">
        <v>500</v>
      </c>
      <c r="F966" s="125" t="s">
        <v>580</v>
      </c>
      <c r="G966" s="126" t="s">
        <v>371</v>
      </c>
      <c r="H966" s="127"/>
      <c r="I966" s="128">
        <v>1</v>
      </c>
      <c r="J966" s="129">
        <v>25800</v>
      </c>
      <c r="K966" s="142">
        <v>25800</v>
      </c>
      <c r="L966" s="629"/>
      <c r="M966" s="626"/>
      <c r="N966" s="132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</row>
    <row r="967" spans="1:28" s="134" customFormat="1" ht="15" customHeight="1" outlineLevel="1" x14ac:dyDescent="0.2">
      <c r="A967" s="122">
        <v>24</v>
      </c>
      <c r="B967" s="122">
        <v>64253</v>
      </c>
      <c r="C967" s="123">
        <v>41954</v>
      </c>
      <c r="D967" s="124" t="s">
        <v>1384</v>
      </c>
      <c r="E967" s="122" t="s">
        <v>474</v>
      </c>
      <c r="F967" s="125" t="s">
        <v>1525</v>
      </c>
      <c r="G967" s="126" t="s">
        <v>371</v>
      </c>
      <c r="H967" s="127"/>
      <c r="I967" s="128">
        <v>1</v>
      </c>
      <c r="J967" s="129">
        <v>8114.4</v>
      </c>
      <c r="K967" s="142">
        <v>8114.4</v>
      </c>
      <c r="L967" s="629"/>
      <c r="M967" s="626"/>
      <c r="N967" s="132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</row>
    <row r="968" spans="1:28" s="134" customFormat="1" ht="15" customHeight="1" outlineLevel="1" x14ac:dyDescent="0.2">
      <c r="A968" s="122">
        <v>25</v>
      </c>
      <c r="B968" s="122">
        <v>65848</v>
      </c>
      <c r="C968" s="123">
        <v>41960</v>
      </c>
      <c r="D968" s="124" t="s">
        <v>1526</v>
      </c>
      <c r="E968" s="122" t="s">
        <v>500</v>
      </c>
      <c r="F968" s="125" t="s">
        <v>217</v>
      </c>
      <c r="G968" s="126" t="s">
        <v>371</v>
      </c>
      <c r="H968" s="127"/>
      <c r="I968" s="128">
        <v>1</v>
      </c>
      <c r="J968" s="129">
        <v>44597</v>
      </c>
      <c r="K968" s="142">
        <v>44597</v>
      </c>
      <c r="L968" s="629"/>
      <c r="M968" s="626"/>
      <c r="N968" s="132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</row>
    <row r="969" spans="1:28" s="134" customFormat="1" ht="15" customHeight="1" outlineLevel="1" x14ac:dyDescent="0.2">
      <c r="A969" s="122">
        <v>26</v>
      </c>
      <c r="B969" s="122">
        <v>70921</v>
      </c>
      <c r="C969" s="123">
        <v>41974</v>
      </c>
      <c r="D969" s="124" t="s">
        <v>1527</v>
      </c>
      <c r="E969" s="122" t="s">
        <v>484</v>
      </c>
      <c r="F969" s="125" t="s">
        <v>217</v>
      </c>
      <c r="G969" s="126" t="s">
        <v>371</v>
      </c>
      <c r="H969" s="127"/>
      <c r="I969" s="128">
        <v>1</v>
      </c>
      <c r="J969" s="129">
        <v>44597</v>
      </c>
      <c r="K969" s="129">
        <v>44597</v>
      </c>
      <c r="L969" s="630"/>
      <c r="M969" s="627"/>
      <c r="N969" s="132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</row>
    <row r="970" spans="1:28" s="134" customFormat="1" ht="15" customHeight="1" outlineLevel="1" x14ac:dyDescent="0.2">
      <c r="A970" s="122">
        <v>2</v>
      </c>
      <c r="B970" s="122">
        <v>52818</v>
      </c>
      <c r="C970" s="123">
        <v>41984</v>
      </c>
      <c r="D970" s="124" t="s">
        <v>1528</v>
      </c>
      <c r="E970" s="122" t="s">
        <v>478</v>
      </c>
      <c r="F970" s="125" t="s">
        <v>116</v>
      </c>
      <c r="G970" s="126" t="s">
        <v>534</v>
      </c>
      <c r="H970" s="127"/>
      <c r="I970" s="128">
        <v>1</v>
      </c>
      <c r="J970" s="129">
        <v>5274</v>
      </c>
      <c r="K970" s="129">
        <v>5274</v>
      </c>
      <c r="L970" s="212" t="s">
        <v>623</v>
      </c>
      <c r="M970" s="187" t="s">
        <v>36</v>
      </c>
      <c r="N970" s="132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</row>
    <row r="971" spans="1:28" s="134" customFormat="1" ht="15" customHeight="1" outlineLevel="1" x14ac:dyDescent="0.2">
      <c r="A971" s="122">
        <v>3</v>
      </c>
      <c r="B971" s="122">
        <v>53082</v>
      </c>
      <c r="C971" s="123">
        <v>41988</v>
      </c>
      <c r="D971" s="124" t="s">
        <v>1529</v>
      </c>
      <c r="E971" s="122" t="s">
        <v>1234</v>
      </c>
      <c r="F971" s="125" t="s">
        <v>217</v>
      </c>
      <c r="G971" s="126" t="s">
        <v>371</v>
      </c>
      <c r="H971" s="127"/>
      <c r="I971" s="128">
        <v>1</v>
      </c>
      <c r="J971" s="129">
        <v>44597</v>
      </c>
      <c r="K971" s="129">
        <v>44597</v>
      </c>
      <c r="L971" s="212" t="s">
        <v>623</v>
      </c>
      <c r="M971" s="187" t="s">
        <v>36</v>
      </c>
      <c r="N971" s="132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</row>
    <row r="972" spans="1:28" s="134" customFormat="1" ht="15" customHeight="1" outlineLevel="1" x14ac:dyDescent="0.2">
      <c r="A972" s="122">
        <v>4</v>
      </c>
      <c r="B972" s="122">
        <v>53236</v>
      </c>
      <c r="C972" s="123">
        <v>41989</v>
      </c>
      <c r="D972" s="124" t="s">
        <v>1403</v>
      </c>
      <c r="E972" s="122" t="s">
        <v>484</v>
      </c>
      <c r="F972" s="125" t="s">
        <v>1301</v>
      </c>
      <c r="G972" s="126" t="s">
        <v>371</v>
      </c>
      <c r="H972" s="127"/>
      <c r="I972" s="128">
        <v>1</v>
      </c>
      <c r="J972" s="129">
        <v>35501</v>
      </c>
      <c r="K972" s="129">
        <v>35501</v>
      </c>
      <c r="L972" s="212" t="s">
        <v>623</v>
      </c>
      <c r="M972" s="187" t="s">
        <v>36</v>
      </c>
      <c r="N972" s="132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</row>
    <row r="973" spans="1:28" s="134" customFormat="1" ht="15" customHeight="1" outlineLevel="1" x14ac:dyDescent="0.2">
      <c r="A973" s="122">
        <v>5</v>
      </c>
      <c r="B973" s="122">
        <v>63096</v>
      </c>
      <c r="C973" s="123">
        <v>41953</v>
      </c>
      <c r="D973" s="124" t="s">
        <v>1530</v>
      </c>
      <c r="E973" s="122" t="s">
        <v>484</v>
      </c>
      <c r="F973" s="125" t="s">
        <v>580</v>
      </c>
      <c r="G973" s="126" t="s">
        <v>371</v>
      </c>
      <c r="H973" s="127"/>
      <c r="I973" s="128">
        <v>1</v>
      </c>
      <c r="J973" s="129">
        <v>25800</v>
      </c>
      <c r="K973" s="129">
        <v>25800</v>
      </c>
      <c r="L973" s="212" t="s">
        <v>623</v>
      </c>
      <c r="M973" s="187" t="s">
        <v>36</v>
      </c>
      <c r="N973" s="132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</row>
    <row r="974" spans="1:28" s="134" customFormat="1" ht="15" customHeight="1" outlineLevel="1" x14ac:dyDescent="0.2">
      <c r="A974" s="122">
        <v>6</v>
      </c>
      <c r="B974" s="122">
        <v>68480</v>
      </c>
      <c r="C974" s="123">
        <v>41954</v>
      </c>
      <c r="D974" s="124" t="s">
        <v>1531</v>
      </c>
      <c r="E974" s="122" t="s">
        <v>500</v>
      </c>
      <c r="F974" s="125" t="s">
        <v>204</v>
      </c>
      <c r="G974" s="126" t="s">
        <v>568</v>
      </c>
      <c r="H974" s="127"/>
      <c r="I974" s="128">
        <v>1</v>
      </c>
      <c r="J974" s="129">
        <v>17244</v>
      </c>
      <c r="K974" s="129">
        <v>17244</v>
      </c>
      <c r="L974" s="212" t="s">
        <v>623</v>
      </c>
      <c r="M974" s="187" t="s">
        <v>36</v>
      </c>
      <c r="N974" s="132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</row>
    <row r="975" spans="1:28" s="134" customFormat="1" ht="15" customHeight="1" outlineLevel="1" x14ac:dyDescent="0.2">
      <c r="A975" s="122">
        <v>7</v>
      </c>
      <c r="B975" s="122">
        <v>71214</v>
      </c>
      <c r="C975" s="123">
        <v>41974</v>
      </c>
      <c r="D975" s="124" t="s">
        <v>1532</v>
      </c>
      <c r="E975" s="122" t="s">
        <v>500</v>
      </c>
      <c r="F975" s="125" t="s">
        <v>580</v>
      </c>
      <c r="G975" s="126" t="s">
        <v>371</v>
      </c>
      <c r="H975" s="127"/>
      <c r="I975" s="128">
        <v>1</v>
      </c>
      <c r="J975" s="129">
        <v>25800</v>
      </c>
      <c r="K975" s="129">
        <v>25800</v>
      </c>
      <c r="L975" s="212" t="s">
        <v>623</v>
      </c>
      <c r="M975" s="187" t="s">
        <v>36</v>
      </c>
      <c r="N975" s="132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</row>
    <row r="976" spans="1:28" s="134" customFormat="1" ht="15" customHeight="1" outlineLevel="1" x14ac:dyDescent="0.2">
      <c r="A976" s="122">
        <v>8</v>
      </c>
      <c r="B976" s="122">
        <v>71917</v>
      </c>
      <c r="C976" s="123">
        <v>41975</v>
      </c>
      <c r="D976" s="124" t="s">
        <v>1507</v>
      </c>
      <c r="E976" s="122" t="s">
        <v>474</v>
      </c>
      <c r="F976" s="125" t="s">
        <v>232</v>
      </c>
      <c r="G976" s="126" t="s">
        <v>371</v>
      </c>
      <c r="H976" s="127"/>
      <c r="I976" s="128">
        <v>1</v>
      </c>
      <c r="J976" s="129">
        <v>17244</v>
      </c>
      <c r="K976" s="129">
        <v>17244</v>
      </c>
      <c r="L976" s="212" t="s">
        <v>623</v>
      </c>
      <c r="M976" s="187" t="s">
        <v>36</v>
      </c>
      <c r="N976" s="132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</row>
    <row r="977" spans="1:28" s="134" customFormat="1" ht="15" customHeight="1" outlineLevel="1" x14ac:dyDescent="0.2">
      <c r="A977" s="122">
        <v>9</v>
      </c>
      <c r="B977" s="122">
        <v>72281</v>
      </c>
      <c r="C977" s="123">
        <v>41976</v>
      </c>
      <c r="D977" s="124" t="s">
        <v>1533</v>
      </c>
      <c r="E977" s="122" t="s">
        <v>484</v>
      </c>
      <c r="F977" s="125" t="s">
        <v>217</v>
      </c>
      <c r="G977" s="126" t="s">
        <v>371</v>
      </c>
      <c r="H977" s="127"/>
      <c r="I977" s="128">
        <v>1</v>
      </c>
      <c r="J977" s="129">
        <v>44597</v>
      </c>
      <c r="K977" s="129">
        <v>44597</v>
      </c>
      <c r="L977" s="212" t="s">
        <v>623</v>
      </c>
      <c r="M977" s="187" t="s">
        <v>36</v>
      </c>
      <c r="N977" s="132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</row>
    <row r="978" spans="1:28" s="134" customFormat="1" ht="15" customHeight="1" outlineLevel="1" x14ac:dyDescent="0.2">
      <c r="A978" s="122">
        <v>10</v>
      </c>
      <c r="B978" s="122">
        <v>72472</v>
      </c>
      <c r="C978" s="123">
        <v>41977</v>
      </c>
      <c r="D978" s="124" t="s">
        <v>1534</v>
      </c>
      <c r="E978" s="122" t="s">
        <v>484</v>
      </c>
      <c r="F978" s="125" t="s">
        <v>682</v>
      </c>
      <c r="G978" s="126" t="s">
        <v>371</v>
      </c>
      <c r="H978" s="127"/>
      <c r="I978" s="128">
        <v>1</v>
      </c>
      <c r="J978" s="129">
        <v>55058</v>
      </c>
      <c r="K978" s="129">
        <v>55058</v>
      </c>
      <c r="L978" s="212" t="s">
        <v>623</v>
      </c>
      <c r="M978" s="187" t="s">
        <v>36</v>
      </c>
      <c r="N978" s="132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</row>
    <row r="979" spans="1:28" s="134" customFormat="1" ht="15" customHeight="1" outlineLevel="1" x14ac:dyDescent="0.2">
      <c r="A979" s="122">
        <v>11</v>
      </c>
      <c r="B979" s="122">
        <v>73828</v>
      </c>
      <c r="C979" s="123">
        <v>41982</v>
      </c>
      <c r="D979" s="124" t="s">
        <v>1531</v>
      </c>
      <c r="E979" s="122" t="s">
        <v>500</v>
      </c>
      <c r="F979" s="125" t="s">
        <v>204</v>
      </c>
      <c r="G979" s="126" t="s">
        <v>568</v>
      </c>
      <c r="H979" s="127"/>
      <c r="I979" s="128">
        <v>1</v>
      </c>
      <c r="J979" s="129">
        <v>17244</v>
      </c>
      <c r="K979" s="129">
        <v>17244</v>
      </c>
      <c r="L979" s="212" t="s">
        <v>623</v>
      </c>
      <c r="M979" s="187" t="s">
        <v>36</v>
      </c>
      <c r="N979" s="132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</row>
    <row r="980" spans="1:28" s="134" customFormat="1" ht="15" customHeight="1" outlineLevel="1" x14ac:dyDescent="0.2">
      <c r="A980" s="122">
        <v>12</v>
      </c>
      <c r="B980" s="122">
        <v>80495</v>
      </c>
      <c r="C980" s="123">
        <v>41989</v>
      </c>
      <c r="D980" s="124" t="s">
        <v>1535</v>
      </c>
      <c r="E980" s="122" t="s">
        <v>500</v>
      </c>
      <c r="F980" s="125" t="s">
        <v>217</v>
      </c>
      <c r="G980" s="126" t="s">
        <v>387</v>
      </c>
      <c r="H980" s="127"/>
      <c r="I980" s="128">
        <v>2</v>
      </c>
      <c r="J980" s="129">
        <v>44597</v>
      </c>
      <c r="K980" s="129">
        <v>89194</v>
      </c>
      <c r="L980" s="212" t="s">
        <v>623</v>
      </c>
      <c r="M980" s="187" t="s">
        <v>36</v>
      </c>
      <c r="N980" s="132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</row>
    <row r="981" spans="1:28" s="134" customFormat="1" ht="15" customHeight="1" outlineLevel="1" x14ac:dyDescent="0.2">
      <c r="A981" s="122">
        <v>13</v>
      </c>
      <c r="B981" s="122">
        <v>80648</v>
      </c>
      <c r="C981" s="123">
        <v>41989</v>
      </c>
      <c r="D981" s="124" t="s">
        <v>1536</v>
      </c>
      <c r="E981" s="122" t="s">
        <v>484</v>
      </c>
      <c r="F981" s="125" t="s">
        <v>217</v>
      </c>
      <c r="G981" s="126" t="s">
        <v>387</v>
      </c>
      <c r="H981" s="127"/>
      <c r="I981" s="128">
        <v>2</v>
      </c>
      <c r="J981" s="129">
        <v>44597</v>
      </c>
      <c r="K981" s="129">
        <v>89194</v>
      </c>
      <c r="L981" s="212" t="s">
        <v>623</v>
      </c>
      <c r="M981" s="187" t="s">
        <v>36</v>
      </c>
      <c r="N981" s="132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</row>
    <row r="982" spans="1:28" s="134" customFormat="1" ht="15" customHeight="1" outlineLevel="1" x14ac:dyDescent="0.2">
      <c r="A982" s="122">
        <v>14</v>
      </c>
      <c r="B982" s="122">
        <v>80653</v>
      </c>
      <c r="C982" s="123">
        <v>41990</v>
      </c>
      <c r="D982" s="124" t="s">
        <v>1537</v>
      </c>
      <c r="E982" s="122" t="s">
        <v>500</v>
      </c>
      <c r="F982" s="125" t="s">
        <v>217</v>
      </c>
      <c r="G982" s="126" t="s">
        <v>371</v>
      </c>
      <c r="H982" s="127"/>
      <c r="I982" s="128">
        <v>1</v>
      </c>
      <c r="J982" s="129">
        <v>44597</v>
      </c>
      <c r="K982" s="129">
        <v>44597</v>
      </c>
      <c r="L982" s="212" t="s">
        <v>623</v>
      </c>
      <c r="M982" s="187" t="s">
        <v>36</v>
      </c>
      <c r="N982" s="132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</row>
    <row r="983" spans="1:28" s="134" customFormat="1" ht="15" customHeight="1" outlineLevel="1" x14ac:dyDescent="0.2">
      <c r="A983" s="122">
        <v>15</v>
      </c>
      <c r="B983" s="122">
        <v>81088</v>
      </c>
      <c r="C983" s="123">
        <v>41990</v>
      </c>
      <c r="D983" s="124" t="s">
        <v>1538</v>
      </c>
      <c r="E983" s="122" t="s">
        <v>478</v>
      </c>
      <c r="F983" s="125" t="s">
        <v>217</v>
      </c>
      <c r="G983" s="126" t="s">
        <v>371</v>
      </c>
      <c r="H983" s="127"/>
      <c r="I983" s="128">
        <v>1</v>
      </c>
      <c r="J983" s="129">
        <v>44597</v>
      </c>
      <c r="K983" s="129">
        <v>44597</v>
      </c>
      <c r="L983" s="212" t="s">
        <v>623</v>
      </c>
      <c r="M983" s="187" t="s">
        <v>36</v>
      </c>
      <c r="N983" s="132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</row>
    <row r="984" spans="1:28" s="134" customFormat="1" ht="15" customHeight="1" outlineLevel="1" x14ac:dyDescent="0.2">
      <c r="A984" s="122">
        <v>16</v>
      </c>
      <c r="B984" s="122">
        <v>81188</v>
      </c>
      <c r="C984" s="123">
        <v>41991</v>
      </c>
      <c r="D984" s="124" t="s">
        <v>1539</v>
      </c>
      <c r="E984" s="122" t="s">
        <v>478</v>
      </c>
      <c r="F984" s="125" t="s">
        <v>116</v>
      </c>
      <c r="G984" s="126" t="s">
        <v>472</v>
      </c>
      <c r="H984" s="127"/>
      <c r="I984" s="128">
        <v>1</v>
      </c>
      <c r="J984" s="129">
        <v>5274</v>
      </c>
      <c r="K984" s="129">
        <v>5274</v>
      </c>
      <c r="L984" s="212" t="s">
        <v>623</v>
      </c>
      <c r="M984" s="187" t="s">
        <v>36</v>
      </c>
      <c r="N984" s="132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</row>
    <row r="985" spans="1:28" s="134" customFormat="1" ht="15" customHeight="1" outlineLevel="1" x14ac:dyDescent="0.2">
      <c r="A985" s="122">
        <v>17</v>
      </c>
      <c r="B985" s="122">
        <v>81188</v>
      </c>
      <c r="C985" s="123">
        <v>41991</v>
      </c>
      <c r="D985" s="124" t="s">
        <v>1539</v>
      </c>
      <c r="E985" s="122" t="s">
        <v>478</v>
      </c>
      <c r="F985" s="125" t="s">
        <v>175</v>
      </c>
      <c r="G985" s="126" t="s">
        <v>1540</v>
      </c>
      <c r="H985" s="127"/>
      <c r="I985" s="128">
        <v>2</v>
      </c>
      <c r="J985" s="129">
        <v>5274</v>
      </c>
      <c r="K985" s="129">
        <v>10548</v>
      </c>
      <c r="L985" s="212" t="s">
        <v>623</v>
      </c>
      <c r="M985" s="187" t="s">
        <v>36</v>
      </c>
      <c r="N985" s="132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</row>
    <row r="986" spans="1:28" s="134" customFormat="1" ht="15" customHeight="1" outlineLevel="1" x14ac:dyDescent="0.2">
      <c r="A986" s="122">
        <v>18</v>
      </c>
      <c r="B986" s="122">
        <v>81376</v>
      </c>
      <c r="C986" s="123">
        <v>41990</v>
      </c>
      <c r="D986" s="124" t="s">
        <v>1541</v>
      </c>
      <c r="E986" s="122" t="s">
        <v>484</v>
      </c>
      <c r="F986" s="125" t="s">
        <v>217</v>
      </c>
      <c r="G986" s="126" t="s">
        <v>387</v>
      </c>
      <c r="H986" s="127"/>
      <c r="I986" s="128">
        <v>2</v>
      </c>
      <c r="J986" s="129">
        <v>44597</v>
      </c>
      <c r="K986" s="129">
        <v>89194</v>
      </c>
      <c r="L986" s="212" t="s">
        <v>623</v>
      </c>
      <c r="M986" s="187" t="s">
        <v>36</v>
      </c>
      <c r="N986" s="132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</row>
    <row r="987" spans="1:28" s="134" customFormat="1" ht="15" customHeight="1" outlineLevel="1" x14ac:dyDescent="0.2">
      <c r="A987" s="122">
        <v>19</v>
      </c>
      <c r="B987" s="122">
        <v>81533</v>
      </c>
      <c r="C987" s="123">
        <v>41992</v>
      </c>
      <c r="D987" s="124" t="s">
        <v>506</v>
      </c>
      <c r="E987" s="122" t="s">
        <v>484</v>
      </c>
      <c r="F987" s="125" t="s">
        <v>580</v>
      </c>
      <c r="G987" s="126" t="s">
        <v>371</v>
      </c>
      <c r="H987" s="127"/>
      <c r="I987" s="128">
        <v>1</v>
      </c>
      <c r="J987" s="129">
        <v>25800</v>
      </c>
      <c r="K987" s="129">
        <v>25800</v>
      </c>
      <c r="L987" s="212" t="s">
        <v>623</v>
      </c>
      <c r="M987" s="187" t="s">
        <v>36</v>
      </c>
      <c r="N987" s="132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</row>
    <row r="988" spans="1:28" s="134" customFormat="1" ht="15" customHeight="1" outlineLevel="1" x14ac:dyDescent="0.2">
      <c r="A988" s="122">
        <v>20</v>
      </c>
      <c r="B988" s="122">
        <v>82002</v>
      </c>
      <c r="C988" s="123">
        <v>41992</v>
      </c>
      <c r="D988" s="124" t="s">
        <v>510</v>
      </c>
      <c r="E988" s="122" t="s">
        <v>500</v>
      </c>
      <c r="F988" s="125" t="s">
        <v>1542</v>
      </c>
      <c r="G988" s="126" t="s">
        <v>511</v>
      </c>
      <c r="H988" s="127"/>
      <c r="I988" s="128">
        <v>1</v>
      </c>
      <c r="J988" s="129">
        <v>3651</v>
      </c>
      <c r="K988" s="129">
        <v>3651</v>
      </c>
      <c r="L988" s="212" t="s">
        <v>623</v>
      </c>
      <c r="M988" s="187" t="s">
        <v>36</v>
      </c>
      <c r="N988" s="132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</row>
    <row r="989" spans="1:28" s="134" customFormat="1" ht="15" customHeight="1" outlineLevel="1" x14ac:dyDescent="0.2">
      <c r="A989" s="122">
        <v>21</v>
      </c>
      <c r="B989" s="122">
        <v>82169</v>
      </c>
      <c r="C989" s="123">
        <v>41995</v>
      </c>
      <c r="D989" s="124" t="s">
        <v>1543</v>
      </c>
      <c r="E989" s="122" t="s">
        <v>478</v>
      </c>
      <c r="F989" s="125" t="s">
        <v>116</v>
      </c>
      <c r="G989" s="126" t="s">
        <v>534</v>
      </c>
      <c r="H989" s="127"/>
      <c r="I989" s="128">
        <v>1</v>
      </c>
      <c r="J989" s="129">
        <v>5274</v>
      </c>
      <c r="K989" s="129">
        <v>5274</v>
      </c>
      <c r="L989" s="212" t="s">
        <v>623</v>
      </c>
      <c r="M989" s="187" t="s">
        <v>36</v>
      </c>
      <c r="N989" s="132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</row>
    <row r="990" spans="1:28" s="134" customFormat="1" ht="15" customHeight="1" outlineLevel="1" x14ac:dyDescent="0.2">
      <c r="A990" s="122">
        <v>22</v>
      </c>
      <c r="B990" s="122">
        <v>82313</v>
      </c>
      <c r="C990" s="123">
        <v>41995</v>
      </c>
      <c r="D990" s="124" t="s">
        <v>1544</v>
      </c>
      <c r="E990" s="122" t="s">
        <v>697</v>
      </c>
      <c r="F990" s="125" t="s">
        <v>580</v>
      </c>
      <c r="G990" s="126" t="s">
        <v>371</v>
      </c>
      <c r="H990" s="127"/>
      <c r="I990" s="128">
        <v>1</v>
      </c>
      <c r="J990" s="129">
        <v>25800</v>
      </c>
      <c r="K990" s="129">
        <v>25800</v>
      </c>
      <c r="L990" s="212" t="s">
        <v>623</v>
      </c>
      <c r="M990" s="187" t="s">
        <v>36</v>
      </c>
      <c r="N990" s="132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</row>
    <row r="991" spans="1:28" s="134" customFormat="1" ht="15" customHeight="1" outlineLevel="1" x14ac:dyDescent="0.2">
      <c r="A991" s="122">
        <v>23</v>
      </c>
      <c r="B991" s="122">
        <v>82699</v>
      </c>
      <c r="C991" s="123">
        <v>41995</v>
      </c>
      <c r="D991" s="124" t="s">
        <v>1505</v>
      </c>
      <c r="E991" s="122" t="s">
        <v>500</v>
      </c>
      <c r="F991" s="125" t="s">
        <v>682</v>
      </c>
      <c r="G991" s="126" t="s">
        <v>371</v>
      </c>
      <c r="H991" s="127"/>
      <c r="I991" s="128">
        <v>1</v>
      </c>
      <c r="J991" s="129">
        <v>55058</v>
      </c>
      <c r="K991" s="129">
        <v>55058</v>
      </c>
      <c r="L991" s="212" t="s">
        <v>623</v>
      </c>
      <c r="M991" s="187" t="s">
        <v>36</v>
      </c>
      <c r="N991" s="132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</row>
    <row r="992" spans="1:28" s="134" customFormat="1" ht="15" customHeight="1" outlineLevel="1" x14ac:dyDescent="0.2">
      <c r="A992" s="122">
        <v>24</v>
      </c>
      <c r="B992" s="122">
        <v>84619</v>
      </c>
      <c r="C992" s="123">
        <v>42002</v>
      </c>
      <c r="D992" s="124" t="s">
        <v>507</v>
      </c>
      <c r="E992" s="122" t="s">
        <v>505</v>
      </c>
      <c r="F992" s="125" t="s">
        <v>580</v>
      </c>
      <c r="G992" s="126" t="s">
        <v>371</v>
      </c>
      <c r="H992" s="127"/>
      <c r="I992" s="128">
        <v>1</v>
      </c>
      <c r="J992" s="129">
        <v>25800</v>
      </c>
      <c r="K992" s="129">
        <v>25800</v>
      </c>
      <c r="L992" s="212" t="s">
        <v>623</v>
      </c>
      <c r="M992" s="187" t="s">
        <v>36</v>
      </c>
      <c r="N992" s="132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</row>
    <row r="993" spans="1:28" s="134" customFormat="1" ht="15" customHeight="1" outlineLevel="1" x14ac:dyDescent="0.2">
      <c r="A993" s="122">
        <v>25</v>
      </c>
      <c r="B993" s="122">
        <v>84727</v>
      </c>
      <c r="C993" s="123">
        <v>42004</v>
      </c>
      <c r="D993" s="124" t="s">
        <v>1545</v>
      </c>
      <c r="E993" s="122" t="s">
        <v>500</v>
      </c>
      <c r="F993" s="125" t="s">
        <v>237</v>
      </c>
      <c r="G993" s="126" t="s">
        <v>371</v>
      </c>
      <c r="H993" s="127"/>
      <c r="I993" s="128">
        <v>1</v>
      </c>
      <c r="J993" s="129">
        <v>10401</v>
      </c>
      <c r="K993" s="129">
        <v>10401</v>
      </c>
      <c r="L993" s="212" t="s">
        <v>623</v>
      </c>
      <c r="M993" s="187" t="s">
        <v>36</v>
      </c>
      <c r="N993" s="132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</row>
    <row r="994" spans="1:28" s="134" customFormat="1" ht="15" customHeight="1" outlineLevel="1" x14ac:dyDescent="0.2">
      <c r="A994" s="122">
        <v>26</v>
      </c>
      <c r="B994" s="122">
        <v>85014</v>
      </c>
      <c r="C994" s="123">
        <v>42004</v>
      </c>
      <c r="D994" s="124" t="s">
        <v>1546</v>
      </c>
      <c r="E994" s="122" t="s">
        <v>505</v>
      </c>
      <c r="F994" s="125" t="s">
        <v>580</v>
      </c>
      <c r="G994" s="126" t="s">
        <v>371</v>
      </c>
      <c r="H994" s="127"/>
      <c r="I994" s="128">
        <v>1</v>
      </c>
      <c r="J994" s="129">
        <v>25800</v>
      </c>
      <c r="K994" s="129">
        <v>25800</v>
      </c>
      <c r="L994" s="212" t="s">
        <v>623</v>
      </c>
      <c r="M994" s="187" t="s">
        <v>36</v>
      </c>
      <c r="N994" s="132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</row>
    <row r="995" spans="1:28" s="134" customFormat="1" ht="15" customHeight="1" outlineLevel="1" x14ac:dyDescent="0.2">
      <c r="A995" s="135">
        <v>1</v>
      </c>
      <c r="B995" s="135">
        <v>28655</v>
      </c>
      <c r="C995" s="136">
        <v>41810</v>
      </c>
      <c r="D995" s="137" t="s">
        <v>1547</v>
      </c>
      <c r="E995" s="135" t="s">
        <v>456</v>
      </c>
      <c r="F995" s="138" t="s">
        <v>1224</v>
      </c>
      <c r="G995" s="139" t="s">
        <v>371</v>
      </c>
      <c r="H995" s="140"/>
      <c r="I995" s="141">
        <v>1</v>
      </c>
      <c r="J995" s="142">
        <v>14200</v>
      </c>
      <c r="K995" s="142">
        <v>14200</v>
      </c>
      <c r="L995" s="619" t="s">
        <v>608</v>
      </c>
      <c r="M995" s="187" t="s">
        <v>37</v>
      </c>
      <c r="N995" s="132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</row>
    <row r="996" spans="1:28" s="134" customFormat="1" ht="15" customHeight="1" outlineLevel="1" x14ac:dyDescent="0.2">
      <c r="A996" s="135">
        <v>2</v>
      </c>
      <c r="B996" s="135">
        <v>29083</v>
      </c>
      <c r="C996" s="136">
        <v>41813</v>
      </c>
      <c r="D996" s="137" t="s">
        <v>1548</v>
      </c>
      <c r="E996" s="135" t="s">
        <v>545</v>
      </c>
      <c r="F996" s="138" t="s">
        <v>116</v>
      </c>
      <c r="G996" s="139" t="s">
        <v>419</v>
      </c>
      <c r="H996" s="140"/>
      <c r="I996" s="141">
        <v>1</v>
      </c>
      <c r="J996" s="142">
        <v>5274</v>
      </c>
      <c r="K996" s="142">
        <v>5274</v>
      </c>
      <c r="L996" s="631"/>
      <c r="M996" s="187" t="s">
        <v>37</v>
      </c>
      <c r="N996" s="132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</row>
    <row r="997" spans="1:28" s="134" customFormat="1" ht="15" customHeight="1" outlineLevel="1" x14ac:dyDescent="0.2">
      <c r="A997" s="135">
        <v>3</v>
      </c>
      <c r="B997" s="135">
        <v>29083</v>
      </c>
      <c r="C997" s="136">
        <v>41813</v>
      </c>
      <c r="D997" s="137" t="s">
        <v>1548</v>
      </c>
      <c r="E997" s="135" t="s">
        <v>545</v>
      </c>
      <c r="F997" s="138" t="s">
        <v>210</v>
      </c>
      <c r="G997" s="139" t="s">
        <v>419</v>
      </c>
      <c r="H997" s="140"/>
      <c r="I997" s="141">
        <v>1</v>
      </c>
      <c r="J997" s="142">
        <v>14099</v>
      </c>
      <c r="K997" s="142">
        <v>14099</v>
      </c>
      <c r="L997" s="631"/>
      <c r="M997" s="187" t="s">
        <v>37</v>
      </c>
      <c r="N997" s="132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</row>
    <row r="998" spans="1:28" s="134" customFormat="1" ht="15" customHeight="1" outlineLevel="1" x14ac:dyDescent="0.2">
      <c r="A998" s="135">
        <v>4</v>
      </c>
      <c r="B998" s="135">
        <v>30647</v>
      </c>
      <c r="C998" s="136">
        <v>41817</v>
      </c>
      <c r="D998" s="137" t="s">
        <v>1549</v>
      </c>
      <c r="E998" s="135" t="s">
        <v>456</v>
      </c>
      <c r="F998" s="138" t="s">
        <v>1224</v>
      </c>
      <c r="G998" s="139" t="s">
        <v>371</v>
      </c>
      <c r="H998" s="140"/>
      <c r="I998" s="141">
        <v>1</v>
      </c>
      <c r="J998" s="142">
        <v>14200</v>
      </c>
      <c r="K998" s="142">
        <v>14200</v>
      </c>
      <c r="L998" s="631"/>
      <c r="M998" s="187" t="s">
        <v>37</v>
      </c>
      <c r="N998" s="132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</row>
    <row r="999" spans="1:28" s="134" customFormat="1" ht="15" customHeight="1" outlineLevel="1" x14ac:dyDescent="0.2">
      <c r="A999" s="135">
        <v>5</v>
      </c>
      <c r="B999" s="135">
        <v>29614</v>
      </c>
      <c r="C999" s="136">
        <v>41814</v>
      </c>
      <c r="D999" s="137" t="s">
        <v>1550</v>
      </c>
      <c r="E999" s="135" t="s">
        <v>545</v>
      </c>
      <c r="F999" s="138" t="s">
        <v>197</v>
      </c>
      <c r="G999" s="139" t="s">
        <v>1551</v>
      </c>
      <c r="H999" s="140"/>
      <c r="I999" s="141">
        <v>7</v>
      </c>
      <c r="J999" s="142">
        <v>2739</v>
      </c>
      <c r="K999" s="142">
        <v>19173</v>
      </c>
      <c r="L999" s="631"/>
      <c r="M999" s="187" t="s">
        <v>37</v>
      </c>
      <c r="N999" s="132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</row>
    <row r="1000" spans="1:28" s="134" customFormat="1" ht="15" customHeight="1" outlineLevel="1" x14ac:dyDescent="0.2">
      <c r="A1000" s="135">
        <v>6</v>
      </c>
      <c r="B1000" s="135">
        <v>30676</v>
      </c>
      <c r="C1000" s="136">
        <v>41817</v>
      </c>
      <c r="D1000" s="137" t="s">
        <v>1552</v>
      </c>
      <c r="E1000" s="135" t="s">
        <v>1553</v>
      </c>
      <c r="F1000" s="138" t="s">
        <v>217</v>
      </c>
      <c r="G1000" s="139" t="s">
        <v>387</v>
      </c>
      <c r="H1000" s="140"/>
      <c r="I1000" s="141">
        <v>2</v>
      </c>
      <c r="J1000" s="142">
        <v>44597</v>
      </c>
      <c r="K1000" s="142">
        <v>89194</v>
      </c>
      <c r="L1000" s="631"/>
      <c r="M1000" s="187" t="s">
        <v>37</v>
      </c>
      <c r="N1000" s="132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</row>
    <row r="1001" spans="1:28" s="134" customFormat="1" ht="15" customHeight="1" outlineLevel="1" x14ac:dyDescent="0.2">
      <c r="A1001" s="135">
        <v>7</v>
      </c>
      <c r="B1001" s="135">
        <v>31407</v>
      </c>
      <c r="C1001" s="136">
        <v>41820</v>
      </c>
      <c r="D1001" s="137" t="s">
        <v>1554</v>
      </c>
      <c r="E1001" s="135" t="s">
        <v>545</v>
      </c>
      <c r="F1001" s="138" t="s">
        <v>537</v>
      </c>
      <c r="G1001" s="139" t="s">
        <v>417</v>
      </c>
      <c r="H1001" s="140"/>
      <c r="I1001" s="141">
        <v>1</v>
      </c>
      <c r="J1001" s="142">
        <v>30429</v>
      </c>
      <c r="K1001" s="142">
        <v>30429</v>
      </c>
      <c r="L1001" s="632"/>
      <c r="M1001" s="187" t="s">
        <v>37</v>
      </c>
      <c r="N1001" s="132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</row>
    <row r="1002" spans="1:28" s="134" customFormat="1" ht="15" customHeight="1" outlineLevel="1" x14ac:dyDescent="0.2">
      <c r="A1002" s="135">
        <v>1</v>
      </c>
      <c r="B1002" s="135">
        <v>37196</v>
      </c>
      <c r="C1002" s="136">
        <v>41843</v>
      </c>
      <c r="D1002" s="137" t="s">
        <v>1555</v>
      </c>
      <c r="E1002" s="135" t="s">
        <v>545</v>
      </c>
      <c r="F1002" s="138" t="s">
        <v>217</v>
      </c>
      <c r="G1002" s="139" t="s">
        <v>371</v>
      </c>
      <c r="H1002" s="140"/>
      <c r="I1002" s="141">
        <v>1</v>
      </c>
      <c r="J1002" s="142">
        <v>44597</v>
      </c>
      <c r="K1002" s="142">
        <v>44597</v>
      </c>
      <c r="L1002" s="640" t="s">
        <v>760</v>
      </c>
      <c r="M1002" s="187" t="s">
        <v>37</v>
      </c>
      <c r="N1002" s="132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</row>
    <row r="1003" spans="1:28" s="134" customFormat="1" ht="15" customHeight="1" outlineLevel="1" x14ac:dyDescent="0.2">
      <c r="A1003" s="135">
        <v>2</v>
      </c>
      <c r="B1003" s="135">
        <v>38486</v>
      </c>
      <c r="C1003" s="136">
        <v>41848</v>
      </c>
      <c r="D1003" s="137" t="s">
        <v>1556</v>
      </c>
      <c r="E1003" s="135" t="s">
        <v>1553</v>
      </c>
      <c r="F1003" s="138" t="s">
        <v>217</v>
      </c>
      <c r="G1003" s="139" t="s">
        <v>371</v>
      </c>
      <c r="H1003" s="140"/>
      <c r="I1003" s="141">
        <v>1</v>
      </c>
      <c r="J1003" s="142">
        <v>44597</v>
      </c>
      <c r="K1003" s="142">
        <v>44597</v>
      </c>
      <c r="L1003" s="641"/>
      <c r="M1003" s="187" t="s">
        <v>37</v>
      </c>
      <c r="N1003" s="132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</row>
    <row r="1004" spans="1:28" s="134" customFormat="1" ht="15" customHeight="1" outlineLevel="1" x14ac:dyDescent="0.2">
      <c r="A1004" s="135">
        <v>3</v>
      </c>
      <c r="B1004" s="135">
        <v>32637</v>
      </c>
      <c r="C1004" s="136">
        <v>41829</v>
      </c>
      <c r="D1004" s="137" t="s">
        <v>1548</v>
      </c>
      <c r="E1004" s="135" t="s">
        <v>545</v>
      </c>
      <c r="F1004" s="138" t="s">
        <v>115</v>
      </c>
      <c r="G1004" s="139" t="s">
        <v>419</v>
      </c>
      <c r="H1004" s="140"/>
      <c r="I1004" s="141">
        <v>1</v>
      </c>
      <c r="J1004" s="142">
        <v>33370</v>
      </c>
      <c r="K1004" s="142">
        <v>33370</v>
      </c>
      <c r="L1004" s="641"/>
      <c r="M1004" s="187" t="s">
        <v>37</v>
      </c>
      <c r="N1004" s="132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</row>
    <row r="1005" spans="1:28" s="134" customFormat="1" ht="15" customHeight="1" outlineLevel="1" x14ac:dyDescent="0.2">
      <c r="A1005" s="135">
        <v>4</v>
      </c>
      <c r="B1005" s="135">
        <v>34187</v>
      </c>
      <c r="C1005" s="136">
        <v>41829</v>
      </c>
      <c r="D1005" s="137" t="s">
        <v>1550</v>
      </c>
      <c r="E1005" s="135" t="s">
        <v>545</v>
      </c>
      <c r="F1005" s="138" t="s">
        <v>622</v>
      </c>
      <c r="G1005" s="139" t="s">
        <v>371</v>
      </c>
      <c r="H1005" s="140"/>
      <c r="I1005" s="141">
        <v>1</v>
      </c>
      <c r="J1005" s="142">
        <v>15722</v>
      </c>
      <c r="K1005" s="142">
        <v>15722</v>
      </c>
      <c r="L1005" s="641"/>
      <c r="M1005" s="187" t="s">
        <v>37</v>
      </c>
      <c r="N1005" s="132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</row>
    <row r="1006" spans="1:28" s="134" customFormat="1" ht="15" customHeight="1" outlineLevel="1" x14ac:dyDescent="0.2">
      <c r="A1006" s="135">
        <v>5</v>
      </c>
      <c r="B1006" s="135">
        <v>34187</v>
      </c>
      <c r="C1006" s="136">
        <v>41829</v>
      </c>
      <c r="D1006" s="137" t="s">
        <v>1550</v>
      </c>
      <c r="E1006" s="135" t="s">
        <v>545</v>
      </c>
      <c r="F1006" s="138" t="s">
        <v>204</v>
      </c>
      <c r="G1006" s="139" t="s">
        <v>511</v>
      </c>
      <c r="H1006" s="140"/>
      <c r="I1006" s="141">
        <v>1</v>
      </c>
      <c r="J1006" s="142">
        <v>17244</v>
      </c>
      <c r="K1006" s="142">
        <v>17244</v>
      </c>
      <c r="L1006" s="641"/>
      <c r="M1006" s="187" t="s">
        <v>37</v>
      </c>
      <c r="N1006" s="132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</row>
    <row r="1007" spans="1:28" s="134" customFormat="1" ht="15" customHeight="1" outlineLevel="1" x14ac:dyDescent="0.2">
      <c r="A1007" s="135">
        <v>6</v>
      </c>
      <c r="B1007" s="135">
        <v>34187</v>
      </c>
      <c r="C1007" s="136">
        <v>41829</v>
      </c>
      <c r="D1007" s="137" t="s">
        <v>1550</v>
      </c>
      <c r="E1007" s="135" t="s">
        <v>545</v>
      </c>
      <c r="F1007" s="138" t="s">
        <v>116</v>
      </c>
      <c r="G1007" s="139" t="s">
        <v>404</v>
      </c>
      <c r="H1007" s="140"/>
      <c r="I1007" s="141">
        <v>1</v>
      </c>
      <c r="J1007" s="142">
        <v>5274</v>
      </c>
      <c r="K1007" s="142">
        <v>5274</v>
      </c>
      <c r="L1007" s="641"/>
      <c r="M1007" s="187" t="s">
        <v>37</v>
      </c>
      <c r="N1007" s="132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</row>
    <row r="1008" spans="1:28" s="134" customFormat="1" ht="15" customHeight="1" outlineLevel="1" x14ac:dyDescent="0.2">
      <c r="A1008" s="135">
        <v>7</v>
      </c>
      <c r="B1008" s="135">
        <v>36403</v>
      </c>
      <c r="C1008" s="136">
        <v>41838</v>
      </c>
      <c r="D1008" s="137" t="s">
        <v>1550</v>
      </c>
      <c r="E1008" s="135" t="s">
        <v>545</v>
      </c>
      <c r="F1008" s="138" t="s">
        <v>115</v>
      </c>
      <c r="G1008" s="139" t="s">
        <v>404</v>
      </c>
      <c r="H1008" s="140"/>
      <c r="I1008" s="141">
        <v>1</v>
      </c>
      <c r="J1008" s="142">
        <v>33370</v>
      </c>
      <c r="K1008" s="142">
        <v>33370</v>
      </c>
      <c r="L1008" s="641"/>
      <c r="M1008" s="187" t="s">
        <v>37</v>
      </c>
      <c r="N1008" s="132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</row>
    <row r="1009" spans="1:28" s="134" customFormat="1" ht="15" customHeight="1" outlineLevel="1" x14ac:dyDescent="0.2">
      <c r="A1009" s="135">
        <v>8</v>
      </c>
      <c r="B1009" s="135">
        <v>35315</v>
      </c>
      <c r="C1009" s="136">
        <v>41835</v>
      </c>
      <c r="D1009" s="137" t="s">
        <v>1557</v>
      </c>
      <c r="E1009" s="135" t="s">
        <v>1558</v>
      </c>
      <c r="F1009" s="138" t="s">
        <v>195</v>
      </c>
      <c r="G1009" s="139" t="s">
        <v>371</v>
      </c>
      <c r="H1009" s="140"/>
      <c r="I1009" s="141">
        <v>1</v>
      </c>
      <c r="J1009" s="142">
        <v>36514.799999999996</v>
      </c>
      <c r="K1009" s="142">
        <v>36514.799999999996</v>
      </c>
      <c r="L1009" s="641"/>
      <c r="M1009" s="187" t="s">
        <v>37</v>
      </c>
      <c r="N1009" s="132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</row>
    <row r="1010" spans="1:28" s="134" customFormat="1" ht="15" customHeight="1" outlineLevel="1" x14ac:dyDescent="0.2">
      <c r="A1010" s="135">
        <v>9</v>
      </c>
      <c r="B1010" s="135">
        <v>35131</v>
      </c>
      <c r="C1010" s="136">
        <v>41834</v>
      </c>
      <c r="D1010" s="137" t="s">
        <v>1559</v>
      </c>
      <c r="E1010" s="135" t="s">
        <v>1553</v>
      </c>
      <c r="F1010" s="138" t="s">
        <v>537</v>
      </c>
      <c r="G1010" s="139" t="s">
        <v>472</v>
      </c>
      <c r="H1010" s="140"/>
      <c r="I1010" s="141">
        <v>1</v>
      </c>
      <c r="J1010" s="142">
        <v>30429</v>
      </c>
      <c r="K1010" s="142">
        <v>30429</v>
      </c>
      <c r="L1010" s="641"/>
      <c r="M1010" s="187" t="s">
        <v>37</v>
      </c>
      <c r="N1010" s="132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</row>
    <row r="1011" spans="1:28" s="134" customFormat="1" ht="15" customHeight="1" outlineLevel="1" x14ac:dyDescent="0.2">
      <c r="A1011" s="135">
        <v>10</v>
      </c>
      <c r="B1011" s="135">
        <v>36378</v>
      </c>
      <c r="C1011" s="136">
        <v>41837</v>
      </c>
      <c r="D1011" s="137" t="s">
        <v>1560</v>
      </c>
      <c r="E1011" s="135" t="s">
        <v>545</v>
      </c>
      <c r="F1011" s="138" t="s">
        <v>115</v>
      </c>
      <c r="G1011" s="139" t="s">
        <v>442</v>
      </c>
      <c r="H1011" s="140"/>
      <c r="I1011" s="141">
        <v>1</v>
      </c>
      <c r="J1011" s="142">
        <v>33370</v>
      </c>
      <c r="K1011" s="142">
        <v>33370</v>
      </c>
      <c r="L1011" s="641"/>
      <c r="M1011" s="187" t="s">
        <v>37</v>
      </c>
      <c r="N1011" s="132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</row>
    <row r="1012" spans="1:28" s="134" customFormat="1" ht="15" customHeight="1" outlineLevel="1" x14ac:dyDescent="0.2">
      <c r="A1012" s="135">
        <v>11</v>
      </c>
      <c r="B1012" s="135">
        <v>39642</v>
      </c>
      <c r="C1012" s="136">
        <v>41851</v>
      </c>
      <c r="D1012" s="137" t="s">
        <v>1561</v>
      </c>
      <c r="E1012" s="135" t="s">
        <v>545</v>
      </c>
      <c r="F1012" s="138" t="s">
        <v>682</v>
      </c>
      <c r="G1012" s="139" t="s">
        <v>369</v>
      </c>
      <c r="H1012" s="140"/>
      <c r="I1012" s="141">
        <v>1</v>
      </c>
      <c r="J1012" s="142">
        <v>55058</v>
      </c>
      <c r="K1012" s="142">
        <v>55058</v>
      </c>
      <c r="L1012" s="641"/>
      <c r="M1012" s="187" t="s">
        <v>37</v>
      </c>
      <c r="N1012" s="132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</row>
    <row r="1013" spans="1:28" s="134" customFormat="1" ht="15" customHeight="1" outlineLevel="1" x14ac:dyDescent="0.2">
      <c r="A1013" s="135">
        <v>12</v>
      </c>
      <c r="B1013" s="135">
        <v>33598</v>
      </c>
      <c r="C1013" s="136">
        <v>41828</v>
      </c>
      <c r="D1013" s="137" t="s">
        <v>1562</v>
      </c>
      <c r="E1013" s="135" t="s">
        <v>545</v>
      </c>
      <c r="F1013" s="138" t="s">
        <v>197</v>
      </c>
      <c r="G1013" s="139" t="s">
        <v>1563</v>
      </c>
      <c r="H1013" s="140"/>
      <c r="I1013" s="141">
        <v>3</v>
      </c>
      <c r="J1013" s="142">
        <v>2739</v>
      </c>
      <c r="K1013" s="142">
        <v>8217</v>
      </c>
      <c r="L1013" s="641"/>
      <c r="M1013" s="187" t="s">
        <v>37</v>
      </c>
      <c r="N1013" s="132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</row>
    <row r="1014" spans="1:28" s="134" customFormat="1" ht="15" customHeight="1" outlineLevel="1" x14ac:dyDescent="0.2">
      <c r="A1014" s="135">
        <v>14</v>
      </c>
      <c r="B1014" s="135">
        <v>33598</v>
      </c>
      <c r="C1014" s="136">
        <v>41828</v>
      </c>
      <c r="D1014" s="137" t="s">
        <v>1562</v>
      </c>
      <c r="E1014" s="135" t="s">
        <v>545</v>
      </c>
      <c r="F1014" s="138" t="s">
        <v>622</v>
      </c>
      <c r="G1014" s="139" t="s">
        <v>369</v>
      </c>
      <c r="H1014" s="140"/>
      <c r="I1014" s="141">
        <v>1</v>
      </c>
      <c r="J1014" s="142">
        <v>15722</v>
      </c>
      <c r="K1014" s="142">
        <v>15722</v>
      </c>
      <c r="L1014" s="641"/>
      <c r="M1014" s="187" t="s">
        <v>37</v>
      </c>
      <c r="N1014" s="132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</row>
    <row r="1015" spans="1:28" s="134" customFormat="1" ht="15" customHeight="1" outlineLevel="1" x14ac:dyDescent="0.2">
      <c r="A1015" s="135">
        <v>23</v>
      </c>
      <c r="B1015" s="135">
        <v>35777</v>
      </c>
      <c r="C1015" s="136">
        <v>41837</v>
      </c>
      <c r="D1015" s="137" t="s">
        <v>1564</v>
      </c>
      <c r="E1015" s="135" t="s">
        <v>1553</v>
      </c>
      <c r="F1015" s="138" t="s">
        <v>622</v>
      </c>
      <c r="G1015" s="139" t="s">
        <v>369</v>
      </c>
      <c r="H1015" s="140"/>
      <c r="I1015" s="141">
        <v>1</v>
      </c>
      <c r="J1015" s="142">
        <v>15722</v>
      </c>
      <c r="K1015" s="142">
        <v>15722</v>
      </c>
      <c r="L1015" s="641"/>
      <c r="M1015" s="187" t="s">
        <v>37</v>
      </c>
      <c r="N1015" s="132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</row>
    <row r="1016" spans="1:28" s="134" customFormat="1" ht="15" customHeight="1" outlineLevel="1" x14ac:dyDescent="0.2">
      <c r="A1016" s="135">
        <v>15</v>
      </c>
      <c r="B1016" s="135">
        <v>35777</v>
      </c>
      <c r="C1016" s="136">
        <v>41837</v>
      </c>
      <c r="D1016" s="137" t="s">
        <v>1564</v>
      </c>
      <c r="E1016" s="135" t="s">
        <v>1553</v>
      </c>
      <c r="F1016" s="138" t="s">
        <v>217</v>
      </c>
      <c r="G1016" s="139" t="s">
        <v>387</v>
      </c>
      <c r="H1016" s="140"/>
      <c r="I1016" s="141">
        <v>2</v>
      </c>
      <c r="J1016" s="142">
        <v>44597</v>
      </c>
      <c r="K1016" s="142">
        <v>89194</v>
      </c>
      <c r="L1016" s="642"/>
      <c r="M1016" s="187" t="s">
        <v>37</v>
      </c>
      <c r="N1016" s="132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</row>
    <row r="1017" spans="1:28" s="134" customFormat="1" ht="15" customHeight="1" outlineLevel="1" x14ac:dyDescent="0.2">
      <c r="A1017" s="135">
        <v>1</v>
      </c>
      <c r="B1017" s="135">
        <v>45282</v>
      </c>
      <c r="C1017" s="136">
        <v>41872</v>
      </c>
      <c r="D1017" s="137" t="s">
        <v>1565</v>
      </c>
      <c r="E1017" s="135" t="s">
        <v>545</v>
      </c>
      <c r="F1017" s="138" t="s">
        <v>537</v>
      </c>
      <c r="G1017" s="139" t="s">
        <v>472</v>
      </c>
      <c r="H1017" s="140"/>
      <c r="I1017" s="141">
        <v>1</v>
      </c>
      <c r="J1017" s="142">
        <v>30429</v>
      </c>
      <c r="K1017" s="142">
        <v>30429</v>
      </c>
      <c r="L1017" s="633" t="s">
        <v>788</v>
      </c>
      <c r="M1017" s="187" t="s">
        <v>37</v>
      </c>
      <c r="N1017" s="132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</row>
    <row r="1018" spans="1:28" s="134" customFormat="1" ht="15" customHeight="1" outlineLevel="1" x14ac:dyDescent="0.2">
      <c r="A1018" s="135">
        <v>2</v>
      </c>
      <c r="B1018" s="135">
        <v>45743</v>
      </c>
      <c r="C1018" s="136">
        <v>41873</v>
      </c>
      <c r="D1018" s="137" t="s">
        <v>1566</v>
      </c>
      <c r="E1018" s="135" t="s">
        <v>521</v>
      </c>
      <c r="F1018" s="138" t="s">
        <v>197</v>
      </c>
      <c r="G1018" s="139" t="s">
        <v>1567</v>
      </c>
      <c r="H1018" s="140"/>
      <c r="I1018" s="141">
        <v>5</v>
      </c>
      <c r="J1018" s="142">
        <v>2739</v>
      </c>
      <c r="K1018" s="142">
        <v>13695</v>
      </c>
      <c r="L1018" s="634"/>
      <c r="M1018" s="187" t="s">
        <v>37</v>
      </c>
      <c r="N1018" s="132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</row>
    <row r="1019" spans="1:28" s="134" customFormat="1" ht="15" customHeight="1" outlineLevel="1" x14ac:dyDescent="0.2">
      <c r="A1019" s="135">
        <v>3</v>
      </c>
      <c r="B1019" s="135">
        <v>47951</v>
      </c>
      <c r="C1019" s="136">
        <v>41880</v>
      </c>
      <c r="D1019" s="137" t="s">
        <v>1568</v>
      </c>
      <c r="E1019" s="135" t="s">
        <v>545</v>
      </c>
      <c r="F1019" s="138" t="s">
        <v>115</v>
      </c>
      <c r="G1019" s="139" t="s">
        <v>534</v>
      </c>
      <c r="H1019" s="140"/>
      <c r="I1019" s="141">
        <v>1</v>
      </c>
      <c r="J1019" s="142">
        <v>33370</v>
      </c>
      <c r="K1019" s="142">
        <v>33370</v>
      </c>
      <c r="L1019" s="634"/>
      <c r="M1019" s="187" t="s">
        <v>37</v>
      </c>
      <c r="N1019" s="132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</row>
    <row r="1020" spans="1:28" s="134" customFormat="1" ht="15" customHeight="1" outlineLevel="1" x14ac:dyDescent="0.2">
      <c r="A1020" s="135">
        <v>4</v>
      </c>
      <c r="B1020" s="135">
        <v>41426</v>
      </c>
      <c r="C1020" s="136">
        <v>41858</v>
      </c>
      <c r="D1020" s="137" t="s">
        <v>1569</v>
      </c>
      <c r="E1020" s="135" t="s">
        <v>1553</v>
      </c>
      <c r="F1020" s="138" t="s">
        <v>682</v>
      </c>
      <c r="G1020" s="139" t="s">
        <v>387</v>
      </c>
      <c r="H1020" s="140"/>
      <c r="I1020" s="141">
        <v>2</v>
      </c>
      <c r="J1020" s="142">
        <v>55058</v>
      </c>
      <c r="K1020" s="142" t="s">
        <v>1570</v>
      </c>
      <c r="L1020" s="634"/>
      <c r="M1020" s="187" t="s">
        <v>37</v>
      </c>
      <c r="N1020" s="132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</row>
    <row r="1021" spans="1:28" s="134" customFormat="1" ht="15" customHeight="1" outlineLevel="1" x14ac:dyDescent="0.2">
      <c r="A1021" s="135">
        <v>5</v>
      </c>
      <c r="B1021" s="135">
        <v>40692</v>
      </c>
      <c r="C1021" s="136">
        <v>41858</v>
      </c>
      <c r="D1021" s="137" t="s">
        <v>1571</v>
      </c>
      <c r="E1021" s="135" t="s">
        <v>1553</v>
      </c>
      <c r="F1021" s="138" t="s">
        <v>682</v>
      </c>
      <c r="G1021" s="139" t="s">
        <v>369</v>
      </c>
      <c r="H1021" s="140"/>
      <c r="I1021" s="141">
        <v>1</v>
      </c>
      <c r="J1021" s="142">
        <v>55058</v>
      </c>
      <c r="K1021" s="142">
        <v>55058</v>
      </c>
      <c r="L1021" s="634"/>
      <c r="M1021" s="187" t="s">
        <v>37</v>
      </c>
      <c r="N1021" s="132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</row>
    <row r="1022" spans="1:28" s="134" customFormat="1" ht="15" customHeight="1" outlineLevel="1" x14ac:dyDescent="0.2">
      <c r="A1022" s="135">
        <v>6</v>
      </c>
      <c r="B1022" s="135">
        <v>46268</v>
      </c>
      <c r="C1022" s="136">
        <v>41876</v>
      </c>
      <c r="D1022" s="137" t="s">
        <v>1572</v>
      </c>
      <c r="E1022" s="135" t="s">
        <v>545</v>
      </c>
      <c r="F1022" s="138" t="s">
        <v>1301</v>
      </c>
      <c r="G1022" s="139" t="s">
        <v>371</v>
      </c>
      <c r="H1022" s="140"/>
      <c r="I1022" s="141">
        <v>1</v>
      </c>
      <c r="J1022" s="142">
        <v>35501</v>
      </c>
      <c r="K1022" s="142">
        <v>35501</v>
      </c>
      <c r="L1022" s="634"/>
      <c r="M1022" s="187" t="s">
        <v>37</v>
      </c>
      <c r="N1022" s="132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</row>
    <row r="1023" spans="1:28" s="134" customFormat="1" ht="15" customHeight="1" outlineLevel="1" x14ac:dyDescent="0.2">
      <c r="A1023" s="135">
        <v>7</v>
      </c>
      <c r="B1023" s="135">
        <v>42215</v>
      </c>
      <c r="C1023" s="136">
        <v>41862</v>
      </c>
      <c r="D1023" s="137" t="s">
        <v>1573</v>
      </c>
      <c r="E1023" s="135" t="s">
        <v>521</v>
      </c>
      <c r="F1023" s="138" t="s">
        <v>210</v>
      </c>
      <c r="G1023" s="139" t="s">
        <v>527</v>
      </c>
      <c r="H1023" s="140"/>
      <c r="I1023" s="141">
        <v>1</v>
      </c>
      <c r="J1023" s="142">
        <v>14099</v>
      </c>
      <c r="K1023" s="142">
        <v>14099</v>
      </c>
      <c r="L1023" s="634"/>
      <c r="M1023" s="187" t="s">
        <v>37</v>
      </c>
      <c r="N1023" s="132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</row>
    <row r="1024" spans="1:28" s="134" customFormat="1" ht="15" customHeight="1" outlineLevel="1" x14ac:dyDescent="0.2">
      <c r="A1024" s="135">
        <v>8</v>
      </c>
      <c r="B1024" s="135">
        <v>46287</v>
      </c>
      <c r="C1024" s="136">
        <v>41785</v>
      </c>
      <c r="D1024" s="137" t="s">
        <v>1573</v>
      </c>
      <c r="E1024" s="135" t="s">
        <v>521</v>
      </c>
      <c r="F1024" s="138" t="s">
        <v>192</v>
      </c>
      <c r="G1024" s="139" t="s">
        <v>527</v>
      </c>
      <c r="H1024" s="140"/>
      <c r="I1024" s="141">
        <v>1</v>
      </c>
      <c r="J1024" s="142">
        <v>57960</v>
      </c>
      <c r="K1024" s="142">
        <v>57960</v>
      </c>
      <c r="L1024" s="634"/>
      <c r="M1024" s="187" t="s">
        <v>37</v>
      </c>
      <c r="N1024" s="132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</row>
    <row r="1025" spans="1:28" s="134" customFormat="1" ht="15" customHeight="1" outlineLevel="1" x14ac:dyDescent="0.2">
      <c r="A1025" s="135">
        <v>9</v>
      </c>
      <c r="B1025" s="135">
        <v>46908</v>
      </c>
      <c r="C1025" s="136">
        <v>41878</v>
      </c>
      <c r="D1025" s="137" t="s">
        <v>1574</v>
      </c>
      <c r="E1025" s="135" t="s">
        <v>1553</v>
      </c>
      <c r="F1025" s="138" t="s">
        <v>537</v>
      </c>
      <c r="G1025" s="139" t="s">
        <v>527</v>
      </c>
      <c r="H1025" s="140"/>
      <c r="I1025" s="141">
        <v>1</v>
      </c>
      <c r="J1025" s="142">
        <v>30429</v>
      </c>
      <c r="K1025" s="142">
        <v>30429</v>
      </c>
      <c r="L1025" s="634"/>
      <c r="M1025" s="187" t="s">
        <v>37</v>
      </c>
      <c r="N1025" s="132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</row>
    <row r="1026" spans="1:28" s="134" customFormat="1" ht="15" customHeight="1" outlineLevel="1" x14ac:dyDescent="0.2">
      <c r="A1026" s="135">
        <v>10</v>
      </c>
      <c r="B1026" s="135">
        <v>45517</v>
      </c>
      <c r="C1026" s="136">
        <v>41872</v>
      </c>
      <c r="D1026" s="137" t="s">
        <v>1575</v>
      </c>
      <c r="E1026" s="135" t="s">
        <v>1553</v>
      </c>
      <c r="F1026" s="138" t="s">
        <v>115</v>
      </c>
      <c r="G1026" s="139" t="s">
        <v>442</v>
      </c>
      <c r="H1026" s="140"/>
      <c r="I1026" s="141">
        <v>1</v>
      </c>
      <c r="J1026" s="142">
        <v>33370</v>
      </c>
      <c r="K1026" s="142">
        <v>33370</v>
      </c>
      <c r="L1026" s="634"/>
      <c r="M1026" s="187" t="s">
        <v>37</v>
      </c>
      <c r="N1026" s="132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</row>
    <row r="1027" spans="1:28" s="134" customFormat="1" ht="15" customHeight="1" outlineLevel="1" x14ac:dyDescent="0.2">
      <c r="A1027" s="135">
        <v>11</v>
      </c>
      <c r="B1027" s="135">
        <v>45327</v>
      </c>
      <c r="C1027" s="136">
        <v>41872</v>
      </c>
      <c r="D1027" s="137" t="s">
        <v>1576</v>
      </c>
      <c r="E1027" s="135" t="s">
        <v>545</v>
      </c>
      <c r="F1027" s="138" t="s">
        <v>537</v>
      </c>
      <c r="G1027" s="139" t="s">
        <v>527</v>
      </c>
      <c r="H1027" s="140"/>
      <c r="I1027" s="141">
        <v>1</v>
      </c>
      <c r="J1027" s="142">
        <v>30429</v>
      </c>
      <c r="K1027" s="142">
        <v>30429</v>
      </c>
      <c r="L1027" s="634"/>
      <c r="M1027" s="187" t="s">
        <v>37</v>
      </c>
      <c r="N1027" s="132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</row>
    <row r="1028" spans="1:28" s="134" customFormat="1" ht="15" customHeight="1" outlineLevel="1" x14ac:dyDescent="0.2">
      <c r="A1028" s="135">
        <v>12</v>
      </c>
      <c r="B1028" s="135">
        <v>43683</v>
      </c>
      <c r="C1028" s="136">
        <v>41868</v>
      </c>
      <c r="D1028" s="137" t="s">
        <v>1577</v>
      </c>
      <c r="E1028" s="135" t="s">
        <v>521</v>
      </c>
      <c r="F1028" s="138" t="s">
        <v>115</v>
      </c>
      <c r="G1028" s="139" t="s">
        <v>431</v>
      </c>
      <c r="H1028" s="140"/>
      <c r="I1028" s="141">
        <v>1</v>
      </c>
      <c r="J1028" s="142">
        <v>33370</v>
      </c>
      <c r="K1028" s="142">
        <v>33370</v>
      </c>
      <c r="L1028" s="634"/>
      <c r="M1028" s="187" t="s">
        <v>37</v>
      </c>
      <c r="N1028" s="132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</row>
    <row r="1029" spans="1:28" s="134" customFormat="1" ht="15" customHeight="1" outlineLevel="1" x14ac:dyDescent="0.2">
      <c r="A1029" s="135">
        <v>13</v>
      </c>
      <c r="B1029" s="135">
        <v>47589</v>
      </c>
      <c r="C1029" s="136">
        <v>41878</v>
      </c>
      <c r="D1029" s="137" t="s">
        <v>1578</v>
      </c>
      <c r="E1029" s="135" t="s">
        <v>521</v>
      </c>
      <c r="F1029" s="138" t="s">
        <v>1579</v>
      </c>
      <c r="G1029" s="139" t="s">
        <v>431</v>
      </c>
      <c r="H1029" s="140"/>
      <c r="I1029" s="141">
        <v>1</v>
      </c>
      <c r="J1029" s="142">
        <v>63583</v>
      </c>
      <c r="K1029" s="142">
        <v>63583</v>
      </c>
      <c r="L1029" s="634"/>
      <c r="M1029" s="187" t="s">
        <v>37</v>
      </c>
      <c r="N1029" s="132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</row>
    <row r="1030" spans="1:28" s="134" customFormat="1" ht="15" customHeight="1" outlineLevel="1" x14ac:dyDescent="0.2">
      <c r="A1030" s="135">
        <v>14</v>
      </c>
      <c r="B1030" s="135">
        <v>45058</v>
      </c>
      <c r="C1030" s="136">
        <v>41872</v>
      </c>
      <c r="D1030" s="137" t="s">
        <v>1580</v>
      </c>
      <c r="E1030" s="135" t="s">
        <v>545</v>
      </c>
      <c r="F1030" s="138" t="s">
        <v>235</v>
      </c>
      <c r="G1030" s="139" t="s">
        <v>369</v>
      </c>
      <c r="H1030" s="140"/>
      <c r="I1030" s="141">
        <v>1</v>
      </c>
      <c r="J1030" s="142">
        <v>12499</v>
      </c>
      <c r="K1030" s="142">
        <v>12499</v>
      </c>
      <c r="L1030" s="634"/>
      <c r="M1030" s="187" t="s">
        <v>37</v>
      </c>
      <c r="N1030" s="132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</row>
    <row r="1031" spans="1:28" s="134" customFormat="1" ht="15" customHeight="1" outlineLevel="1" x14ac:dyDescent="0.2">
      <c r="A1031" s="135">
        <v>15</v>
      </c>
      <c r="B1031" s="135">
        <v>42939</v>
      </c>
      <c r="C1031" s="136">
        <v>41870</v>
      </c>
      <c r="D1031" s="137" t="s">
        <v>1581</v>
      </c>
      <c r="E1031" s="135" t="s">
        <v>1553</v>
      </c>
      <c r="F1031" s="138" t="s">
        <v>192</v>
      </c>
      <c r="G1031" s="139" t="s">
        <v>530</v>
      </c>
      <c r="H1031" s="140"/>
      <c r="I1031" s="141">
        <v>1</v>
      </c>
      <c r="J1031" s="142">
        <v>57960</v>
      </c>
      <c r="K1031" s="142">
        <v>57960</v>
      </c>
      <c r="L1031" s="634"/>
      <c r="M1031" s="187" t="s">
        <v>37</v>
      </c>
      <c r="N1031" s="132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</row>
    <row r="1032" spans="1:28" s="134" customFormat="1" ht="15" customHeight="1" outlineLevel="1" x14ac:dyDescent="0.2">
      <c r="A1032" s="135">
        <v>16</v>
      </c>
      <c r="B1032" s="135">
        <v>42720</v>
      </c>
      <c r="C1032" s="136">
        <v>41864</v>
      </c>
      <c r="D1032" s="137" t="s">
        <v>1582</v>
      </c>
      <c r="E1032" s="135" t="s">
        <v>1553</v>
      </c>
      <c r="F1032" s="138" t="s">
        <v>537</v>
      </c>
      <c r="G1032" s="139" t="s">
        <v>594</v>
      </c>
      <c r="H1032" s="140"/>
      <c r="I1032" s="141">
        <v>1</v>
      </c>
      <c r="J1032" s="142">
        <v>30429</v>
      </c>
      <c r="K1032" s="142">
        <v>30429</v>
      </c>
      <c r="L1032" s="634"/>
      <c r="M1032" s="187" t="s">
        <v>37</v>
      </c>
      <c r="N1032" s="132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</row>
    <row r="1033" spans="1:28" s="134" customFormat="1" ht="15" customHeight="1" outlineLevel="1" x14ac:dyDescent="0.2">
      <c r="A1033" s="135">
        <v>17</v>
      </c>
      <c r="B1033" s="135">
        <v>42047</v>
      </c>
      <c r="C1033" s="136">
        <v>41862</v>
      </c>
      <c r="D1033" s="137" t="s">
        <v>1583</v>
      </c>
      <c r="E1033" s="135" t="s">
        <v>545</v>
      </c>
      <c r="F1033" s="138" t="s">
        <v>217</v>
      </c>
      <c r="G1033" s="139" t="s">
        <v>369</v>
      </c>
      <c r="H1033" s="140"/>
      <c r="I1033" s="141">
        <v>1</v>
      </c>
      <c r="J1033" s="142">
        <v>44597</v>
      </c>
      <c r="K1033" s="142">
        <v>44597</v>
      </c>
      <c r="L1033" s="635"/>
      <c r="M1033" s="187" t="s">
        <v>37</v>
      </c>
      <c r="N1033" s="132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</row>
    <row r="1034" spans="1:28" s="134" customFormat="1" ht="15" customHeight="1" outlineLevel="1" x14ac:dyDescent="0.2">
      <c r="A1034" s="135">
        <v>1</v>
      </c>
      <c r="B1034" s="135">
        <v>51400</v>
      </c>
      <c r="C1034" s="136">
        <v>41892</v>
      </c>
      <c r="D1034" s="137" t="s">
        <v>1584</v>
      </c>
      <c r="E1034" s="135" t="s">
        <v>545</v>
      </c>
      <c r="F1034" s="138" t="s">
        <v>537</v>
      </c>
      <c r="G1034" s="139" t="s">
        <v>472</v>
      </c>
      <c r="H1034" s="140"/>
      <c r="I1034" s="141">
        <v>1</v>
      </c>
      <c r="J1034" s="142">
        <v>30429</v>
      </c>
      <c r="K1034" s="142">
        <v>30429</v>
      </c>
      <c r="L1034" s="182" t="s">
        <v>617</v>
      </c>
      <c r="M1034" s="187" t="s">
        <v>37</v>
      </c>
      <c r="N1034" s="132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</row>
    <row r="1035" spans="1:28" s="134" customFormat="1" ht="15" customHeight="1" outlineLevel="1" x14ac:dyDescent="0.2">
      <c r="A1035" s="135">
        <v>2</v>
      </c>
      <c r="B1035" s="135">
        <v>50578</v>
      </c>
      <c r="C1035" s="136">
        <v>41890</v>
      </c>
      <c r="D1035" s="137" t="s">
        <v>1585</v>
      </c>
      <c r="E1035" s="135" t="s">
        <v>545</v>
      </c>
      <c r="F1035" s="138" t="s">
        <v>217</v>
      </c>
      <c r="G1035" s="139" t="s">
        <v>371</v>
      </c>
      <c r="H1035" s="140"/>
      <c r="I1035" s="141">
        <v>1</v>
      </c>
      <c r="J1035" s="142">
        <v>44597</v>
      </c>
      <c r="K1035" s="142">
        <v>44597</v>
      </c>
      <c r="L1035" s="182" t="s">
        <v>617</v>
      </c>
      <c r="M1035" s="187" t="s">
        <v>37</v>
      </c>
      <c r="N1035" s="132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</row>
    <row r="1036" spans="1:28" s="134" customFormat="1" ht="15" customHeight="1" outlineLevel="1" x14ac:dyDescent="0.2">
      <c r="A1036" s="135">
        <v>3</v>
      </c>
      <c r="B1036" s="135">
        <v>53454</v>
      </c>
      <c r="C1036" s="136">
        <v>41898</v>
      </c>
      <c r="D1036" s="137" t="s">
        <v>1585</v>
      </c>
      <c r="E1036" s="135" t="s">
        <v>545</v>
      </c>
      <c r="F1036" s="138" t="s">
        <v>622</v>
      </c>
      <c r="G1036" s="139" t="s">
        <v>371</v>
      </c>
      <c r="H1036" s="140"/>
      <c r="I1036" s="141">
        <v>1</v>
      </c>
      <c r="J1036" s="142">
        <v>15722</v>
      </c>
      <c r="K1036" s="142">
        <v>15722</v>
      </c>
      <c r="L1036" s="182" t="s">
        <v>617</v>
      </c>
      <c r="M1036" s="187" t="s">
        <v>37</v>
      </c>
      <c r="N1036" s="132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</row>
    <row r="1037" spans="1:28" s="134" customFormat="1" ht="15" customHeight="1" outlineLevel="1" x14ac:dyDescent="0.2">
      <c r="A1037" s="135">
        <v>4</v>
      </c>
      <c r="B1037" s="135">
        <v>49233</v>
      </c>
      <c r="C1037" s="136">
        <v>41884</v>
      </c>
      <c r="D1037" s="137" t="s">
        <v>1586</v>
      </c>
      <c r="E1037" s="135" t="s">
        <v>521</v>
      </c>
      <c r="F1037" s="138" t="s">
        <v>1579</v>
      </c>
      <c r="G1037" s="139" t="s">
        <v>419</v>
      </c>
      <c r="H1037" s="140"/>
      <c r="I1037" s="141">
        <v>1</v>
      </c>
      <c r="J1037" s="142">
        <v>63583</v>
      </c>
      <c r="K1037" s="142">
        <v>63583</v>
      </c>
      <c r="L1037" s="182" t="s">
        <v>617</v>
      </c>
      <c r="M1037" s="187" t="s">
        <v>37</v>
      </c>
      <c r="N1037" s="132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</row>
    <row r="1038" spans="1:28" s="134" customFormat="1" ht="15" customHeight="1" outlineLevel="1" x14ac:dyDescent="0.2">
      <c r="A1038" s="135">
        <v>5</v>
      </c>
      <c r="B1038" s="135">
        <v>52824</v>
      </c>
      <c r="C1038" s="136">
        <v>41897</v>
      </c>
      <c r="D1038" s="137" t="s">
        <v>1587</v>
      </c>
      <c r="E1038" s="135" t="s">
        <v>1553</v>
      </c>
      <c r="F1038" s="138" t="s">
        <v>192</v>
      </c>
      <c r="G1038" s="139" t="s">
        <v>407</v>
      </c>
      <c r="H1038" s="140"/>
      <c r="I1038" s="141">
        <v>1</v>
      </c>
      <c r="J1038" s="142">
        <v>57960</v>
      </c>
      <c r="K1038" s="142">
        <v>57960</v>
      </c>
      <c r="L1038" s="182" t="s">
        <v>617</v>
      </c>
      <c r="M1038" s="187" t="s">
        <v>37</v>
      </c>
      <c r="N1038" s="132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</row>
    <row r="1039" spans="1:28" s="134" customFormat="1" ht="15" customHeight="1" outlineLevel="1" x14ac:dyDescent="0.2">
      <c r="A1039" s="135">
        <v>6</v>
      </c>
      <c r="B1039" s="135">
        <v>55225</v>
      </c>
      <c r="C1039" s="136">
        <v>41908</v>
      </c>
      <c r="D1039" s="137" t="s">
        <v>1588</v>
      </c>
      <c r="E1039" s="135" t="s">
        <v>545</v>
      </c>
      <c r="F1039" s="138" t="s">
        <v>217</v>
      </c>
      <c r="G1039" s="139" t="s">
        <v>371</v>
      </c>
      <c r="H1039" s="140"/>
      <c r="I1039" s="141">
        <v>1</v>
      </c>
      <c r="J1039" s="142">
        <v>44597</v>
      </c>
      <c r="K1039" s="142">
        <v>44597</v>
      </c>
      <c r="L1039" s="182" t="s">
        <v>617</v>
      </c>
      <c r="M1039" s="187" t="s">
        <v>37</v>
      </c>
      <c r="N1039" s="132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</row>
    <row r="1040" spans="1:28" s="134" customFormat="1" ht="15" customHeight="1" outlineLevel="1" x14ac:dyDescent="0.2">
      <c r="A1040" s="135">
        <v>7</v>
      </c>
      <c r="B1040" s="135">
        <v>55172</v>
      </c>
      <c r="C1040" s="136">
        <v>41908</v>
      </c>
      <c r="D1040" s="137" t="s">
        <v>1589</v>
      </c>
      <c r="E1040" s="135" t="s">
        <v>545</v>
      </c>
      <c r="F1040" s="138" t="s">
        <v>116</v>
      </c>
      <c r="G1040" s="139" t="s">
        <v>594</v>
      </c>
      <c r="H1040" s="140"/>
      <c r="I1040" s="141">
        <v>1</v>
      </c>
      <c r="J1040" s="142">
        <v>5274</v>
      </c>
      <c r="K1040" s="142">
        <v>5274</v>
      </c>
      <c r="L1040" s="182" t="s">
        <v>617</v>
      </c>
      <c r="M1040" s="187" t="s">
        <v>37</v>
      </c>
      <c r="N1040" s="132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</row>
    <row r="1041" spans="1:28" s="134" customFormat="1" ht="15" customHeight="1" outlineLevel="1" x14ac:dyDescent="0.2">
      <c r="A1041" s="135">
        <v>8</v>
      </c>
      <c r="B1041" s="135">
        <v>55172</v>
      </c>
      <c r="C1041" s="136">
        <v>41908</v>
      </c>
      <c r="D1041" s="137" t="s">
        <v>1589</v>
      </c>
      <c r="E1041" s="135" t="s">
        <v>545</v>
      </c>
      <c r="F1041" s="138" t="s">
        <v>210</v>
      </c>
      <c r="G1041" s="139" t="s">
        <v>594</v>
      </c>
      <c r="H1041" s="140"/>
      <c r="I1041" s="141">
        <v>1</v>
      </c>
      <c r="J1041" s="142">
        <v>14099</v>
      </c>
      <c r="K1041" s="142">
        <v>14099</v>
      </c>
      <c r="L1041" s="182" t="s">
        <v>617</v>
      </c>
      <c r="M1041" s="187" t="s">
        <v>37</v>
      </c>
      <c r="N1041" s="132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</row>
    <row r="1042" spans="1:28" s="134" customFormat="1" ht="15" customHeight="1" outlineLevel="1" x14ac:dyDescent="0.2">
      <c r="A1042" s="135">
        <v>9</v>
      </c>
      <c r="B1042" s="135">
        <v>52160</v>
      </c>
      <c r="C1042" s="136">
        <v>41892</v>
      </c>
      <c r="D1042" s="137" t="s">
        <v>1590</v>
      </c>
      <c r="E1042" s="135" t="s">
        <v>521</v>
      </c>
      <c r="F1042" s="138" t="s">
        <v>1579</v>
      </c>
      <c r="G1042" s="139" t="s">
        <v>431</v>
      </c>
      <c r="H1042" s="140"/>
      <c r="I1042" s="141">
        <v>1</v>
      </c>
      <c r="J1042" s="142">
        <v>63583</v>
      </c>
      <c r="K1042" s="142">
        <v>63583</v>
      </c>
      <c r="L1042" s="182" t="s">
        <v>617</v>
      </c>
      <c r="M1042" s="187" t="s">
        <v>37</v>
      </c>
      <c r="N1042" s="132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</row>
    <row r="1043" spans="1:28" s="134" customFormat="1" ht="15" customHeight="1" outlineLevel="1" x14ac:dyDescent="0.2">
      <c r="A1043" s="135">
        <v>10</v>
      </c>
      <c r="B1043" s="135">
        <v>55756</v>
      </c>
      <c r="C1043" s="136">
        <v>41911</v>
      </c>
      <c r="D1043" s="137" t="s">
        <v>1591</v>
      </c>
      <c r="E1043" s="135" t="s">
        <v>1558</v>
      </c>
      <c r="F1043" s="138" t="s">
        <v>179</v>
      </c>
      <c r="G1043" s="139" t="s">
        <v>371</v>
      </c>
      <c r="H1043" s="140"/>
      <c r="I1043" s="141">
        <v>1</v>
      </c>
      <c r="J1043" s="142">
        <v>18764</v>
      </c>
      <c r="K1043" s="142">
        <v>18764</v>
      </c>
      <c r="L1043" s="182" t="s">
        <v>617</v>
      </c>
      <c r="M1043" s="187" t="s">
        <v>37</v>
      </c>
      <c r="N1043" s="132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</row>
    <row r="1044" spans="1:28" s="134" customFormat="1" ht="15" customHeight="1" outlineLevel="1" x14ac:dyDescent="0.2">
      <c r="A1044" s="135">
        <v>11</v>
      </c>
      <c r="B1044" s="135">
        <v>49234</v>
      </c>
      <c r="C1044" s="136">
        <v>41885</v>
      </c>
      <c r="D1044" s="137" t="s">
        <v>1592</v>
      </c>
      <c r="E1044" s="135" t="s">
        <v>1553</v>
      </c>
      <c r="F1044" s="138" t="s">
        <v>537</v>
      </c>
      <c r="G1044" s="139" t="s">
        <v>1356</v>
      </c>
      <c r="H1044" s="140"/>
      <c r="I1044" s="141">
        <v>2</v>
      </c>
      <c r="J1044" s="142">
        <v>30429</v>
      </c>
      <c r="K1044" s="142">
        <v>60858</v>
      </c>
      <c r="L1044" s="182" t="s">
        <v>617</v>
      </c>
      <c r="M1044" s="187" t="s">
        <v>37</v>
      </c>
      <c r="N1044" s="132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</row>
    <row r="1045" spans="1:28" s="134" customFormat="1" ht="15" customHeight="1" outlineLevel="1" x14ac:dyDescent="0.2">
      <c r="A1045" s="135">
        <v>12</v>
      </c>
      <c r="B1045" s="135">
        <v>49825</v>
      </c>
      <c r="C1045" s="136">
        <v>41887</v>
      </c>
      <c r="D1045" s="137" t="s">
        <v>1593</v>
      </c>
      <c r="E1045" s="135" t="s">
        <v>545</v>
      </c>
      <c r="F1045" s="138" t="s">
        <v>682</v>
      </c>
      <c r="G1045" s="139" t="s">
        <v>371</v>
      </c>
      <c r="H1045" s="140"/>
      <c r="I1045" s="141">
        <v>1</v>
      </c>
      <c r="J1045" s="142">
        <v>55058</v>
      </c>
      <c r="K1045" s="142">
        <v>55058</v>
      </c>
      <c r="L1045" s="182" t="s">
        <v>617</v>
      </c>
      <c r="M1045" s="187" t="s">
        <v>37</v>
      </c>
      <c r="N1045" s="132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</row>
    <row r="1046" spans="1:28" s="134" customFormat="1" ht="15" customHeight="1" outlineLevel="1" x14ac:dyDescent="0.2">
      <c r="A1046" s="135">
        <v>13</v>
      </c>
      <c r="B1046" s="135">
        <v>53696</v>
      </c>
      <c r="C1046" s="136">
        <v>41898</v>
      </c>
      <c r="D1046" s="137" t="s">
        <v>1594</v>
      </c>
      <c r="E1046" s="135" t="s">
        <v>1595</v>
      </c>
      <c r="F1046" s="138" t="s">
        <v>537</v>
      </c>
      <c r="G1046" s="139" t="s">
        <v>527</v>
      </c>
      <c r="H1046" s="140"/>
      <c r="I1046" s="141">
        <v>1</v>
      </c>
      <c r="J1046" s="142">
        <v>30429</v>
      </c>
      <c r="K1046" s="142">
        <v>30429</v>
      </c>
      <c r="L1046" s="182" t="s">
        <v>617</v>
      </c>
      <c r="M1046" s="187" t="s">
        <v>37</v>
      </c>
      <c r="N1046" s="132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</row>
    <row r="1047" spans="1:28" s="134" customFormat="1" ht="15" customHeight="1" outlineLevel="1" x14ac:dyDescent="0.2">
      <c r="A1047" s="135">
        <v>14</v>
      </c>
      <c r="B1047" s="135">
        <v>55730</v>
      </c>
      <c r="C1047" s="136">
        <v>41911</v>
      </c>
      <c r="D1047" s="137" t="s">
        <v>1596</v>
      </c>
      <c r="E1047" s="135" t="s">
        <v>1558</v>
      </c>
      <c r="F1047" s="138" t="s">
        <v>173</v>
      </c>
      <c r="G1047" s="139" t="s">
        <v>369</v>
      </c>
      <c r="H1047" s="140"/>
      <c r="I1047" s="141">
        <v>1</v>
      </c>
      <c r="J1047" s="180">
        <v>21416</v>
      </c>
      <c r="K1047" s="142">
        <v>21416</v>
      </c>
      <c r="L1047" s="182" t="s">
        <v>617</v>
      </c>
      <c r="M1047" s="187" t="s">
        <v>37</v>
      </c>
      <c r="N1047" s="132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</row>
    <row r="1048" spans="1:28" s="134" customFormat="1" ht="15" customHeight="1" outlineLevel="1" x14ac:dyDescent="0.2">
      <c r="A1048" s="135">
        <v>15</v>
      </c>
      <c r="B1048" s="135">
        <v>51235</v>
      </c>
      <c r="C1048" s="136">
        <v>41891</v>
      </c>
      <c r="D1048" s="137" t="s">
        <v>1597</v>
      </c>
      <c r="E1048" s="135" t="s">
        <v>521</v>
      </c>
      <c r="F1048" s="138" t="s">
        <v>1579</v>
      </c>
      <c r="G1048" s="139" t="s">
        <v>1380</v>
      </c>
      <c r="H1048" s="140"/>
      <c r="I1048" s="141">
        <v>2</v>
      </c>
      <c r="J1048" s="142">
        <v>63583</v>
      </c>
      <c r="K1048" s="142">
        <v>127166</v>
      </c>
      <c r="L1048" s="182" t="s">
        <v>617</v>
      </c>
      <c r="M1048" s="187" t="s">
        <v>37</v>
      </c>
      <c r="N1048" s="132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</row>
    <row r="1049" spans="1:28" s="134" customFormat="1" ht="15" customHeight="1" outlineLevel="1" x14ac:dyDescent="0.2">
      <c r="A1049" s="135">
        <v>16</v>
      </c>
      <c r="B1049" s="135">
        <v>49445</v>
      </c>
      <c r="C1049" s="136">
        <v>41885</v>
      </c>
      <c r="D1049" s="137" t="s">
        <v>1598</v>
      </c>
      <c r="E1049" s="135" t="s">
        <v>521</v>
      </c>
      <c r="F1049" s="138" t="s">
        <v>1579</v>
      </c>
      <c r="G1049" s="139" t="s">
        <v>417</v>
      </c>
      <c r="H1049" s="140"/>
      <c r="I1049" s="141">
        <v>1</v>
      </c>
      <c r="J1049" s="142">
        <v>63583</v>
      </c>
      <c r="K1049" s="142">
        <v>63583</v>
      </c>
      <c r="L1049" s="182" t="s">
        <v>617</v>
      </c>
      <c r="M1049" s="187" t="s">
        <v>37</v>
      </c>
      <c r="N1049" s="132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</row>
    <row r="1050" spans="1:28" s="134" customFormat="1" ht="15" customHeight="1" outlineLevel="1" x14ac:dyDescent="0.2">
      <c r="A1050" s="135">
        <v>17</v>
      </c>
      <c r="B1050" s="135">
        <v>52164</v>
      </c>
      <c r="C1050" s="136">
        <v>41893</v>
      </c>
      <c r="D1050" s="137" t="s">
        <v>1599</v>
      </c>
      <c r="E1050" s="135" t="s">
        <v>521</v>
      </c>
      <c r="F1050" s="138" t="s">
        <v>115</v>
      </c>
      <c r="G1050" s="139" t="s">
        <v>407</v>
      </c>
      <c r="H1050" s="140"/>
      <c r="I1050" s="141">
        <v>1</v>
      </c>
      <c r="J1050" s="142">
        <v>33370</v>
      </c>
      <c r="K1050" s="142">
        <v>33370</v>
      </c>
      <c r="L1050" s="182" t="s">
        <v>617</v>
      </c>
      <c r="M1050" s="187" t="s">
        <v>37</v>
      </c>
      <c r="N1050" s="132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</row>
    <row r="1051" spans="1:28" s="134" customFormat="1" ht="15" customHeight="1" outlineLevel="1" x14ac:dyDescent="0.2">
      <c r="A1051" s="135">
        <v>18</v>
      </c>
      <c r="B1051" s="135">
        <v>54682</v>
      </c>
      <c r="C1051" s="136">
        <v>41905</v>
      </c>
      <c r="D1051" s="137" t="s">
        <v>1600</v>
      </c>
      <c r="E1051" s="135" t="s">
        <v>545</v>
      </c>
      <c r="F1051" s="138" t="s">
        <v>197</v>
      </c>
      <c r="G1051" s="139" t="s">
        <v>419</v>
      </c>
      <c r="H1051" s="140"/>
      <c r="I1051" s="141">
        <v>1</v>
      </c>
      <c r="J1051" s="142">
        <v>2739</v>
      </c>
      <c r="K1051" s="142">
        <v>2739</v>
      </c>
      <c r="L1051" s="182" t="s">
        <v>617</v>
      </c>
      <c r="M1051" s="187" t="s">
        <v>37</v>
      </c>
      <c r="N1051" s="132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</row>
    <row r="1052" spans="1:28" s="134" customFormat="1" ht="15" customHeight="1" outlineLevel="1" x14ac:dyDescent="0.2">
      <c r="A1052" s="135">
        <v>19</v>
      </c>
      <c r="B1052" s="135">
        <v>48685</v>
      </c>
      <c r="C1052" s="136">
        <v>41884</v>
      </c>
      <c r="D1052" s="137" t="s">
        <v>1601</v>
      </c>
      <c r="E1052" s="135" t="s">
        <v>1553</v>
      </c>
      <c r="F1052" s="138" t="s">
        <v>217</v>
      </c>
      <c r="G1052" s="139" t="s">
        <v>387</v>
      </c>
      <c r="H1052" s="140"/>
      <c r="I1052" s="141">
        <v>2</v>
      </c>
      <c r="J1052" s="142">
        <v>44597</v>
      </c>
      <c r="K1052" s="142">
        <v>89194</v>
      </c>
      <c r="L1052" s="182" t="s">
        <v>617</v>
      </c>
      <c r="M1052" s="187" t="s">
        <v>37</v>
      </c>
      <c r="N1052" s="132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</row>
    <row r="1053" spans="1:28" s="134" customFormat="1" ht="15" customHeight="1" outlineLevel="1" x14ac:dyDescent="0.2">
      <c r="A1053" s="135">
        <v>20</v>
      </c>
      <c r="B1053" s="135">
        <v>55183</v>
      </c>
      <c r="C1053" s="136">
        <v>41908</v>
      </c>
      <c r="D1053" s="137" t="s">
        <v>1582</v>
      </c>
      <c r="E1053" s="135" t="s">
        <v>545</v>
      </c>
      <c r="F1053" s="138" t="s">
        <v>116</v>
      </c>
      <c r="G1053" s="139" t="s">
        <v>594</v>
      </c>
      <c r="H1053" s="140"/>
      <c r="I1053" s="141">
        <v>1</v>
      </c>
      <c r="J1053" s="142">
        <v>5274</v>
      </c>
      <c r="K1053" s="142">
        <v>5274</v>
      </c>
      <c r="L1053" s="182" t="s">
        <v>617</v>
      </c>
      <c r="M1053" s="187" t="s">
        <v>37</v>
      </c>
      <c r="N1053" s="132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</row>
    <row r="1054" spans="1:28" s="134" customFormat="1" ht="15" customHeight="1" outlineLevel="1" x14ac:dyDescent="0.2">
      <c r="A1054" s="135">
        <v>21</v>
      </c>
      <c r="B1054" s="135">
        <v>55183</v>
      </c>
      <c r="C1054" s="136">
        <v>41908</v>
      </c>
      <c r="D1054" s="137" t="s">
        <v>1582</v>
      </c>
      <c r="E1054" s="135" t="s">
        <v>545</v>
      </c>
      <c r="F1054" s="138" t="s">
        <v>210</v>
      </c>
      <c r="G1054" s="139" t="s">
        <v>594</v>
      </c>
      <c r="H1054" s="140"/>
      <c r="I1054" s="141">
        <v>1</v>
      </c>
      <c r="J1054" s="142">
        <v>14099</v>
      </c>
      <c r="K1054" s="142">
        <v>14099</v>
      </c>
      <c r="L1054" s="182" t="s">
        <v>617</v>
      </c>
      <c r="M1054" s="187" t="s">
        <v>37</v>
      </c>
      <c r="N1054" s="132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</row>
    <row r="1055" spans="1:28" s="134" customFormat="1" ht="15" customHeight="1" outlineLevel="1" x14ac:dyDescent="0.2">
      <c r="A1055" s="135">
        <v>1</v>
      </c>
      <c r="B1055" s="135">
        <v>59770</v>
      </c>
      <c r="C1055" s="136">
        <v>41941</v>
      </c>
      <c r="D1055" s="137" t="s">
        <v>1602</v>
      </c>
      <c r="E1055" s="135" t="s">
        <v>1603</v>
      </c>
      <c r="F1055" s="138" t="s">
        <v>537</v>
      </c>
      <c r="G1055" s="139" t="s">
        <v>419</v>
      </c>
      <c r="H1055" s="140"/>
      <c r="I1055" s="141">
        <v>1</v>
      </c>
      <c r="J1055" s="142">
        <v>30429</v>
      </c>
      <c r="K1055" s="142">
        <v>30429</v>
      </c>
      <c r="L1055" s="636" t="s">
        <v>620</v>
      </c>
      <c r="M1055" s="187" t="s">
        <v>37</v>
      </c>
      <c r="N1055" s="132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</row>
    <row r="1056" spans="1:28" s="134" customFormat="1" ht="15" customHeight="1" outlineLevel="1" x14ac:dyDescent="0.2">
      <c r="A1056" s="135">
        <v>2</v>
      </c>
      <c r="B1056" s="135">
        <v>57165</v>
      </c>
      <c r="C1056" s="136">
        <v>41935</v>
      </c>
      <c r="D1056" s="137" t="s">
        <v>1604</v>
      </c>
      <c r="E1056" s="135" t="s">
        <v>1603</v>
      </c>
      <c r="F1056" s="138" t="s">
        <v>537</v>
      </c>
      <c r="G1056" s="139" t="s">
        <v>431</v>
      </c>
      <c r="H1056" s="140"/>
      <c r="I1056" s="141">
        <v>1</v>
      </c>
      <c r="J1056" s="142">
        <v>30429</v>
      </c>
      <c r="K1056" s="142">
        <v>30429</v>
      </c>
      <c r="L1056" s="637"/>
      <c r="M1056" s="187" t="s">
        <v>37</v>
      </c>
      <c r="N1056" s="132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</row>
    <row r="1057" spans="1:28" s="134" customFormat="1" ht="15" customHeight="1" outlineLevel="1" x14ac:dyDescent="0.2">
      <c r="A1057" s="135">
        <v>3</v>
      </c>
      <c r="B1057" s="135">
        <v>59218</v>
      </c>
      <c r="C1057" s="136">
        <v>41942</v>
      </c>
      <c r="D1057" s="137" t="s">
        <v>1605</v>
      </c>
      <c r="E1057" s="135" t="s">
        <v>1558</v>
      </c>
      <c r="F1057" s="138" t="s">
        <v>173</v>
      </c>
      <c r="G1057" s="139" t="s">
        <v>371</v>
      </c>
      <c r="H1057" s="140"/>
      <c r="I1057" s="141">
        <v>1</v>
      </c>
      <c r="J1057" s="142">
        <v>18764</v>
      </c>
      <c r="K1057" s="142">
        <v>18764</v>
      </c>
      <c r="L1057" s="637"/>
      <c r="M1057" s="187" t="s">
        <v>37</v>
      </c>
      <c r="N1057" s="132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</row>
    <row r="1058" spans="1:28" s="134" customFormat="1" ht="15" customHeight="1" outlineLevel="1" x14ac:dyDescent="0.2">
      <c r="A1058" s="135">
        <v>4</v>
      </c>
      <c r="B1058" s="135">
        <v>55789</v>
      </c>
      <c r="C1058" s="136">
        <v>41932</v>
      </c>
      <c r="D1058" s="137" t="s">
        <v>1606</v>
      </c>
      <c r="E1058" s="135" t="s">
        <v>545</v>
      </c>
      <c r="F1058" s="138" t="s">
        <v>116</v>
      </c>
      <c r="G1058" s="139" t="s">
        <v>445</v>
      </c>
      <c r="H1058" s="140"/>
      <c r="I1058" s="141">
        <v>1</v>
      </c>
      <c r="J1058" s="142">
        <v>5274</v>
      </c>
      <c r="K1058" s="142">
        <v>5274</v>
      </c>
      <c r="L1058" s="637"/>
      <c r="M1058" s="187" t="s">
        <v>37</v>
      </c>
      <c r="N1058" s="132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</row>
    <row r="1059" spans="1:28" s="134" customFormat="1" ht="15" customHeight="1" outlineLevel="1" x14ac:dyDescent="0.2">
      <c r="A1059" s="135">
        <v>5</v>
      </c>
      <c r="B1059" s="135">
        <v>58327</v>
      </c>
      <c r="C1059" s="136">
        <v>41939</v>
      </c>
      <c r="D1059" s="137" t="s">
        <v>1606</v>
      </c>
      <c r="E1059" s="135" t="s">
        <v>545</v>
      </c>
      <c r="F1059" s="138" t="s">
        <v>210</v>
      </c>
      <c r="G1059" s="139" t="s">
        <v>445</v>
      </c>
      <c r="H1059" s="140"/>
      <c r="I1059" s="141">
        <v>1</v>
      </c>
      <c r="J1059" s="142">
        <v>14099</v>
      </c>
      <c r="K1059" s="142">
        <v>14099</v>
      </c>
      <c r="L1059" s="637"/>
      <c r="M1059" s="187" t="s">
        <v>37</v>
      </c>
      <c r="N1059" s="132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</row>
    <row r="1060" spans="1:28" s="134" customFormat="1" ht="15" customHeight="1" outlineLevel="1" x14ac:dyDescent="0.2">
      <c r="A1060" s="135">
        <v>6</v>
      </c>
      <c r="B1060" s="135">
        <v>55170</v>
      </c>
      <c r="C1060" s="136">
        <v>41928</v>
      </c>
      <c r="D1060" s="137" t="s">
        <v>1565</v>
      </c>
      <c r="E1060" s="135" t="s">
        <v>545</v>
      </c>
      <c r="F1060" s="138" t="s">
        <v>537</v>
      </c>
      <c r="G1060" s="139" t="s">
        <v>562</v>
      </c>
      <c r="H1060" s="140"/>
      <c r="I1060" s="141">
        <v>1</v>
      </c>
      <c r="J1060" s="142">
        <v>30429</v>
      </c>
      <c r="K1060" s="142">
        <v>30429</v>
      </c>
      <c r="L1060" s="638"/>
      <c r="M1060" s="187" t="s">
        <v>37</v>
      </c>
      <c r="N1060" s="132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</row>
    <row r="1061" spans="1:28" s="134" customFormat="1" ht="15" customHeight="1" outlineLevel="1" x14ac:dyDescent="0.2">
      <c r="A1061" s="135">
        <v>7</v>
      </c>
      <c r="B1061" s="135">
        <v>59656</v>
      </c>
      <c r="C1061" s="136">
        <v>41941</v>
      </c>
      <c r="D1061" s="137" t="s">
        <v>1565</v>
      </c>
      <c r="E1061" s="135" t="s">
        <v>545</v>
      </c>
      <c r="F1061" s="138" t="s">
        <v>537</v>
      </c>
      <c r="G1061" s="139" t="s">
        <v>392</v>
      </c>
      <c r="H1061" s="140"/>
      <c r="I1061" s="141">
        <v>1</v>
      </c>
      <c r="J1061" s="142">
        <v>30429</v>
      </c>
      <c r="K1061" s="142">
        <v>30429</v>
      </c>
      <c r="L1061" s="638"/>
      <c r="M1061" s="187" t="s">
        <v>37</v>
      </c>
      <c r="N1061" s="132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</row>
    <row r="1062" spans="1:28" s="134" customFormat="1" ht="15" customHeight="1" outlineLevel="1" x14ac:dyDescent="0.2">
      <c r="A1062" s="135">
        <v>8</v>
      </c>
      <c r="B1062" s="135">
        <v>58016</v>
      </c>
      <c r="C1062" s="136">
        <v>41916</v>
      </c>
      <c r="D1062" s="137" t="s">
        <v>1607</v>
      </c>
      <c r="E1062" s="135" t="s">
        <v>545</v>
      </c>
      <c r="F1062" s="138" t="s">
        <v>115</v>
      </c>
      <c r="G1062" s="139" t="s">
        <v>1608</v>
      </c>
      <c r="H1062" s="140"/>
      <c r="I1062" s="141">
        <v>3</v>
      </c>
      <c r="J1062" s="142">
        <v>33370</v>
      </c>
      <c r="K1062" s="142">
        <v>100110</v>
      </c>
      <c r="L1062" s="638"/>
      <c r="M1062" s="187" t="s">
        <v>37</v>
      </c>
      <c r="N1062" s="132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</row>
    <row r="1063" spans="1:28" s="134" customFormat="1" ht="15" customHeight="1" outlineLevel="1" x14ac:dyDescent="0.2">
      <c r="A1063" s="135">
        <v>9</v>
      </c>
      <c r="B1063" s="135">
        <v>59778</v>
      </c>
      <c r="C1063" s="136">
        <v>41942</v>
      </c>
      <c r="D1063" s="137" t="s">
        <v>1609</v>
      </c>
      <c r="E1063" s="135" t="s">
        <v>1558</v>
      </c>
      <c r="F1063" s="138" t="s">
        <v>173</v>
      </c>
      <c r="G1063" s="139" t="s">
        <v>371</v>
      </c>
      <c r="H1063" s="140"/>
      <c r="I1063" s="141">
        <v>1</v>
      </c>
      <c r="J1063" s="142">
        <v>18764</v>
      </c>
      <c r="K1063" s="142">
        <v>18764</v>
      </c>
      <c r="L1063" s="638"/>
      <c r="M1063" s="187" t="s">
        <v>37</v>
      </c>
      <c r="N1063" s="132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</row>
    <row r="1064" spans="1:28" s="134" customFormat="1" ht="15" customHeight="1" outlineLevel="1" x14ac:dyDescent="0.2">
      <c r="A1064" s="135">
        <v>10</v>
      </c>
      <c r="B1064" s="135">
        <v>59895</v>
      </c>
      <c r="C1064" s="136">
        <v>41942</v>
      </c>
      <c r="D1064" s="137" t="s">
        <v>1610</v>
      </c>
      <c r="E1064" s="135" t="s">
        <v>521</v>
      </c>
      <c r="F1064" s="138" t="s">
        <v>115</v>
      </c>
      <c r="G1064" s="139" t="s">
        <v>527</v>
      </c>
      <c r="H1064" s="140"/>
      <c r="I1064" s="141">
        <v>1</v>
      </c>
      <c r="J1064" s="142">
        <v>33370</v>
      </c>
      <c r="K1064" s="142">
        <v>33370</v>
      </c>
      <c r="L1064" s="638"/>
      <c r="M1064" s="187" t="s">
        <v>37</v>
      </c>
      <c r="N1064" s="132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</row>
    <row r="1065" spans="1:28" s="134" customFormat="1" ht="15" customHeight="1" outlineLevel="1" x14ac:dyDescent="0.2">
      <c r="A1065" s="135">
        <v>11</v>
      </c>
      <c r="B1065" s="135">
        <v>55699</v>
      </c>
      <c r="C1065" s="136">
        <v>41929</v>
      </c>
      <c r="D1065" s="137" t="s">
        <v>1611</v>
      </c>
      <c r="E1065" s="135" t="s">
        <v>1558</v>
      </c>
      <c r="F1065" s="138" t="s">
        <v>173</v>
      </c>
      <c r="G1065" s="139" t="s">
        <v>371</v>
      </c>
      <c r="H1065" s="140"/>
      <c r="I1065" s="141">
        <v>1</v>
      </c>
      <c r="J1065" s="142">
        <v>18764</v>
      </c>
      <c r="K1065" s="142">
        <v>18764</v>
      </c>
      <c r="L1065" s="638"/>
      <c r="M1065" s="187" t="s">
        <v>37</v>
      </c>
      <c r="N1065" s="132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</row>
    <row r="1066" spans="1:28" s="134" customFormat="1" ht="15" customHeight="1" outlineLevel="1" x14ac:dyDescent="0.2">
      <c r="A1066" s="135">
        <v>12</v>
      </c>
      <c r="B1066" s="135">
        <v>57904</v>
      </c>
      <c r="C1066" s="136">
        <v>41916</v>
      </c>
      <c r="D1066" s="137" t="s">
        <v>1612</v>
      </c>
      <c r="E1066" s="135" t="s">
        <v>545</v>
      </c>
      <c r="F1066" s="138" t="s">
        <v>210</v>
      </c>
      <c r="G1066" s="139" t="s">
        <v>445</v>
      </c>
      <c r="H1066" s="140"/>
      <c r="I1066" s="141">
        <v>1</v>
      </c>
      <c r="J1066" s="142">
        <v>14099</v>
      </c>
      <c r="K1066" s="142">
        <v>14099</v>
      </c>
      <c r="L1066" s="638"/>
      <c r="M1066" s="187" t="s">
        <v>37</v>
      </c>
      <c r="N1066" s="132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</row>
    <row r="1067" spans="1:28" s="134" customFormat="1" ht="15" customHeight="1" outlineLevel="1" x14ac:dyDescent="0.2">
      <c r="A1067" s="135">
        <v>13</v>
      </c>
      <c r="B1067" s="135">
        <v>60353</v>
      </c>
      <c r="C1067" s="136">
        <v>41942</v>
      </c>
      <c r="D1067" s="137" t="s">
        <v>1613</v>
      </c>
      <c r="E1067" s="135" t="s">
        <v>521</v>
      </c>
      <c r="F1067" s="138" t="s">
        <v>210</v>
      </c>
      <c r="G1067" s="139" t="s">
        <v>527</v>
      </c>
      <c r="H1067" s="140"/>
      <c r="I1067" s="141">
        <v>1</v>
      </c>
      <c r="J1067" s="142">
        <v>14099</v>
      </c>
      <c r="K1067" s="142">
        <v>14099</v>
      </c>
      <c r="L1067" s="638"/>
      <c r="M1067" s="187" t="s">
        <v>37</v>
      </c>
      <c r="N1067" s="132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</row>
    <row r="1068" spans="1:28" s="134" customFormat="1" ht="15" customHeight="1" outlineLevel="1" x14ac:dyDescent="0.2">
      <c r="A1068" s="135">
        <v>14</v>
      </c>
      <c r="B1068" s="135">
        <v>57741</v>
      </c>
      <c r="C1068" s="136">
        <v>41936</v>
      </c>
      <c r="D1068" s="137" t="s">
        <v>1614</v>
      </c>
      <c r="E1068" s="135" t="s">
        <v>545</v>
      </c>
      <c r="F1068" s="138" t="s">
        <v>217</v>
      </c>
      <c r="G1068" s="139" t="s">
        <v>387</v>
      </c>
      <c r="H1068" s="140"/>
      <c r="I1068" s="141">
        <v>2</v>
      </c>
      <c r="J1068" s="142">
        <v>44597</v>
      </c>
      <c r="K1068" s="142">
        <v>89194</v>
      </c>
      <c r="L1068" s="638"/>
      <c r="M1068" s="187" t="s">
        <v>37</v>
      </c>
      <c r="N1068" s="132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</row>
    <row r="1069" spans="1:28" s="134" customFormat="1" ht="15" customHeight="1" outlineLevel="1" x14ac:dyDescent="0.2">
      <c r="A1069" s="135">
        <v>15</v>
      </c>
      <c r="B1069" s="135">
        <v>57920</v>
      </c>
      <c r="C1069" s="136">
        <v>41915</v>
      </c>
      <c r="D1069" s="137" t="s">
        <v>1614</v>
      </c>
      <c r="E1069" s="135" t="s">
        <v>545</v>
      </c>
      <c r="F1069" s="138" t="s">
        <v>115</v>
      </c>
      <c r="G1069" s="139" t="s">
        <v>410</v>
      </c>
      <c r="H1069" s="140"/>
      <c r="I1069" s="141">
        <v>1</v>
      </c>
      <c r="J1069" s="142">
        <v>33370</v>
      </c>
      <c r="K1069" s="142">
        <v>33370</v>
      </c>
      <c r="L1069" s="638"/>
      <c r="M1069" s="187" t="s">
        <v>37</v>
      </c>
      <c r="N1069" s="132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</row>
    <row r="1070" spans="1:28" s="134" customFormat="1" ht="15" customHeight="1" outlineLevel="1" x14ac:dyDescent="0.2">
      <c r="A1070" s="135">
        <v>16</v>
      </c>
      <c r="B1070" s="135">
        <v>59367</v>
      </c>
      <c r="C1070" s="136">
        <v>41941</v>
      </c>
      <c r="D1070" s="137" t="s">
        <v>1615</v>
      </c>
      <c r="E1070" s="135" t="s">
        <v>521</v>
      </c>
      <c r="F1070" s="138" t="s">
        <v>537</v>
      </c>
      <c r="G1070" s="139" t="s">
        <v>417</v>
      </c>
      <c r="H1070" s="140"/>
      <c r="I1070" s="141">
        <v>1</v>
      </c>
      <c r="J1070" s="142">
        <v>30429</v>
      </c>
      <c r="K1070" s="142">
        <v>30429</v>
      </c>
      <c r="L1070" s="638"/>
      <c r="M1070" s="187" t="s">
        <v>37</v>
      </c>
      <c r="N1070" s="132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</row>
    <row r="1071" spans="1:28" s="134" customFormat="1" ht="15" customHeight="1" outlineLevel="1" x14ac:dyDescent="0.2">
      <c r="A1071" s="135">
        <v>18</v>
      </c>
      <c r="B1071" s="135">
        <v>59030</v>
      </c>
      <c r="C1071" s="136">
        <v>41940</v>
      </c>
      <c r="D1071" s="137" t="s">
        <v>1616</v>
      </c>
      <c r="E1071" s="135" t="s">
        <v>545</v>
      </c>
      <c r="F1071" s="138" t="s">
        <v>115</v>
      </c>
      <c r="G1071" s="139" t="s">
        <v>417</v>
      </c>
      <c r="H1071" s="140"/>
      <c r="I1071" s="141">
        <v>1</v>
      </c>
      <c r="J1071" s="142">
        <v>33370</v>
      </c>
      <c r="K1071" s="142">
        <v>33370</v>
      </c>
      <c r="L1071" s="638"/>
      <c r="M1071" s="187" t="s">
        <v>37</v>
      </c>
      <c r="N1071" s="132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</row>
    <row r="1072" spans="1:28" s="134" customFormat="1" ht="15" customHeight="1" outlineLevel="1" x14ac:dyDescent="0.2">
      <c r="A1072" s="135">
        <v>19</v>
      </c>
      <c r="B1072" s="135">
        <v>52761</v>
      </c>
      <c r="C1072" s="136">
        <v>41921</v>
      </c>
      <c r="D1072" s="137" t="s">
        <v>1617</v>
      </c>
      <c r="E1072" s="135" t="s">
        <v>1603</v>
      </c>
      <c r="F1072" s="138" t="s">
        <v>537</v>
      </c>
      <c r="G1072" s="139" t="s">
        <v>419</v>
      </c>
      <c r="H1072" s="140"/>
      <c r="I1072" s="141">
        <v>1</v>
      </c>
      <c r="J1072" s="142">
        <v>30429</v>
      </c>
      <c r="K1072" s="142">
        <v>30429</v>
      </c>
      <c r="L1072" s="638"/>
      <c r="M1072" s="187" t="s">
        <v>37</v>
      </c>
      <c r="N1072" s="132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</row>
    <row r="1073" spans="1:28" s="134" customFormat="1" ht="15" customHeight="1" outlineLevel="1" x14ac:dyDescent="0.2">
      <c r="A1073" s="135">
        <v>20</v>
      </c>
      <c r="B1073" s="135">
        <v>54964</v>
      </c>
      <c r="C1073" s="136">
        <v>41929</v>
      </c>
      <c r="D1073" s="137" t="s">
        <v>1618</v>
      </c>
      <c r="E1073" s="135" t="s">
        <v>545</v>
      </c>
      <c r="F1073" s="138" t="s">
        <v>580</v>
      </c>
      <c r="G1073" s="139" t="s">
        <v>371</v>
      </c>
      <c r="H1073" s="140"/>
      <c r="I1073" s="141">
        <v>1</v>
      </c>
      <c r="J1073" s="142">
        <v>25800</v>
      </c>
      <c r="K1073" s="142">
        <v>25800</v>
      </c>
      <c r="L1073" s="638"/>
      <c r="M1073" s="187" t="s">
        <v>37</v>
      </c>
      <c r="N1073" s="132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</row>
    <row r="1074" spans="1:28" s="134" customFormat="1" ht="15" customHeight="1" outlineLevel="1" x14ac:dyDescent="0.2">
      <c r="A1074" s="135">
        <v>21</v>
      </c>
      <c r="B1074" s="135">
        <v>57926</v>
      </c>
      <c r="C1074" s="136">
        <v>41916</v>
      </c>
      <c r="D1074" s="137" t="s">
        <v>1619</v>
      </c>
      <c r="E1074" s="135" t="s">
        <v>545</v>
      </c>
      <c r="F1074" s="138" t="s">
        <v>116</v>
      </c>
      <c r="G1074" s="139" t="s">
        <v>442</v>
      </c>
      <c r="H1074" s="140"/>
      <c r="I1074" s="141">
        <v>1</v>
      </c>
      <c r="J1074" s="142">
        <v>5274</v>
      </c>
      <c r="K1074" s="142">
        <v>5274</v>
      </c>
      <c r="L1074" s="638"/>
      <c r="M1074" s="187" t="s">
        <v>37</v>
      </c>
      <c r="N1074" s="132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</row>
    <row r="1075" spans="1:28" s="134" customFormat="1" ht="15" customHeight="1" outlineLevel="1" x14ac:dyDescent="0.2">
      <c r="A1075" s="135">
        <v>22</v>
      </c>
      <c r="B1075" s="135">
        <v>57926</v>
      </c>
      <c r="C1075" s="136">
        <v>41916</v>
      </c>
      <c r="D1075" s="137" t="s">
        <v>1619</v>
      </c>
      <c r="E1075" s="135" t="s">
        <v>545</v>
      </c>
      <c r="F1075" s="138" t="s">
        <v>210</v>
      </c>
      <c r="G1075" s="139" t="s">
        <v>442</v>
      </c>
      <c r="H1075" s="140"/>
      <c r="I1075" s="141">
        <v>1</v>
      </c>
      <c r="J1075" s="142">
        <v>14099</v>
      </c>
      <c r="K1075" s="142">
        <v>14099</v>
      </c>
      <c r="L1075" s="638"/>
      <c r="M1075" s="187" t="s">
        <v>37</v>
      </c>
      <c r="N1075" s="132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</row>
    <row r="1076" spans="1:28" s="134" customFormat="1" ht="15" customHeight="1" outlineLevel="1" x14ac:dyDescent="0.2">
      <c r="A1076" s="135">
        <v>23</v>
      </c>
      <c r="B1076" s="135">
        <v>58801</v>
      </c>
      <c r="C1076" s="136">
        <v>41939</v>
      </c>
      <c r="D1076" s="137" t="s">
        <v>1620</v>
      </c>
      <c r="E1076" s="135" t="s">
        <v>1603</v>
      </c>
      <c r="F1076" s="138" t="s">
        <v>537</v>
      </c>
      <c r="G1076" s="139" t="s">
        <v>562</v>
      </c>
      <c r="H1076" s="140"/>
      <c r="I1076" s="141">
        <v>1</v>
      </c>
      <c r="J1076" s="142">
        <v>30429</v>
      </c>
      <c r="K1076" s="142">
        <v>30429</v>
      </c>
      <c r="L1076" s="638"/>
      <c r="M1076" s="187" t="s">
        <v>37</v>
      </c>
      <c r="N1076" s="132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</row>
    <row r="1077" spans="1:28" s="134" customFormat="1" ht="15" customHeight="1" outlineLevel="1" x14ac:dyDescent="0.2">
      <c r="A1077" s="135">
        <v>24</v>
      </c>
      <c r="B1077" s="135">
        <v>53443</v>
      </c>
      <c r="C1077" s="136">
        <v>41925</v>
      </c>
      <c r="D1077" s="137" t="s">
        <v>1621</v>
      </c>
      <c r="E1077" s="135" t="s">
        <v>545</v>
      </c>
      <c r="F1077" s="138" t="s">
        <v>682</v>
      </c>
      <c r="G1077" s="139" t="s">
        <v>371</v>
      </c>
      <c r="H1077" s="140"/>
      <c r="I1077" s="141">
        <v>1</v>
      </c>
      <c r="J1077" s="142">
        <v>55058</v>
      </c>
      <c r="K1077" s="142">
        <v>55058</v>
      </c>
      <c r="L1077" s="638"/>
      <c r="M1077" s="187" t="s">
        <v>37</v>
      </c>
      <c r="N1077" s="132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</row>
    <row r="1078" spans="1:28" s="134" customFormat="1" ht="15" customHeight="1" outlineLevel="1" x14ac:dyDescent="0.2">
      <c r="A1078" s="135">
        <v>25</v>
      </c>
      <c r="B1078" s="135">
        <v>57166</v>
      </c>
      <c r="C1078" s="136">
        <v>41916</v>
      </c>
      <c r="D1078" s="137" t="s">
        <v>1622</v>
      </c>
      <c r="E1078" s="135" t="s">
        <v>545</v>
      </c>
      <c r="F1078" s="138" t="s">
        <v>1301</v>
      </c>
      <c r="G1078" s="139" t="s">
        <v>371</v>
      </c>
      <c r="H1078" s="140"/>
      <c r="I1078" s="141">
        <v>1</v>
      </c>
      <c r="J1078" s="142">
        <v>35501</v>
      </c>
      <c r="K1078" s="142">
        <v>35501</v>
      </c>
      <c r="L1078" s="638"/>
      <c r="M1078" s="187" t="s">
        <v>37</v>
      </c>
      <c r="N1078" s="132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</row>
    <row r="1079" spans="1:28" s="134" customFormat="1" ht="15" customHeight="1" outlineLevel="1" x14ac:dyDescent="0.2">
      <c r="A1079" s="135">
        <v>26</v>
      </c>
      <c r="B1079" s="135">
        <v>59366</v>
      </c>
      <c r="C1079" s="136">
        <v>41921</v>
      </c>
      <c r="D1079" s="137" t="s">
        <v>1623</v>
      </c>
      <c r="E1079" s="135" t="s">
        <v>545</v>
      </c>
      <c r="F1079" s="138" t="s">
        <v>116</v>
      </c>
      <c r="G1079" s="139" t="s">
        <v>1624</v>
      </c>
      <c r="H1079" s="140"/>
      <c r="I1079" s="141">
        <v>4</v>
      </c>
      <c r="J1079" s="142">
        <v>5274</v>
      </c>
      <c r="K1079" s="142">
        <v>21096</v>
      </c>
      <c r="L1079" s="638"/>
      <c r="M1079" s="187" t="s">
        <v>37</v>
      </c>
      <c r="N1079" s="132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</row>
    <row r="1080" spans="1:28" s="134" customFormat="1" ht="15" customHeight="1" outlineLevel="1" x14ac:dyDescent="0.2">
      <c r="A1080" s="135">
        <v>27</v>
      </c>
      <c r="B1080" s="135">
        <v>59335</v>
      </c>
      <c r="C1080" s="136">
        <v>41941</v>
      </c>
      <c r="D1080" s="137" t="s">
        <v>1625</v>
      </c>
      <c r="E1080" s="135" t="s">
        <v>1603</v>
      </c>
      <c r="F1080" s="138" t="s">
        <v>210</v>
      </c>
      <c r="G1080" s="139" t="s">
        <v>392</v>
      </c>
      <c r="H1080" s="140"/>
      <c r="I1080" s="141">
        <v>1</v>
      </c>
      <c r="J1080" s="142">
        <v>14099</v>
      </c>
      <c r="K1080" s="142">
        <v>14099</v>
      </c>
      <c r="L1080" s="638"/>
      <c r="M1080" s="187" t="s">
        <v>37</v>
      </c>
      <c r="N1080" s="132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</row>
    <row r="1081" spans="1:28" s="134" customFormat="1" ht="15" customHeight="1" outlineLevel="1" x14ac:dyDescent="0.2">
      <c r="A1081" s="135">
        <v>28</v>
      </c>
      <c r="B1081" s="135">
        <v>57642</v>
      </c>
      <c r="C1081" s="136">
        <v>41940</v>
      </c>
      <c r="D1081" s="137" t="s">
        <v>1626</v>
      </c>
      <c r="E1081" s="135" t="s">
        <v>1558</v>
      </c>
      <c r="F1081" s="138" t="s">
        <v>173</v>
      </c>
      <c r="G1081" s="139" t="s">
        <v>371</v>
      </c>
      <c r="H1081" s="140"/>
      <c r="I1081" s="141">
        <v>1</v>
      </c>
      <c r="J1081" s="142">
        <v>18764</v>
      </c>
      <c r="K1081" s="142">
        <v>18764</v>
      </c>
      <c r="L1081" s="638"/>
      <c r="M1081" s="187" t="s">
        <v>37</v>
      </c>
      <c r="N1081" s="132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</row>
    <row r="1082" spans="1:28" s="134" customFormat="1" ht="15" customHeight="1" outlineLevel="1" x14ac:dyDescent="0.2">
      <c r="A1082" s="135">
        <v>29</v>
      </c>
      <c r="B1082" s="135">
        <v>59988</v>
      </c>
      <c r="C1082" s="136">
        <v>41942</v>
      </c>
      <c r="D1082" s="137" t="s">
        <v>1627</v>
      </c>
      <c r="E1082" s="135" t="s">
        <v>521</v>
      </c>
      <c r="F1082" s="138" t="s">
        <v>188</v>
      </c>
      <c r="G1082" s="139" t="s">
        <v>538</v>
      </c>
      <c r="H1082" s="140"/>
      <c r="I1082" s="141">
        <v>1</v>
      </c>
      <c r="J1082" s="142">
        <v>42601</v>
      </c>
      <c r="K1082" s="142">
        <v>42601</v>
      </c>
      <c r="L1082" s="638"/>
      <c r="M1082" s="187" t="s">
        <v>37</v>
      </c>
      <c r="N1082" s="132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</row>
    <row r="1083" spans="1:28" s="134" customFormat="1" ht="15" customHeight="1" outlineLevel="1" x14ac:dyDescent="0.2">
      <c r="A1083" s="135">
        <v>30</v>
      </c>
      <c r="B1083" s="135">
        <v>57131</v>
      </c>
      <c r="C1083" s="136">
        <v>41934</v>
      </c>
      <c r="D1083" s="137" t="s">
        <v>1628</v>
      </c>
      <c r="E1083" s="135" t="s">
        <v>521</v>
      </c>
      <c r="F1083" s="138" t="s">
        <v>115</v>
      </c>
      <c r="G1083" s="139" t="s">
        <v>472</v>
      </c>
      <c r="H1083" s="140"/>
      <c r="I1083" s="141">
        <v>1</v>
      </c>
      <c r="J1083" s="142">
        <v>33370</v>
      </c>
      <c r="K1083" s="142">
        <v>33370</v>
      </c>
      <c r="L1083" s="638"/>
      <c r="M1083" s="187" t="s">
        <v>37</v>
      </c>
      <c r="N1083" s="132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</row>
    <row r="1084" spans="1:28" s="134" customFormat="1" ht="15" customHeight="1" outlineLevel="1" x14ac:dyDescent="0.2">
      <c r="A1084" s="135">
        <v>31</v>
      </c>
      <c r="B1084" s="135">
        <v>53454</v>
      </c>
      <c r="C1084" s="136">
        <v>41927</v>
      </c>
      <c r="D1084" s="137" t="s">
        <v>1629</v>
      </c>
      <c r="E1084" s="135" t="s">
        <v>1595</v>
      </c>
      <c r="F1084" s="138" t="s">
        <v>116</v>
      </c>
      <c r="G1084" s="139" t="s">
        <v>407</v>
      </c>
      <c r="H1084" s="140"/>
      <c r="I1084" s="141">
        <v>1</v>
      </c>
      <c r="J1084" s="142">
        <v>5274</v>
      </c>
      <c r="K1084" s="142">
        <v>5274</v>
      </c>
      <c r="L1084" s="638"/>
      <c r="M1084" s="187" t="s">
        <v>37</v>
      </c>
      <c r="N1084" s="132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</row>
    <row r="1085" spans="1:28" s="134" customFormat="1" ht="15" customHeight="1" outlineLevel="1" x14ac:dyDescent="0.2">
      <c r="A1085" s="135">
        <v>32</v>
      </c>
      <c r="B1085" s="135">
        <v>55045</v>
      </c>
      <c r="C1085" s="136">
        <v>41929</v>
      </c>
      <c r="D1085" s="137" t="s">
        <v>1630</v>
      </c>
      <c r="E1085" s="135" t="s">
        <v>545</v>
      </c>
      <c r="F1085" s="138" t="s">
        <v>217</v>
      </c>
      <c r="G1085" s="139" t="s">
        <v>371</v>
      </c>
      <c r="H1085" s="140"/>
      <c r="I1085" s="141">
        <v>1</v>
      </c>
      <c r="J1085" s="142">
        <v>44597</v>
      </c>
      <c r="K1085" s="142">
        <v>44597</v>
      </c>
      <c r="L1085" s="638"/>
      <c r="M1085" s="187" t="s">
        <v>37</v>
      </c>
      <c r="N1085" s="132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</row>
    <row r="1086" spans="1:28" s="134" customFormat="1" ht="15" customHeight="1" outlineLevel="1" x14ac:dyDescent="0.2">
      <c r="A1086" s="135">
        <v>33</v>
      </c>
      <c r="B1086" s="135">
        <v>54402</v>
      </c>
      <c r="C1086" s="136">
        <v>41928</v>
      </c>
      <c r="D1086" s="137" t="s">
        <v>1631</v>
      </c>
      <c r="E1086" s="135" t="s">
        <v>1558</v>
      </c>
      <c r="F1086" s="138" t="s">
        <v>173</v>
      </c>
      <c r="G1086" s="139" t="s">
        <v>371</v>
      </c>
      <c r="H1086" s="140"/>
      <c r="I1086" s="141">
        <v>1</v>
      </c>
      <c r="J1086" s="142">
        <v>18764</v>
      </c>
      <c r="K1086" s="142">
        <v>18764</v>
      </c>
      <c r="L1086" s="638"/>
      <c r="M1086" s="187" t="s">
        <v>37</v>
      </c>
      <c r="N1086" s="132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</row>
    <row r="1087" spans="1:28" s="134" customFormat="1" ht="15" customHeight="1" outlineLevel="1" x14ac:dyDescent="0.2">
      <c r="A1087" s="135">
        <v>34</v>
      </c>
      <c r="B1087" s="135">
        <v>59860</v>
      </c>
      <c r="C1087" s="136">
        <v>41942</v>
      </c>
      <c r="D1087" s="137" t="s">
        <v>1632</v>
      </c>
      <c r="E1087" s="135" t="s">
        <v>1558</v>
      </c>
      <c r="F1087" s="138" t="s">
        <v>173</v>
      </c>
      <c r="G1087" s="139" t="s">
        <v>371</v>
      </c>
      <c r="H1087" s="140"/>
      <c r="I1087" s="141">
        <v>1</v>
      </c>
      <c r="J1087" s="142">
        <v>18764</v>
      </c>
      <c r="K1087" s="142">
        <v>18764</v>
      </c>
      <c r="L1087" s="638"/>
      <c r="M1087" s="187" t="s">
        <v>37</v>
      </c>
      <c r="N1087" s="132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</row>
    <row r="1088" spans="1:28" s="134" customFormat="1" ht="15" customHeight="1" outlineLevel="1" x14ac:dyDescent="0.2">
      <c r="A1088" s="135">
        <v>35</v>
      </c>
      <c r="B1088" s="135">
        <v>54400</v>
      </c>
      <c r="C1088" s="136">
        <v>41928</v>
      </c>
      <c r="D1088" s="137" t="s">
        <v>1633</v>
      </c>
      <c r="E1088" s="135" t="s">
        <v>1558</v>
      </c>
      <c r="F1088" s="138" t="s">
        <v>173</v>
      </c>
      <c r="G1088" s="139" t="s">
        <v>371</v>
      </c>
      <c r="H1088" s="140"/>
      <c r="I1088" s="141">
        <v>1</v>
      </c>
      <c r="J1088" s="142">
        <v>18764</v>
      </c>
      <c r="K1088" s="142">
        <v>18764</v>
      </c>
      <c r="L1088" s="638"/>
      <c r="M1088" s="187" t="s">
        <v>37</v>
      </c>
      <c r="N1088" s="132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</row>
    <row r="1089" spans="1:28" s="134" customFormat="1" ht="15" customHeight="1" outlineLevel="1" x14ac:dyDescent="0.2">
      <c r="A1089" s="135">
        <v>36</v>
      </c>
      <c r="B1089" s="135">
        <v>55992</v>
      </c>
      <c r="C1089" s="136">
        <v>41932</v>
      </c>
      <c r="D1089" s="137" t="s">
        <v>1634</v>
      </c>
      <c r="E1089" s="135" t="s">
        <v>1603</v>
      </c>
      <c r="F1089" s="138" t="s">
        <v>577</v>
      </c>
      <c r="G1089" s="139" t="s">
        <v>527</v>
      </c>
      <c r="H1089" s="140"/>
      <c r="I1089" s="141">
        <v>1</v>
      </c>
      <c r="J1089" s="142">
        <v>49701</v>
      </c>
      <c r="K1089" s="142">
        <v>49701</v>
      </c>
      <c r="L1089" s="638"/>
      <c r="M1089" s="187" t="s">
        <v>37</v>
      </c>
      <c r="N1089" s="132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</row>
    <row r="1090" spans="1:28" s="134" customFormat="1" ht="15" customHeight="1" outlineLevel="1" x14ac:dyDescent="0.2">
      <c r="A1090" s="135">
        <v>37</v>
      </c>
      <c r="B1090" s="135">
        <v>53313</v>
      </c>
      <c r="C1090" s="136">
        <v>41925</v>
      </c>
      <c r="D1090" s="137" t="s">
        <v>1635</v>
      </c>
      <c r="E1090" s="135" t="s">
        <v>545</v>
      </c>
      <c r="F1090" s="138" t="s">
        <v>580</v>
      </c>
      <c r="G1090" s="139" t="s">
        <v>371</v>
      </c>
      <c r="H1090" s="140"/>
      <c r="I1090" s="141">
        <v>1</v>
      </c>
      <c r="J1090" s="142">
        <v>25800</v>
      </c>
      <c r="K1090" s="142">
        <v>25800</v>
      </c>
      <c r="L1090" s="638"/>
      <c r="M1090" s="187" t="s">
        <v>37</v>
      </c>
      <c r="N1090" s="132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</row>
    <row r="1091" spans="1:28" s="134" customFormat="1" ht="15" customHeight="1" outlineLevel="1" x14ac:dyDescent="0.2">
      <c r="A1091" s="135">
        <v>38</v>
      </c>
      <c r="B1091" s="135">
        <v>59364</v>
      </c>
      <c r="C1091" s="136">
        <v>41921</v>
      </c>
      <c r="D1091" s="137" t="s">
        <v>1636</v>
      </c>
      <c r="E1091" s="135" t="s">
        <v>545</v>
      </c>
      <c r="F1091" s="138" t="s">
        <v>1485</v>
      </c>
      <c r="G1091" s="139" t="s">
        <v>562</v>
      </c>
      <c r="H1091" s="140"/>
      <c r="I1091" s="141">
        <v>1</v>
      </c>
      <c r="J1091" s="142">
        <v>48203</v>
      </c>
      <c r="K1091" s="142">
        <v>48203</v>
      </c>
      <c r="L1091" s="638"/>
      <c r="M1091" s="187" t="s">
        <v>37</v>
      </c>
      <c r="N1091" s="132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</row>
    <row r="1092" spans="1:28" s="134" customFormat="1" ht="15" customHeight="1" outlineLevel="1" x14ac:dyDescent="0.2">
      <c r="A1092" s="135">
        <v>39</v>
      </c>
      <c r="B1092" s="135">
        <v>58802</v>
      </c>
      <c r="C1092" s="136">
        <v>41941</v>
      </c>
      <c r="D1092" s="137" t="s">
        <v>1637</v>
      </c>
      <c r="E1092" s="135" t="s">
        <v>1603</v>
      </c>
      <c r="F1092" s="138" t="s">
        <v>116</v>
      </c>
      <c r="G1092" s="139" t="s">
        <v>538</v>
      </c>
      <c r="H1092" s="140"/>
      <c r="I1092" s="141">
        <v>1</v>
      </c>
      <c r="J1092" s="142">
        <v>5274</v>
      </c>
      <c r="K1092" s="142">
        <v>5274</v>
      </c>
      <c r="L1092" s="638"/>
      <c r="M1092" s="187" t="s">
        <v>37</v>
      </c>
      <c r="N1092" s="132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</row>
    <row r="1093" spans="1:28" s="134" customFormat="1" ht="15" customHeight="1" outlineLevel="1" x14ac:dyDescent="0.2">
      <c r="A1093" s="135">
        <v>40</v>
      </c>
      <c r="B1093" s="135">
        <v>57653</v>
      </c>
      <c r="C1093" s="136">
        <v>41916</v>
      </c>
      <c r="D1093" s="137" t="s">
        <v>1638</v>
      </c>
      <c r="E1093" s="135" t="s">
        <v>545</v>
      </c>
      <c r="F1093" s="138" t="s">
        <v>217</v>
      </c>
      <c r="G1093" s="139" t="s">
        <v>371</v>
      </c>
      <c r="H1093" s="140"/>
      <c r="I1093" s="141">
        <v>1</v>
      </c>
      <c r="J1093" s="142">
        <v>44597</v>
      </c>
      <c r="K1093" s="142">
        <v>44597</v>
      </c>
      <c r="L1093" s="638"/>
      <c r="M1093" s="187" t="s">
        <v>37</v>
      </c>
      <c r="N1093" s="132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</row>
    <row r="1094" spans="1:28" s="134" customFormat="1" ht="15" customHeight="1" outlineLevel="1" x14ac:dyDescent="0.2">
      <c r="A1094" s="135">
        <v>41</v>
      </c>
      <c r="B1094" s="135">
        <v>59356</v>
      </c>
      <c r="C1094" s="136">
        <v>41925</v>
      </c>
      <c r="D1094" s="137" t="s">
        <v>1639</v>
      </c>
      <c r="E1094" s="135" t="s">
        <v>521</v>
      </c>
      <c r="F1094" s="138" t="s">
        <v>115</v>
      </c>
      <c r="G1094" s="139" t="s">
        <v>562</v>
      </c>
      <c r="H1094" s="140"/>
      <c r="I1094" s="141">
        <v>1</v>
      </c>
      <c r="J1094" s="142">
        <v>33370</v>
      </c>
      <c r="K1094" s="142">
        <v>33370</v>
      </c>
      <c r="L1094" s="638"/>
      <c r="M1094" s="187" t="s">
        <v>37</v>
      </c>
      <c r="N1094" s="132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</row>
    <row r="1095" spans="1:28" s="134" customFormat="1" ht="15" customHeight="1" outlineLevel="1" x14ac:dyDescent="0.2">
      <c r="A1095" s="135">
        <v>42</v>
      </c>
      <c r="B1095" s="135">
        <v>58730</v>
      </c>
      <c r="C1095" s="136">
        <v>41939</v>
      </c>
      <c r="D1095" s="137" t="s">
        <v>1640</v>
      </c>
      <c r="E1095" s="135" t="s">
        <v>1603</v>
      </c>
      <c r="F1095" s="138" t="s">
        <v>537</v>
      </c>
      <c r="G1095" s="139" t="s">
        <v>527</v>
      </c>
      <c r="H1095" s="140"/>
      <c r="I1095" s="141">
        <v>1</v>
      </c>
      <c r="J1095" s="142">
        <v>30429</v>
      </c>
      <c r="K1095" s="142">
        <v>30429</v>
      </c>
      <c r="L1095" s="638"/>
      <c r="M1095" s="187" t="s">
        <v>37</v>
      </c>
      <c r="N1095" s="132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</row>
    <row r="1096" spans="1:28" s="134" customFormat="1" ht="15" customHeight="1" outlineLevel="1" x14ac:dyDescent="0.2">
      <c r="A1096" s="135">
        <v>42</v>
      </c>
      <c r="B1096" s="135">
        <v>58545</v>
      </c>
      <c r="C1096" s="136">
        <v>41938</v>
      </c>
      <c r="D1096" s="137" t="s">
        <v>1641</v>
      </c>
      <c r="E1096" s="135" t="s">
        <v>545</v>
      </c>
      <c r="F1096" s="138" t="s">
        <v>115</v>
      </c>
      <c r="G1096" s="204" t="s">
        <v>1642</v>
      </c>
      <c r="H1096" s="140"/>
      <c r="I1096" s="141">
        <v>4</v>
      </c>
      <c r="J1096" s="142">
        <v>33370</v>
      </c>
      <c r="K1096" s="142">
        <v>133480</v>
      </c>
      <c r="L1096" s="639"/>
      <c r="M1096" s="187" t="s">
        <v>37</v>
      </c>
      <c r="N1096" s="132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</row>
    <row r="1097" spans="1:28" s="134" customFormat="1" ht="15" customHeight="1" outlineLevel="1" x14ac:dyDescent="0.2">
      <c r="A1097" s="122">
        <v>1</v>
      </c>
      <c r="B1097" s="135">
        <v>70159</v>
      </c>
      <c r="C1097" s="136">
        <v>41970</v>
      </c>
      <c r="D1097" s="137" t="s">
        <v>1602</v>
      </c>
      <c r="E1097" s="135" t="s">
        <v>1603</v>
      </c>
      <c r="F1097" s="138" t="s">
        <v>537</v>
      </c>
      <c r="G1097" s="139" t="s">
        <v>431</v>
      </c>
      <c r="H1097" s="140"/>
      <c r="I1097" s="141">
        <v>1</v>
      </c>
      <c r="J1097" s="142">
        <v>30429</v>
      </c>
      <c r="K1097" s="142">
        <v>30429</v>
      </c>
      <c r="L1097" s="182" t="s">
        <v>960</v>
      </c>
      <c r="M1097" s="187" t="s">
        <v>37</v>
      </c>
      <c r="N1097" s="132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</row>
    <row r="1098" spans="1:28" s="134" customFormat="1" ht="15" customHeight="1" outlineLevel="1" x14ac:dyDescent="0.2">
      <c r="A1098" s="122">
        <v>2</v>
      </c>
      <c r="B1098" s="135">
        <v>69757</v>
      </c>
      <c r="C1098" s="136">
        <v>41970</v>
      </c>
      <c r="D1098" s="137" t="s">
        <v>1643</v>
      </c>
      <c r="E1098" s="135" t="s">
        <v>1644</v>
      </c>
      <c r="F1098" s="138" t="s">
        <v>197</v>
      </c>
      <c r="G1098" s="139" t="s">
        <v>1645</v>
      </c>
      <c r="H1098" s="140"/>
      <c r="I1098" s="141">
        <v>2</v>
      </c>
      <c r="J1098" s="142">
        <v>2739</v>
      </c>
      <c r="K1098" s="142">
        <v>5478</v>
      </c>
      <c r="L1098" s="182" t="s">
        <v>960</v>
      </c>
      <c r="M1098" s="187" t="s">
        <v>37</v>
      </c>
      <c r="N1098" s="132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</row>
    <row r="1099" spans="1:28" s="134" customFormat="1" ht="15" customHeight="1" outlineLevel="1" x14ac:dyDescent="0.2">
      <c r="A1099" s="122">
        <v>3</v>
      </c>
      <c r="B1099" s="135">
        <v>62950</v>
      </c>
      <c r="C1099" s="136">
        <v>41954</v>
      </c>
      <c r="D1099" s="137" t="s">
        <v>1646</v>
      </c>
      <c r="E1099" s="135" t="s">
        <v>521</v>
      </c>
      <c r="F1099" s="138" t="s">
        <v>115</v>
      </c>
      <c r="G1099" s="139" t="s">
        <v>442</v>
      </c>
      <c r="H1099" s="140"/>
      <c r="I1099" s="141">
        <v>1</v>
      </c>
      <c r="J1099" s="142">
        <v>33370</v>
      </c>
      <c r="K1099" s="142">
        <v>33370</v>
      </c>
      <c r="L1099" s="182" t="s">
        <v>960</v>
      </c>
      <c r="M1099" s="187" t="s">
        <v>37</v>
      </c>
      <c r="N1099" s="132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</row>
    <row r="1100" spans="1:28" s="134" customFormat="1" ht="15" customHeight="1" outlineLevel="1" x14ac:dyDescent="0.2">
      <c r="A1100" s="122">
        <v>4</v>
      </c>
      <c r="B1100" s="135">
        <v>66840</v>
      </c>
      <c r="C1100" s="136">
        <v>41963</v>
      </c>
      <c r="D1100" s="137" t="s">
        <v>1647</v>
      </c>
      <c r="E1100" s="135" t="s">
        <v>545</v>
      </c>
      <c r="F1100" s="138" t="s">
        <v>580</v>
      </c>
      <c r="G1100" s="139" t="s">
        <v>371</v>
      </c>
      <c r="H1100" s="140"/>
      <c r="I1100" s="141">
        <v>1</v>
      </c>
      <c r="J1100" s="142">
        <v>25800</v>
      </c>
      <c r="K1100" s="142">
        <v>25800</v>
      </c>
      <c r="L1100" s="182" t="s">
        <v>960</v>
      </c>
      <c r="M1100" s="187" t="s">
        <v>37</v>
      </c>
      <c r="N1100" s="132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</row>
    <row r="1101" spans="1:28" s="134" customFormat="1" ht="15" customHeight="1" outlineLevel="1" x14ac:dyDescent="0.2">
      <c r="A1101" s="122">
        <v>5</v>
      </c>
      <c r="B1101" s="135">
        <v>67889</v>
      </c>
      <c r="C1101" s="136">
        <v>41964</v>
      </c>
      <c r="D1101" s="137" t="s">
        <v>1648</v>
      </c>
      <c r="E1101" s="135" t="s">
        <v>521</v>
      </c>
      <c r="F1101" s="138" t="s">
        <v>115</v>
      </c>
      <c r="G1101" s="139" t="s">
        <v>472</v>
      </c>
      <c r="H1101" s="140"/>
      <c r="I1101" s="141">
        <v>1</v>
      </c>
      <c r="J1101" s="142">
        <v>33370</v>
      </c>
      <c r="K1101" s="142">
        <v>33370</v>
      </c>
      <c r="L1101" s="182" t="s">
        <v>960</v>
      </c>
      <c r="M1101" s="187" t="s">
        <v>37</v>
      </c>
      <c r="N1101" s="132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</row>
    <row r="1102" spans="1:28" s="134" customFormat="1" ht="15" customHeight="1" outlineLevel="1" x14ac:dyDescent="0.2">
      <c r="A1102" s="122">
        <v>6</v>
      </c>
      <c r="B1102" s="135">
        <v>66109</v>
      </c>
      <c r="C1102" s="136">
        <v>41961</v>
      </c>
      <c r="D1102" s="137" t="s">
        <v>1606</v>
      </c>
      <c r="E1102" s="135" t="s">
        <v>545</v>
      </c>
      <c r="F1102" s="138" t="s">
        <v>115</v>
      </c>
      <c r="G1102" s="139" t="s">
        <v>445</v>
      </c>
      <c r="H1102" s="140"/>
      <c r="I1102" s="141">
        <v>1</v>
      </c>
      <c r="J1102" s="142">
        <v>33370</v>
      </c>
      <c r="K1102" s="142">
        <v>33370</v>
      </c>
      <c r="L1102" s="182" t="s">
        <v>960</v>
      </c>
      <c r="M1102" s="187" t="s">
        <v>37</v>
      </c>
      <c r="N1102" s="132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</row>
    <row r="1103" spans="1:28" s="134" customFormat="1" ht="15" customHeight="1" outlineLevel="1" x14ac:dyDescent="0.2">
      <c r="A1103" s="122">
        <v>7</v>
      </c>
      <c r="B1103" s="135">
        <v>67773</v>
      </c>
      <c r="C1103" s="136">
        <v>41964</v>
      </c>
      <c r="D1103" s="137" t="s">
        <v>1649</v>
      </c>
      <c r="E1103" s="135" t="s">
        <v>521</v>
      </c>
      <c r="F1103" s="138" t="s">
        <v>115</v>
      </c>
      <c r="G1103" s="139" t="s">
        <v>442</v>
      </c>
      <c r="H1103" s="140"/>
      <c r="I1103" s="141">
        <v>1</v>
      </c>
      <c r="J1103" s="142">
        <v>33370</v>
      </c>
      <c r="K1103" s="142">
        <v>33370</v>
      </c>
      <c r="L1103" s="182" t="s">
        <v>960</v>
      </c>
      <c r="M1103" s="187" t="s">
        <v>37</v>
      </c>
      <c r="N1103" s="132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</row>
    <row r="1104" spans="1:28" s="134" customFormat="1" ht="15" customHeight="1" outlineLevel="1" x14ac:dyDescent="0.2">
      <c r="A1104" s="122">
        <v>8</v>
      </c>
      <c r="B1104" s="135">
        <v>63093</v>
      </c>
      <c r="C1104" s="136">
        <v>41954</v>
      </c>
      <c r="D1104" s="137" t="s">
        <v>1650</v>
      </c>
      <c r="E1104" s="135" t="s">
        <v>545</v>
      </c>
      <c r="F1104" s="199" t="s">
        <v>219</v>
      </c>
      <c r="G1104" s="139" t="s">
        <v>371</v>
      </c>
      <c r="H1104" s="140"/>
      <c r="I1104" s="141">
        <v>1</v>
      </c>
      <c r="J1104" s="142">
        <v>22299</v>
      </c>
      <c r="K1104" s="142">
        <v>22299</v>
      </c>
      <c r="L1104" s="182" t="s">
        <v>960</v>
      </c>
      <c r="M1104" s="187" t="s">
        <v>37</v>
      </c>
      <c r="N1104" s="132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</row>
    <row r="1105" spans="1:28" s="134" customFormat="1" ht="15" customHeight="1" outlineLevel="1" x14ac:dyDescent="0.2">
      <c r="A1105" s="122">
        <v>9</v>
      </c>
      <c r="B1105" s="135">
        <v>67757</v>
      </c>
      <c r="C1105" s="136">
        <v>41964</v>
      </c>
      <c r="D1105" s="137" t="s">
        <v>1651</v>
      </c>
      <c r="E1105" s="135" t="s">
        <v>521</v>
      </c>
      <c r="F1105" s="138" t="s">
        <v>192</v>
      </c>
      <c r="G1105" s="139" t="s">
        <v>410</v>
      </c>
      <c r="H1105" s="140"/>
      <c r="I1105" s="141">
        <v>1</v>
      </c>
      <c r="J1105" s="142">
        <v>57960</v>
      </c>
      <c r="K1105" s="142">
        <v>57960</v>
      </c>
      <c r="L1105" s="182" t="s">
        <v>960</v>
      </c>
      <c r="M1105" s="187" t="s">
        <v>37</v>
      </c>
      <c r="N1105" s="132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</row>
    <row r="1106" spans="1:28" s="134" customFormat="1" ht="15" customHeight="1" outlineLevel="1" x14ac:dyDescent="0.2">
      <c r="A1106" s="122">
        <v>10</v>
      </c>
      <c r="B1106" s="135">
        <v>70259</v>
      </c>
      <c r="C1106" s="136">
        <v>41971</v>
      </c>
      <c r="D1106" s="137" t="s">
        <v>1652</v>
      </c>
      <c r="E1106" s="135" t="s">
        <v>521</v>
      </c>
      <c r="F1106" s="138" t="s">
        <v>115</v>
      </c>
      <c r="G1106" s="139" t="s">
        <v>417</v>
      </c>
      <c r="H1106" s="140"/>
      <c r="I1106" s="141">
        <v>1</v>
      </c>
      <c r="J1106" s="142">
        <v>33370</v>
      </c>
      <c r="K1106" s="142">
        <v>33370</v>
      </c>
      <c r="L1106" s="182" t="s">
        <v>960</v>
      </c>
      <c r="M1106" s="187" t="s">
        <v>37</v>
      </c>
      <c r="N1106" s="132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</row>
    <row r="1107" spans="1:28" s="134" customFormat="1" ht="15" customHeight="1" outlineLevel="1" x14ac:dyDescent="0.2">
      <c r="A1107" s="122">
        <v>12</v>
      </c>
      <c r="B1107" s="135">
        <v>70315</v>
      </c>
      <c r="C1107" s="136">
        <v>41971</v>
      </c>
      <c r="D1107" s="137" t="s">
        <v>544</v>
      </c>
      <c r="E1107" s="135" t="s">
        <v>545</v>
      </c>
      <c r="F1107" s="138" t="s">
        <v>210</v>
      </c>
      <c r="G1107" s="139" t="s">
        <v>562</v>
      </c>
      <c r="H1107" s="140"/>
      <c r="I1107" s="141">
        <v>1</v>
      </c>
      <c r="J1107" s="142">
        <v>14099</v>
      </c>
      <c r="K1107" s="142">
        <v>14099</v>
      </c>
      <c r="L1107" s="182" t="s">
        <v>960</v>
      </c>
      <c r="M1107" s="187" t="s">
        <v>37</v>
      </c>
      <c r="N1107" s="132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</row>
    <row r="1108" spans="1:28" s="134" customFormat="1" ht="15" customHeight="1" outlineLevel="1" x14ac:dyDescent="0.2">
      <c r="A1108" s="122">
        <v>11</v>
      </c>
      <c r="B1108" s="135">
        <v>70315</v>
      </c>
      <c r="C1108" s="136">
        <v>41971</v>
      </c>
      <c r="D1108" s="137" t="s">
        <v>544</v>
      </c>
      <c r="E1108" s="135" t="s">
        <v>545</v>
      </c>
      <c r="F1108" s="138" t="s">
        <v>116</v>
      </c>
      <c r="G1108" s="139" t="s">
        <v>562</v>
      </c>
      <c r="H1108" s="140"/>
      <c r="I1108" s="141">
        <v>1</v>
      </c>
      <c r="J1108" s="142">
        <v>5274</v>
      </c>
      <c r="K1108" s="142">
        <v>5274</v>
      </c>
      <c r="L1108" s="182" t="s">
        <v>960</v>
      </c>
      <c r="M1108" s="187" t="s">
        <v>37</v>
      </c>
      <c r="N1108" s="132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</row>
    <row r="1109" spans="1:28" s="134" customFormat="1" ht="15" customHeight="1" outlineLevel="1" x14ac:dyDescent="0.2">
      <c r="A1109" s="122">
        <v>13</v>
      </c>
      <c r="B1109" s="135">
        <v>60564</v>
      </c>
      <c r="C1109" s="136">
        <v>41947</v>
      </c>
      <c r="D1109" s="137" t="s">
        <v>1653</v>
      </c>
      <c r="E1109" s="135" t="s">
        <v>545</v>
      </c>
      <c r="F1109" s="138" t="s">
        <v>580</v>
      </c>
      <c r="G1109" s="139" t="s">
        <v>371</v>
      </c>
      <c r="H1109" s="140"/>
      <c r="I1109" s="141">
        <v>1</v>
      </c>
      <c r="J1109" s="142">
        <v>25800</v>
      </c>
      <c r="K1109" s="142">
        <v>25800</v>
      </c>
      <c r="L1109" s="182" t="s">
        <v>960</v>
      </c>
      <c r="M1109" s="187" t="s">
        <v>37</v>
      </c>
      <c r="N1109" s="132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</row>
    <row r="1110" spans="1:28" s="134" customFormat="1" ht="15" customHeight="1" outlineLevel="1" x14ac:dyDescent="0.2">
      <c r="A1110" s="122">
        <v>14</v>
      </c>
      <c r="B1110" s="135">
        <v>66440</v>
      </c>
      <c r="C1110" s="136">
        <v>41961</v>
      </c>
      <c r="D1110" s="137" t="s">
        <v>1654</v>
      </c>
      <c r="E1110" s="135" t="s">
        <v>545</v>
      </c>
      <c r="F1110" s="138" t="s">
        <v>217</v>
      </c>
      <c r="G1110" s="139" t="s">
        <v>371</v>
      </c>
      <c r="H1110" s="140"/>
      <c r="I1110" s="141">
        <v>1</v>
      </c>
      <c r="J1110" s="142">
        <v>44597</v>
      </c>
      <c r="K1110" s="142">
        <v>44597</v>
      </c>
      <c r="L1110" s="182" t="s">
        <v>960</v>
      </c>
      <c r="M1110" s="187" t="s">
        <v>37</v>
      </c>
      <c r="N1110" s="132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</row>
    <row r="1111" spans="1:28" s="134" customFormat="1" ht="15" customHeight="1" outlineLevel="1" x14ac:dyDescent="0.2">
      <c r="A1111" s="122">
        <v>16</v>
      </c>
      <c r="B1111" s="135">
        <v>68709</v>
      </c>
      <c r="C1111" s="136">
        <v>41968</v>
      </c>
      <c r="D1111" s="137" t="s">
        <v>1612</v>
      </c>
      <c r="E1111" s="135" t="s">
        <v>545</v>
      </c>
      <c r="F1111" s="138" t="s">
        <v>115</v>
      </c>
      <c r="G1111" s="139" t="s">
        <v>1655</v>
      </c>
      <c r="H1111" s="140"/>
      <c r="I1111" s="141">
        <v>3</v>
      </c>
      <c r="J1111" s="142">
        <v>33370</v>
      </c>
      <c r="K1111" s="142">
        <v>100110</v>
      </c>
      <c r="L1111" s="182" t="s">
        <v>960</v>
      </c>
      <c r="M1111" s="187" t="s">
        <v>37</v>
      </c>
      <c r="N1111" s="132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</row>
    <row r="1112" spans="1:28" s="134" customFormat="1" ht="15" customHeight="1" outlineLevel="1" x14ac:dyDescent="0.2">
      <c r="A1112" s="122">
        <v>15</v>
      </c>
      <c r="B1112" s="135">
        <v>60542</v>
      </c>
      <c r="C1112" s="136">
        <v>41946</v>
      </c>
      <c r="D1112" s="137" t="s">
        <v>1612</v>
      </c>
      <c r="E1112" s="135" t="s">
        <v>545</v>
      </c>
      <c r="F1112" s="138" t="s">
        <v>116</v>
      </c>
      <c r="G1112" s="139" t="s">
        <v>1655</v>
      </c>
      <c r="H1112" s="140"/>
      <c r="I1112" s="141">
        <v>3</v>
      </c>
      <c r="J1112" s="142">
        <v>5274</v>
      </c>
      <c r="K1112" s="142">
        <v>15822</v>
      </c>
      <c r="L1112" s="182" t="s">
        <v>960</v>
      </c>
      <c r="M1112" s="187" t="s">
        <v>37</v>
      </c>
      <c r="N1112" s="132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</row>
    <row r="1113" spans="1:28" s="134" customFormat="1" ht="15" customHeight="1" outlineLevel="1" x14ac:dyDescent="0.2">
      <c r="A1113" s="122">
        <v>17</v>
      </c>
      <c r="B1113" s="135">
        <v>69712</v>
      </c>
      <c r="C1113" s="136">
        <v>41970</v>
      </c>
      <c r="D1113" s="137" t="s">
        <v>1656</v>
      </c>
      <c r="E1113" s="135" t="s">
        <v>1558</v>
      </c>
      <c r="F1113" s="138" t="s">
        <v>173</v>
      </c>
      <c r="G1113" s="139" t="s">
        <v>371</v>
      </c>
      <c r="H1113" s="140"/>
      <c r="I1113" s="141">
        <v>1</v>
      </c>
      <c r="J1113" s="142">
        <v>18764</v>
      </c>
      <c r="K1113" s="142">
        <v>18764</v>
      </c>
      <c r="L1113" s="182" t="s">
        <v>960</v>
      </c>
      <c r="M1113" s="187" t="s">
        <v>37</v>
      </c>
      <c r="N1113" s="132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</row>
    <row r="1114" spans="1:28" s="134" customFormat="1" ht="15" customHeight="1" outlineLevel="1" x14ac:dyDescent="0.2">
      <c r="A1114" s="122">
        <v>18</v>
      </c>
      <c r="B1114" s="135">
        <v>66487</v>
      </c>
      <c r="C1114" s="136">
        <v>41961</v>
      </c>
      <c r="D1114" s="137" t="s">
        <v>1657</v>
      </c>
      <c r="E1114" s="135" t="s">
        <v>545</v>
      </c>
      <c r="F1114" s="138" t="s">
        <v>537</v>
      </c>
      <c r="G1114" s="139" t="s">
        <v>472</v>
      </c>
      <c r="H1114" s="140"/>
      <c r="I1114" s="141">
        <v>1</v>
      </c>
      <c r="J1114" s="142">
        <v>30429</v>
      </c>
      <c r="K1114" s="142">
        <v>30429</v>
      </c>
      <c r="L1114" s="182" t="s">
        <v>960</v>
      </c>
      <c r="M1114" s="187" t="s">
        <v>37</v>
      </c>
      <c r="N1114" s="132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</row>
    <row r="1115" spans="1:28" s="134" customFormat="1" ht="15" customHeight="1" outlineLevel="1" x14ac:dyDescent="0.2">
      <c r="A1115" s="122">
        <v>19</v>
      </c>
      <c r="B1115" s="135">
        <v>66646</v>
      </c>
      <c r="C1115" s="136">
        <v>41962</v>
      </c>
      <c r="D1115" s="137" t="s">
        <v>1613</v>
      </c>
      <c r="E1115" s="135" t="s">
        <v>521</v>
      </c>
      <c r="F1115" s="138" t="s">
        <v>115</v>
      </c>
      <c r="G1115" s="139" t="s">
        <v>527</v>
      </c>
      <c r="H1115" s="140"/>
      <c r="I1115" s="141">
        <v>1</v>
      </c>
      <c r="J1115" s="142">
        <v>33370</v>
      </c>
      <c r="K1115" s="142">
        <v>33370</v>
      </c>
      <c r="L1115" s="182" t="s">
        <v>960</v>
      </c>
      <c r="M1115" s="187" t="s">
        <v>37</v>
      </c>
      <c r="N1115" s="132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</row>
    <row r="1116" spans="1:28" s="134" customFormat="1" ht="15" customHeight="1" outlineLevel="1" x14ac:dyDescent="0.2">
      <c r="A1116" s="122">
        <v>20</v>
      </c>
      <c r="B1116" s="135">
        <v>63872</v>
      </c>
      <c r="C1116" s="136">
        <v>41954</v>
      </c>
      <c r="D1116" s="137" t="s">
        <v>1658</v>
      </c>
      <c r="E1116" s="135" t="s">
        <v>545</v>
      </c>
      <c r="F1116" s="138" t="s">
        <v>580</v>
      </c>
      <c r="G1116" s="139" t="s">
        <v>371</v>
      </c>
      <c r="H1116" s="140"/>
      <c r="I1116" s="141">
        <v>1</v>
      </c>
      <c r="J1116" s="142">
        <v>25800</v>
      </c>
      <c r="K1116" s="142">
        <v>25800</v>
      </c>
      <c r="L1116" s="182" t="s">
        <v>960</v>
      </c>
      <c r="M1116" s="187" t="s">
        <v>37</v>
      </c>
      <c r="N1116" s="132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</row>
    <row r="1117" spans="1:28" s="134" customFormat="1" ht="15" customHeight="1" outlineLevel="1" x14ac:dyDescent="0.2">
      <c r="A1117" s="122">
        <v>56</v>
      </c>
      <c r="B1117" s="135">
        <v>68705</v>
      </c>
      <c r="C1117" s="136">
        <v>41968</v>
      </c>
      <c r="D1117" s="137" t="s">
        <v>1659</v>
      </c>
      <c r="E1117" s="135" t="s">
        <v>545</v>
      </c>
      <c r="F1117" s="138" t="s">
        <v>115</v>
      </c>
      <c r="G1117" s="139" t="s">
        <v>407</v>
      </c>
      <c r="H1117" s="140"/>
      <c r="I1117" s="141">
        <v>1</v>
      </c>
      <c r="J1117" s="142">
        <v>33370</v>
      </c>
      <c r="K1117" s="142">
        <v>33370</v>
      </c>
      <c r="L1117" s="182" t="s">
        <v>960</v>
      </c>
      <c r="M1117" s="187" t="s">
        <v>37</v>
      </c>
      <c r="N1117" s="132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</row>
    <row r="1118" spans="1:28" s="134" customFormat="1" ht="15" customHeight="1" outlineLevel="1" x14ac:dyDescent="0.2">
      <c r="A1118" s="122">
        <v>21</v>
      </c>
      <c r="B1118" s="135">
        <v>67573</v>
      </c>
      <c r="C1118" s="136">
        <v>41964</v>
      </c>
      <c r="D1118" s="137" t="s">
        <v>1660</v>
      </c>
      <c r="E1118" s="135" t="s">
        <v>1558</v>
      </c>
      <c r="F1118" s="138" t="s">
        <v>173</v>
      </c>
      <c r="G1118" s="139" t="s">
        <v>371</v>
      </c>
      <c r="H1118" s="140"/>
      <c r="I1118" s="141">
        <v>1</v>
      </c>
      <c r="J1118" s="142">
        <v>18764</v>
      </c>
      <c r="K1118" s="142">
        <v>18764</v>
      </c>
      <c r="L1118" s="182" t="s">
        <v>960</v>
      </c>
      <c r="M1118" s="187" t="s">
        <v>37</v>
      </c>
      <c r="N1118" s="132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</row>
    <row r="1119" spans="1:28" s="134" customFormat="1" ht="15" customHeight="1" outlineLevel="1" x14ac:dyDescent="0.2">
      <c r="A1119" s="122">
        <v>22</v>
      </c>
      <c r="B1119" s="135">
        <v>62246</v>
      </c>
      <c r="C1119" s="136">
        <v>41953</v>
      </c>
      <c r="D1119" s="137" t="s">
        <v>1661</v>
      </c>
      <c r="E1119" s="135" t="s">
        <v>1558</v>
      </c>
      <c r="F1119" s="138" t="s">
        <v>173</v>
      </c>
      <c r="G1119" s="139" t="s">
        <v>371</v>
      </c>
      <c r="H1119" s="140"/>
      <c r="I1119" s="141">
        <v>1</v>
      </c>
      <c r="J1119" s="142">
        <v>18764</v>
      </c>
      <c r="K1119" s="142">
        <v>18764</v>
      </c>
      <c r="L1119" s="182" t="s">
        <v>960</v>
      </c>
      <c r="M1119" s="187" t="s">
        <v>37</v>
      </c>
      <c r="N1119" s="132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</row>
    <row r="1120" spans="1:28" s="134" customFormat="1" ht="15" customHeight="1" outlineLevel="1" x14ac:dyDescent="0.2">
      <c r="A1120" s="122">
        <v>23</v>
      </c>
      <c r="B1120" s="135">
        <v>63462</v>
      </c>
      <c r="C1120" s="136">
        <v>41954</v>
      </c>
      <c r="D1120" s="137" t="s">
        <v>1615</v>
      </c>
      <c r="E1120" s="135" t="s">
        <v>521</v>
      </c>
      <c r="F1120" s="138" t="s">
        <v>1579</v>
      </c>
      <c r="G1120" s="139" t="s">
        <v>417</v>
      </c>
      <c r="H1120" s="140"/>
      <c r="I1120" s="141">
        <v>1</v>
      </c>
      <c r="J1120" s="142">
        <v>63583</v>
      </c>
      <c r="K1120" s="142">
        <v>63583</v>
      </c>
      <c r="L1120" s="182" t="s">
        <v>960</v>
      </c>
      <c r="M1120" s="187" t="s">
        <v>37</v>
      </c>
      <c r="N1120" s="132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</row>
    <row r="1121" spans="1:28" s="134" customFormat="1" ht="15" customHeight="1" outlineLevel="1" x14ac:dyDescent="0.2">
      <c r="A1121" s="122">
        <v>24</v>
      </c>
      <c r="B1121" s="135">
        <v>53896</v>
      </c>
      <c r="C1121" s="136">
        <v>41927</v>
      </c>
      <c r="D1121" s="137" t="s">
        <v>1662</v>
      </c>
      <c r="E1121" s="135" t="s">
        <v>1553</v>
      </c>
      <c r="F1121" s="138" t="s">
        <v>682</v>
      </c>
      <c r="G1121" s="139" t="s">
        <v>387</v>
      </c>
      <c r="H1121" s="140"/>
      <c r="I1121" s="141">
        <v>2</v>
      </c>
      <c r="J1121" s="142">
        <v>55058</v>
      </c>
      <c r="K1121" s="142">
        <v>110116</v>
      </c>
      <c r="L1121" s="182" t="s">
        <v>960</v>
      </c>
      <c r="M1121" s="187" t="s">
        <v>37</v>
      </c>
      <c r="N1121" s="132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</row>
    <row r="1122" spans="1:28" s="134" customFormat="1" ht="15" customHeight="1" outlineLevel="1" x14ac:dyDescent="0.2">
      <c r="A1122" s="122">
        <v>26</v>
      </c>
      <c r="B1122" s="135">
        <v>66991</v>
      </c>
      <c r="C1122" s="136">
        <v>41963</v>
      </c>
      <c r="D1122" s="137" t="s">
        <v>1616</v>
      </c>
      <c r="E1122" s="135" t="s">
        <v>545</v>
      </c>
      <c r="F1122" s="138" t="s">
        <v>210</v>
      </c>
      <c r="G1122" s="139" t="s">
        <v>392</v>
      </c>
      <c r="H1122" s="140"/>
      <c r="I1122" s="141">
        <v>1</v>
      </c>
      <c r="J1122" s="142">
        <v>14099</v>
      </c>
      <c r="K1122" s="142">
        <v>14099</v>
      </c>
      <c r="L1122" s="182" t="s">
        <v>960</v>
      </c>
      <c r="M1122" s="187" t="s">
        <v>37</v>
      </c>
      <c r="N1122" s="132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</row>
    <row r="1123" spans="1:28" s="134" customFormat="1" ht="15" customHeight="1" outlineLevel="1" x14ac:dyDescent="0.2">
      <c r="A1123" s="122">
        <v>25</v>
      </c>
      <c r="B1123" s="135">
        <v>66991</v>
      </c>
      <c r="C1123" s="136">
        <v>41963</v>
      </c>
      <c r="D1123" s="137" t="s">
        <v>1616</v>
      </c>
      <c r="E1123" s="135" t="s">
        <v>545</v>
      </c>
      <c r="F1123" s="138" t="s">
        <v>116</v>
      </c>
      <c r="G1123" s="139" t="s">
        <v>392</v>
      </c>
      <c r="H1123" s="140"/>
      <c r="I1123" s="141">
        <v>1</v>
      </c>
      <c r="J1123" s="142">
        <v>5274</v>
      </c>
      <c r="K1123" s="142">
        <v>5274</v>
      </c>
      <c r="L1123" s="182" t="s">
        <v>960</v>
      </c>
      <c r="M1123" s="187" t="s">
        <v>37</v>
      </c>
      <c r="N1123" s="132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</row>
    <row r="1124" spans="1:28" s="134" customFormat="1" ht="15" customHeight="1" outlineLevel="1" x14ac:dyDescent="0.2">
      <c r="A1124" s="122">
        <v>28</v>
      </c>
      <c r="B1124" s="135">
        <v>67759</v>
      </c>
      <c r="C1124" s="136">
        <v>41964</v>
      </c>
      <c r="D1124" s="137" t="s">
        <v>1663</v>
      </c>
      <c r="E1124" s="135" t="s">
        <v>545</v>
      </c>
      <c r="F1124" s="138" t="s">
        <v>210</v>
      </c>
      <c r="G1124" s="139" t="s">
        <v>442</v>
      </c>
      <c r="H1124" s="140"/>
      <c r="I1124" s="141">
        <v>1</v>
      </c>
      <c r="J1124" s="142">
        <v>14099</v>
      </c>
      <c r="K1124" s="142">
        <v>14099</v>
      </c>
      <c r="L1124" s="182" t="s">
        <v>960</v>
      </c>
      <c r="M1124" s="187" t="s">
        <v>37</v>
      </c>
      <c r="N1124" s="132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</row>
    <row r="1125" spans="1:28" s="134" customFormat="1" ht="15" customHeight="1" outlineLevel="1" x14ac:dyDescent="0.2">
      <c r="A1125" s="122">
        <v>27</v>
      </c>
      <c r="B1125" s="135">
        <v>67759</v>
      </c>
      <c r="C1125" s="136">
        <v>41964</v>
      </c>
      <c r="D1125" s="137" t="s">
        <v>1663</v>
      </c>
      <c r="E1125" s="135" t="s">
        <v>545</v>
      </c>
      <c r="F1125" s="138" t="s">
        <v>116</v>
      </c>
      <c r="G1125" s="139" t="s">
        <v>442</v>
      </c>
      <c r="H1125" s="140"/>
      <c r="I1125" s="141">
        <v>1</v>
      </c>
      <c r="J1125" s="142">
        <v>5274</v>
      </c>
      <c r="K1125" s="142">
        <v>5274</v>
      </c>
      <c r="L1125" s="182" t="s">
        <v>960</v>
      </c>
      <c r="M1125" s="187" t="s">
        <v>37</v>
      </c>
      <c r="N1125" s="132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</row>
    <row r="1126" spans="1:28" s="134" customFormat="1" ht="15" customHeight="1" outlineLevel="1" x14ac:dyDescent="0.2">
      <c r="A1126" s="122">
        <v>29</v>
      </c>
      <c r="B1126" s="135">
        <v>67594</v>
      </c>
      <c r="C1126" s="136">
        <v>41964</v>
      </c>
      <c r="D1126" s="137" t="s">
        <v>1664</v>
      </c>
      <c r="E1126" s="135" t="s">
        <v>545</v>
      </c>
      <c r="F1126" s="138" t="s">
        <v>537</v>
      </c>
      <c r="G1126" s="139" t="s">
        <v>431</v>
      </c>
      <c r="H1126" s="140"/>
      <c r="I1126" s="141">
        <v>1</v>
      </c>
      <c r="J1126" s="142">
        <v>30429</v>
      </c>
      <c r="K1126" s="142">
        <v>30429</v>
      </c>
      <c r="L1126" s="182" t="s">
        <v>960</v>
      </c>
      <c r="M1126" s="187" t="s">
        <v>37</v>
      </c>
      <c r="N1126" s="132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</row>
    <row r="1127" spans="1:28" s="134" customFormat="1" ht="15" customHeight="1" outlineLevel="1" x14ac:dyDescent="0.2">
      <c r="A1127" s="122">
        <v>30</v>
      </c>
      <c r="B1127" s="135">
        <v>64586</v>
      </c>
      <c r="C1127" s="136">
        <v>41956</v>
      </c>
      <c r="D1127" s="137" t="s">
        <v>1665</v>
      </c>
      <c r="E1127" s="135" t="s">
        <v>1603</v>
      </c>
      <c r="F1127" s="138" t="s">
        <v>210</v>
      </c>
      <c r="G1127" s="139" t="s">
        <v>417</v>
      </c>
      <c r="H1127" s="140"/>
      <c r="I1127" s="141">
        <v>1</v>
      </c>
      <c r="J1127" s="142">
        <v>14099</v>
      </c>
      <c r="K1127" s="142">
        <v>14099</v>
      </c>
      <c r="L1127" s="182" t="s">
        <v>960</v>
      </c>
      <c r="M1127" s="187" t="s">
        <v>37</v>
      </c>
      <c r="N1127" s="132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</row>
    <row r="1128" spans="1:28" s="134" customFormat="1" ht="15" customHeight="1" outlineLevel="1" x14ac:dyDescent="0.2">
      <c r="A1128" s="122">
        <v>31</v>
      </c>
      <c r="B1128" s="135">
        <v>61785</v>
      </c>
      <c r="C1128" s="136">
        <v>41949</v>
      </c>
      <c r="D1128" s="137" t="s">
        <v>1619</v>
      </c>
      <c r="E1128" s="135" t="s">
        <v>545</v>
      </c>
      <c r="F1128" s="138" t="s">
        <v>115</v>
      </c>
      <c r="G1128" s="139" t="s">
        <v>442</v>
      </c>
      <c r="H1128" s="140"/>
      <c r="I1128" s="141">
        <v>1</v>
      </c>
      <c r="J1128" s="142">
        <v>33370</v>
      </c>
      <c r="K1128" s="142">
        <v>33370</v>
      </c>
      <c r="L1128" s="182" t="s">
        <v>960</v>
      </c>
      <c r="M1128" s="187" t="s">
        <v>37</v>
      </c>
      <c r="N1128" s="132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</row>
    <row r="1129" spans="1:28" s="134" customFormat="1" ht="15" customHeight="1" outlineLevel="1" x14ac:dyDescent="0.2">
      <c r="A1129" s="122">
        <v>33</v>
      </c>
      <c r="B1129" s="135">
        <v>64153</v>
      </c>
      <c r="C1129" s="136">
        <v>41955</v>
      </c>
      <c r="D1129" s="137" t="s">
        <v>1666</v>
      </c>
      <c r="E1129" s="135" t="s">
        <v>545</v>
      </c>
      <c r="F1129" s="138" t="s">
        <v>210</v>
      </c>
      <c r="G1129" s="139" t="s">
        <v>534</v>
      </c>
      <c r="H1129" s="140"/>
      <c r="I1129" s="141">
        <v>1</v>
      </c>
      <c r="J1129" s="142">
        <v>14099</v>
      </c>
      <c r="K1129" s="142">
        <v>14099</v>
      </c>
      <c r="L1129" s="182" t="s">
        <v>960</v>
      </c>
      <c r="M1129" s="187" t="s">
        <v>37</v>
      </c>
      <c r="N1129" s="132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</row>
    <row r="1130" spans="1:28" s="134" customFormat="1" ht="15" customHeight="1" outlineLevel="1" x14ac:dyDescent="0.2">
      <c r="A1130" s="122">
        <v>32</v>
      </c>
      <c r="B1130" s="135">
        <v>64153</v>
      </c>
      <c r="C1130" s="136">
        <v>41955</v>
      </c>
      <c r="D1130" s="137" t="s">
        <v>1666</v>
      </c>
      <c r="E1130" s="135" t="s">
        <v>545</v>
      </c>
      <c r="F1130" s="138" t="s">
        <v>116</v>
      </c>
      <c r="G1130" s="139" t="s">
        <v>534</v>
      </c>
      <c r="H1130" s="140"/>
      <c r="I1130" s="141">
        <v>1</v>
      </c>
      <c r="J1130" s="142">
        <v>5274</v>
      </c>
      <c r="K1130" s="142">
        <v>5274</v>
      </c>
      <c r="L1130" s="182" t="s">
        <v>960</v>
      </c>
      <c r="M1130" s="187" t="s">
        <v>37</v>
      </c>
      <c r="N1130" s="132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</row>
    <row r="1131" spans="1:28" s="134" customFormat="1" ht="15" customHeight="1" outlineLevel="1" x14ac:dyDescent="0.2">
      <c r="A1131" s="122">
        <v>34</v>
      </c>
      <c r="B1131" s="135">
        <v>68705</v>
      </c>
      <c r="C1131" s="136">
        <v>41968</v>
      </c>
      <c r="D1131" s="137" t="s">
        <v>1667</v>
      </c>
      <c r="E1131" s="135" t="s">
        <v>521</v>
      </c>
      <c r="F1131" s="138" t="s">
        <v>1049</v>
      </c>
      <c r="G1131" s="139" t="s">
        <v>392</v>
      </c>
      <c r="H1131" s="140"/>
      <c r="I1131" s="141">
        <v>1</v>
      </c>
      <c r="J1131" s="142">
        <v>63583</v>
      </c>
      <c r="K1131" s="142">
        <v>63583</v>
      </c>
      <c r="L1131" s="182" t="s">
        <v>960</v>
      </c>
      <c r="M1131" s="187" t="s">
        <v>37</v>
      </c>
      <c r="N1131" s="132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</row>
    <row r="1132" spans="1:28" s="134" customFormat="1" ht="15" customHeight="1" outlineLevel="1" x14ac:dyDescent="0.2">
      <c r="A1132" s="122">
        <v>36</v>
      </c>
      <c r="B1132" s="135">
        <v>63459</v>
      </c>
      <c r="C1132" s="136">
        <v>41954</v>
      </c>
      <c r="D1132" s="137" t="s">
        <v>1668</v>
      </c>
      <c r="E1132" s="135" t="s">
        <v>521</v>
      </c>
      <c r="F1132" s="138" t="s">
        <v>115</v>
      </c>
      <c r="G1132" s="139" t="s">
        <v>1098</v>
      </c>
      <c r="H1132" s="140"/>
      <c r="I1132" s="141">
        <v>2</v>
      </c>
      <c r="J1132" s="142">
        <v>33370</v>
      </c>
      <c r="K1132" s="142">
        <v>66740</v>
      </c>
      <c r="L1132" s="182" t="s">
        <v>960</v>
      </c>
      <c r="M1132" s="187" t="s">
        <v>37</v>
      </c>
      <c r="N1132" s="132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</row>
    <row r="1133" spans="1:28" s="134" customFormat="1" ht="15" customHeight="1" outlineLevel="1" x14ac:dyDescent="0.2">
      <c r="A1133" s="122">
        <v>35</v>
      </c>
      <c r="B1133" s="135">
        <v>63459</v>
      </c>
      <c r="C1133" s="136">
        <v>41954</v>
      </c>
      <c r="D1133" s="137" t="s">
        <v>1668</v>
      </c>
      <c r="E1133" s="135" t="s">
        <v>521</v>
      </c>
      <c r="F1133" s="138" t="s">
        <v>204</v>
      </c>
      <c r="G1133" s="139" t="s">
        <v>562</v>
      </c>
      <c r="H1133" s="140"/>
      <c r="I1133" s="141">
        <v>1</v>
      </c>
      <c r="J1133" s="142">
        <v>17244</v>
      </c>
      <c r="K1133" s="142">
        <v>17244</v>
      </c>
      <c r="L1133" s="182" t="s">
        <v>960</v>
      </c>
      <c r="M1133" s="187" t="s">
        <v>37</v>
      </c>
      <c r="N1133" s="132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</row>
    <row r="1134" spans="1:28" s="134" customFormat="1" ht="15" customHeight="1" outlineLevel="1" x14ac:dyDescent="0.2">
      <c r="A1134" s="122">
        <v>37</v>
      </c>
      <c r="B1134" s="135">
        <v>64905</v>
      </c>
      <c r="C1134" s="136">
        <v>41957</v>
      </c>
      <c r="D1134" s="137" t="s">
        <v>1669</v>
      </c>
      <c r="E1134" s="135" t="s">
        <v>545</v>
      </c>
      <c r="F1134" s="138" t="s">
        <v>537</v>
      </c>
      <c r="G1134" s="139" t="s">
        <v>442</v>
      </c>
      <c r="H1134" s="140"/>
      <c r="I1134" s="141">
        <v>1</v>
      </c>
      <c r="J1134" s="142">
        <v>30429</v>
      </c>
      <c r="K1134" s="142">
        <v>30429</v>
      </c>
      <c r="L1134" s="182" t="s">
        <v>960</v>
      </c>
      <c r="M1134" s="187" t="s">
        <v>37</v>
      </c>
      <c r="N1134" s="132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</row>
    <row r="1135" spans="1:28" s="134" customFormat="1" ht="15" customHeight="1" outlineLevel="1" x14ac:dyDescent="0.2">
      <c r="A1135" s="122">
        <v>39</v>
      </c>
      <c r="B1135" s="135">
        <v>64905</v>
      </c>
      <c r="C1135" s="136">
        <v>41957</v>
      </c>
      <c r="D1135" s="137" t="s">
        <v>1669</v>
      </c>
      <c r="E1135" s="135" t="s">
        <v>545</v>
      </c>
      <c r="F1135" s="138" t="s">
        <v>210</v>
      </c>
      <c r="G1135" s="139" t="s">
        <v>419</v>
      </c>
      <c r="H1135" s="140"/>
      <c r="I1135" s="141">
        <v>1</v>
      </c>
      <c r="J1135" s="142">
        <v>14099</v>
      </c>
      <c r="K1135" s="142">
        <v>14099</v>
      </c>
      <c r="L1135" s="182" t="s">
        <v>960</v>
      </c>
      <c r="M1135" s="187" t="s">
        <v>37</v>
      </c>
      <c r="N1135" s="132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</row>
    <row r="1136" spans="1:28" s="134" customFormat="1" ht="15" customHeight="1" outlineLevel="1" x14ac:dyDescent="0.2">
      <c r="A1136" s="122">
        <v>38</v>
      </c>
      <c r="B1136" s="135">
        <v>64905</v>
      </c>
      <c r="C1136" s="136">
        <v>41957</v>
      </c>
      <c r="D1136" s="137" t="s">
        <v>1669</v>
      </c>
      <c r="E1136" s="135" t="s">
        <v>545</v>
      </c>
      <c r="F1136" s="138" t="s">
        <v>116</v>
      </c>
      <c r="G1136" s="139" t="s">
        <v>419</v>
      </c>
      <c r="H1136" s="140"/>
      <c r="I1136" s="141">
        <v>1</v>
      </c>
      <c r="J1136" s="142">
        <v>5274</v>
      </c>
      <c r="K1136" s="142">
        <v>5274</v>
      </c>
      <c r="L1136" s="182" t="s">
        <v>960</v>
      </c>
      <c r="M1136" s="187" t="s">
        <v>37</v>
      </c>
      <c r="N1136" s="132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</row>
    <row r="1137" spans="1:28" s="134" customFormat="1" ht="15" customHeight="1" outlineLevel="1" x14ac:dyDescent="0.2">
      <c r="A1137" s="122">
        <v>40</v>
      </c>
      <c r="B1137" s="135">
        <v>65453</v>
      </c>
      <c r="C1137" s="136">
        <v>41961</v>
      </c>
      <c r="D1137" s="137" t="s">
        <v>1670</v>
      </c>
      <c r="E1137" s="135" t="s">
        <v>1671</v>
      </c>
      <c r="F1137" s="138" t="s">
        <v>195</v>
      </c>
      <c r="G1137" s="139" t="s">
        <v>371</v>
      </c>
      <c r="H1137" s="140"/>
      <c r="I1137" s="141">
        <v>1</v>
      </c>
      <c r="J1137" s="142">
        <v>36514.799999999996</v>
      </c>
      <c r="K1137" s="142">
        <v>36514.799999999996</v>
      </c>
      <c r="L1137" s="182" t="s">
        <v>960</v>
      </c>
      <c r="M1137" s="187" t="s">
        <v>37</v>
      </c>
      <c r="N1137" s="132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</row>
    <row r="1138" spans="1:28" s="134" customFormat="1" ht="15" customHeight="1" outlineLevel="1" x14ac:dyDescent="0.2">
      <c r="A1138" s="122">
        <v>41</v>
      </c>
      <c r="B1138" s="135">
        <v>65617</v>
      </c>
      <c r="C1138" s="136">
        <v>41959</v>
      </c>
      <c r="D1138" s="137" t="s">
        <v>1672</v>
      </c>
      <c r="E1138" s="135" t="s">
        <v>1030</v>
      </c>
      <c r="F1138" s="138" t="s">
        <v>197</v>
      </c>
      <c r="G1138" s="139" t="s">
        <v>1673</v>
      </c>
      <c r="H1138" s="140"/>
      <c r="I1138" s="141">
        <v>5</v>
      </c>
      <c r="J1138" s="142">
        <v>2739</v>
      </c>
      <c r="K1138" s="142">
        <v>13695</v>
      </c>
      <c r="L1138" s="182" t="s">
        <v>960</v>
      </c>
      <c r="M1138" s="187" t="s">
        <v>37</v>
      </c>
      <c r="N1138" s="132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</row>
    <row r="1139" spans="1:28" s="134" customFormat="1" ht="15" customHeight="1" outlineLevel="1" x14ac:dyDescent="0.2">
      <c r="A1139" s="122">
        <v>42</v>
      </c>
      <c r="B1139" s="135">
        <v>65223</v>
      </c>
      <c r="C1139" s="136">
        <v>41957</v>
      </c>
      <c r="D1139" s="137" t="s">
        <v>1674</v>
      </c>
      <c r="E1139" s="135" t="s">
        <v>1603</v>
      </c>
      <c r="F1139" s="138" t="s">
        <v>1132</v>
      </c>
      <c r="G1139" s="139" t="s">
        <v>407</v>
      </c>
      <c r="H1139" s="140"/>
      <c r="I1139" s="141">
        <v>1</v>
      </c>
      <c r="J1139" s="142">
        <v>49701</v>
      </c>
      <c r="K1139" s="142">
        <v>49701</v>
      </c>
      <c r="L1139" s="182" t="s">
        <v>960</v>
      </c>
      <c r="M1139" s="187" t="s">
        <v>37</v>
      </c>
      <c r="N1139" s="132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</row>
    <row r="1140" spans="1:28" s="134" customFormat="1" ht="15" customHeight="1" outlineLevel="1" x14ac:dyDescent="0.2">
      <c r="A1140" s="122">
        <v>43</v>
      </c>
      <c r="B1140" s="202">
        <v>64551</v>
      </c>
      <c r="C1140" s="203">
        <v>41957</v>
      </c>
      <c r="D1140" s="199" t="s">
        <v>1675</v>
      </c>
      <c r="E1140" s="202" t="s">
        <v>1603</v>
      </c>
      <c r="F1140" s="199" t="s">
        <v>537</v>
      </c>
      <c r="G1140" s="204" t="s">
        <v>527</v>
      </c>
      <c r="H1140" s="204"/>
      <c r="I1140" s="205">
        <v>1</v>
      </c>
      <c r="J1140" s="180">
        <v>30429</v>
      </c>
      <c r="K1140" s="180">
        <v>30429</v>
      </c>
      <c r="L1140" s="182" t="s">
        <v>960</v>
      </c>
      <c r="M1140" s="187" t="s">
        <v>37</v>
      </c>
      <c r="N1140" s="132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</row>
    <row r="1141" spans="1:28" s="134" customFormat="1" ht="15" customHeight="1" outlineLevel="1" x14ac:dyDescent="0.2">
      <c r="A1141" s="122">
        <v>44</v>
      </c>
      <c r="B1141" s="135">
        <v>68638</v>
      </c>
      <c r="C1141" s="136">
        <v>41968</v>
      </c>
      <c r="D1141" s="137" t="s">
        <v>1676</v>
      </c>
      <c r="E1141" s="135" t="s">
        <v>545</v>
      </c>
      <c r="F1141" s="213" t="s">
        <v>219</v>
      </c>
      <c r="G1141" s="139" t="s">
        <v>371</v>
      </c>
      <c r="H1141" s="140"/>
      <c r="I1141" s="141">
        <v>1</v>
      </c>
      <c r="J1141" s="142">
        <v>22299</v>
      </c>
      <c r="K1141" s="142">
        <v>22299</v>
      </c>
      <c r="L1141" s="182" t="s">
        <v>960</v>
      </c>
      <c r="M1141" s="187" t="s">
        <v>37</v>
      </c>
      <c r="N1141" s="132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</row>
    <row r="1142" spans="1:28" s="134" customFormat="1" ht="15" customHeight="1" outlineLevel="1" x14ac:dyDescent="0.2">
      <c r="A1142" s="122">
        <v>45</v>
      </c>
      <c r="B1142" s="135">
        <v>63457</v>
      </c>
      <c r="C1142" s="136">
        <v>41954</v>
      </c>
      <c r="D1142" s="137" t="s">
        <v>1677</v>
      </c>
      <c r="E1142" s="135" t="s">
        <v>521</v>
      </c>
      <c r="F1142" s="138" t="s">
        <v>644</v>
      </c>
      <c r="G1142" s="139" t="s">
        <v>594</v>
      </c>
      <c r="H1142" s="140"/>
      <c r="I1142" s="141">
        <v>1</v>
      </c>
      <c r="J1142" s="142">
        <v>29440</v>
      </c>
      <c r="K1142" s="142">
        <v>29440</v>
      </c>
      <c r="L1142" s="182" t="s">
        <v>960</v>
      </c>
      <c r="M1142" s="187" t="s">
        <v>37</v>
      </c>
      <c r="N1142" s="132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</row>
    <row r="1143" spans="1:28" s="134" customFormat="1" ht="15" customHeight="1" outlineLevel="1" x14ac:dyDescent="0.2">
      <c r="A1143" s="122">
        <v>46</v>
      </c>
      <c r="B1143" s="135">
        <v>66995</v>
      </c>
      <c r="C1143" s="136">
        <v>41962</v>
      </c>
      <c r="D1143" s="137" t="s">
        <v>1678</v>
      </c>
      <c r="E1143" s="135" t="s">
        <v>545</v>
      </c>
      <c r="F1143" s="138" t="s">
        <v>116</v>
      </c>
      <c r="G1143" s="139" t="s">
        <v>1679</v>
      </c>
      <c r="H1143" s="140"/>
      <c r="I1143" s="141">
        <v>9</v>
      </c>
      <c r="J1143" s="142">
        <v>5274</v>
      </c>
      <c r="K1143" s="142">
        <v>47466</v>
      </c>
      <c r="L1143" s="182" t="s">
        <v>960</v>
      </c>
      <c r="M1143" s="187" t="s">
        <v>37</v>
      </c>
      <c r="N1143" s="132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</row>
    <row r="1144" spans="1:28" s="134" customFormat="1" ht="15" customHeight="1" outlineLevel="1" x14ac:dyDescent="0.2">
      <c r="A1144" s="122">
        <v>47</v>
      </c>
      <c r="B1144" s="135">
        <v>70343</v>
      </c>
      <c r="C1144" s="136">
        <v>41971</v>
      </c>
      <c r="D1144" s="137" t="s">
        <v>1560</v>
      </c>
      <c r="E1144" s="135" t="s">
        <v>521</v>
      </c>
      <c r="F1144" s="138" t="s">
        <v>1579</v>
      </c>
      <c r="G1144" s="139" t="s">
        <v>645</v>
      </c>
      <c r="H1144" s="140"/>
      <c r="I1144" s="141">
        <v>1</v>
      </c>
      <c r="J1144" s="142">
        <v>63583</v>
      </c>
      <c r="K1144" s="142">
        <v>63583</v>
      </c>
      <c r="L1144" s="182" t="s">
        <v>960</v>
      </c>
      <c r="M1144" s="187" t="s">
        <v>37</v>
      </c>
      <c r="N1144" s="132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</row>
    <row r="1145" spans="1:28" s="134" customFormat="1" ht="15" customHeight="1" outlineLevel="1" x14ac:dyDescent="0.2">
      <c r="A1145" s="122">
        <v>48</v>
      </c>
      <c r="B1145" s="135">
        <v>67569</v>
      </c>
      <c r="C1145" s="136">
        <v>41964</v>
      </c>
      <c r="D1145" s="137" t="s">
        <v>1680</v>
      </c>
      <c r="E1145" s="135" t="s">
        <v>1558</v>
      </c>
      <c r="F1145" s="138" t="s">
        <v>173</v>
      </c>
      <c r="G1145" s="139" t="s">
        <v>371</v>
      </c>
      <c r="H1145" s="140"/>
      <c r="I1145" s="141">
        <v>1</v>
      </c>
      <c r="J1145" s="142">
        <v>18764</v>
      </c>
      <c r="K1145" s="142">
        <v>18764</v>
      </c>
      <c r="L1145" s="182" t="s">
        <v>960</v>
      </c>
      <c r="M1145" s="187" t="s">
        <v>37</v>
      </c>
      <c r="N1145" s="132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</row>
    <row r="1146" spans="1:28" s="134" customFormat="1" ht="15" customHeight="1" outlineLevel="1" x14ac:dyDescent="0.2">
      <c r="A1146" s="122">
        <v>49</v>
      </c>
      <c r="B1146" s="135">
        <v>60971</v>
      </c>
      <c r="C1146" s="136">
        <v>41942</v>
      </c>
      <c r="D1146" s="137" t="s">
        <v>1681</v>
      </c>
      <c r="E1146" s="135" t="s">
        <v>521</v>
      </c>
      <c r="F1146" s="138" t="s">
        <v>115</v>
      </c>
      <c r="G1146" s="139" t="s">
        <v>410</v>
      </c>
      <c r="H1146" s="140"/>
      <c r="I1146" s="141">
        <v>1</v>
      </c>
      <c r="J1146" s="142">
        <v>33370</v>
      </c>
      <c r="K1146" s="142">
        <v>33370</v>
      </c>
      <c r="L1146" s="182" t="s">
        <v>960</v>
      </c>
      <c r="M1146" s="187" t="s">
        <v>37</v>
      </c>
      <c r="N1146" s="132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</row>
    <row r="1147" spans="1:28" s="134" customFormat="1" ht="15" customHeight="1" outlineLevel="1" x14ac:dyDescent="0.2">
      <c r="A1147" s="122">
        <v>50</v>
      </c>
      <c r="B1147" s="135">
        <v>60591</v>
      </c>
      <c r="C1147" s="136">
        <v>41947</v>
      </c>
      <c r="D1147" s="137" t="s">
        <v>1682</v>
      </c>
      <c r="E1147" s="135" t="s">
        <v>545</v>
      </c>
      <c r="F1147" s="138" t="s">
        <v>682</v>
      </c>
      <c r="G1147" s="139" t="s">
        <v>369</v>
      </c>
      <c r="H1147" s="140"/>
      <c r="I1147" s="141">
        <v>1</v>
      </c>
      <c r="J1147" s="142">
        <v>55058</v>
      </c>
      <c r="K1147" s="142">
        <v>55058</v>
      </c>
      <c r="L1147" s="182" t="s">
        <v>960</v>
      </c>
      <c r="M1147" s="187" t="s">
        <v>37</v>
      </c>
      <c r="N1147" s="132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</row>
    <row r="1148" spans="1:28" s="134" customFormat="1" ht="15" customHeight="1" outlineLevel="1" x14ac:dyDescent="0.2">
      <c r="A1148" s="122">
        <v>51</v>
      </c>
      <c r="B1148" s="135">
        <v>69050</v>
      </c>
      <c r="C1148" s="136">
        <v>41968</v>
      </c>
      <c r="D1148" s="137" t="s">
        <v>1683</v>
      </c>
      <c r="E1148" s="135" t="s">
        <v>545</v>
      </c>
      <c r="F1148" s="138" t="s">
        <v>682</v>
      </c>
      <c r="G1148" s="139" t="s">
        <v>387</v>
      </c>
      <c r="H1148" s="140"/>
      <c r="I1148" s="141">
        <v>2</v>
      </c>
      <c r="J1148" s="142">
        <v>55058</v>
      </c>
      <c r="K1148" s="142">
        <v>110116</v>
      </c>
      <c r="L1148" s="182" t="s">
        <v>960</v>
      </c>
      <c r="M1148" s="187" t="s">
        <v>37</v>
      </c>
      <c r="N1148" s="132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</row>
    <row r="1149" spans="1:28" s="134" customFormat="1" ht="15" customHeight="1" outlineLevel="1" x14ac:dyDescent="0.2">
      <c r="A1149" s="122">
        <v>52</v>
      </c>
      <c r="B1149" s="135">
        <v>66030</v>
      </c>
      <c r="C1149" s="136">
        <v>41961</v>
      </c>
      <c r="D1149" s="137" t="s">
        <v>1582</v>
      </c>
      <c r="E1149" s="135" t="s">
        <v>545</v>
      </c>
      <c r="F1149" s="138" t="s">
        <v>115</v>
      </c>
      <c r="G1149" s="139" t="s">
        <v>527</v>
      </c>
      <c r="H1149" s="140"/>
      <c r="I1149" s="141">
        <v>1</v>
      </c>
      <c r="J1149" s="142">
        <v>33370</v>
      </c>
      <c r="K1149" s="142">
        <v>33370</v>
      </c>
      <c r="L1149" s="182" t="s">
        <v>960</v>
      </c>
      <c r="M1149" s="187" t="s">
        <v>37</v>
      </c>
      <c r="N1149" s="132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</row>
    <row r="1150" spans="1:28" s="134" customFormat="1" ht="15" customHeight="1" outlineLevel="1" x14ac:dyDescent="0.2">
      <c r="A1150" s="122">
        <v>54</v>
      </c>
      <c r="B1150" s="135">
        <v>68019</v>
      </c>
      <c r="C1150" s="136">
        <v>41964</v>
      </c>
      <c r="D1150" s="137" t="s">
        <v>1684</v>
      </c>
      <c r="E1150" s="135" t="s">
        <v>545</v>
      </c>
      <c r="F1150" s="138" t="s">
        <v>577</v>
      </c>
      <c r="G1150" s="139" t="s">
        <v>392</v>
      </c>
      <c r="H1150" s="140"/>
      <c r="I1150" s="141">
        <v>1</v>
      </c>
      <c r="J1150" s="142">
        <v>49701</v>
      </c>
      <c r="K1150" s="142">
        <v>49701</v>
      </c>
      <c r="L1150" s="182" t="s">
        <v>960</v>
      </c>
      <c r="M1150" s="187" t="s">
        <v>37</v>
      </c>
      <c r="N1150" s="132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</row>
    <row r="1151" spans="1:28" s="134" customFormat="1" ht="15" customHeight="1" outlineLevel="1" x14ac:dyDescent="0.2">
      <c r="A1151" s="122">
        <v>53</v>
      </c>
      <c r="B1151" s="135">
        <v>61380</v>
      </c>
      <c r="C1151" s="136">
        <v>41948</v>
      </c>
      <c r="D1151" s="137" t="s">
        <v>1684</v>
      </c>
      <c r="E1151" s="135" t="s">
        <v>545</v>
      </c>
      <c r="F1151" s="138" t="s">
        <v>537</v>
      </c>
      <c r="G1151" s="139" t="s">
        <v>1685</v>
      </c>
      <c r="H1151" s="140"/>
      <c r="I1151" s="141">
        <v>2</v>
      </c>
      <c r="J1151" s="142">
        <v>30429</v>
      </c>
      <c r="K1151" s="142">
        <v>60858</v>
      </c>
      <c r="L1151" s="182" t="s">
        <v>960</v>
      </c>
      <c r="M1151" s="187" t="s">
        <v>37</v>
      </c>
      <c r="N1151" s="132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</row>
    <row r="1152" spans="1:28" s="134" customFormat="1" ht="15" customHeight="1" outlineLevel="1" x14ac:dyDescent="0.2">
      <c r="A1152" s="122">
        <v>55</v>
      </c>
      <c r="B1152" s="135">
        <v>61934</v>
      </c>
      <c r="C1152" s="136">
        <v>41948</v>
      </c>
      <c r="D1152" s="137" t="s">
        <v>1686</v>
      </c>
      <c r="E1152" s="135" t="s">
        <v>545</v>
      </c>
      <c r="F1152" s="138" t="s">
        <v>217</v>
      </c>
      <c r="G1152" s="139" t="s">
        <v>371</v>
      </c>
      <c r="H1152" s="140"/>
      <c r="I1152" s="141">
        <v>1</v>
      </c>
      <c r="J1152" s="142">
        <v>44597</v>
      </c>
      <c r="K1152" s="142">
        <v>44597</v>
      </c>
      <c r="L1152" s="182" t="s">
        <v>960</v>
      </c>
      <c r="M1152" s="187" t="s">
        <v>37</v>
      </c>
      <c r="N1152" s="132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</row>
    <row r="1153" spans="1:28" s="134" customFormat="1" ht="15" customHeight="1" outlineLevel="1" x14ac:dyDescent="0.2">
      <c r="A1153" s="122">
        <v>47</v>
      </c>
      <c r="B1153" s="122">
        <v>84827</v>
      </c>
      <c r="C1153" s="123">
        <v>42004</v>
      </c>
      <c r="D1153" s="124" t="s">
        <v>1687</v>
      </c>
      <c r="E1153" s="122" t="s">
        <v>545</v>
      </c>
      <c r="F1153" s="200" t="s">
        <v>217</v>
      </c>
      <c r="G1153" s="126" t="s">
        <v>371</v>
      </c>
      <c r="H1153" s="127"/>
      <c r="I1153" s="128">
        <v>1</v>
      </c>
      <c r="J1153" s="129">
        <v>44597</v>
      </c>
      <c r="K1153" s="129">
        <v>44597</v>
      </c>
      <c r="L1153" s="189" t="s">
        <v>623</v>
      </c>
      <c r="M1153" s="187" t="s">
        <v>37</v>
      </c>
      <c r="N1153" s="132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</row>
    <row r="1154" spans="1:28" s="134" customFormat="1" ht="15" customHeight="1" outlineLevel="1" x14ac:dyDescent="0.2">
      <c r="A1154" s="122">
        <v>41</v>
      </c>
      <c r="B1154" s="122">
        <v>84223</v>
      </c>
      <c r="C1154" s="123">
        <v>42003</v>
      </c>
      <c r="D1154" s="124" t="s">
        <v>1688</v>
      </c>
      <c r="E1154" s="122" t="s">
        <v>545</v>
      </c>
      <c r="F1154" s="125" t="s">
        <v>115</v>
      </c>
      <c r="G1154" s="126" t="s">
        <v>886</v>
      </c>
      <c r="H1154" s="127"/>
      <c r="I1154" s="128">
        <v>1</v>
      </c>
      <c r="J1154" s="129">
        <v>33370</v>
      </c>
      <c r="K1154" s="129">
        <v>33370</v>
      </c>
      <c r="L1154" s="189" t="s">
        <v>623</v>
      </c>
      <c r="M1154" s="187" t="s">
        <v>37</v>
      </c>
      <c r="N1154" s="132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</row>
    <row r="1155" spans="1:28" s="134" customFormat="1" ht="15" customHeight="1" outlineLevel="1" x14ac:dyDescent="0.2">
      <c r="A1155" s="122">
        <v>32</v>
      </c>
      <c r="B1155" s="122">
        <v>52973</v>
      </c>
      <c r="C1155" s="123">
        <v>41985</v>
      </c>
      <c r="D1155" s="124" t="s">
        <v>1689</v>
      </c>
      <c r="E1155" s="122" t="s">
        <v>521</v>
      </c>
      <c r="F1155" s="125" t="s">
        <v>197</v>
      </c>
      <c r="G1155" s="126" t="s">
        <v>1690</v>
      </c>
      <c r="H1155" s="127"/>
      <c r="I1155" s="128">
        <v>2</v>
      </c>
      <c r="J1155" s="129">
        <v>2739</v>
      </c>
      <c r="K1155" s="129">
        <v>5478</v>
      </c>
      <c r="L1155" s="189" t="s">
        <v>623</v>
      </c>
      <c r="M1155" s="187" t="s">
        <v>37</v>
      </c>
      <c r="N1155" s="132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</row>
    <row r="1156" spans="1:28" s="134" customFormat="1" ht="15" customHeight="1" outlineLevel="1" x14ac:dyDescent="0.2">
      <c r="A1156" s="122">
        <v>13</v>
      </c>
      <c r="B1156" s="122">
        <v>74264</v>
      </c>
      <c r="C1156" s="123">
        <v>41983</v>
      </c>
      <c r="D1156" s="124" t="s">
        <v>1691</v>
      </c>
      <c r="E1156" s="122" t="s">
        <v>545</v>
      </c>
      <c r="F1156" s="125" t="s">
        <v>116</v>
      </c>
      <c r="G1156" s="126" t="s">
        <v>1692</v>
      </c>
      <c r="H1156" s="127"/>
      <c r="I1156" s="128">
        <v>12</v>
      </c>
      <c r="J1156" s="129">
        <v>5274</v>
      </c>
      <c r="K1156" s="129">
        <v>63288</v>
      </c>
      <c r="L1156" s="189" t="s">
        <v>623</v>
      </c>
      <c r="M1156" s="187" t="s">
        <v>37</v>
      </c>
      <c r="N1156" s="132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</row>
    <row r="1157" spans="1:28" s="134" customFormat="1" ht="15" customHeight="1" outlineLevel="1" x14ac:dyDescent="0.2">
      <c r="A1157" s="122">
        <v>8</v>
      </c>
      <c r="B1157" s="122">
        <v>72388</v>
      </c>
      <c r="C1157" s="123">
        <v>41983</v>
      </c>
      <c r="D1157" s="124" t="s">
        <v>1693</v>
      </c>
      <c r="E1157" s="122" t="s">
        <v>545</v>
      </c>
      <c r="F1157" s="125" t="s">
        <v>217</v>
      </c>
      <c r="G1157" s="126" t="s">
        <v>371</v>
      </c>
      <c r="H1157" s="127"/>
      <c r="I1157" s="128">
        <v>1</v>
      </c>
      <c r="J1157" s="129">
        <v>44597</v>
      </c>
      <c r="K1157" s="129">
        <v>44597</v>
      </c>
      <c r="L1157" s="189" t="s">
        <v>623</v>
      </c>
      <c r="M1157" s="187" t="s">
        <v>37</v>
      </c>
      <c r="N1157" s="132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</row>
    <row r="1158" spans="1:28" s="134" customFormat="1" ht="15" customHeight="1" outlineLevel="1" x14ac:dyDescent="0.2">
      <c r="A1158" s="122">
        <v>1</v>
      </c>
      <c r="B1158" s="122">
        <v>72962</v>
      </c>
      <c r="C1158" s="123">
        <v>41983</v>
      </c>
      <c r="D1158" s="124" t="s">
        <v>1694</v>
      </c>
      <c r="E1158" s="122" t="s">
        <v>545</v>
      </c>
      <c r="F1158" s="125" t="s">
        <v>217</v>
      </c>
      <c r="G1158" s="126" t="s">
        <v>387</v>
      </c>
      <c r="H1158" s="127"/>
      <c r="I1158" s="128">
        <v>2</v>
      </c>
      <c r="J1158" s="129">
        <v>44597</v>
      </c>
      <c r="K1158" s="129">
        <v>89194</v>
      </c>
      <c r="L1158" s="189" t="s">
        <v>623</v>
      </c>
      <c r="M1158" s="187" t="s">
        <v>37</v>
      </c>
      <c r="N1158" s="132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</row>
    <row r="1159" spans="1:28" s="134" customFormat="1" ht="15" customHeight="1" outlineLevel="1" x14ac:dyDescent="0.2">
      <c r="A1159" s="122">
        <v>5</v>
      </c>
      <c r="B1159" s="122">
        <v>72150</v>
      </c>
      <c r="C1159" s="123">
        <v>41976</v>
      </c>
      <c r="D1159" s="124" t="s">
        <v>1695</v>
      </c>
      <c r="E1159" s="122" t="s">
        <v>545</v>
      </c>
      <c r="F1159" s="125" t="s">
        <v>115</v>
      </c>
      <c r="G1159" s="126" t="s">
        <v>562</v>
      </c>
      <c r="H1159" s="127"/>
      <c r="I1159" s="128">
        <v>1</v>
      </c>
      <c r="J1159" s="129">
        <v>33370</v>
      </c>
      <c r="K1159" s="129">
        <v>33370</v>
      </c>
      <c r="L1159" s="189" t="s">
        <v>623</v>
      </c>
      <c r="M1159" s="187" t="s">
        <v>37</v>
      </c>
      <c r="N1159" s="132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</row>
    <row r="1160" spans="1:28" s="134" customFormat="1" ht="15" customHeight="1" outlineLevel="1" x14ac:dyDescent="0.2">
      <c r="A1160" s="122">
        <v>18</v>
      </c>
      <c r="B1160" s="122">
        <v>73756</v>
      </c>
      <c r="C1160" s="123">
        <v>41982</v>
      </c>
      <c r="D1160" s="124" t="s">
        <v>1696</v>
      </c>
      <c r="E1160" s="122" t="s">
        <v>545</v>
      </c>
      <c r="F1160" s="125" t="s">
        <v>217</v>
      </c>
      <c r="G1160" s="126" t="s">
        <v>371</v>
      </c>
      <c r="H1160" s="127"/>
      <c r="I1160" s="128">
        <v>1</v>
      </c>
      <c r="J1160" s="129">
        <v>44597</v>
      </c>
      <c r="K1160" s="129">
        <v>44597</v>
      </c>
      <c r="L1160" s="189" t="s">
        <v>623</v>
      </c>
      <c r="M1160" s="187" t="s">
        <v>37</v>
      </c>
      <c r="N1160" s="132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</row>
    <row r="1161" spans="1:28" s="134" customFormat="1" ht="15" customHeight="1" outlineLevel="1" x14ac:dyDescent="0.2">
      <c r="A1161" s="122">
        <v>7</v>
      </c>
      <c r="B1161" s="122">
        <v>72487</v>
      </c>
      <c r="C1161" s="123">
        <v>41978</v>
      </c>
      <c r="D1161" s="124" t="s">
        <v>1589</v>
      </c>
      <c r="E1161" s="122" t="s">
        <v>545</v>
      </c>
      <c r="F1161" s="125" t="s">
        <v>115</v>
      </c>
      <c r="G1161" s="126" t="s">
        <v>594</v>
      </c>
      <c r="H1161" s="127"/>
      <c r="I1161" s="128">
        <v>1</v>
      </c>
      <c r="J1161" s="129">
        <v>33370</v>
      </c>
      <c r="K1161" s="129">
        <v>33370</v>
      </c>
      <c r="L1161" s="189" t="s">
        <v>623</v>
      </c>
      <c r="M1161" s="187" t="s">
        <v>37</v>
      </c>
      <c r="N1161" s="132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</row>
    <row r="1162" spans="1:28" s="134" customFormat="1" ht="15" customHeight="1" outlineLevel="1" x14ac:dyDescent="0.2">
      <c r="A1162" s="122">
        <v>20</v>
      </c>
      <c r="B1162" s="122">
        <v>80662</v>
      </c>
      <c r="C1162" s="123">
        <v>41990</v>
      </c>
      <c r="D1162" s="124" t="s">
        <v>1697</v>
      </c>
      <c r="E1162" s="122" t="s">
        <v>521</v>
      </c>
      <c r="F1162" s="125" t="s">
        <v>537</v>
      </c>
      <c r="G1162" s="126" t="s">
        <v>392</v>
      </c>
      <c r="H1162" s="127"/>
      <c r="I1162" s="128">
        <v>1</v>
      </c>
      <c r="J1162" s="129">
        <v>30429</v>
      </c>
      <c r="K1162" s="129">
        <v>30429</v>
      </c>
      <c r="L1162" s="189" t="s">
        <v>623</v>
      </c>
      <c r="M1162" s="187" t="s">
        <v>37</v>
      </c>
      <c r="N1162" s="132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</row>
    <row r="1163" spans="1:28" s="134" customFormat="1" ht="15" customHeight="1" outlineLevel="1" x14ac:dyDescent="0.2">
      <c r="A1163" s="122">
        <v>26</v>
      </c>
      <c r="B1163" s="122">
        <v>53141</v>
      </c>
      <c r="C1163" s="123">
        <v>41988</v>
      </c>
      <c r="D1163" s="124" t="s">
        <v>1698</v>
      </c>
      <c r="E1163" s="122" t="s">
        <v>545</v>
      </c>
      <c r="F1163" s="200" t="s">
        <v>217</v>
      </c>
      <c r="G1163" s="126" t="s">
        <v>371</v>
      </c>
      <c r="H1163" s="127"/>
      <c r="I1163" s="128">
        <v>1</v>
      </c>
      <c r="J1163" s="129">
        <v>44597</v>
      </c>
      <c r="K1163" s="129">
        <v>44597</v>
      </c>
      <c r="L1163" s="189" t="s">
        <v>623</v>
      </c>
      <c r="M1163" s="187" t="s">
        <v>37</v>
      </c>
      <c r="N1163" s="132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</row>
    <row r="1164" spans="1:28" s="134" customFormat="1" ht="15" customHeight="1" outlineLevel="1" x14ac:dyDescent="0.2">
      <c r="A1164" s="122">
        <v>15</v>
      </c>
      <c r="B1164" s="122">
        <v>73787</v>
      </c>
      <c r="C1164" s="123">
        <v>41982</v>
      </c>
      <c r="D1164" s="124" t="s">
        <v>1699</v>
      </c>
      <c r="E1164" s="122" t="s">
        <v>1644</v>
      </c>
      <c r="F1164" s="125" t="s">
        <v>197</v>
      </c>
      <c r="G1164" s="126" t="s">
        <v>812</v>
      </c>
      <c r="H1164" s="127"/>
      <c r="I1164" s="128">
        <v>3</v>
      </c>
      <c r="J1164" s="129">
        <v>2739</v>
      </c>
      <c r="K1164" s="129">
        <v>8217</v>
      </c>
      <c r="L1164" s="189" t="s">
        <v>623</v>
      </c>
      <c r="M1164" s="187" t="s">
        <v>37</v>
      </c>
      <c r="N1164" s="132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</row>
    <row r="1165" spans="1:28" s="134" customFormat="1" ht="15" customHeight="1" outlineLevel="1" x14ac:dyDescent="0.2">
      <c r="A1165" s="122">
        <v>42</v>
      </c>
      <c r="B1165" s="122">
        <v>84213</v>
      </c>
      <c r="C1165" s="123">
        <v>42002</v>
      </c>
      <c r="D1165" s="124" t="s">
        <v>1699</v>
      </c>
      <c r="E1165" s="122" t="s">
        <v>1644</v>
      </c>
      <c r="F1165" s="125" t="s">
        <v>622</v>
      </c>
      <c r="G1165" s="126" t="s">
        <v>371</v>
      </c>
      <c r="H1165" s="127"/>
      <c r="I1165" s="128">
        <v>1</v>
      </c>
      <c r="J1165" s="129">
        <v>15722</v>
      </c>
      <c r="K1165" s="129">
        <v>15722</v>
      </c>
      <c r="L1165" s="189" t="s">
        <v>623</v>
      </c>
      <c r="M1165" s="187" t="s">
        <v>37</v>
      </c>
      <c r="N1165" s="132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</row>
    <row r="1166" spans="1:28" s="134" customFormat="1" ht="15" customHeight="1" outlineLevel="1" x14ac:dyDescent="0.2">
      <c r="A1166" s="122">
        <v>27</v>
      </c>
      <c r="B1166" s="122">
        <v>53097</v>
      </c>
      <c r="C1166" s="123">
        <v>41989</v>
      </c>
      <c r="D1166" s="124" t="s">
        <v>1700</v>
      </c>
      <c r="E1166" s="122" t="s">
        <v>521</v>
      </c>
      <c r="F1166" s="125" t="s">
        <v>116</v>
      </c>
      <c r="G1166" s="126" t="s">
        <v>812</v>
      </c>
      <c r="H1166" s="127"/>
      <c r="I1166" s="128">
        <v>3</v>
      </c>
      <c r="J1166" s="129">
        <v>5274</v>
      </c>
      <c r="K1166" s="129">
        <v>15822</v>
      </c>
      <c r="L1166" s="189" t="s">
        <v>623</v>
      </c>
      <c r="M1166" s="187" t="s">
        <v>37</v>
      </c>
      <c r="N1166" s="132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</row>
    <row r="1167" spans="1:28" s="134" customFormat="1" ht="15" customHeight="1" outlineLevel="1" x14ac:dyDescent="0.2">
      <c r="A1167" s="122">
        <v>28</v>
      </c>
      <c r="B1167" s="122">
        <v>53097</v>
      </c>
      <c r="C1167" s="123">
        <v>41989</v>
      </c>
      <c r="D1167" s="124" t="s">
        <v>1700</v>
      </c>
      <c r="E1167" s="122" t="s">
        <v>521</v>
      </c>
      <c r="F1167" s="125" t="s">
        <v>210</v>
      </c>
      <c r="G1167" s="126" t="s">
        <v>534</v>
      </c>
      <c r="H1167" s="127"/>
      <c r="I1167" s="128">
        <v>1</v>
      </c>
      <c r="J1167" s="129">
        <v>14099</v>
      </c>
      <c r="K1167" s="129">
        <v>14099</v>
      </c>
      <c r="L1167" s="189" t="s">
        <v>623</v>
      </c>
      <c r="M1167" s="187" t="s">
        <v>37</v>
      </c>
      <c r="N1167" s="132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</row>
    <row r="1168" spans="1:28" s="134" customFormat="1" ht="15" customHeight="1" outlineLevel="1" x14ac:dyDescent="0.2">
      <c r="A1168" s="122">
        <v>21</v>
      </c>
      <c r="B1168" s="122">
        <v>81000</v>
      </c>
      <c r="C1168" s="123">
        <v>41991</v>
      </c>
      <c r="D1168" s="124" t="s">
        <v>1701</v>
      </c>
      <c r="E1168" s="122" t="s">
        <v>1595</v>
      </c>
      <c r="F1168" s="125" t="s">
        <v>217</v>
      </c>
      <c r="G1168" s="126" t="s">
        <v>369</v>
      </c>
      <c r="H1168" s="127"/>
      <c r="I1168" s="128">
        <v>1</v>
      </c>
      <c r="J1168" s="129">
        <v>44597</v>
      </c>
      <c r="K1168" s="129">
        <v>44597</v>
      </c>
      <c r="L1168" s="189" t="s">
        <v>623</v>
      </c>
      <c r="M1168" s="187" t="s">
        <v>37</v>
      </c>
      <c r="N1168" s="132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</row>
    <row r="1169" spans="1:28" s="134" customFormat="1" ht="15" customHeight="1" outlineLevel="1" x14ac:dyDescent="0.2">
      <c r="A1169" s="122">
        <v>14</v>
      </c>
      <c r="B1169" s="122">
        <v>73760</v>
      </c>
      <c r="C1169" s="123">
        <v>41983</v>
      </c>
      <c r="D1169" s="124" t="s">
        <v>1702</v>
      </c>
      <c r="E1169" s="122" t="s">
        <v>545</v>
      </c>
      <c r="F1169" s="125" t="s">
        <v>115</v>
      </c>
      <c r="G1169" s="126" t="s">
        <v>410</v>
      </c>
      <c r="H1169" s="127"/>
      <c r="I1169" s="128">
        <v>1</v>
      </c>
      <c r="J1169" s="129">
        <v>33370</v>
      </c>
      <c r="K1169" s="129">
        <v>33370</v>
      </c>
      <c r="L1169" s="189" t="s">
        <v>623</v>
      </c>
      <c r="M1169" s="187" t="s">
        <v>37</v>
      </c>
      <c r="N1169" s="132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</row>
    <row r="1170" spans="1:28" s="134" customFormat="1" ht="15" customHeight="1" outlineLevel="1" x14ac:dyDescent="0.2">
      <c r="A1170" s="122">
        <v>25</v>
      </c>
      <c r="B1170" s="122">
        <v>80128</v>
      </c>
      <c r="C1170" s="123">
        <v>41985</v>
      </c>
      <c r="D1170" s="124" t="s">
        <v>1703</v>
      </c>
      <c r="E1170" s="122" t="s">
        <v>521</v>
      </c>
      <c r="F1170" s="125" t="s">
        <v>188</v>
      </c>
      <c r="G1170" s="126" t="s">
        <v>407</v>
      </c>
      <c r="H1170" s="127"/>
      <c r="I1170" s="128">
        <v>1</v>
      </c>
      <c r="J1170" s="129">
        <v>42601</v>
      </c>
      <c r="K1170" s="129">
        <v>42601</v>
      </c>
      <c r="L1170" s="189" t="s">
        <v>623</v>
      </c>
      <c r="M1170" s="187" t="s">
        <v>37</v>
      </c>
      <c r="N1170" s="132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</row>
    <row r="1171" spans="1:28" s="134" customFormat="1" ht="15" customHeight="1" outlineLevel="1" x14ac:dyDescent="0.2">
      <c r="A1171" s="122">
        <v>6</v>
      </c>
      <c r="B1171" s="122">
        <v>72141</v>
      </c>
      <c r="C1171" s="123">
        <v>41976</v>
      </c>
      <c r="D1171" s="124" t="s">
        <v>1704</v>
      </c>
      <c r="E1171" s="122" t="s">
        <v>545</v>
      </c>
      <c r="F1171" s="125" t="s">
        <v>217</v>
      </c>
      <c r="G1171" s="126" t="s">
        <v>371</v>
      </c>
      <c r="H1171" s="127"/>
      <c r="I1171" s="128">
        <v>1</v>
      </c>
      <c r="J1171" s="129">
        <v>44597</v>
      </c>
      <c r="K1171" s="129">
        <v>44597</v>
      </c>
      <c r="L1171" s="189" t="s">
        <v>623</v>
      </c>
      <c r="M1171" s="187" t="s">
        <v>37</v>
      </c>
      <c r="N1171" s="132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</row>
    <row r="1172" spans="1:28" s="134" customFormat="1" ht="15" customHeight="1" outlineLevel="1" x14ac:dyDescent="0.2">
      <c r="A1172" s="122">
        <v>2</v>
      </c>
      <c r="B1172" s="122">
        <v>71367</v>
      </c>
      <c r="C1172" s="123">
        <v>41973</v>
      </c>
      <c r="D1172" s="124" t="s">
        <v>1705</v>
      </c>
      <c r="E1172" s="122" t="s">
        <v>545</v>
      </c>
      <c r="F1172" s="125" t="s">
        <v>682</v>
      </c>
      <c r="G1172" s="126" t="s">
        <v>387</v>
      </c>
      <c r="H1172" s="127"/>
      <c r="I1172" s="128">
        <v>2</v>
      </c>
      <c r="J1172" s="129">
        <v>55058</v>
      </c>
      <c r="K1172" s="129">
        <v>110116</v>
      </c>
      <c r="L1172" s="189" t="s">
        <v>623</v>
      </c>
      <c r="M1172" s="187" t="s">
        <v>37</v>
      </c>
      <c r="N1172" s="132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</row>
    <row r="1173" spans="1:28" s="134" customFormat="1" ht="15" customHeight="1" outlineLevel="1" x14ac:dyDescent="0.2">
      <c r="A1173" s="122">
        <v>23</v>
      </c>
      <c r="B1173" s="122">
        <v>80881</v>
      </c>
      <c r="C1173" s="123">
        <v>41990</v>
      </c>
      <c r="D1173" s="124" t="s">
        <v>1665</v>
      </c>
      <c r="E1173" s="122" t="s">
        <v>1603</v>
      </c>
      <c r="F1173" s="125" t="s">
        <v>115</v>
      </c>
      <c r="G1173" s="126" t="s">
        <v>417</v>
      </c>
      <c r="H1173" s="127"/>
      <c r="I1173" s="128">
        <v>1</v>
      </c>
      <c r="J1173" s="129">
        <v>33370</v>
      </c>
      <c r="K1173" s="129">
        <v>33370</v>
      </c>
      <c r="L1173" s="189" t="s">
        <v>623</v>
      </c>
      <c r="M1173" s="187" t="s">
        <v>37</v>
      </c>
      <c r="N1173" s="132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</row>
    <row r="1174" spans="1:28" s="134" customFormat="1" ht="15" customHeight="1" outlineLevel="1" x14ac:dyDescent="0.2">
      <c r="A1174" s="122">
        <v>34</v>
      </c>
      <c r="B1174" s="122">
        <v>82443</v>
      </c>
      <c r="C1174" s="123">
        <v>41993</v>
      </c>
      <c r="D1174" s="124" t="s">
        <v>1706</v>
      </c>
      <c r="E1174" s="122" t="s">
        <v>545</v>
      </c>
      <c r="F1174" s="125" t="s">
        <v>115</v>
      </c>
      <c r="G1174" s="126" t="s">
        <v>1707</v>
      </c>
      <c r="H1174" s="127"/>
      <c r="I1174" s="128">
        <v>2</v>
      </c>
      <c r="J1174" s="129">
        <v>33370</v>
      </c>
      <c r="K1174" s="129">
        <v>66740</v>
      </c>
      <c r="L1174" s="189" t="s">
        <v>623</v>
      </c>
      <c r="M1174" s="187" t="s">
        <v>37</v>
      </c>
      <c r="N1174" s="132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</row>
    <row r="1175" spans="1:28" s="134" customFormat="1" ht="15" customHeight="1" outlineLevel="1" x14ac:dyDescent="0.2">
      <c r="A1175" s="122">
        <v>19</v>
      </c>
      <c r="B1175" s="122">
        <v>73794</v>
      </c>
      <c r="C1175" s="123">
        <v>41982</v>
      </c>
      <c r="D1175" s="124" t="s">
        <v>1708</v>
      </c>
      <c r="E1175" s="122" t="s">
        <v>521</v>
      </c>
      <c r="F1175" s="125" t="s">
        <v>1579</v>
      </c>
      <c r="G1175" s="126" t="s">
        <v>472</v>
      </c>
      <c r="H1175" s="127"/>
      <c r="I1175" s="128">
        <v>1</v>
      </c>
      <c r="J1175" s="129">
        <v>63583</v>
      </c>
      <c r="K1175" s="129">
        <v>63583</v>
      </c>
      <c r="L1175" s="189" t="s">
        <v>623</v>
      </c>
      <c r="M1175" s="187" t="s">
        <v>37</v>
      </c>
      <c r="N1175" s="132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</row>
    <row r="1176" spans="1:28" s="134" customFormat="1" ht="15" customHeight="1" outlineLevel="1" x14ac:dyDescent="0.2">
      <c r="A1176" s="122">
        <v>4</v>
      </c>
      <c r="B1176" s="122">
        <v>72145</v>
      </c>
      <c r="C1176" s="123">
        <v>41976</v>
      </c>
      <c r="D1176" s="124" t="s">
        <v>1666</v>
      </c>
      <c r="E1176" s="122" t="s">
        <v>545</v>
      </c>
      <c r="F1176" s="125" t="s">
        <v>192</v>
      </c>
      <c r="G1176" s="126" t="s">
        <v>534</v>
      </c>
      <c r="H1176" s="127"/>
      <c r="I1176" s="128">
        <v>1</v>
      </c>
      <c r="J1176" s="129">
        <v>57960</v>
      </c>
      <c r="K1176" s="129">
        <v>57960</v>
      </c>
      <c r="L1176" s="189" t="s">
        <v>623</v>
      </c>
      <c r="M1176" s="187" t="s">
        <v>37</v>
      </c>
      <c r="N1176" s="132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</row>
    <row r="1177" spans="1:28" s="134" customFormat="1" ht="15" customHeight="1" outlineLevel="1" x14ac:dyDescent="0.2">
      <c r="A1177" s="122">
        <v>38</v>
      </c>
      <c r="B1177" s="122">
        <v>83402</v>
      </c>
      <c r="C1177" s="123">
        <v>41999</v>
      </c>
      <c r="D1177" s="124" t="s">
        <v>1709</v>
      </c>
      <c r="E1177" s="122" t="s">
        <v>521</v>
      </c>
      <c r="F1177" s="125" t="s">
        <v>210</v>
      </c>
      <c r="G1177" s="126" t="s">
        <v>431</v>
      </c>
      <c r="H1177" s="127"/>
      <c r="I1177" s="128">
        <v>1</v>
      </c>
      <c r="J1177" s="129">
        <v>14099</v>
      </c>
      <c r="K1177" s="129">
        <v>14099</v>
      </c>
      <c r="L1177" s="189" t="s">
        <v>623</v>
      </c>
      <c r="M1177" s="187" t="s">
        <v>37</v>
      </c>
      <c r="N1177" s="132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</row>
    <row r="1178" spans="1:28" s="134" customFormat="1" ht="15" customHeight="1" outlineLevel="1" x14ac:dyDescent="0.2">
      <c r="A1178" s="122">
        <v>33</v>
      </c>
      <c r="B1178" s="122">
        <v>52854</v>
      </c>
      <c r="C1178" s="123">
        <v>41985</v>
      </c>
      <c r="D1178" s="124" t="s">
        <v>1623</v>
      </c>
      <c r="E1178" s="122" t="s">
        <v>545</v>
      </c>
      <c r="F1178" s="125" t="s">
        <v>115</v>
      </c>
      <c r="G1178" s="126" t="s">
        <v>1710</v>
      </c>
      <c r="H1178" s="127"/>
      <c r="I1178" s="128">
        <v>4</v>
      </c>
      <c r="J1178" s="129">
        <v>33370</v>
      </c>
      <c r="K1178" s="129">
        <v>133480</v>
      </c>
      <c r="L1178" s="189" t="s">
        <v>623</v>
      </c>
      <c r="M1178" s="187" t="s">
        <v>37</v>
      </c>
      <c r="N1178" s="132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</row>
    <row r="1179" spans="1:28" s="134" customFormat="1" ht="15" customHeight="1" outlineLevel="1" x14ac:dyDescent="0.2">
      <c r="A1179" s="122">
        <v>45</v>
      </c>
      <c r="B1179" s="122">
        <v>84573</v>
      </c>
      <c r="C1179" s="123">
        <v>42004</v>
      </c>
      <c r="D1179" s="124" t="s">
        <v>1623</v>
      </c>
      <c r="E1179" s="122" t="s">
        <v>545</v>
      </c>
      <c r="F1179" s="125" t="s">
        <v>580</v>
      </c>
      <c r="G1179" s="126" t="s">
        <v>371</v>
      </c>
      <c r="H1179" s="127"/>
      <c r="I1179" s="128">
        <v>1</v>
      </c>
      <c r="J1179" s="129">
        <v>25800</v>
      </c>
      <c r="K1179" s="129">
        <v>25800</v>
      </c>
      <c r="L1179" s="189" t="s">
        <v>623</v>
      </c>
      <c r="M1179" s="187" t="s">
        <v>37</v>
      </c>
      <c r="N1179" s="132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</row>
    <row r="1180" spans="1:28" s="134" customFormat="1" ht="15" customHeight="1" outlineLevel="1" x14ac:dyDescent="0.2">
      <c r="A1180" s="122">
        <v>43</v>
      </c>
      <c r="B1180" s="122">
        <v>84267</v>
      </c>
      <c r="C1180" s="123">
        <v>42003</v>
      </c>
      <c r="D1180" s="124" t="s">
        <v>1711</v>
      </c>
      <c r="E1180" s="122" t="s">
        <v>545</v>
      </c>
      <c r="F1180" s="125" t="s">
        <v>580</v>
      </c>
      <c r="G1180" s="126" t="s">
        <v>371</v>
      </c>
      <c r="H1180" s="127"/>
      <c r="I1180" s="128">
        <v>1</v>
      </c>
      <c r="J1180" s="129">
        <v>25800</v>
      </c>
      <c r="K1180" s="129">
        <v>25800</v>
      </c>
      <c r="L1180" s="189" t="s">
        <v>623</v>
      </c>
      <c r="M1180" s="187" t="s">
        <v>37</v>
      </c>
      <c r="N1180" s="132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</row>
    <row r="1181" spans="1:28" s="134" customFormat="1" ht="15" customHeight="1" outlineLevel="1" x14ac:dyDescent="0.2">
      <c r="A1181" s="122">
        <v>24</v>
      </c>
      <c r="B1181" s="122">
        <v>80134</v>
      </c>
      <c r="C1181" s="123">
        <v>41988</v>
      </c>
      <c r="D1181" s="124" t="s">
        <v>1625</v>
      </c>
      <c r="E1181" s="122" t="s">
        <v>1603</v>
      </c>
      <c r="F1181" s="125" t="s">
        <v>115</v>
      </c>
      <c r="G1181" s="126" t="s">
        <v>392</v>
      </c>
      <c r="H1181" s="127"/>
      <c r="I1181" s="128">
        <v>1</v>
      </c>
      <c r="J1181" s="129">
        <v>33370</v>
      </c>
      <c r="K1181" s="129">
        <v>33370</v>
      </c>
      <c r="L1181" s="189" t="s">
        <v>623</v>
      </c>
      <c r="M1181" s="187" t="s">
        <v>37</v>
      </c>
      <c r="N1181" s="132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</row>
    <row r="1182" spans="1:28" s="134" customFormat="1" ht="15" customHeight="1" outlineLevel="1" x14ac:dyDescent="0.2">
      <c r="A1182" s="122">
        <v>12</v>
      </c>
      <c r="B1182" s="122">
        <v>74429</v>
      </c>
      <c r="C1182" s="123">
        <v>41984</v>
      </c>
      <c r="D1182" s="124" t="s">
        <v>1712</v>
      </c>
      <c r="E1182" s="122" t="s">
        <v>545</v>
      </c>
      <c r="F1182" s="125" t="s">
        <v>115</v>
      </c>
      <c r="G1182" s="126" t="s">
        <v>511</v>
      </c>
      <c r="H1182" s="127"/>
      <c r="I1182" s="128">
        <v>1</v>
      </c>
      <c r="J1182" s="129">
        <v>33370</v>
      </c>
      <c r="K1182" s="129">
        <v>33370</v>
      </c>
      <c r="L1182" s="189" t="s">
        <v>623</v>
      </c>
      <c r="M1182" s="187" t="s">
        <v>37</v>
      </c>
      <c r="N1182" s="132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</row>
    <row r="1183" spans="1:28" s="134" customFormat="1" ht="15" customHeight="1" outlineLevel="1" x14ac:dyDescent="0.2">
      <c r="A1183" s="122">
        <v>3</v>
      </c>
      <c r="B1183" s="122">
        <v>71362</v>
      </c>
      <c r="C1183" s="123">
        <v>41975</v>
      </c>
      <c r="D1183" s="124" t="s">
        <v>1713</v>
      </c>
      <c r="E1183" s="122" t="s">
        <v>521</v>
      </c>
      <c r="F1183" s="125" t="s">
        <v>682</v>
      </c>
      <c r="G1183" s="126" t="s">
        <v>522</v>
      </c>
      <c r="H1183" s="127"/>
      <c r="I1183" s="128">
        <v>1</v>
      </c>
      <c r="J1183" s="129">
        <v>55058</v>
      </c>
      <c r="K1183" s="129">
        <v>55058</v>
      </c>
      <c r="L1183" s="189" t="s">
        <v>623</v>
      </c>
      <c r="M1183" s="187" t="s">
        <v>37</v>
      </c>
      <c r="N1183" s="132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</row>
    <row r="1184" spans="1:28" s="134" customFormat="1" ht="15" customHeight="1" outlineLevel="1" x14ac:dyDescent="0.2">
      <c r="A1184" s="122">
        <v>44</v>
      </c>
      <c r="B1184" s="122">
        <v>84055</v>
      </c>
      <c r="C1184" s="123">
        <v>42004</v>
      </c>
      <c r="D1184" s="124" t="s">
        <v>1714</v>
      </c>
      <c r="E1184" s="122" t="s">
        <v>521</v>
      </c>
      <c r="F1184" s="125" t="s">
        <v>210</v>
      </c>
      <c r="G1184" s="126" t="s">
        <v>445</v>
      </c>
      <c r="H1184" s="127"/>
      <c r="I1184" s="128">
        <v>1</v>
      </c>
      <c r="J1184" s="129">
        <v>14099</v>
      </c>
      <c r="K1184" s="129">
        <v>14099</v>
      </c>
      <c r="L1184" s="189" t="s">
        <v>623</v>
      </c>
      <c r="M1184" s="187" t="s">
        <v>37</v>
      </c>
      <c r="N1184" s="132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</row>
    <row r="1185" spans="1:28" s="134" customFormat="1" ht="15" customHeight="1" outlineLevel="1" x14ac:dyDescent="0.2">
      <c r="A1185" s="122">
        <v>30</v>
      </c>
      <c r="B1185" s="122">
        <v>52816</v>
      </c>
      <c r="C1185" s="123">
        <v>41984</v>
      </c>
      <c r="D1185" s="124" t="s">
        <v>1715</v>
      </c>
      <c r="E1185" s="122" t="s">
        <v>545</v>
      </c>
      <c r="F1185" s="125" t="s">
        <v>116</v>
      </c>
      <c r="G1185" s="126" t="s">
        <v>645</v>
      </c>
      <c r="H1185" s="127"/>
      <c r="I1185" s="128">
        <v>1</v>
      </c>
      <c r="J1185" s="129">
        <v>5274</v>
      </c>
      <c r="K1185" s="129">
        <v>5274</v>
      </c>
      <c r="L1185" s="189" t="s">
        <v>623</v>
      </c>
      <c r="M1185" s="187" t="s">
        <v>37</v>
      </c>
      <c r="N1185" s="132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</row>
    <row r="1186" spans="1:28" s="134" customFormat="1" ht="15" customHeight="1" outlineLevel="1" x14ac:dyDescent="0.2">
      <c r="A1186" s="122">
        <v>31</v>
      </c>
      <c r="B1186" s="122">
        <v>52816</v>
      </c>
      <c r="C1186" s="123">
        <v>41984</v>
      </c>
      <c r="D1186" s="124" t="s">
        <v>1715</v>
      </c>
      <c r="E1186" s="122" t="s">
        <v>545</v>
      </c>
      <c r="F1186" s="125" t="s">
        <v>210</v>
      </c>
      <c r="G1186" s="126" t="s">
        <v>645</v>
      </c>
      <c r="H1186" s="127"/>
      <c r="I1186" s="128">
        <v>1</v>
      </c>
      <c r="J1186" s="129">
        <v>14099</v>
      </c>
      <c r="K1186" s="129">
        <v>14099</v>
      </c>
      <c r="L1186" s="189" t="s">
        <v>623</v>
      </c>
      <c r="M1186" s="187" t="s">
        <v>37</v>
      </c>
      <c r="N1186" s="132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</row>
    <row r="1187" spans="1:28" s="134" customFormat="1" ht="15" customHeight="1" outlineLevel="1" x14ac:dyDescent="0.2">
      <c r="A1187" s="122">
        <v>39</v>
      </c>
      <c r="B1187" s="122">
        <v>83796</v>
      </c>
      <c r="C1187" s="123">
        <v>42002</v>
      </c>
      <c r="D1187" s="124" t="s">
        <v>1716</v>
      </c>
      <c r="E1187" s="122" t="s">
        <v>545</v>
      </c>
      <c r="F1187" s="125" t="s">
        <v>537</v>
      </c>
      <c r="G1187" s="126" t="s">
        <v>472</v>
      </c>
      <c r="H1187" s="127"/>
      <c r="I1187" s="128">
        <v>1</v>
      </c>
      <c r="J1187" s="129">
        <v>30429</v>
      </c>
      <c r="K1187" s="129">
        <v>30429</v>
      </c>
      <c r="L1187" s="189" t="s">
        <v>623</v>
      </c>
      <c r="M1187" s="187" t="s">
        <v>37</v>
      </c>
      <c r="N1187" s="132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</row>
    <row r="1188" spans="1:28" s="134" customFormat="1" ht="15" customHeight="1" outlineLevel="1" x14ac:dyDescent="0.2">
      <c r="A1188" s="122">
        <v>16</v>
      </c>
      <c r="B1188" s="122">
        <v>73768</v>
      </c>
      <c r="C1188" s="123">
        <v>41983</v>
      </c>
      <c r="D1188" s="124" t="s">
        <v>1717</v>
      </c>
      <c r="E1188" s="122" t="s">
        <v>545</v>
      </c>
      <c r="F1188" s="125" t="s">
        <v>116</v>
      </c>
      <c r="G1188" s="126" t="s">
        <v>407</v>
      </c>
      <c r="H1188" s="127"/>
      <c r="I1188" s="128">
        <v>1</v>
      </c>
      <c r="J1188" s="129">
        <v>5274</v>
      </c>
      <c r="K1188" s="129">
        <v>5274</v>
      </c>
      <c r="L1188" s="189" t="s">
        <v>623</v>
      </c>
      <c r="M1188" s="187" t="s">
        <v>37</v>
      </c>
      <c r="N1188" s="132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</row>
    <row r="1189" spans="1:28" s="134" customFormat="1" ht="15" customHeight="1" outlineLevel="1" x14ac:dyDescent="0.2">
      <c r="A1189" s="122">
        <v>17</v>
      </c>
      <c r="B1189" s="122">
        <v>73768</v>
      </c>
      <c r="C1189" s="123">
        <v>41983</v>
      </c>
      <c r="D1189" s="124" t="s">
        <v>1717</v>
      </c>
      <c r="E1189" s="122" t="s">
        <v>545</v>
      </c>
      <c r="F1189" s="125" t="s">
        <v>210</v>
      </c>
      <c r="G1189" s="126" t="s">
        <v>407</v>
      </c>
      <c r="H1189" s="127"/>
      <c r="I1189" s="128">
        <v>1</v>
      </c>
      <c r="J1189" s="129">
        <v>14099</v>
      </c>
      <c r="K1189" s="129">
        <v>14099</v>
      </c>
      <c r="L1189" s="189" t="s">
        <v>623</v>
      </c>
      <c r="M1189" s="187" t="s">
        <v>37</v>
      </c>
      <c r="N1189" s="132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</row>
    <row r="1190" spans="1:28" s="134" customFormat="1" ht="15" customHeight="1" outlineLevel="1" x14ac:dyDescent="0.2">
      <c r="A1190" s="122">
        <v>37</v>
      </c>
      <c r="B1190" s="122">
        <v>82772</v>
      </c>
      <c r="C1190" s="123">
        <v>41996</v>
      </c>
      <c r="D1190" s="124" t="s">
        <v>1717</v>
      </c>
      <c r="E1190" s="122" t="s">
        <v>545</v>
      </c>
      <c r="F1190" s="125" t="s">
        <v>115</v>
      </c>
      <c r="G1190" s="126" t="s">
        <v>407</v>
      </c>
      <c r="H1190" s="127"/>
      <c r="I1190" s="128">
        <v>1</v>
      </c>
      <c r="J1190" s="129">
        <v>33370</v>
      </c>
      <c r="K1190" s="129">
        <v>33370</v>
      </c>
      <c r="L1190" s="189" t="s">
        <v>623</v>
      </c>
      <c r="M1190" s="187" t="s">
        <v>37</v>
      </c>
      <c r="N1190" s="132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</row>
    <row r="1191" spans="1:28" s="134" customFormat="1" ht="15" customHeight="1" outlineLevel="1" x14ac:dyDescent="0.2">
      <c r="A1191" s="122">
        <v>46</v>
      </c>
      <c r="B1191" s="122">
        <v>84638</v>
      </c>
      <c r="C1191" s="123">
        <v>42003</v>
      </c>
      <c r="D1191" s="124" t="s">
        <v>1718</v>
      </c>
      <c r="E1191" s="122" t="s">
        <v>545</v>
      </c>
      <c r="F1191" s="125" t="s">
        <v>682</v>
      </c>
      <c r="G1191" s="126" t="s">
        <v>369</v>
      </c>
      <c r="H1191" s="127"/>
      <c r="I1191" s="128">
        <v>1</v>
      </c>
      <c r="J1191" s="129">
        <v>55058</v>
      </c>
      <c r="K1191" s="129">
        <v>55058</v>
      </c>
      <c r="L1191" s="189" t="s">
        <v>623</v>
      </c>
      <c r="M1191" s="187" t="s">
        <v>37</v>
      </c>
      <c r="N1191" s="132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</row>
    <row r="1192" spans="1:28" s="134" customFormat="1" ht="15" customHeight="1" outlineLevel="1" x14ac:dyDescent="0.2">
      <c r="A1192" s="122">
        <v>36</v>
      </c>
      <c r="B1192" s="122">
        <v>82588</v>
      </c>
      <c r="C1192" s="123">
        <v>41996</v>
      </c>
      <c r="D1192" s="124" t="s">
        <v>1719</v>
      </c>
      <c r="E1192" s="122" t="s">
        <v>545</v>
      </c>
      <c r="F1192" s="125" t="s">
        <v>115</v>
      </c>
      <c r="G1192" s="126" t="s">
        <v>419</v>
      </c>
      <c r="H1192" s="127"/>
      <c r="I1192" s="128">
        <v>1</v>
      </c>
      <c r="J1192" s="129">
        <v>33370</v>
      </c>
      <c r="K1192" s="129">
        <v>33370</v>
      </c>
      <c r="L1192" s="189" t="s">
        <v>623</v>
      </c>
      <c r="M1192" s="187" t="s">
        <v>37</v>
      </c>
      <c r="N1192" s="132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</row>
    <row r="1193" spans="1:28" s="134" customFormat="1" ht="15" customHeight="1" outlineLevel="1" x14ac:dyDescent="0.2">
      <c r="A1193" s="122">
        <v>10</v>
      </c>
      <c r="B1193" s="122">
        <v>74980</v>
      </c>
      <c r="C1193" s="123">
        <v>41985</v>
      </c>
      <c r="D1193" s="124" t="s">
        <v>1720</v>
      </c>
      <c r="E1193" s="122" t="s">
        <v>545</v>
      </c>
      <c r="F1193" s="125" t="s">
        <v>116</v>
      </c>
      <c r="G1193" s="126" t="s">
        <v>442</v>
      </c>
      <c r="H1193" s="127"/>
      <c r="I1193" s="128">
        <v>1</v>
      </c>
      <c r="J1193" s="129">
        <v>5274</v>
      </c>
      <c r="K1193" s="129">
        <v>5274</v>
      </c>
      <c r="L1193" s="189" t="s">
        <v>623</v>
      </c>
      <c r="M1193" s="187" t="s">
        <v>37</v>
      </c>
      <c r="N1193" s="132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</row>
    <row r="1194" spans="1:28" s="134" customFormat="1" ht="15" customHeight="1" outlineLevel="1" x14ac:dyDescent="0.2">
      <c r="A1194" s="122">
        <v>11</v>
      </c>
      <c r="B1194" s="122">
        <v>74980</v>
      </c>
      <c r="C1194" s="123">
        <v>41985</v>
      </c>
      <c r="D1194" s="124" t="s">
        <v>1720</v>
      </c>
      <c r="E1194" s="122" t="s">
        <v>545</v>
      </c>
      <c r="F1194" s="125" t="s">
        <v>210</v>
      </c>
      <c r="G1194" s="126" t="s">
        <v>442</v>
      </c>
      <c r="H1194" s="127"/>
      <c r="I1194" s="128">
        <v>1</v>
      </c>
      <c r="J1194" s="129">
        <v>14099</v>
      </c>
      <c r="K1194" s="129">
        <v>14099</v>
      </c>
      <c r="L1194" s="189" t="s">
        <v>623</v>
      </c>
      <c r="M1194" s="187" t="s">
        <v>37</v>
      </c>
      <c r="N1194" s="132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</row>
    <row r="1195" spans="1:28" s="134" customFormat="1" ht="15" customHeight="1" outlineLevel="1" x14ac:dyDescent="0.2">
      <c r="A1195" s="122">
        <v>35</v>
      </c>
      <c r="B1195" s="122">
        <v>82617</v>
      </c>
      <c r="C1195" s="123">
        <v>42002</v>
      </c>
      <c r="D1195" s="124" t="s">
        <v>1721</v>
      </c>
      <c r="E1195" s="122" t="s">
        <v>545</v>
      </c>
      <c r="F1195" s="125" t="s">
        <v>116</v>
      </c>
      <c r="G1195" s="126" t="s">
        <v>1004</v>
      </c>
      <c r="H1195" s="127"/>
      <c r="I1195" s="128">
        <v>4</v>
      </c>
      <c r="J1195" s="129">
        <v>5274</v>
      </c>
      <c r="K1195" s="129">
        <v>21096</v>
      </c>
      <c r="L1195" s="189" t="s">
        <v>623</v>
      </c>
      <c r="M1195" s="187" t="s">
        <v>37</v>
      </c>
      <c r="N1195" s="132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</row>
    <row r="1196" spans="1:28" s="134" customFormat="1" ht="15" customHeight="1" outlineLevel="1" x14ac:dyDescent="0.2">
      <c r="A1196" s="122">
        <v>29</v>
      </c>
      <c r="B1196" s="122">
        <v>52815</v>
      </c>
      <c r="C1196" s="123">
        <v>41984</v>
      </c>
      <c r="D1196" s="124" t="s">
        <v>1722</v>
      </c>
      <c r="E1196" s="122" t="s">
        <v>1603</v>
      </c>
      <c r="F1196" s="200" t="s">
        <v>217</v>
      </c>
      <c r="G1196" s="126" t="s">
        <v>387</v>
      </c>
      <c r="H1196" s="127"/>
      <c r="I1196" s="128">
        <v>2</v>
      </c>
      <c r="J1196" s="129">
        <v>44597</v>
      </c>
      <c r="K1196" s="129">
        <v>89194</v>
      </c>
      <c r="L1196" s="189" t="s">
        <v>623</v>
      </c>
      <c r="M1196" s="187" t="s">
        <v>37</v>
      </c>
      <c r="N1196" s="132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</row>
    <row r="1197" spans="1:28" s="134" customFormat="1" ht="15" customHeight="1" outlineLevel="1" x14ac:dyDescent="0.2">
      <c r="A1197" s="122">
        <v>22</v>
      </c>
      <c r="B1197" s="122">
        <v>80874</v>
      </c>
      <c r="C1197" s="123">
        <v>41990</v>
      </c>
      <c r="D1197" s="124" t="s">
        <v>1723</v>
      </c>
      <c r="E1197" s="122" t="s">
        <v>521</v>
      </c>
      <c r="F1197" s="200" t="s">
        <v>1579</v>
      </c>
      <c r="G1197" s="126" t="s">
        <v>404</v>
      </c>
      <c r="H1197" s="127"/>
      <c r="I1197" s="128">
        <v>1</v>
      </c>
      <c r="J1197" s="129">
        <v>63583</v>
      </c>
      <c r="K1197" s="210">
        <v>63583</v>
      </c>
      <c r="L1197" s="189" t="s">
        <v>623</v>
      </c>
      <c r="M1197" s="187" t="s">
        <v>37</v>
      </c>
      <c r="N1197" s="132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</row>
    <row r="1198" spans="1:28" s="134" customFormat="1" ht="15" customHeight="1" outlineLevel="1" x14ac:dyDescent="0.2">
      <c r="A1198" s="122">
        <v>40</v>
      </c>
      <c r="B1198" s="122">
        <v>84590</v>
      </c>
      <c r="C1198" s="123">
        <v>42004</v>
      </c>
      <c r="D1198" s="124" t="s">
        <v>1724</v>
      </c>
      <c r="E1198" s="122" t="s">
        <v>545</v>
      </c>
      <c r="F1198" s="200" t="s">
        <v>1725</v>
      </c>
      <c r="G1198" s="126" t="s">
        <v>371</v>
      </c>
      <c r="H1198" s="127"/>
      <c r="I1198" s="128">
        <v>1</v>
      </c>
      <c r="J1198" s="129">
        <v>17250</v>
      </c>
      <c r="K1198" s="210">
        <v>17250</v>
      </c>
      <c r="L1198" s="189" t="s">
        <v>623</v>
      </c>
      <c r="M1198" s="187" t="s">
        <v>37</v>
      </c>
      <c r="N1198" s="132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</row>
    <row r="1199" spans="1:28" s="134" customFormat="1" ht="15" customHeight="1" outlineLevel="1" x14ac:dyDescent="0.2">
      <c r="A1199" s="122">
        <v>9</v>
      </c>
      <c r="B1199" s="122">
        <v>74971</v>
      </c>
      <c r="C1199" s="123">
        <v>41984</v>
      </c>
      <c r="D1199" s="124" t="s">
        <v>1726</v>
      </c>
      <c r="E1199" s="122" t="s">
        <v>545</v>
      </c>
      <c r="F1199" s="125" t="s">
        <v>1725</v>
      </c>
      <c r="G1199" s="126" t="s">
        <v>371</v>
      </c>
      <c r="H1199" s="127"/>
      <c r="I1199" s="128">
        <v>1</v>
      </c>
      <c r="J1199" s="129">
        <v>17250</v>
      </c>
      <c r="K1199" s="210">
        <v>17250</v>
      </c>
      <c r="L1199" s="189" t="s">
        <v>623</v>
      </c>
      <c r="M1199" s="187" t="s">
        <v>37</v>
      </c>
      <c r="N1199" s="132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</row>
    <row r="1200" spans="1:28" s="134" customFormat="1" ht="15" customHeight="1" outlineLevel="1" x14ac:dyDescent="0.2">
      <c r="A1200" s="135">
        <v>1</v>
      </c>
      <c r="B1200" s="135">
        <v>54268</v>
      </c>
      <c r="C1200" s="136">
        <v>41929</v>
      </c>
      <c r="D1200" s="137" t="s">
        <v>1727</v>
      </c>
      <c r="E1200" s="135" t="s">
        <v>543</v>
      </c>
      <c r="F1200" s="138" t="s">
        <v>116</v>
      </c>
      <c r="G1200" s="139" t="s">
        <v>419</v>
      </c>
      <c r="H1200" s="140"/>
      <c r="I1200" s="141">
        <v>1</v>
      </c>
      <c r="J1200" s="142">
        <v>5274</v>
      </c>
      <c r="K1200" s="142">
        <v>5274</v>
      </c>
      <c r="L1200" s="610" t="s">
        <v>620</v>
      </c>
      <c r="M1200" s="168" t="s">
        <v>38</v>
      </c>
      <c r="N1200" s="132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</row>
    <row r="1201" spans="1:28" s="134" customFormat="1" ht="15" customHeight="1" outlineLevel="1" x14ac:dyDescent="0.2">
      <c r="A1201" s="135">
        <v>2</v>
      </c>
      <c r="B1201" s="135">
        <v>58334</v>
      </c>
      <c r="C1201" s="136">
        <v>41936</v>
      </c>
      <c r="D1201" s="137" t="s">
        <v>1728</v>
      </c>
      <c r="E1201" s="135" t="s">
        <v>543</v>
      </c>
      <c r="F1201" s="138" t="s">
        <v>580</v>
      </c>
      <c r="G1201" s="139" t="s">
        <v>371</v>
      </c>
      <c r="H1201" s="140"/>
      <c r="I1201" s="141">
        <v>1</v>
      </c>
      <c r="J1201" s="142">
        <v>25800</v>
      </c>
      <c r="K1201" s="142">
        <v>25800</v>
      </c>
      <c r="L1201" s="611"/>
      <c r="M1201" s="168" t="s">
        <v>38</v>
      </c>
      <c r="N1201" s="132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</row>
    <row r="1202" spans="1:28" s="134" customFormat="1" ht="15" customHeight="1" outlineLevel="1" x14ac:dyDescent="0.2">
      <c r="A1202" s="135">
        <v>3</v>
      </c>
      <c r="B1202" s="135">
        <v>57210</v>
      </c>
      <c r="C1202" s="136">
        <v>41934</v>
      </c>
      <c r="D1202" s="137" t="s">
        <v>1729</v>
      </c>
      <c r="E1202" s="135" t="s">
        <v>1068</v>
      </c>
      <c r="F1202" s="138" t="s">
        <v>173</v>
      </c>
      <c r="G1202" s="139" t="s">
        <v>387</v>
      </c>
      <c r="H1202" s="140"/>
      <c r="I1202" s="141">
        <v>2</v>
      </c>
      <c r="J1202" s="142">
        <v>18764</v>
      </c>
      <c r="K1202" s="142">
        <v>37528</v>
      </c>
      <c r="L1202" s="611"/>
      <c r="M1202" s="168" t="s">
        <v>38</v>
      </c>
      <c r="N1202" s="132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</row>
    <row r="1203" spans="1:28" s="134" customFormat="1" ht="15" customHeight="1" outlineLevel="1" x14ac:dyDescent="0.2">
      <c r="A1203" s="135">
        <v>4</v>
      </c>
      <c r="B1203" s="135">
        <v>58220</v>
      </c>
      <c r="C1203" s="136">
        <v>41936</v>
      </c>
      <c r="D1203" s="137" t="s">
        <v>1730</v>
      </c>
      <c r="E1203" s="135" t="s">
        <v>543</v>
      </c>
      <c r="F1203" s="138" t="s">
        <v>116</v>
      </c>
      <c r="G1203" s="139" t="s">
        <v>400</v>
      </c>
      <c r="H1203" s="140"/>
      <c r="I1203" s="141">
        <v>2</v>
      </c>
      <c r="J1203" s="142">
        <v>5274</v>
      </c>
      <c r="K1203" s="142">
        <v>10548</v>
      </c>
      <c r="L1203" s="611"/>
      <c r="M1203" s="168" t="s">
        <v>38</v>
      </c>
      <c r="N1203" s="132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</row>
    <row r="1204" spans="1:28" s="134" customFormat="1" ht="15" customHeight="1" outlineLevel="1" x14ac:dyDescent="0.2">
      <c r="A1204" s="135">
        <v>5</v>
      </c>
      <c r="B1204" s="135">
        <v>55604</v>
      </c>
      <c r="C1204" s="136">
        <v>41929</v>
      </c>
      <c r="D1204" s="137" t="s">
        <v>1731</v>
      </c>
      <c r="E1204" s="135" t="s">
        <v>1068</v>
      </c>
      <c r="F1204" s="138" t="s">
        <v>173</v>
      </c>
      <c r="G1204" s="139" t="s">
        <v>371</v>
      </c>
      <c r="H1204" s="140"/>
      <c r="I1204" s="141">
        <v>1</v>
      </c>
      <c r="J1204" s="142">
        <v>18764</v>
      </c>
      <c r="K1204" s="142">
        <v>18764</v>
      </c>
      <c r="L1204" s="611"/>
      <c r="M1204" s="168" t="s">
        <v>38</v>
      </c>
      <c r="N1204" s="132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</row>
    <row r="1205" spans="1:28" s="134" customFormat="1" ht="15" customHeight="1" outlineLevel="1" x14ac:dyDescent="0.2">
      <c r="A1205" s="135">
        <v>6</v>
      </c>
      <c r="B1205" s="135">
        <v>56835</v>
      </c>
      <c r="C1205" s="136">
        <v>41934</v>
      </c>
      <c r="D1205" s="137" t="s">
        <v>1731</v>
      </c>
      <c r="E1205" s="135" t="s">
        <v>1068</v>
      </c>
      <c r="F1205" s="138" t="s">
        <v>173</v>
      </c>
      <c r="G1205" s="139" t="s">
        <v>371</v>
      </c>
      <c r="H1205" s="140"/>
      <c r="I1205" s="141">
        <v>1</v>
      </c>
      <c r="J1205" s="142">
        <v>18764</v>
      </c>
      <c r="K1205" s="142" t="s">
        <v>1015</v>
      </c>
      <c r="L1205" s="611"/>
      <c r="M1205" s="168" t="s">
        <v>38</v>
      </c>
      <c r="N1205" s="132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</row>
    <row r="1206" spans="1:28" s="134" customFormat="1" ht="15" customHeight="1" outlineLevel="1" x14ac:dyDescent="0.2">
      <c r="A1206" s="135">
        <v>7</v>
      </c>
      <c r="B1206" s="135">
        <v>57255</v>
      </c>
      <c r="C1206" s="136">
        <v>41663</v>
      </c>
      <c r="D1206" s="137" t="s">
        <v>1732</v>
      </c>
      <c r="E1206" s="135" t="s">
        <v>543</v>
      </c>
      <c r="F1206" s="138" t="s">
        <v>116</v>
      </c>
      <c r="G1206" s="139" t="s">
        <v>527</v>
      </c>
      <c r="H1206" s="140"/>
      <c r="I1206" s="141">
        <v>1</v>
      </c>
      <c r="J1206" s="142">
        <v>5274</v>
      </c>
      <c r="K1206" s="142">
        <v>5274</v>
      </c>
      <c r="L1206" s="612"/>
      <c r="M1206" s="168" t="s">
        <v>38</v>
      </c>
      <c r="N1206" s="132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</row>
    <row r="1207" spans="1:28" s="134" customFormat="1" ht="15" customHeight="1" outlineLevel="1" x14ac:dyDescent="0.2">
      <c r="A1207" s="122">
        <v>1</v>
      </c>
      <c r="B1207" s="122">
        <v>65784</v>
      </c>
      <c r="C1207" s="123">
        <v>41960</v>
      </c>
      <c r="D1207" s="124" t="s">
        <v>1733</v>
      </c>
      <c r="E1207" s="122" t="s">
        <v>543</v>
      </c>
      <c r="F1207" s="125" t="s">
        <v>116</v>
      </c>
      <c r="G1207" s="126" t="s">
        <v>1734</v>
      </c>
      <c r="H1207" s="127"/>
      <c r="I1207" s="128">
        <v>4</v>
      </c>
      <c r="J1207" s="129">
        <v>5274</v>
      </c>
      <c r="K1207" s="142">
        <v>21096</v>
      </c>
      <c r="L1207" s="211" t="s">
        <v>960</v>
      </c>
      <c r="M1207" s="168" t="s">
        <v>38</v>
      </c>
      <c r="N1207" s="132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</row>
    <row r="1208" spans="1:28" s="134" customFormat="1" ht="15" customHeight="1" outlineLevel="1" x14ac:dyDescent="0.2">
      <c r="A1208" s="122">
        <v>2</v>
      </c>
      <c r="B1208" s="122">
        <v>61020</v>
      </c>
      <c r="C1208" s="123">
        <v>41946</v>
      </c>
      <c r="D1208" s="124" t="s">
        <v>1735</v>
      </c>
      <c r="E1208" s="122" t="s">
        <v>543</v>
      </c>
      <c r="F1208" s="125" t="s">
        <v>537</v>
      </c>
      <c r="G1208" s="126" t="s">
        <v>442</v>
      </c>
      <c r="H1208" s="127"/>
      <c r="I1208" s="128">
        <v>1</v>
      </c>
      <c r="J1208" s="129">
        <v>30429</v>
      </c>
      <c r="K1208" s="142">
        <v>30429</v>
      </c>
      <c r="L1208" s="211" t="s">
        <v>960</v>
      </c>
      <c r="M1208" s="168" t="s">
        <v>38</v>
      </c>
      <c r="N1208" s="132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</row>
    <row r="1209" spans="1:28" s="134" customFormat="1" ht="15" customHeight="1" outlineLevel="1" x14ac:dyDescent="0.2">
      <c r="A1209" s="122">
        <v>3</v>
      </c>
      <c r="B1209" s="122">
        <v>64841</v>
      </c>
      <c r="C1209" s="123">
        <v>41956</v>
      </c>
      <c r="D1209" s="124" t="s">
        <v>1735</v>
      </c>
      <c r="E1209" s="122" t="s">
        <v>543</v>
      </c>
      <c r="F1209" s="125" t="s">
        <v>115</v>
      </c>
      <c r="G1209" s="126" t="s">
        <v>419</v>
      </c>
      <c r="H1209" s="127"/>
      <c r="I1209" s="128">
        <v>1</v>
      </c>
      <c r="J1209" s="129">
        <v>33370</v>
      </c>
      <c r="K1209" s="142">
        <v>33370</v>
      </c>
      <c r="L1209" s="211" t="s">
        <v>960</v>
      </c>
      <c r="M1209" s="168" t="s">
        <v>38</v>
      </c>
      <c r="N1209" s="132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</row>
    <row r="1210" spans="1:28" s="134" customFormat="1" ht="15" customHeight="1" outlineLevel="1" x14ac:dyDescent="0.2">
      <c r="A1210" s="122">
        <v>4</v>
      </c>
      <c r="B1210" s="122">
        <v>60641</v>
      </c>
      <c r="C1210" s="123">
        <v>41946</v>
      </c>
      <c r="D1210" s="124" t="s">
        <v>1736</v>
      </c>
      <c r="E1210" s="122" t="s">
        <v>1737</v>
      </c>
      <c r="F1210" s="125" t="s">
        <v>116</v>
      </c>
      <c r="G1210" s="126" t="s">
        <v>534</v>
      </c>
      <c r="H1210" s="127"/>
      <c r="I1210" s="128">
        <v>1</v>
      </c>
      <c r="J1210" s="129">
        <v>5274</v>
      </c>
      <c r="K1210" s="142">
        <v>5274</v>
      </c>
      <c r="L1210" s="211" t="s">
        <v>960</v>
      </c>
      <c r="M1210" s="168" t="s">
        <v>38</v>
      </c>
      <c r="N1210" s="132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</row>
    <row r="1211" spans="1:28" s="134" customFormat="1" ht="15" customHeight="1" outlineLevel="1" x14ac:dyDescent="0.2">
      <c r="A1211" s="122">
        <v>5</v>
      </c>
      <c r="B1211" s="122">
        <v>68282</v>
      </c>
      <c r="C1211" s="123">
        <v>41967</v>
      </c>
      <c r="D1211" s="124" t="s">
        <v>1738</v>
      </c>
      <c r="E1211" s="122" t="s">
        <v>1068</v>
      </c>
      <c r="F1211" s="125" t="s">
        <v>173</v>
      </c>
      <c r="G1211" s="126" t="s">
        <v>371</v>
      </c>
      <c r="H1211" s="127"/>
      <c r="I1211" s="128">
        <v>1</v>
      </c>
      <c r="J1211" s="129">
        <v>18764</v>
      </c>
      <c r="K1211" s="142">
        <v>18764</v>
      </c>
      <c r="L1211" s="211" t="s">
        <v>960</v>
      </c>
      <c r="M1211" s="168" t="s">
        <v>38</v>
      </c>
      <c r="N1211" s="132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</row>
    <row r="1212" spans="1:28" s="134" customFormat="1" ht="15" customHeight="1" outlineLevel="1" x14ac:dyDescent="0.2">
      <c r="A1212" s="122">
        <v>6</v>
      </c>
      <c r="B1212" s="122">
        <v>66518</v>
      </c>
      <c r="C1212" s="123">
        <v>41962</v>
      </c>
      <c r="D1212" s="124" t="s">
        <v>1739</v>
      </c>
      <c r="E1212" s="122" t="s">
        <v>1068</v>
      </c>
      <c r="F1212" s="125" t="s">
        <v>987</v>
      </c>
      <c r="G1212" s="126" t="s">
        <v>371</v>
      </c>
      <c r="H1212" s="127"/>
      <c r="I1212" s="128">
        <v>1</v>
      </c>
      <c r="J1212" s="129">
        <v>22315</v>
      </c>
      <c r="K1212" s="142">
        <v>22315</v>
      </c>
      <c r="L1212" s="211" t="s">
        <v>960</v>
      </c>
      <c r="M1212" s="168" t="s">
        <v>38</v>
      </c>
      <c r="N1212" s="132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</row>
    <row r="1213" spans="1:28" s="134" customFormat="1" ht="15" customHeight="1" outlineLevel="1" x14ac:dyDescent="0.2">
      <c r="A1213" s="122">
        <v>7</v>
      </c>
      <c r="B1213" s="122">
        <v>62702</v>
      </c>
      <c r="C1213" s="123">
        <v>41953</v>
      </c>
      <c r="D1213" s="124" t="s">
        <v>1740</v>
      </c>
      <c r="E1213" s="122" t="s">
        <v>943</v>
      </c>
      <c r="F1213" s="125" t="s">
        <v>580</v>
      </c>
      <c r="G1213" s="126" t="s">
        <v>371</v>
      </c>
      <c r="H1213" s="127"/>
      <c r="I1213" s="128">
        <v>1</v>
      </c>
      <c r="J1213" s="129">
        <v>25800</v>
      </c>
      <c r="K1213" s="142">
        <v>25800</v>
      </c>
      <c r="L1213" s="211" t="s">
        <v>960</v>
      </c>
      <c r="M1213" s="168" t="s">
        <v>38</v>
      </c>
      <c r="N1213" s="132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</row>
    <row r="1214" spans="1:28" s="134" customFormat="1" ht="15" customHeight="1" outlineLevel="1" x14ac:dyDescent="0.2">
      <c r="A1214" s="122">
        <v>8</v>
      </c>
      <c r="B1214" s="122">
        <v>60638</v>
      </c>
      <c r="C1214" s="123">
        <v>41946</v>
      </c>
      <c r="D1214" s="124" t="s">
        <v>1741</v>
      </c>
      <c r="E1214" s="122" t="s">
        <v>1737</v>
      </c>
      <c r="F1214" s="125" t="s">
        <v>116</v>
      </c>
      <c r="G1214" s="126" t="s">
        <v>562</v>
      </c>
      <c r="H1214" s="127"/>
      <c r="I1214" s="128">
        <v>1</v>
      </c>
      <c r="J1214" s="129">
        <v>5274</v>
      </c>
      <c r="K1214" s="142">
        <v>5274</v>
      </c>
      <c r="L1214" s="211" t="s">
        <v>960</v>
      </c>
      <c r="M1214" s="168" t="s">
        <v>38</v>
      </c>
      <c r="N1214" s="132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</row>
    <row r="1215" spans="1:28" s="134" customFormat="1" ht="15" customHeight="1" outlineLevel="1" x14ac:dyDescent="0.2">
      <c r="A1215" s="122">
        <v>9</v>
      </c>
      <c r="B1215" s="122">
        <v>70813</v>
      </c>
      <c r="C1215" s="123">
        <v>41975</v>
      </c>
      <c r="D1215" s="124" t="s">
        <v>1742</v>
      </c>
      <c r="E1215" s="122" t="s">
        <v>1737</v>
      </c>
      <c r="F1215" s="125" t="s">
        <v>219</v>
      </c>
      <c r="G1215" s="126" t="s">
        <v>371</v>
      </c>
      <c r="H1215" s="127"/>
      <c r="I1215" s="128">
        <v>1</v>
      </c>
      <c r="J1215" s="129">
        <v>22299</v>
      </c>
      <c r="K1215" s="142">
        <v>22299</v>
      </c>
      <c r="L1215" s="211" t="s">
        <v>960</v>
      </c>
      <c r="M1215" s="168" t="s">
        <v>38</v>
      </c>
      <c r="N1215" s="132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</row>
    <row r="1216" spans="1:28" s="134" customFormat="1" ht="15" customHeight="1" outlineLevel="1" x14ac:dyDescent="0.2">
      <c r="A1216" s="122">
        <v>10</v>
      </c>
      <c r="B1216" s="122">
        <v>68892</v>
      </c>
      <c r="C1216" s="123">
        <v>41968</v>
      </c>
      <c r="D1216" s="124" t="s">
        <v>1743</v>
      </c>
      <c r="E1216" s="122" t="s">
        <v>1744</v>
      </c>
      <c r="F1216" s="125" t="s">
        <v>580</v>
      </c>
      <c r="G1216" s="126" t="s">
        <v>371</v>
      </c>
      <c r="H1216" s="127"/>
      <c r="I1216" s="128">
        <v>1</v>
      </c>
      <c r="J1216" s="129">
        <v>25800</v>
      </c>
      <c r="K1216" s="142">
        <v>25800</v>
      </c>
      <c r="L1216" s="211" t="s">
        <v>960</v>
      </c>
      <c r="M1216" s="168" t="s">
        <v>38</v>
      </c>
      <c r="N1216" s="132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</row>
    <row r="1217" spans="1:28" s="134" customFormat="1" ht="15" customHeight="1" outlineLevel="1" x14ac:dyDescent="0.2">
      <c r="A1217" s="122">
        <v>11</v>
      </c>
      <c r="B1217" s="122">
        <v>61238</v>
      </c>
      <c r="C1217" s="123">
        <v>41947</v>
      </c>
      <c r="D1217" s="124" t="s">
        <v>1745</v>
      </c>
      <c r="E1217" s="122" t="s">
        <v>521</v>
      </c>
      <c r="F1217" s="125" t="s">
        <v>580</v>
      </c>
      <c r="G1217" s="126" t="s">
        <v>371</v>
      </c>
      <c r="H1217" s="127"/>
      <c r="I1217" s="128">
        <v>1</v>
      </c>
      <c r="J1217" s="129">
        <v>25800</v>
      </c>
      <c r="K1217" s="142">
        <v>25800</v>
      </c>
      <c r="L1217" s="211" t="s">
        <v>960</v>
      </c>
      <c r="M1217" s="168" t="s">
        <v>38</v>
      </c>
      <c r="N1217" s="132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</row>
    <row r="1218" spans="1:28" s="134" customFormat="1" ht="15" customHeight="1" outlineLevel="1" x14ac:dyDescent="0.2">
      <c r="A1218" s="122">
        <v>12</v>
      </c>
      <c r="B1218" s="122">
        <v>63675</v>
      </c>
      <c r="C1218" s="123">
        <v>41954</v>
      </c>
      <c r="D1218" s="124" t="s">
        <v>1746</v>
      </c>
      <c r="E1218" s="122" t="s">
        <v>543</v>
      </c>
      <c r="F1218" s="125" t="s">
        <v>116</v>
      </c>
      <c r="G1218" s="126" t="s">
        <v>442</v>
      </c>
      <c r="H1218" s="127"/>
      <c r="I1218" s="128">
        <v>1</v>
      </c>
      <c r="J1218" s="129">
        <v>5274</v>
      </c>
      <c r="K1218" s="142">
        <v>5274</v>
      </c>
      <c r="L1218" s="211" t="s">
        <v>960</v>
      </c>
      <c r="M1218" s="168" t="s">
        <v>38</v>
      </c>
      <c r="N1218" s="132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</row>
    <row r="1219" spans="1:28" s="134" customFormat="1" ht="15" customHeight="1" outlineLevel="1" x14ac:dyDescent="0.2">
      <c r="A1219" s="122">
        <v>13</v>
      </c>
      <c r="B1219" s="122">
        <v>62602</v>
      </c>
      <c r="C1219" s="123">
        <v>41950</v>
      </c>
      <c r="D1219" s="124" t="s">
        <v>1747</v>
      </c>
      <c r="E1219" s="122" t="s">
        <v>543</v>
      </c>
      <c r="F1219" s="125" t="s">
        <v>217</v>
      </c>
      <c r="G1219" s="126" t="s">
        <v>387</v>
      </c>
      <c r="H1219" s="127"/>
      <c r="I1219" s="128">
        <v>2</v>
      </c>
      <c r="J1219" s="129">
        <v>44597</v>
      </c>
      <c r="K1219" s="142">
        <v>89194</v>
      </c>
      <c r="L1219" s="211" t="s">
        <v>960</v>
      </c>
      <c r="M1219" s="168" t="s">
        <v>38</v>
      </c>
      <c r="N1219" s="132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</row>
    <row r="1220" spans="1:28" s="134" customFormat="1" ht="15" customHeight="1" outlineLevel="1" x14ac:dyDescent="0.2">
      <c r="A1220" s="122">
        <v>14</v>
      </c>
      <c r="B1220" s="122">
        <v>61863</v>
      </c>
      <c r="C1220" s="123">
        <v>41949</v>
      </c>
      <c r="D1220" s="124" t="s">
        <v>1748</v>
      </c>
      <c r="E1220" s="122" t="s">
        <v>1749</v>
      </c>
      <c r="F1220" s="125" t="s">
        <v>1011</v>
      </c>
      <c r="G1220" s="126" t="s">
        <v>387</v>
      </c>
      <c r="H1220" s="127"/>
      <c r="I1220" s="128">
        <v>2</v>
      </c>
      <c r="J1220" s="129">
        <v>9129</v>
      </c>
      <c r="K1220" s="142">
        <v>18258</v>
      </c>
      <c r="L1220" s="211" t="s">
        <v>960</v>
      </c>
      <c r="M1220" s="168" t="s">
        <v>38</v>
      </c>
      <c r="N1220" s="132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</row>
    <row r="1221" spans="1:28" s="134" customFormat="1" ht="15" customHeight="1" outlineLevel="1" x14ac:dyDescent="0.2">
      <c r="A1221" s="122">
        <v>15</v>
      </c>
      <c r="B1221" s="122">
        <v>68830</v>
      </c>
      <c r="C1221" s="123">
        <v>41967</v>
      </c>
      <c r="D1221" s="124" t="s">
        <v>1750</v>
      </c>
      <c r="E1221" s="122" t="s">
        <v>1737</v>
      </c>
      <c r="F1221" s="125" t="s">
        <v>537</v>
      </c>
      <c r="G1221" s="126" t="s">
        <v>431</v>
      </c>
      <c r="H1221" s="127"/>
      <c r="I1221" s="128">
        <v>1</v>
      </c>
      <c r="J1221" s="129">
        <v>30429</v>
      </c>
      <c r="K1221" s="142">
        <v>30429</v>
      </c>
      <c r="L1221" s="211" t="s">
        <v>960</v>
      </c>
      <c r="M1221" s="168" t="s">
        <v>38</v>
      </c>
      <c r="N1221" s="132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</row>
    <row r="1222" spans="1:28" s="134" customFormat="1" ht="15" customHeight="1" outlineLevel="1" x14ac:dyDescent="0.2">
      <c r="A1222" s="122">
        <v>16</v>
      </c>
      <c r="B1222" s="122">
        <v>60947</v>
      </c>
      <c r="C1222" s="123">
        <v>41946</v>
      </c>
      <c r="D1222" s="124" t="s">
        <v>1751</v>
      </c>
      <c r="E1222" s="122" t="s">
        <v>543</v>
      </c>
      <c r="F1222" s="125" t="s">
        <v>537</v>
      </c>
      <c r="G1222" s="126" t="s">
        <v>431</v>
      </c>
      <c r="H1222" s="127"/>
      <c r="I1222" s="128">
        <v>1</v>
      </c>
      <c r="J1222" s="129">
        <v>30429</v>
      </c>
      <c r="K1222" s="142">
        <v>30429</v>
      </c>
      <c r="L1222" s="211" t="s">
        <v>960</v>
      </c>
      <c r="M1222" s="168" t="s">
        <v>38</v>
      </c>
      <c r="N1222" s="132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</row>
    <row r="1223" spans="1:28" s="134" customFormat="1" ht="15" customHeight="1" outlineLevel="1" x14ac:dyDescent="0.2">
      <c r="A1223" s="122">
        <v>17</v>
      </c>
      <c r="B1223" s="122">
        <v>65290</v>
      </c>
      <c r="C1223" s="123">
        <v>41957</v>
      </c>
      <c r="D1223" s="124" t="s">
        <v>1752</v>
      </c>
      <c r="E1223" s="122" t="s">
        <v>543</v>
      </c>
      <c r="F1223" s="125" t="s">
        <v>115</v>
      </c>
      <c r="G1223" s="126" t="s">
        <v>527</v>
      </c>
      <c r="H1223" s="127"/>
      <c r="I1223" s="128">
        <v>1</v>
      </c>
      <c r="J1223" s="129">
        <v>33370</v>
      </c>
      <c r="K1223" s="142">
        <v>33370</v>
      </c>
      <c r="L1223" s="211" t="s">
        <v>960</v>
      </c>
      <c r="M1223" s="168" t="s">
        <v>38</v>
      </c>
      <c r="N1223" s="132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</row>
    <row r="1224" spans="1:28" s="134" customFormat="1" ht="15" customHeight="1" outlineLevel="1" x14ac:dyDescent="0.2">
      <c r="A1224" s="122">
        <v>18</v>
      </c>
      <c r="B1224" s="122">
        <v>70078</v>
      </c>
      <c r="C1224" s="123">
        <v>41971</v>
      </c>
      <c r="D1224" s="124" t="s">
        <v>1752</v>
      </c>
      <c r="E1224" s="122" t="s">
        <v>370</v>
      </c>
      <c r="F1224" s="125" t="s">
        <v>173</v>
      </c>
      <c r="G1224" s="126" t="s">
        <v>371</v>
      </c>
      <c r="H1224" s="127"/>
      <c r="I1224" s="128">
        <v>1</v>
      </c>
      <c r="J1224" s="129">
        <v>18764</v>
      </c>
      <c r="K1224" s="142">
        <v>18764</v>
      </c>
      <c r="L1224" s="211" t="s">
        <v>960</v>
      </c>
      <c r="M1224" s="168" t="s">
        <v>38</v>
      </c>
      <c r="N1224" s="132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</row>
    <row r="1225" spans="1:28" s="134" customFormat="1" ht="15" customHeight="1" outlineLevel="1" x14ac:dyDescent="0.2">
      <c r="A1225" s="122">
        <v>1</v>
      </c>
      <c r="B1225" s="122">
        <v>71759</v>
      </c>
      <c r="C1225" s="123">
        <v>41978</v>
      </c>
      <c r="D1225" s="124" t="s">
        <v>1753</v>
      </c>
      <c r="E1225" s="122" t="s">
        <v>1068</v>
      </c>
      <c r="F1225" s="200" t="s">
        <v>173</v>
      </c>
      <c r="G1225" s="126" t="s">
        <v>371</v>
      </c>
      <c r="H1225" s="127"/>
      <c r="I1225" s="128">
        <v>1</v>
      </c>
      <c r="J1225" s="129">
        <v>18764</v>
      </c>
      <c r="K1225" s="129">
        <v>18764</v>
      </c>
      <c r="L1225" s="189" t="s">
        <v>623</v>
      </c>
      <c r="M1225" s="168" t="s">
        <v>38</v>
      </c>
      <c r="N1225" s="132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</row>
    <row r="1226" spans="1:28" s="134" customFormat="1" ht="15" customHeight="1" outlineLevel="1" x14ac:dyDescent="0.2">
      <c r="A1226" s="122">
        <v>2</v>
      </c>
      <c r="B1226" s="122">
        <v>72051</v>
      </c>
      <c r="C1226" s="123">
        <v>41945</v>
      </c>
      <c r="D1226" s="124" t="s">
        <v>1746</v>
      </c>
      <c r="E1226" s="122" t="s">
        <v>543</v>
      </c>
      <c r="F1226" s="125" t="s">
        <v>537</v>
      </c>
      <c r="G1226" s="126" t="s">
        <v>417</v>
      </c>
      <c r="H1226" s="127"/>
      <c r="I1226" s="128">
        <v>1</v>
      </c>
      <c r="J1226" s="129">
        <v>30429</v>
      </c>
      <c r="K1226" s="129">
        <v>30429</v>
      </c>
      <c r="L1226" s="189" t="s">
        <v>623</v>
      </c>
      <c r="M1226" s="168" t="s">
        <v>38</v>
      </c>
      <c r="N1226" s="132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</row>
    <row r="1227" spans="1:28" s="134" customFormat="1" ht="15" customHeight="1" outlineLevel="1" x14ac:dyDescent="0.2">
      <c r="A1227" s="122">
        <v>3</v>
      </c>
      <c r="B1227" s="122">
        <v>52953</v>
      </c>
      <c r="C1227" s="123">
        <v>41984</v>
      </c>
      <c r="D1227" s="124" t="s">
        <v>1754</v>
      </c>
      <c r="E1227" s="122" t="s">
        <v>1737</v>
      </c>
      <c r="F1227" s="125" t="s">
        <v>537</v>
      </c>
      <c r="G1227" s="126" t="s">
        <v>392</v>
      </c>
      <c r="H1227" s="127"/>
      <c r="I1227" s="128">
        <v>1</v>
      </c>
      <c r="J1227" s="129">
        <v>30429</v>
      </c>
      <c r="K1227" s="129">
        <v>30429</v>
      </c>
      <c r="L1227" s="189" t="s">
        <v>623</v>
      </c>
      <c r="M1227" s="168" t="s">
        <v>38</v>
      </c>
      <c r="N1227" s="132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</row>
    <row r="1228" spans="1:28" s="134" customFormat="1" ht="15" customHeight="1" outlineLevel="1" x14ac:dyDescent="0.2">
      <c r="A1228" s="122">
        <v>4</v>
      </c>
      <c r="B1228" s="122">
        <v>74700</v>
      </c>
      <c r="C1228" s="123">
        <v>41983</v>
      </c>
      <c r="D1228" s="124" t="s">
        <v>1755</v>
      </c>
      <c r="E1228" s="122" t="s">
        <v>543</v>
      </c>
      <c r="F1228" s="125" t="s">
        <v>537</v>
      </c>
      <c r="G1228" s="126" t="s">
        <v>415</v>
      </c>
      <c r="H1228" s="127"/>
      <c r="I1228" s="128">
        <v>1</v>
      </c>
      <c r="J1228" s="129">
        <v>30429</v>
      </c>
      <c r="K1228" s="129">
        <v>30429</v>
      </c>
      <c r="L1228" s="189" t="s">
        <v>623</v>
      </c>
      <c r="M1228" s="168" t="s">
        <v>38</v>
      </c>
      <c r="N1228" s="132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</row>
    <row r="1229" spans="1:28" s="134" customFormat="1" ht="15" customHeight="1" outlineLevel="1" x14ac:dyDescent="0.2">
      <c r="A1229" s="122">
        <v>5</v>
      </c>
      <c r="B1229" s="122">
        <v>75080</v>
      </c>
      <c r="C1229" s="123">
        <v>41991</v>
      </c>
      <c r="D1229" s="124" t="s">
        <v>1756</v>
      </c>
      <c r="E1229" s="122" t="s">
        <v>943</v>
      </c>
      <c r="F1229" s="125" t="s">
        <v>580</v>
      </c>
      <c r="G1229" s="126" t="s">
        <v>371</v>
      </c>
      <c r="H1229" s="127"/>
      <c r="I1229" s="128">
        <v>1</v>
      </c>
      <c r="J1229" s="129">
        <v>25800</v>
      </c>
      <c r="K1229" s="129">
        <v>25800</v>
      </c>
      <c r="L1229" s="189" t="s">
        <v>623</v>
      </c>
      <c r="M1229" s="168" t="s">
        <v>38</v>
      </c>
      <c r="N1229" s="132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</row>
    <row r="1230" spans="1:28" s="134" customFormat="1" ht="15" customHeight="1" outlineLevel="1" x14ac:dyDescent="0.2">
      <c r="A1230" s="122">
        <v>6</v>
      </c>
      <c r="B1230" s="122">
        <v>74113</v>
      </c>
      <c r="C1230" s="123">
        <v>41982</v>
      </c>
      <c r="D1230" s="124" t="s">
        <v>1741</v>
      </c>
      <c r="E1230" s="122" t="s">
        <v>1737</v>
      </c>
      <c r="F1230" s="125" t="s">
        <v>115</v>
      </c>
      <c r="G1230" s="126" t="s">
        <v>562</v>
      </c>
      <c r="H1230" s="127"/>
      <c r="I1230" s="128">
        <v>1</v>
      </c>
      <c r="J1230" s="129">
        <v>33370</v>
      </c>
      <c r="K1230" s="129">
        <v>33370</v>
      </c>
      <c r="L1230" s="189" t="s">
        <v>623</v>
      </c>
      <c r="M1230" s="168" t="s">
        <v>38</v>
      </c>
      <c r="N1230" s="132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</row>
    <row r="1231" spans="1:28" s="134" customFormat="1" ht="15" customHeight="1" outlineLevel="1" x14ac:dyDescent="0.2">
      <c r="A1231" s="122">
        <v>7</v>
      </c>
      <c r="B1231" s="122">
        <v>74043</v>
      </c>
      <c r="C1231" s="123">
        <v>41983</v>
      </c>
      <c r="D1231" s="124" t="s">
        <v>1757</v>
      </c>
      <c r="E1231" s="122" t="s">
        <v>543</v>
      </c>
      <c r="F1231" s="125" t="s">
        <v>219</v>
      </c>
      <c r="G1231" s="126" t="s">
        <v>371</v>
      </c>
      <c r="H1231" s="127"/>
      <c r="I1231" s="128">
        <v>1</v>
      </c>
      <c r="J1231" s="129">
        <v>22299</v>
      </c>
      <c r="K1231" s="129">
        <v>22299</v>
      </c>
      <c r="L1231" s="189" t="s">
        <v>623</v>
      </c>
      <c r="M1231" s="168" t="s">
        <v>38</v>
      </c>
      <c r="N1231" s="132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</row>
    <row r="1232" spans="1:28" s="134" customFormat="1" ht="15" customHeight="1" outlineLevel="1" x14ac:dyDescent="0.2">
      <c r="A1232" s="122">
        <v>8</v>
      </c>
      <c r="B1232" s="122">
        <v>73556</v>
      </c>
      <c r="C1232" s="123">
        <v>41983</v>
      </c>
      <c r="D1232" s="124" t="s">
        <v>1758</v>
      </c>
      <c r="E1232" s="122" t="s">
        <v>943</v>
      </c>
      <c r="F1232" s="125" t="s">
        <v>580</v>
      </c>
      <c r="G1232" s="126" t="s">
        <v>371</v>
      </c>
      <c r="H1232" s="127"/>
      <c r="I1232" s="128">
        <v>1</v>
      </c>
      <c r="J1232" s="129">
        <v>25800</v>
      </c>
      <c r="K1232" s="129">
        <v>25800</v>
      </c>
      <c r="L1232" s="189" t="s">
        <v>623</v>
      </c>
      <c r="M1232" s="168" t="s">
        <v>38</v>
      </c>
      <c r="N1232" s="132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</row>
    <row r="1233" spans="1:28" s="134" customFormat="1" ht="15" customHeight="1" outlineLevel="1" x14ac:dyDescent="0.2">
      <c r="A1233" s="122">
        <v>9</v>
      </c>
      <c r="B1233" s="122">
        <v>53032</v>
      </c>
      <c r="C1233" s="123">
        <v>41985</v>
      </c>
      <c r="D1233" s="124" t="s">
        <v>1759</v>
      </c>
      <c r="E1233" s="122" t="s">
        <v>543</v>
      </c>
      <c r="F1233" s="125" t="s">
        <v>116</v>
      </c>
      <c r="G1233" s="126" t="s">
        <v>1760</v>
      </c>
      <c r="H1233" s="127"/>
      <c r="I1233" s="128">
        <v>3</v>
      </c>
      <c r="J1233" s="129">
        <v>5274</v>
      </c>
      <c r="K1233" s="129">
        <v>15822</v>
      </c>
      <c r="L1233" s="189" t="s">
        <v>623</v>
      </c>
      <c r="M1233" s="168" t="s">
        <v>38</v>
      </c>
      <c r="N1233" s="132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</row>
    <row r="1234" spans="1:28" s="134" customFormat="1" ht="15" customHeight="1" outlineLevel="1" x14ac:dyDescent="0.2">
      <c r="A1234" s="122">
        <v>10</v>
      </c>
      <c r="B1234" s="122">
        <v>80249</v>
      </c>
      <c r="C1234" s="123">
        <v>41988</v>
      </c>
      <c r="D1234" s="124" t="s">
        <v>1761</v>
      </c>
      <c r="E1234" s="122" t="s">
        <v>1737</v>
      </c>
      <c r="F1234" s="125" t="s">
        <v>537</v>
      </c>
      <c r="G1234" s="126" t="s">
        <v>431</v>
      </c>
      <c r="H1234" s="127"/>
      <c r="I1234" s="128">
        <v>1</v>
      </c>
      <c r="J1234" s="129">
        <v>30429</v>
      </c>
      <c r="K1234" s="129">
        <v>30429</v>
      </c>
      <c r="L1234" s="189" t="s">
        <v>623</v>
      </c>
      <c r="M1234" s="168" t="s">
        <v>38</v>
      </c>
      <c r="N1234" s="132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</row>
    <row r="1235" spans="1:28" s="134" customFormat="1" ht="15" customHeight="1" outlineLevel="1" x14ac:dyDescent="0.2">
      <c r="A1235" s="122">
        <v>11</v>
      </c>
      <c r="B1235" s="122">
        <v>83588</v>
      </c>
      <c r="C1235" s="123">
        <v>41999</v>
      </c>
      <c r="D1235" s="124" t="s">
        <v>1762</v>
      </c>
      <c r="E1235" s="122" t="s">
        <v>1737</v>
      </c>
      <c r="F1235" s="125" t="s">
        <v>537</v>
      </c>
      <c r="G1235" s="126" t="s">
        <v>419</v>
      </c>
      <c r="H1235" s="127"/>
      <c r="I1235" s="128">
        <v>1</v>
      </c>
      <c r="J1235" s="129">
        <v>30429</v>
      </c>
      <c r="K1235" s="129">
        <v>30429</v>
      </c>
      <c r="L1235" s="189" t="s">
        <v>623</v>
      </c>
      <c r="M1235" s="168" t="s">
        <v>38</v>
      </c>
      <c r="N1235" s="132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</row>
    <row r="1236" spans="1:28" s="134" customFormat="1" ht="15" customHeight="1" outlineLevel="1" x14ac:dyDescent="0.2">
      <c r="A1236" s="122">
        <v>12</v>
      </c>
      <c r="B1236" s="122">
        <v>82837</v>
      </c>
      <c r="C1236" s="123">
        <v>41996</v>
      </c>
      <c r="D1236" s="124" t="s">
        <v>1763</v>
      </c>
      <c r="E1236" s="122" t="s">
        <v>543</v>
      </c>
      <c r="F1236" s="125" t="s">
        <v>116</v>
      </c>
      <c r="G1236" s="126" t="s">
        <v>442</v>
      </c>
      <c r="H1236" s="127"/>
      <c r="I1236" s="128">
        <v>1</v>
      </c>
      <c r="J1236" s="129">
        <v>5274</v>
      </c>
      <c r="K1236" s="129">
        <v>5274</v>
      </c>
      <c r="L1236" s="189" t="s">
        <v>623</v>
      </c>
      <c r="M1236" s="168" t="s">
        <v>38</v>
      </c>
      <c r="N1236" s="132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</row>
    <row r="1237" spans="1:28" s="134" customFormat="1" ht="15" customHeight="1" outlineLevel="1" x14ac:dyDescent="0.2">
      <c r="A1237" s="122">
        <v>13</v>
      </c>
      <c r="B1237" s="122">
        <v>82196</v>
      </c>
      <c r="C1237" s="123">
        <v>41995</v>
      </c>
      <c r="D1237" s="124" t="s">
        <v>1764</v>
      </c>
      <c r="E1237" s="122" t="s">
        <v>1737</v>
      </c>
      <c r="F1237" s="125" t="s">
        <v>116</v>
      </c>
      <c r="G1237" s="126" t="s">
        <v>400</v>
      </c>
      <c r="H1237" s="127"/>
      <c r="I1237" s="128">
        <v>2</v>
      </c>
      <c r="J1237" s="129">
        <v>5274</v>
      </c>
      <c r="K1237" s="129">
        <v>10548</v>
      </c>
      <c r="L1237" s="189" t="s">
        <v>623</v>
      </c>
      <c r="M1237" s="168" t="s">
        <v>38</v>
      </c>
      <c r="N1237" s="132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</row>
    <row r="1238" spans="1:28" s="134" customFormat="1" ht="15" customHeight="1" outlineLevel="1" x14ac:dyDescent="0.2">
      <c r="A1238" s="122">
        <v>14</v>
      </c>
      <c r="B1238" s="122">
        <v>81369</v>
      </c>
      <c r="C1238" s="123">
        <v>41990</v>
      </c>
      <c r="D1238" s="124" t="s">
        <v>1765</v>
      </c>
      <c r="E1238" s="122" t="s">
        <v>1068</v>
      </c>
      <c r="F1238" s="125" t="s">
        <v>173</v>
      </c>
      <c r="G1238" s="126" t="s">
        <v>371</v>
      </c>
      <c r="H1238" s="127"/>
      <c r="I1238" s="128">
        <v>1</v>
      </c>
      <c r="J1238" s="129">
        <v>18764</v>
      </c>
      <c r="K1238" s="129">
        <v>18764</v>
      </c>
      <c r="L1238" s="189" t="s">
        <v>623</v>
      </c>
      <c r="M1238" s="168" t="s">
        <v>38</v>
      </c>
      <c r="N1238" s="132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</row>
    <row r="1239" spans="1:28" s="134" customFormat="1" ht="15" customHeight="1" outlineLevel="1" x14ac:dyDescent="0.2">
      <c r="A1239" s="122">
        <v>15</v>
      </c>
      <c r="B1239" s="122">
        <v>83660</v>
      </c>
      <c r="C1239" s="123">
        <v>41999</v>
      </c>
      <c r="D1239" s="124" t="s">
        <v>1766</v>
      </c>
      <c r="E1239" s="122" t="s">
        <v>543</v>
      </c>
      <c r="F1239" s="125" t="s">
        <v>537</v>
      </c>
      <c r="G1239" s="126" t="s">
        <v>472</v>
      </c>
      <c r="H1239" s="127"/>
      <c r="I1239" s="128">
        <v>1</v>
      </c>
      <c r="J1239" s="129">
        <v>30429</v>
      </c>
      <c r="K1239" s="129">
        <v>30429</v>
      </c>
      <c r="L1239" s="189" t="s">
        <v>623</v>
      </c>
      <c r="M1239" s="168" t="s">
        <v>38</v>
      </c>
      <c r="N1239" s="132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</row>
    <row r="1240" spans="1:28" s="134" customFormat="1" ht="15" customHeight="1" outlineLevel="1" x14ac:dyDescent="0.2">
      <c r="A1240" s="122">
        <v>16</v>
      </c>
      <c r="B1240" s="122">
        <v>83678</v>
      </c>
      <c r="C1240" s="123">
        <v>41999</v>
      </c>
      <c r="D1240" s="124" t="s">
        <v>1767</v>
      </c>
      <c r="E1240" s="122" t="s">
        <v>543</v>
      </c>
      <c r="F1240" s="125" t="s">
        <v>537</v>
      </c>
      <c r="G1240" s="126" t="s">
        <v>442</v>
      </c>
      <c r="H1240" s="127"/>
      <c r="I1240" s="128">
        <v>1</v>
      </c>
      <c r="J1240" s="129">
        <v>30429</v>
      </c>
      <c r="K1240" s="129">
        <v>30429</v>
      </c>
      <c r="L1240" s="189" t="s">
        <v>623</v>
      </c>
      <c r="M1240" s="168" t="s">
        <v>38</v>
      </c>
      <c r="N1240" s="132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</row>
    <row r="1241" spans="1:28" s="134" customFormat="1" ht="15" customHeight="1" outlineLevel="1" x14ac:dyDescent="0.2">
      <c r="A1241" s="122">
        <v>17</v>
      </c>
      <c r="B1241" s="122">
        <v>83334</v>
      </c>
      <c r="C1241" s="123">
        <v>41999</v>
      </c>
      <c r="D1241" s="124" t="s">
        <v>1768</v>
      </c>
      <c r="E1241" s="122" t="s">
        <v>543</v>
      </c>
      <c r="F1241" s="125" t="s">
        <v>116</v>
      </c>
      <c r="G1241" s="126" t="s">
        <v>472</v>
      </c>
      <c r="H1241" s="127"/>
      <c r="I1241" s="128">
        <v>1</v>
      </c>
      <c r="J1241" s="129">
        <v>5274</v>
      </c>
      <c r="K1241" s="129">
        <v>5274</v>
      </c>
      <c r="L1241" s="189" t="s">
        <v>623</v>
      </c>
      <c r="M1241" s="168" t="s">
        <v>38</v>
      </c>
      <c r="N1241" s="132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</row>
    <row r="1242" spans="1:28" s="134" customFormat="1" ht="15" customHeight="1" outlineLevel="1" x14ac:dyDescent="0.2">
      <c r="A1242" s="122">
        <v>18</v>
      </c>
      <c r="B1242" s="122">
        <v>84087</v>
      </c>
      <c r="C1242" s="123">
        <v>42002</v>
      </c>
      <c r="D1242" s="124" t="s">
        <v>1769</v>
      </c>
      <c r="E1242" s="122" t="s">
        <v>543</v>
      </c>
      <c r="F1242" s="125" t="s">
        <v>116</v>
      </c>
      <c r="G1242" s="126" t="s">
        <v>434</v>
      </c>
      <c r="H1242" s="127"/>
      <c r="I1242" s="128">
        <v>1</v>
      </c>
      <c r="J1242" s="129">
        <v>5274</v>
      </c>
      <c r="K1242" s="129">
        <v>5274</v>
      </c>
      <c r="L1242" s="189" t="s">
        <v>623</v>
      </c>
      <c r="M1242" s="168" t="s">
        <v>38</v>
      </c>
      <c r="N1242" s="132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</row>
    <row r="1243" spans="1:28" s="134" customFormat="1" ht="15" customHeight="1" outlineLevel="1" x14ac:dyDescent="0.2">
      <c r="A1243" s="135">
        <v>1</v>
      </c>
      <c r="B1243" s="135">
        <v>23475</v>
      </c>
      <c r="C1243" s="136">
        <v>41792</v>
      </c>
      <c r="D1243" s="137" t="s">
        <v>1770</v>
      </c>
      <c r="E1243" s="135" t="s">
        <v>414</v>
      </c>
      <c r="F1243" s="138" t="s">
        <v>217</v>
      </c>
      <c r="G1243" s="139" t="s">
        <v>371</v>
      </c>
      <c r="H1243" s="140"/>
      <c r="I1243" s="141">
        <v>1</v>
      </c>
      <c r="J1243" s="142">
        <v>44597</v>
      </c>
      <c r="K1243" s="142">
        <v>44597</v>
      </c>
      <c r="L1243" s="619" t="s">
        <v>608</v>
      </c>
      <c r="M1243" s="168" t="s">
        <v>39</v>
      </c>
      <c r="N1243" s="132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</row>
    <row r="1244" spans="1:28" s="134" customFormat="1" ht="15" customHeight="1" outlineLevel="1" x14ac:dyDescent="0.2">
      <c r="A1244" s="135">
        <v>2</v>
      </c>
      <c r="B1244" s="135">
        <v>24939</v>
      </c>
      <c r="C1244" s="136">
        <v>41799</v>
      </c>
      <c r="D1244" s="137" t="s">
        <v>1771</v>
      </c>
      <c r="E1244" s="135" t="s">
        <v>414</v>
      </c>
      <c r="F1244" s="138" t="s">
        <v>116</v>
      </c>
      <c r="G1244" s="139" t="s">
        <v>419</v>
      </c>
      <c r="H1244" s="140"/>
      <c r="I1244" s="141">
        <v>1</v>
      </c>
      <c r="J1244" s="142">
        <v>5274</v>
      </c>
      <c r="K1244" s="142">
        <v>5274</v>
      </c>
      <c r="L1244" s="620"/>
      <c r="M1244" s="168" t="s">
        <v>39</v>
      </c>
      <c r="N1244" s="132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</row>
    <row r="1245" spans="1:28" s="134" customFormat="1" ht="15" customHeight="1" outlineLevel="1" x14ac:dyDescent="0.2">
      <c r="A1245" s="135">
        <v>3</v>
      </c>
      <c r="B1245" s="135">
        <v>25126</v>
      </c>
      <c r="C1245" s="136">
        <v>41799</v>
      </c>
      <c r="D1245" s="137" t="s">
        <v>1772</v>
      </c>
      <c r="E1245" s="135" t="s">
        <v>414</v>
      </c>
      <c r="F1245" s="138" t="s">
        <v>116</v>
      </c>
      <c r="G1245" s="139" t="s">
        <v>1773</v>
      </c>
      <c r="H1245" s="140"/>
      <c r="I1245" s="141">
        <v>3</v>
      </c>
      <c r="J1245" s="142">
        <v>5274</v>
      </c>
      <c r="K1245" s="142">
        <v>15822</v>
      </c>
      <c r="L1245" s="620"/>
      <c r="M1245" s="168" t="s">
        <v>39</v>
      </c>
      <c r="N1245" s="132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</row>
    <row r="1246" spans="1:28" s="134" customFormat="1" ht="15" customHeight="1" outlineLevel="1" x14ac:dyDescent="0.2">
      <c r="A1246" s="135">
        <v>4</v>
      </c>
      <c r="B1246" s="135">
        <v>25350</v>
      </c>
      <c r="C1246" s="136">
        <v>41799</v>
      </c>
      <c r="D1246" s="137" t="s">
        <v>1774</v>
      </c>
      <c r="E1246" s="135" t="s">
        <v>1775</v>
      </c>
      <c r="F1246" s="138" t="s">
        <v>580</v>
      </c>
      <c r="G1246" s="139" t="s">
        <v>369</v>
      </c>
      <c r="H1246" s="140"/>
      <c r="I1246" s="141">
        <v>1</v>
      </c>
      <c r="J1246" s="142">
        <v>25800</v>
      </c>
      <c r="K1246" s="142">
        <v>25800</v>
      </c>
      <c r="L1246" s="620"/>
      <c r="M1246" s="168" t="s">
        <v>39</v>
      </c>
      <c r="N1246" s="132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</row>
    <row r="1247" spans="1:28" s="134" customFormat="1" ht="15" customHeight="1" outlineLevel="1" x14ac:dyDescent="0.2">
      <c r="A1247" s="135">
        <v>5</v>
      </c>
      <c r="B1247" s="135">
        <v>25411</v>
      </c>
      <c r="C1247" s="136">
        <v>41799</v>
      </c>
      <c r="D1247" s="137" t="s">
        <v>1776</v>
      </c>
      <c r="E1247" s="135" t="s">
        <v>414</v>
      </c>
      <c r="F1247" s="138" t="s">
        <v>537</v>
      </c>
      <c r="G1247" s="139" t="s">
        <v>562</v>
      </c>
      <c r="H1247" s="140"/>
      <c r="I1247" s="141">
        <v>1</v>
      </c>
      <c r="J1247" s="142">
        <v>30429</v>
      </c>
      <c r="K1247" s="142">
        <v>30429</v>
      </c>
      <c r="L1247" s="620"/>
      <c r="M1247" s="168" t="s">
        <v>39</v>
      </c>
      <c r="N1247" s="132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</row>
    <row r="1248" spans="1:28" s="134" customFormat="1" ht="15" customHeight="1" outlineLevel="1" x14ac:dyDescent="0.2">
      <c r="A1248" s="135">
        <v>6</v>
      </c>
      <c r="B1248" s="135">
        <v>26038</v>
      </c>
      <c r="C1248" s="136">
        <v>41800</v>
      </c>
      <c r="D1248" s="137" t="s">
        <v>1777</v>
      </c>
      <c r="E1248" s="135" t="s">
        <v>414</v>
      </c>
      <c r="F1248" s="138" t="s">
        <v>217</v>
      </c>
      <c r="G1248" s="139" t="s">
        <v>387</v>
      </c>
      <c r="H1248" s="140"/>
      <c r="I1248" s="141">
        <v>2</v>
      </c>
      <c r="J1248" s="142">
        <v>44597</v>
      </c>
      <c r="K1248" s="142">
        <v>89194</v>
      </c>
      <c r="L1248" s="620"/>
      <c r="M1248" s="168" t="s">
        <v>39</v>
      </c>
      <c r="N1248" s="132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</row>
    <row r="1249" spans="1:28" s="134" customFormat="1" ht="15" customHeight="1" outlineLevel="1" x14ac:dyDescent="0.2">
      <c r="A1249" s="135">
        <v>7</v>
      </c>
      <c r="B1249" s="135">
        <v>26632</v>
      </c>
      <c r="C1249" s="136">
        <v>41802</v>
      </c>
      <c r="D1249" s="137" t="s">
        <v>1778</v>
      </c>
      <c r="E1249" s="135" t="s">
        <v>414</v>
      </c>
      <c r="F1249" s="138" t="s">
        <v>537</v>
      </c>
      <c r="G1249" s="139" t="s">
        <v>527</v>
      </c>
      <c r="H1249" s="140"/>
      <c r="I1249" s="141">
        <v>1</v>
      </c>
      <c r="J1249" s="142">
        <v>30429</v>
      </c>
      <c r="K1249" s="142">
        <v>30429</v>
      </c>
      <c r="L1249" s="620"/>
      <c r="M1249" s="168" t="s">
        <v>39</v>
      </c>
      <c r="N1249" s="132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</row>
    <row r="1250" spans="1:28" s="134" customFormat="1" ht="15" customHeight="1" outlineLevel="1" x14ac:dyDescent="0.2">
      <c r="A1250" s="135">
        <v>8</v>
      </c>
      <c r="B1250" s="135">
        <v>27294</v>
      </c>
      <c r="C1250" s="136">
        <v>41803</v>
      </c>
      <c r="D1250" s="137" t="s">
        <v>1779</v>
      </c>
      <c r="E1250" s="135" t="s">
        <v>414</v>
      </c>
      <c r="F1250" s="138" t="s">
        <v>217</v>
      </c>
      <c r="G1250" s="139" t="s">
        <v>371</v>
      </c>
      <c r="H1250" s="140"/>
      <c r="I1250" s="141">
        <v>1</v>
      </c>
      <c r="J1250" s="142">
        <v>44597</v>
      </c>
      <c r="K1250" s="142">
        <v>44597</v>
      </c>
      <c r="L1250" s="620"/>
      <c r="M1250" s="168" t="s">
        <v>39</v>
      </c>
      <c r="N1250" s="132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</row>
    <row r="1251" spans="1:28" s="134" customFormat="1" ht="15" customHeight="1" outlineLevel="1" x14ac:dyDescent="0.2">
      <c r="A1251" s="135">
        <v>9</v>
      </c>
      <c r="B1251" s="135">
        <v>27902</v>
      </c>
      <c r="C1251" s="136">
        <v>41807</v>
      </c>
      <c r="D1251" s="137" t="s">
        <v>1780</v>
      </c>
      <c r="E1251" s="135" t="s">
        <v>414</v>
      </c>
      <c r="F1251" s="138" t="s">
        <v>217</v>
      </c>
      <c r="G1251" s="139" t="s">
        <v>371</v>
      </c>
      <c r="H1251" s="140"/>
      <c r="I1251" s="141">
        <v>1</v>
      </c>
      <c r="J1251" s="142">
        <v>44597</v>
      </c>
      <c r="K1251" s="142">
        <v>44597</v>
      </c>
      <c r="L1251" s="620"/>
      <c r="M1251" s="168" t="s">
        <v>39</v>
      </c>
      <c r="N1251" s="132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</row>
    <row r="1252" spans="1:28" s="134" customFormat="1" ht="15" customHeight="1" outlineLevel="1" x14ac:dyDescent="0.2">
      <c r="A1252" s="135">
        <v>10</v>
      </c>
      <c r="B1252" s="135">
        <v>27979</v>
      </c>
      <c r="C1252" s="136">
        <v>41807</v>
      </c>
      <c r="D1252" s="137" t="s">
        <v>1772</v>
      </c>
      <c r="E1252" s="135" t="s">
        <v>414</v>
      </c>
      <c r="F1252" s="138" t="s">
        <v>210</v>
      </c>
      <c r="G1252" s="139" t="s">
        <v>383</v>
      </c>
      <c r="H1252" s="140"/>
      <c r="I1252" s="141">
        <v>1</v>
      </c>
      <c r="J1252" s="142">
        <v>14099</v>
      </c>
      <c r="K1252" s="142">
        <v>14099</v>
      </c>
      <c r="L1252" s="620"/>
      <c r="M1252" s="168" t="s">
        <v>39</v>
      </c>
      <c r="N1252" s="132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</row>
    <row r="1253" spans="1:28" s="134" customFormat="1" ht="15" customHeight="1" outlineLevel="1" x14ac:dyDescent="0.2">
      <c r="A1253" s="135">
        <v>11</v>
      </c>
      <c r="B1253" s="135">
        <v>28287</v>
      </c>
      <c r="C1253" s="136">
        <v>41808</v>
      </c>
      <c r="D1253" s="137" t="s">
        <v>1781</v>
      </c>
      <c r="E1253" s="135" t="s">
        <v>414</v>
      </c>
      <c r="F1253" s="138" t="s">
        <v>116</v>
      </c>
      <c r="G1253" s="139" t="s">
        <v>472</v>
      </c>
      <c r="H1253" s="140"/>
      <c r="I1253" s="141">
        <v>1</v>
      </c>
      <c r="J1253" s="142">
        <v>5274</v>
      </c>
      <c r="K1253" s="142">
        <v>5274</v>
      </c>
      <c r="L1253" s="620"/>
      <c r="M1253" s="168" t="s">
        <v>39</v>
      </c>
      <c r="N1253" s="132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</row>
    <row r="1254" spans="1:28" s="134" customFormat="1" ht="15" customHeight="1" outlineLevel="1" x14ac:dyDescent="0.2">
      <c r="A1254" s="135">
        <v>12</v>
      </c>
      <c r="B1254" s="135">
        <v>28430</v>
      </c>
      <c r="C1254" s="136">
        <v>41810</v>
      </c>
      <c r="D1254" s="137" t="s">
        <v>460</v>
      </c>
      <c r="E1254" s="135" t="s">
        <v>1782</v>
      </c>
      <c r="F1254" s="138" t="s">
        <v>116</v>
      </c>
      <c r="G1254" s="139" t="s">
        <v>534</v>
      </c>
      <c r="H1254" s="140"/>
      <c r="I1254" s="141">
        <v>1</v>
      </c>
      <c r="J1254" s="142">
        <v>5274</v>
      </c>
      <c r="K1254" s="142">
        <v>5274</v>
      </c>
      <c r="L1254" s="620"/>
      <c r="M1254" s="168" t="s">
        <v>39</v>
      </c>
      <c r="N1254" s="132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</row>
    <row r="1255" spans="1:28" s="134" customFormat="1" ht="15" customHeight="1" outlineLevel="1" x14ac:dyDescent="0.2">
      <c r="A1255" s="135">
        <v>13</v>
      </c>
      <c r="B1255" s="135">
        <v>28949</v>
      </c>
      <c r="C1255" s="136">
        <v>41810</v>
      </c>
      <c r="D1255" s="137" t="s">
        <v>1772</v>
      </c>
      <c r="E1255" s="135" t="s">
        <v>414</v>
      </c>
      <c r="F1255" s="138" t="s">
        <v>116</v>
      </c>
      <c r="G1255" s="139" t="s">
        <v>1783</v>
      </c>
      <c r="H1255" s="140"/>
      <c r="I1255" s="141">
        <v>3</v>
      </c>
      <c r="J1255" s="142">
        <v>5274</v>
      </c>
      <c r="K1255" s="142">
        <v>15822</v>
      </c>
      <c r="L1255" s="620"/>
      <c r="M1255" s="168" t="s">
        <v>39</v>
      </c>
      <c r="N1255" s="132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</row>
    <row r="1256" spans="1:28" s="134" customFormat="1" ht="15" customHeight="1" outlineLevel="1" x14ac:dyDescent="0.2">
      <c r="A1256" s="135">
        <v>14</v>
      </c>
      <c r="B1256" s="135">
        <v>29179</v>
      </c>
      <c r="C1256" s="136">
        <v>41810</v>
      </c>
      <c r="D1256" s="137" t="s">
        <v>1784</v>
      </c>
      <c r="E1256" s="135" t="s">
        <v>414</v>
      </c>
      <c r="F1256" s="138" t="s">
        <v>217</v>
      </c>
      <c r="G1256" s="139" t="s">
        <v>387</v>
      </c>
      <c r="H1256" s="140"/>
      <c r="I1256" s="141">
        <v>2</v>
      </c>
      <c r="J1256" s="142">
        <v>44597</v>
      </c>
      <c r="K1256" s="142">
        <v>89194</v>
      </c>
      <c r="L1256" s="620"/>
      <c r="M1256" s="168" t="s">
        <v>39</v>
      </c>
      <c r="N1256" s="132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</row>
    <row r="1257" spans="1:28" s="134" customFormat="1" ht="15" customHeight="1" outlineLevel="1" x14ac:dyDescent="0.2">
      <c r="A1257" s="135">
        <v>15</v>
      </c>
      <c r="B1257" s="135">
        <v>30422</v>
      </c>
      <c r="C1257" s="136">
        <v>41816</v>
      </c>
      <c r="D1257" s="137" t="s">
        <v>1785</v>
      </c>
      <c r="E1257" s="135" t="s">
        <v>414</v>
      </c>
      <c r="F1257" s="138" t="s">
        <v>537</v>
      </c>
      <c r="G1257" s="139" t="s">
        <v>431</v>
      </c>
      <c r="H1257" s="140"/>
      <c r="I1257" s="141">
        <v>1</v>
      </c>
      <c r="J1257" s="142">
        <v>30429</v>
      </c>
      <c r="K1257" s="142">
        <v>30429</v>
      </c>
      <c r="L1257" s="620"/>
      <c r="M1257" s="168" t="s">
        <v>39</v>
      </c>
      <c r="N1257" s="132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</row>
    <row r="1258" spans="1:28" s="134" customFormat="1" ht="15" customHeight="1" outlineLevel="1" x14ac:dyDescent="0.2">
      <c r="A1258" s="135">
        <v>17</v>
      </c>
      <c r="B1258" s="135">
        <v>30515</v>
      </c>
      <c r="C1258" s="136">
        <v>41817</v>
      </c>
      <c r="D1258" s="137" t="s">
        <v>1786</v>
      </c>
      <c r="E1258" s="135" t="s">
        <v>1782</v>
      </c>
      <c r="F1258" s="138" t="s">
        <v>537</v>
      </c>
      <c r="G1258" s="139" t="s">
        <v>511</v>
      </c>
      <c r="H1258" s="140"/>
      <c r="I1258" s="141">
        <v>1</v>
      </c>
      <c r="J1258" s="142">
        <v>30429</v>
      </c>
      <c r="K1258" s="142">
        <v>30429</v>
      </c>
      <c r="L1258" s="620"/>
      <c r="M1258" s="168" t="s">
        <v>39</v>
      </c>
      <c r="N1258" s="132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</row>
    <row r="1259" spans="1:28" s="134" customFormat="1" ht="15" customHeight="1" outlineLevel="1" x14ac:dyDescent="0.2">
      <c r="A1259" s="135">
        <v>18</v>
      </c>
      <c r="B1259" s="135">
        <v>30519</v>
      </c>
      <c r="C1259" s="136">
        <v>41817</v>
      </c>
      <c r="D1259" s="137" t="s">
        <v>1781</v>
      </c>
      <c r="E1259" s="135" t="s">
        <v>414</v>
      </c>
      <c r="F1259" s="138" t="s">
        <v>210</v>
      </c>
      <c r="G1259" s="139" t="s">
        <v>472</v>
      </c>
      <c r="H1259" s="140"/>
      <c r="I1259" s="141">
        <v>1</v>
      </c>
      <c r="J1259" s="142">
        <v>14099</v>
      </c>
      <c r="K1259" s="142">
        <v>14099</v>
      </c>
      <c r="L1259" s="621"/>
      <c r="M1259" s="168" t="s">
        <v>39</v>
      </c>
      <c r="N1259" s="132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</row>
    <row r="1260" spans="1:28" s="134" customFormat="1" ht="15" customHeight="1" outlineLevel="1" x14ac:dyDescent="0.2">
      <c r="A1260" s="135">
        <v>1</v>
      </c>
      <c r="B1260" s="135">
        <v>28616</v>
      </c>
      <c r="C1260" s="136">
        <v>41813</v>
      </c>
      <c r="D1260" s="137" t="s">
        <v>1787</v>
      </c>
      <c r="E1260" s="135" t="s">
        <v>414</v>
      </c>
      <c r="F1260" s="138" t="s">
        <v>116</v>
      </c>
      <c r="G1260" s="139" t="s">
        <v>431</v>
      </c>
      <c r="H1260" s="140"/>
      <c r="I1260" s="141">
        <v>1</v>
      </c>
      <c r="J1260" s="142">
        <v>5274</v>
      </c>
      <c r="K1260" s="142">
        <v>5274</v>
      </c>
      <c r="L1260" s="182" t="s">
        <v>760</v>
      </c>
      <c r="M1260" s="168" t="s">
        <v>39</v>
      </c>
      <c r="N1260" s="132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</row>
    <row r="1261" spans="1:28" s="134" customFormat="1" ht="15" customHeight="1" outlineLevel="1" x14ac:dyDescent="0.2">
      <c r="A1261" s="135">
        <v>2</v>
      </c>
      <c r="B1261" s="135">
        <v>31925</v>
      </c>
      <c r="C1261" s="136">
        <v>41822</v>
      </c>
      <c r="D1261" s="137" t="s">
        <v>1788</v>
      </c>
      <c r="E1261" s="135" t="s">
        <v>414</v>
      </c>
      <c r="F1261" s="138" t="s">
        <v>537</v>
      </c>
      <c r="G1261" s="139" t="s">
        <v>538</v>
      </c>
      <c r="H1261" s="140"/>
      <c r="I1261" s="141">
        <v>1</v>
      </c>
      <c r="J1261" s="142">
        <v>30429</v>
      </c>
      <c r="K1261" s="142">
        <v>30429</v>
      </c>
      <c r="L1261" s="182" t="s">
        <v>760</v>
      </c>
      <c r="M1261" s="168" t="s">
        <v>39</v>
      </c>
      <c r="N1261" s="132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</row>
    <row r="1262" spans="1:28" s="134" customFormat="1" ht="15" customHeight="1" outlineLevel="1" x14ac:dyDescent="0.2">
      <c r="A1262" s="135">
        <v>3</v>
      </c>
      <c r="B1262" s="135">
        <v>31998</v>
      </c>
      <c r="C1262" s="136">
        <v>41823</v>
      </c>
      <c r="D1262" s="137" t="s">
        <v>1789</v>
      </c>
      <c r="E1262" s="135" t="s">
        <v>1790</v>
      </c>
      <c r="F1262" s="138" t="s">
        <v>116</v>
      </c>
      <c r="G1262" s="139" t="s">
        <v>1791</v>
      </c>
      <c r="H1262" s="140"/>
      <c r="I1262" s="141">
        <v>3</v>
      </c>
      <c r="J1262" s="142">
        <v>5274</v>
      </c>
      <c r="K1262" s="142">
        <v>15822</v>
      </c>
      <c r="L1262" s="182" t="s">
        <v>760</v>
      </c>
      <c r="M1262" s="168" t="s">
        <v>39</v>
      </c>
      <c r="N1262" s="132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</row>
    <row r="1263" spans="1:28" s="134" customFormat="1" ht="15" customHeight="1" outlineLevel="1" x14ac:dyDescent="0.2">
      <c r="A1263" s="135">
        <v>4</v>
      </c>
      <c r="B1263" s="135">
        <v>32461</v>
      </c>
      <c r="C1263" s="136">
        <v>41823</v>
      </c>
      <c r="D1263" s="137" t="s">
        <v>1792</v>
      </c>
      <c r="E1263" s="135" t="s">
        <v>1790</v>
      </c>
      <c r="F1263" s="138" t="s">
        <v>115</v>
      </c>
      <c r="G1263" s="139" t="s">
        <v>392</v>
      </c>
      <c r="H1263" s="140"/>
      <c r="I1263" s="141">
        <v>1</v>
      </c>
      <c r="J1263" s="142">
        <v>33370</v>
      </c>
      <c r="K1263" s="142">
        <v>33370</v>
      </c>
      <c r="L1263" s="182" t="s">
        <v>760</v>
      </c>
      <c r="M1263" s="168" t="s">
        <v>39</v>
      </c>
      <c r="N1263" s="132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</row>
    <row r="1264" spans="1:28" s="134" customFormat="1" ht="15" customHeight="1" outlineLevel="1" x14ac:dyDescent="0.2">
      <c r="A1264" s="135">
        <v>5</v>
      </c>
      <c r="B1264" s="135">
        <v>33143</v>
      </c>
      <c r="C1264" s="136">
        <v>41827</v>
      </c>
      <c r="D1264" s="137" t="s">
        <v>1793</v>
      </c>
      <c r="E1264" s="135" t="s">
        <v>414</v>
      </c>
      <c r="F1264" s="138" t="s">
        <v>577</v>
      </c>
      <c r="G1264" s="139" t="s">
        <v>511</v>
      </c>
      <c r="H1264" s="140"/>
      <c r="I1264" s="141">
        <v>1</v>
      </c>
      <c r="J1264" s="142">
        <v>49701</v>
      </c>
      <c r="K1264" s="142">
        <v>49701</v>
      </c>
      <c r="L1264" s="182" t="s">
        <v>760</v>
      </c>
      <c r="M1264" s="168" t="s">
        <v>39</v>
      </c>
      <c r="N1264" s="132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</row>
    <row r="1265" spans="1:28" s="134" customFormat="1" ht="15" customHeight="1" outlineLevel="1" x14ac:dyDescent="0.2">
      <c r="A1265" s="135">
        <v>6</v>
      </c>
      <c r="B1265" s="135">
        <v>33181</v>
      </c>
      <c r="C1265" s="136">
        <v>41827</v>
      </c>
      <c r="D1265" s="137" t="s">
        <v>1794</v>
      </c>
      <c r="E1265" s="135" t="s">
        <v>414</v>
      </c>
      <c r="F1265" s="138" t="s">
        <v>577</v>
      </c>
      <c r="G1265" s="139" t="s">
        <v>562</v>
      </c>
      <c r="H1265" s="140"/>
      <c r="I1265" s="141">
        <v>1</v>
      </c>
      <c r="J1265" s="142">
        <v>49701</v>
      </c>
      <c r="K1265" s="142">
        <v>49701</v>
      </c>
      <c r="L1265" s="182" t="s">
        <v>760</v>
      </c>
      <c r="M1265" s="168" t="s">
        <v>39</v>
      </c>
      <c r="N1265" s="132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</row>
    <row r="1266" spans="1:28" s="134" customFormat="1" ht="15" customHeight="1" outlineLevel="1" x14ac:dyDescent="0.2">
      <c r="A1266" s="135">
        <v>7</v>
      </c>
      <c r="B1266" s="135">
        <v>33274</v>
      </c>
      <c r="C1266" s="136">
        <v>41828</v>
      </c>
      <c r="D1266" s="137" t="s">
        <v>1772</v>
      </c>
      <c r="E1266" s="135" t="s">
        <v>414</v>
      </c>
      <c r="F1266" s="138" t="s">
        <v>115</v>
      </c>
      <c r="G1266" s="139" t="s">
        <v>383</v>
      </c>
      <c r="H1266" s="140"/>
      <c r="I1266" s="141">
        <v>1</v>
      </c>
      <c r="J1266" s="142">
        <v>33370</v>
      </c>
      <c r="K1266" s="142">
        <v>33370</v>
      </c>
      <c r="L1266" s="182" t="s">
        <v>760</v>
      </c>
      <c r="M1266" s="168" t="s">
        <v>39</v>
      </c>
      <c r="N1266" s="132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</row>
    <row r="1267" spans="1:28" s="134" customFormat="1" ht="15" customHeight="1" outlineLevel="1" x14ac:dyDescent="0.2">
      <c r="A1267" s="135">
        <v>8</v>
      </c>
      <c r="B1267" s="135">
        <v>33335</v>
      </c>
      <c r="C1267" s="136">
        <v>41828</v>
      </c>
      <c r="D1267" s="137" t="s">
        <v>1795</v>
      </c>
      <c r="E1267" s="135" t="s">
        <v>414</v>
      </c>
      <c r="F1267" s="138" t="s">
        <v>217</v>
      </c>
      <c r="G1267" s="139" t="s">
        <v>371</v>
      </c>
      <c r="H1267" s="140"/>
      <c r="I1267" s="141">
        <v>1</v>
      </c>
      <c r="J1267" s="142">
        <v>44597</v>
      </c>
      <c r="K1267" s="142">
        <v>44597</v>
      </c>
      <c r="L1267" s="182" t="s">
        <v>760</v>
      </c>
      <c r="M1267" s="168" t="s">
        <v>39</v>
      </c>
      <c r="N1267" s="132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</row>
    <row r="1268" spans="1:28" s="134" customFormat="1" ht="24" customHeight="1" outlineLevel="1" x14ac:dyDescent="0.2">
      <c r="A1268" s="135">
        <v>9</v>
      </c>
      <c r="B1268" s="135">
        <v>33612</v>
      </c>
      <c r="C1268" s="136">
        <v>41828</v>
      </c>
      <c r="D1268" s="137" t="s">
        <v>1796</v>
      </c>
      <c r="E1268" s="135" t="s">
        <v>414</v>
      </c>
      <c r="F1268" s="138" t="s">
        <v>577</v>
      </c>
      <c r="G1268" s="139" t="s">
        <v>645</v>
      </c>
      <c r="H1268" s="140"/>
      <c r="I1268" s="141">
        <v>1</v>
      </c>
      <c r="J1268" s="142">
        <v>49701</v>
      </c>
      <c r="K1268" s="142">
        <v>49701</v>
      </c>
      <c r="L1268" s="182" t="s">
        <v>760</v>
      </c>
      <c r="M1268" s="168" t="s">
        <v>39</v>
      </c>
      <c r="N1268" s="132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</row>
    <row r="1269" spans="1:28" s="134" customFormat="1" ht="15" customHeight="1" outlineLevel="1" x14ac:dyDescent="0.2">
      <c r="A1269" s="135">
        <v>10</v>
      </c>
      <c r="B1269" s="135">
        <v>34234</v>
      </c>
      <c r="C1269" s="136">
        <v>41830</v>
      </c>
      <c r="D1269" s="137" t="s">
        <v>1797</v>
      </c>
      <c r="E1269" s="135" t="s">
        <v>414</v>
      </c>
      <c r="F1269" s="138" t="s">
        <v>116</v>
      </c>
      <c r="G1269" s="139" t="s">
        <v>511</v>
      </c>
      <c r="H1269" s="140"/>
      <c r="I1269" s="141">
        <v>1</v>
      </c>
      <c r="J1269" s="142">
        <v>5274</v>
      </c>
      <c r="K1269" s="142">
        <v>5274</v>
      </c>
      <c r="L1269" s="182" t="s">
        <v>760</v>
      </c>
      <c r="M1269" s="168" t="s">
        <v>39</v>
      </c>
      <c r="N1269" s="132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</row>
    <row r="1270" spans="1:28" s="134" customFormat="1" ht="15" customHeight="1" outlineLevel="1" x14ac:dyDescent="0.2">
      <c r="A1270" s="135">
        <v>11</v>
      </c>
      <c r="B1270" s="135">
        <v>34568</v>
      </c>
      <c r="C1270" s="136">
        <v>41831</v>
      </c>
      <c r="D1270" s="137" t="s">
        <v>1759</v>
      </c>
      <c r="E1270" s="135" t="s">
        <v>414</v>
      </c>
      <c r="F1270" s="138" t="s">
        <v>580</v>
      </c>
      <c r="G1270" s="139" t="s">
        <v>371</v>
      </c>
      <c r="H1270" s="140"/>
      <c r="I1270" s="141">
        <v>1</v>
      </c>
      <c r="J1270" s="142">
        <v>25800</v>
      </c>
      <c r="K1270" s="142">
        <v>25800</v>
      </c>
      <c r="L1270" s="182" t="s">
        <v>760</v>
      </c>
      <c r="M1270" s="168" t="s">
        <v>39</v>
      </c>
      <c r="N1270" s="132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</row>
    <row r="1271" spans="1:28" s="134" customFormat="1" ht="15" customHeight="1" outlineLevel="1" x14ac:dyDescent="0.2">
      <c r="A1271" s="135">
        <v>12</v>
      </c>
      <c r="B1271" s="135">
        <v>34617</v>
      </c>
      <c r="C1271" s="136">
        <v>41833</v>
      </c>
      <c r="D1271" s="137" t="s">
        <v>1798</v>
      </c>
      <c r="E1271" s="135" t="s">
        <v>904</v>
      </c>
      <c r="F1271" s="138" t="s">
        <v>580</v>
      </c>
      <c r="G1271" s="139" t="s">
        <v>371</v>
      </c>
      <c r="H1271" s="140"/>
      <c r="I1271" s="141">
        <v>1</v>
      </c>
      <c r="J1271" s="142">
        <v>25800</v>
      </c>
      <c r="K1271" s="142">
        <v>25800</v>
      </c>
      <c r="L1271" s="182" t="s">
        <v>760</v>
      </c>
      <c r="M1271" s="168" t="s">
        <v>39</v>
      </c>
      <c r="N1271" s="132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</row>
    <row r="1272" spans="1:28" s="134" customFormat="1" ht="15" customHeight="1" outlineLevel="1" x14ac:dyDescent="0.2">
      <c r="A1272" s="135">
        <v>13</v>
      </c>
      <c r="B1272" s="135">
        <v>34633</v>
      </c>
      <c r="C1272" s="136">
        <v>41830</v>
      </c>
      <c r="D1272" s="137" t="s">
        <v>1799</v>
      </c>
      <c r="E1272" s="135" t="s">
        <v>1790</v>
      </c>
      <c r="F1272" s="138" t="s">
        <v>537</v>
      </c>
      <c r="G1272" s="139" t="s">
        <v>1800</v>
      </c>
      <c r="H1272" s="140"/>
      <c r="I1272" s="141">
        <v>2</v>
      </c>
      <c r="J1272" s="142">
        <v>30429</v>
      </c>
      <c r="K1272" s="142">
        <v>60858</v>
      </c>
      <c r="L1272" s="182" t="s">
        <v>760</v>
      </c>
      <c r="M1272" s="168" t="s">
        <v>39</v>
      </c>
      <c r="N1272" s="132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</row>
    <row r="1273" spans="1:28" s="134" customFormat="1" ht="15" customHeight="1" outlineLevel="1" x14ac:dyDescent="0.2">
      <c r="A1273" s="135">
        <v>14</v>
      </c>
      <c r="B1273" s="135">
        <v>34646</v>
      </c>
      <c r="C1273" s="136">
        <v>41830</v>
      </c>
      <c r="D1273" s="137" t="s">
        <v>1801</v>
      </c>
      <c r="E1273" s="135" t="s">
        <v>414</v>
      </c>
      <c r="F1273" s="138" t="s">
        <v>577</v>
      </c>
      <c r="G1273" s="139" t="s">
        <v>562</v>
      </c>
      <c r="H1273" s="140"/>
      <c r="I1273" s="141">
        <v>1</v>
      </c>
      <c r="J1273" s="142">
        <v>49701</v>
      </c>
      <c r="K1273" s="142">
        <v>49701</v>
      </c>
      <c r="L1273" s="182" t="s">
        <v>760</v>
      </c>
      <c r="M1273" s="168" t="s">
        <v>39</v>
      </c>
      <c r="N1273" s="132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</row>
    <row r="1274" spans="1:28" s="134" customFormat="1" ht="15" customHeight="1" outlineLevel="1" x14ac:dyDescent="0.2">
      <c r="A1274" s="135">
        <v>15</v>
      </c>
      <c r="B1274" s="135">
        <v>34943</v>
      </c>
      <c r="C1274" s="136">
        <v>41834</v>
      </c>
      <c r="D1274" s="137" t="s">
        <v>778</v>
      </c>
      <c r="E1274" s="135" t="s">
        <v>414</v>
      </c>
      <c r="F1274" s="138" t="s">
        <v>116</v>
      </c>
      <c r="G1274" s="139" t="s">
        <v>594</v>
      </c>
      <c r="H1274" s="140"/>
      <c r="I1274" s="141">
        <v>1</v>
      </c>
      <c r="J1274" s="142">
        <v>5274</v>
      </c>
      <c r="K1274" s="142">
        <v>5274</v>
      </c>
      <c r="L1274" s="182" t="s">
        <v>760</v>
      </c>
      <c r="M1274" s="168" t="s">
        <v>39</v>
      </c>
      <c r="N1274" s="132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</row>
    <row r="1275" spans="1:28" s="134" customFormat="1" ht="15" customHeight="1" outlineLevel="1" x14ac:dyDescent="0.2">
      <c r="A1275" s="135">
        <v>16</v>
      </c>
      <c r="B1275" s="135">
        <v>35265</v>
      </c>
      <c r="C1275" s="136">
        <v>41834</v>
      </c>
      <c r="D1275" s="137" t="s">
        <v>1802</v>
      </c>
      <c r="E1275" s="135" t="s">
        <v>414</v>
      </c>
      <c r="F1275" s="138" t="s">
        <v>537</v>
      </c>
      <c r="G1275" s="139" t="s">
        <v>511</v>
      </c>
      <c r="H1275" s="140"/>
      <c r="I1275" s="141">
        <v>1</v>
      </c>
      <c r="J1275" s="142">
        <v>30429</v>
      </c>
      <c r="K1275" s="142">
        <v>30429</v>
      </c>
      <c r="L1275" s="182" t="s">
        <v>760</v>
      </c>
      <c r="M1275" s="168" t="s">
        <v>39</v>
      </c>
      <c r="N1275" s="132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</row>
    <row r="1276" spans="1:28" s="134" customFormat="1" ht="15" customHeight="1" outlineLevel="1" x14ac:dyDescent="0.2">
      <c r="A1276" s="135">
        <v>17</v>
      </c>
      <c r="B1276" s="135">
        <v>35516</v>
      </c>
      <c r="C1276" s="136">
        <v>41834</v>
      </c>
      <c r="D1276" s="137" t="s">
        <v>1803</v>
      </c>
      <c r="E1276" s="135" t="s">
        <v>414</v>
      </c>
      <c r="F1276" s="138" t="s">
        <v>577</v>
      </c>
      <c r="G1276" s="139" t="s">
        <v>530</v>
      </c>
      <c r="H1276" s="140"/>
      <c r="I1276" s="141">
        <v>1</v>
      </c>
      <c r="J1276" s="142">
        <v>49701</v>
      </c>
      <c r="K1276" s="142">
        <v>49701</v>
      </c>
      <c r="L1276" s="182" t="s">
        <v>760</v>
      </c>
      <c r="M1276" s="168" t="s">
        <v>39</v>
      </c>
      <c r="N1276" s="132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</row>
    <row r="1277" spans="1:28" s="134" customFormat="1" ht="15" customHeight="1" outlineLevel="1" x14ac:dyDescent="0.2">
      <c r="A1277" s="135">
        <v>18</v>
      </c>
      <c r="B1277" s="135">
        <v>36041</v>
      </c>
      <c r="C1277" s="136">
        <v>41837</v>
      </c>
      <c r="D1277" s="137" t="s">
        <v>1771</v>
      </c>
      <c r="E1277" s="135" t="s">
        <v>414</v>
      </c>
      <c r="F1277" s="138" t="s">
        <v>210</v>
      </c>
      <c r="G1277" s="139" t="s">
        <v>419</v>
      </c>
      <c r="H1277" s="140"/>
      <c r="I1277" s="141">
        <v>1</v>
      </c>
      <c r="J1277" s="142">
        <v>14099</v>
      </c>
      <c r="K1277" s="142">
        <v>14099</v>
      </c>
      <c r="L1277" s="182" t="s">
        <v>760</v>
      </c>
      <c r="M1277" s="168" t="s">
        <v>39</v>
      </c>
      <c r="N1277" s="132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</row>
    <row r="1278" spans="1:28" s="134" customFormat="1" ht="15" customHeight="1" outlineLevel="1" x14ac:dyDescent="0.2">
      <c r="A1278" s="135">
        <v>19</v>
      </c>
      <c r="B1278" s="135">
        <v>36239</v>
      </c>
      <c r="C1278" s="136">
        <v>41838</v>
      </c>
      <c r="D1278" s="137" t="s">
        <v>1788</v>
      </c>
      <c r="E1278" s="135" t="s">
        <v>414</v>
      </c>
      <c r="F1278" s="138" t="s">
        <v>580</v>
      </c>
      <c r="G1278" s="139" t="s">
        <v>371</v>
      </c>
      <c r="H1278" s="140"/>
      <c r="I1278" s="141">
        <v>1</v>
      </c>
      <c r="J1278" s="142">
        <v>25800</v>
      </c>
      <c r="K1278" s="142">
        <v>25800</v>
      </c>
      <c r="L1278" s="182" t="s">
        <v>760</v>
      </c>
      <c r="M1278" s="168" t="s">
        <v>39</v>
      </c>
      <c r="N1278" s="132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</row>
    <row r="1279" spans="1:28" s="134" customFormat="1" ht="15" customHeight="1" outlineLevel="1" x14ac:dyDescent="0.2">
      <c r="A1279" s="135">
        <v>20</v>
      </c>
      <c r="B1279" s="135">
        <v>36961</v>
      </c>
      <c r="C1279" s="136">
        <v>41841</v>
      </c>
      <c r="D1279" s="137" t="s">
        <v>1804</v>
      </c>
      <c r="E1279" s="135" t="s">
        <v>414</v>
      </c>
      <c r="F1279" s="138" t="s">
        <v>537</v>
      </c>
      <c r="G1279" s="139" t="s">
        <v>562</v>
      </c>
      <c r="H1279" s="140"/>
      <c r="I1279" s="141">
        <v>1</v>
      </c>
      <c r="J1279" s="142">
        <v>30429</v>
      </c>
      <c r="K1279" s="142">
        <v>30429</v>
      </c>
      <c r="L1279" s="182" t="s">
        <v>760</v>
      </c>
      <c r="M1279" s="168" t="s">
        <v>39</v>
      </c>
      <c r="N1279" s="132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</row>
    <row r="1280" spans="1:28" s="134" customFormat="1" ht="15" customHeight="1" outlineLevel="1" x14ac:dyDescent="0.2">
      <c r="A1280" s="135">
        <v>21</v>
      </c>
      <c r="B1280" s="135">
        <v>37004</v>
      </c>
      <c r="C1280" s="136">
        <v>41841</v>
      </c>
      <c r="D1280" s="137" t="s">
        <v>1805</v>
      </c>
      <c r="E1280" s="135" t="s">
        <v>414</v>
      </c>
      <c r="F1280" s="138" t="s">
        <v>537</v>
      </c>
      <c r="G1280" s="139" t="s">
        <v>511</v>
      </c>
      <c r="H1280" s="140"/>
      <c r="I1280" s="141">
        <v>1</v>
      </c>
      <c r="J1280" s="142">
        <v>30429</v>
      </c>
      <c r="K1280" s="142">
        <v>30429</v>
      </c>
      <c r="L1280" s="182" t="s">
        <v>760</v>
      </c>
      <c r="M1280" s="168" t="s">
        <v>39</v>
      </c>
      <c r="N1280" s="132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</row>
    <row r="1281" spans="1:28" s="134" customFormat="1" ht="15" customHeight="1" outlineLevel="1" x14ac:dyDescent="0.2">
      <c r="A1281" s="135">
        <v>22</v>
      </c>
      <c r="B1281" s="135">
        <v>37200</v>
      </c>
      <c r="C1281" s="136">
        <v>41843</v>
      </c>
      <c r="D1281" s="137" t="s">
        <v>1781</v>
      </c>
      <c r="E1281" s="135" t="s">
        <v>414</v>
      </c>
      <c r="F1281" s="138" t="s">
        <v>115</v>
      </c>
      <c r="G1281" s="139" t="s">
        <v>472</v>
      </c>
      <c r="H1281" s="140"/>
      <c r="I1281" s="141">
        <v>1</v>
      </c>
      <c r="J1281" s="142">
        <v>33370</v>
      </c>
      <c r="K1281" s="142">
        <v>33370</v>
      </c>
      <c r="L1281" s="182" t="s">
        <v>760</v>
      </c>
      <c r="M1281" s="168" t="s">
        <v>39</v>
      </c>
      <c r="N1281" s="132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</row>
    <row r="1282" spans="1:28" s="134" customFormat="1" ht="15" customHeight="1" outlineLevel="1" x14ac:dyDescent="0.2">
      <c r="A1282" s="135">
        <v>23</v>
      </c>
      <c r="B1282" s="135">
        <v>37364</v>
      </c>
      <c r="C1282" s="136">
        <v>41844</v>
      </c>
      <c r="D1282" s="137" t="s">
        <v>1806</v>
      </c>
      <c r="E1282" s="135" t="s">
        <v>414</v>
      </c>
      <c r="F1282" s="138" t="s">
        <v>537</v>
      </c>
      <c r="G1282" s="139" t="s">
        <v>527</v>
      </c>
      <c r="H1282" s="140"/>
      <c r="I1282" s="141">
        <v>1</v>
      </c>
      <c r="J1282" s="142">
        <v>30429</v>
      </c>
      <c r="K1282" s="142">
        <v>30429</v>
      </c>
      <c r="L1282" s="182" t="s">
        <v>760</v>
      </c>
      <c r="M1282" s="168" t="s">
        <v>39</v>
      </c>
      <c r="N1282" s="132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</row>
    <row r="1283" spans="1:28" s="134" customFormat="1" ht="15" customHeight="1" outlineLevel="1" x14ac:dyDescent="0.2">
      <c r="A1283" s="135">
        <v>24</v>
      </c>
      <c r="B1283" s="135">
        <v>37376</v>
      </c>
      <c r="C1283" s="136">
        <v>41844</v>
      </c>
      <c r="D1283" s="137" t="s">
        <v>1786</v>
      </c>
      <c r="E1283" s="135" t="s">
        <v>414</v>
      </c>
      <c r="F1283" s="138" t="s">
        <v>537</v>
      </c>
      <c r="G1283" s="139" t="s">
        <v>645</v>
      </c>
      <c r="H1283" s="140"/>
      <c r="I1283" s="141">
        <v>1</v>
      </c>
      <c r="J1283" s="142">
        <v>30429</v>
      </c>
      <c r="K1283" s="142">
        <v>30429</v>
      </c>
      <c r="L1283" s="182" t="s">
        <v>760</v>
      </c>
      <c r="M1283" s="168" t="s">
        <v>39</v>
      </c>
      <c r="N1283" s="132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</row>
    <row r="1284" spans="1:28" s="134" customFormat="1" ht="15" customHeight="1" outlineLevel="1" x14ac:dyDescent="0.2">
      <c r="A1284" s="135">
        <v>25</v>
      </c>
      <c r="B1284" s="135">
        <v>38456</v>
      </c>
      <c r="C1284" s="136">
        <v>41848</v>
      </c>
      <c r="D1284" s="137" t="s">
        <v>1807</v>
      </c>
      <c r="E1284" s="135" t="s">
        <v>414</v>
      </c>
      <c r="F1284" s="138" t="s">
        <v>577</v>
      </c>
      <c r="G1284" s="139" t="s">
        <v>568</v>
      </c>
      <c r="H1284" s="140"/>
      <c r="I1284" s="141">
        <v>1</v>
      </c>
      <c r="J1284" s="142">
        <v>49701</v>
      </c>
      <c r="K1284" s="142">
        <v>49701</v>
      </c>
      <c r="L1284" s="182" t="s">
        <v>760</v>
      </c>
      <c r="M1284" s="168" t="s">
        <v>39</v>
      </c>
      <c r="N1284" s="132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</row>
    <row r="1285" spans="1:28" s="134" customFormat="1" ht="15" customHeight="1" outlineLevel="1" x14ac:dyDescent="0.2">
      <c r="A1285" s="135">
        <v>26</v>
      </c>
      <c r="B1285" s="135">
        <v>39559</v>
      </c>
      <c r="C1285" s="136">
        <v>41851</v>
      </c>
      <c r="D1285" s="137" t="s">
        <v>1808</v>
      </c>
      <c r="E1285" s="135" t="s">
        <v>414</v>
      </c>
      <c r="F1285" s="138" t="s">
        <v>537</v>
      </c>
      <c r="G1285" s="139" t="s">
        <v>645</v>
      </c>
      <c r="H1285" s="140"/>
      <c r="I1285" s="141">
        <v>1</v>
      </c>
      <c r="J1285" s="142">
        <v>30429</v>
      </c>
      <c r="K1285" s="142">
        <v>30429</v>
      </c>
      <c r="L1285" s="182" t="s">
        <v>760</v>
      </c>
      <c r="M1285" s="168" t="s">
        <v>39</v>
      </c>
      <c r="N1285" s="132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</row>
    <row r="1286" spans="1:28" s="134" customFormat="1" ht="15" customHeight="1" outlineLevel="1" x14ac:dyDescent="0.2">
      <c r="A1286" s="135">
        <v>27</v>
      </c>
      <c r="B1286" s="135">
        <v>39612</v>
      </c>
      <c r="C1286" s="136">
        <v>41851</v>
      </c>
      <c r="D1286" s="137" t="s">
        <v>1771</v>
      </c>
      <c r="E1286" s="135" t="s">
        <v>414</v>
      </c>
      <c r="F1286" s="138" t="s">
        <v>537</v>
      </c>
      <c r="G1286" s="139" t="s">
        <v>431</v>
      </c>
      <c r="H1286" s="140"/>
      <c r="I1286" s="141">
        <v>1</v>
      </c>
      <c r="J1286" s="142">
        <v>30429</v>
      </c>
      <c r="K1286" s="142">
        <v>30429</v>
      </c>
      <c r="L1286" s="182" t="s">
        <v>760</v>
      </c>
      <c r="M1286" s="168" t="s">
        <v>39</v>
      </c>
      <c r="N1286" s="132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</row>
    <row r="1287" spans="1:28" s="134" customFormat="1" ht="15" customHeight="1" outlineLevel="1" x14ac:dyDescent="0.2">
      <c r="A1287" s="135">
        <v>28</v>
      </c>
      <c r="B1287" s="135">
        <v>39886</v>
      </c>
      <c r="C1287" s="136">
        <v>41851</v>
      </c>
      <c r="D1287" s="137" t="s">
        <v>1809</v>
      </c>
      <c r="E1287" s="135" t="s">
        <v>1790</v>
      </c>
      <c r="F1287" s="138" t="s">
        <v>115</v>
      </c>
      <c r="G1287" s="139" t="s">
        <v>419</v>
      </c>
      <c r="H1287" s="140"/>
      <c r="I1287" s="141">
        <v>1</v>
      </c>
      <c r="J1287" s="142">
        <v>33370</v>
      </c>
      <c r="K1287" s="142">
        <v>33370</v>
      </c>
      <c r="L1287" s="182" t="s">
        <v>760</v>
      </c>
      <c r="M1287" s="168" t="s">
        <v>39</v>
      </c>
      <c r="N1287" s="132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</row>
    <row r="1288" spans="1:28" s="134" customFormat="1" ht="15" customHeight="1" outlineLevel="1" x14ac:dyDescent="0.2">
      <c r="A1288" s="135">
        <v>29</v>
      </c>
      <c r="B1288" s="135">
        <v>39962</v>
      </c>
      <c r="C1288" s="136">
        <v>41851</v>
      </c>
      <c r="D1288" s="137" t="s">
        <v>1810</v>
      </c>
      <c r="E1288" s="135" t="s">
        <v>414</v>
      </c>
      <c r="F1288" s="138" t="s">
        <v>210</v>
      </c>
      <c r="G1288" s="139" t="s">
        <v>410</v>
      </c>
      <c r="H1288" s="140"/>
      <c r="I1288" s="141">
        <v>1</v>
      </c>
      <c r="J1288" s="142">
        <v>14099</v>
      </c>
      <c r="K1288" s="142">
        <v>14099</v>
      </c>
      <c r="L1288" s="182" t="s">
        <v>760</v>
      </c>
      <c r="M1288" s="168" t="s">
        <v>39</v>
      </c>
      <c r="N1288" s="132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</row>
    <row r="1289" spans="1:28" s="134" customFormat="1" ht="15" customHeight="1" outlineLevel="1" x14ac:dyDescent="0.2">
      <c r="A1289" s="135">
        <v>1</v>
      </c>
      <c r="B1289" s="135">
        <v>40426</v>
      </c>
      <c r="C1289" s="136">
        <v>41856</v>
      </c>
      <c r="D1289" s="137" t="s">
        <v>1811</v>
      </c>
      <c r="E1289" s="135" t="s">
        <v>414</v>
      </c>
      <c r="F1289" s="138" t="s">
        <v>217</v>
      </c>
      <c r="G1289" s="139" t="s">
        <v>369</v>
      </c>
      <c r="H1289" s="140"/>
      <c r="I1289" s="141">
        <v>1</v>
      </c>
      <c r="J1289" s="142">
        <v>44597</v>
      </c>
      <c r="K1289" s="142">
        <v>44597</v>
      </c>
      <c r="L1289" s="622" t="s">
        <v>788</v>
      </c>
      <c r="M1289" s="168" t="s">
        <v>39</v>
      </c>
      <c r="N1289" s="132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</row>
    <row r="1290" spans="1:28" s="134" customFormat="1" ht="15" customHeight="1" outlineLevel="1" x14ac:dyDescent="0.2">
      <c r="A1290" s="135">
        <v>2</v>
      </c>
      <c r="B1290" s="135">
        <v>45278</v>
      </c>
      <c r="C1290" s="136">
        <v>41871</v>
      </c>
      <c r="D1290" s="137" t="s">
        <v>1812</v>
      </c>
      <c r="E1290" s="135" t="s">
        <v>1813</v>
      </c>
      <c r="F1290" s="138" t="s">
        <v>537</v>
      </c>
      <c r="G1290" s="139" t="s">
        <v>527</v>
      </c>
      <c r="H1290" s="140"/>
      <c r="I1290" s="141">
        <v>1</v>
      </c>
      <c r="J1290" s="142">
        <v>30429</v>
      </c>
      <c r="K1290" s="142">
        <v>30429</v>
      </c>
      <c r="L1290" s="623"/>
      <c r="M1290" s="168" t="s">
        <v>39</v>
      </c>
      <c r="N1290" s="132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</row>
    <row r="1291" spans="1:28" s="134" customFormat="1" ht="15" customHeight="1" outlineLevel="1" x14ac:dyDescent="0.2">
      <c r="A1291" s="135">
        <v>3</v>
      </c>
      <c r="B1291" s="135">
        <v>42375</v>
      </c>
      <c r="C1291" s="136">
        <v>41862</v>
      </c>
      <c r="D1291" s="137" t="s">
        <v>1814</v>
      </c>
      <c r="E1291" s="135" t="s">
        <v>414</v>
      </c>
      <c r="F1291" s="138" t="s">
        <v>537</v>
      </c>
      <c r="G1291" s="139" t="s">
        <v>472</v>
      </c>
      <c r="H1291" s="140"/>
      <c r="I1291" s="141">
        <v>1</v>
      </c>
      <c r="J1291" s="142">
        <v>30429</v>
      </c>
      <c r="K1291" s="142">
        <v>30429</v>
      </c>
      <c r="L1291" s="623"/>
      <c r="M1291" s="168" t="s">
        <v>39</v>
      </c>
      <c r="N1291" s="132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</row>
    <row r="1292" spans="1:28" s="134" customFormat="1" ht="15" customHeight="1" outlineLevel="1" x14ac:dyDescent="0.2">
      <c r="A1292" s="135">
        <v>4</v>
      </c>
      <c r="B1292" s="135">
        <v>46578</v>
      </c>
      <c r="C1292" s="136">
        <v>41879</v>
      </c>
      <c r="D1292" s="137" t="s">
        <v>1815</v>
      </c>
      <c r="E1292" s="135" t="s">
        <v>1790</v>
      </c>
      <c r="F1292" s="138" t="s">
        <v>116</v>
      </c>
      <c r="G1292" s="139" t="s">
        <v>419</v>
      </c>
      <c r="H1292" s="140"/>
      <c r="I1292" s="141">
        <v>1</v>
      </c>
      <c r="J1292" s="142">
        <v>5274</v>
      </c>
      <c r="K1292" s="142">
        <v>5274</v>
      </c>
      <c r="L1292" s="623"/>
      <c r="M1292" s="168" t="s">
        <v>39</v>
      </c>
      <c r="N1292" s="132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</row>
    <row r="1293" spans="1:28" s="134" customFormat="1" ht="15" customHeight="1" outlineLevel="1" x14ac:dyDescent="0.2">
      <c r="A1293" s="135">
        <v>6</v>
      </c>
      <c r="B1293" s="135">
        <v>41047</v>
      </c>
      <c r="C1293" s="136">
        <v>41857</v>
      </c>
      <c r="D1293" s="137" t="s">
        <v>1816</v>
      </c>
      <c r="E1293" s="135" t="s">
        <v>414</v>
      </c>
      <c r="F1293" s="138" t="s">
        <v>580</v>
      </c>
      <c r="G1293" s="139" t="s">
        <v>371</v>
      </c>
      <c r="H1293" s="140"/>
      <c r="I1293" s="141">
        <v>1</v>
      </c>
      <c r="J1293" s="142">
        <v>25800</v>
      </c>
      <c r="K1293" s="142">
        <v>25800</v>
      </c>
      <c r="L1293" s="623"/>
      <c r="M1293" s="168" t="s">
        <v>39</v>
      </c>
      <c r="N1293" s="132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</row>
    <row r="1294" spans="1:28" s="134" customFormat="1" ht="15" customHeight="1" outlineLevel="1" x14ac:dyDescent="0.2">
      <c r="A1294" s="135">
        <v>7</v>
      </c>
      <c r="B1294" s="135">
        <v>44036</v>
      </c>
      <c r="C1294" s="136">
        <v>41869</v>
      </c>
      <c r="D1294" s="137" t="s">
        <v>1771</v>
      </c>
      <c r="E1294" s="135" t="s">
        <v>414</v>
      </c>
      <c r="F1294" s="138" t="s">
        <v>115</v>
      </c>
      <c r="G1294" s="139" t="s">
        <v>419</v>
      </c>
      <c r="H1294" s="140"/>
      <c r="I1294" s="141">
        <v>1</v>
      </c>
      <c r="J1294" s="142">
        <v>33370</v>
      </c>
      <c r="K1294" s="142">
        <v>33370</v>
      </c>
      <c r="L1294" s="623"/>
      <c r="M1294" s="168" t="s">
        <v>39</v>
      </c>
      <c r="N1294" s="132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</row>
    <row r="1295" spans="1:28" s="134" customFormat="1" ht="15" customHeight="1" outlineLevel="1" x14ac:dyDescent="0.2">
      <c r="A1295" s="135">
        <v>8</v>
      </c>
      <c r="B1295" s="135">
        <v>47220</v>
      </c>
      <c r="C1295" s="136">
        <v>41878</v>
      </c>
      <c r="D1295" s="137" t="s">
        <v>1817</v>
      </c>
      <c r="E1295" s="135" t="s">
        <v>515</v>
      </c>
      <c r="F1295" s="138" t="s">
        <v>580</v>
      </c>
      <c r="G1295" s="139" t="s">
        <v>371</v>
      </c>
      <c r="H1295" s="140"/>
      <c r="I1295" s="141">
        <v>1</v>
      </c>
      <c r="J1295" s="142">
        <v>25800</v>
      </c>
      <c r="K1295" s="142">
        <v>25800</v>
      </c>
      <c r="L1295" s="623"/>
      <c r="M1295" s="168" t="s">
        <v>39</v>
      </c>
      <c r="N1295" s="132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</row>
    <row r="1296" spans="1:28" s="134" customFormat="1" ht="15" customHeight="1" outlineLevel="1" x14ac:dyDescent="0.2">
      <c r="A1296" s="135">
        <v>9</v>
      </c>
      <c r="B1296" s="135">
        <v>47617</v>
      </c>
      <c r="C1296" s="136">
        <v>41879</v>
      </c>
      <c r="D1296" s="137" t="s">
        <v>1818</v>
      </c>
      <c r="E1296" s="135" t="s">
        <v>414</v>
      </c>
      <c r="F1296" s="138" t="s">
        <v>217</v>
      </c>
      <c r="G1296" s="139" t="s">
        <v>371</v>
      </c>
      <c r="H1296" s="140"/>
      <c r="I1296" s="141">
        <v>1</v>
      </c>
      <c r="J1296" s="142">
        <v>44597</v>
      </c>
      <c r="K1296" s="142">
        <v>44597</v>
      </c>
      <c r="L1296" s="623"/>
      <c r="M1296" s="168" t="s">
        <v>39</v>
      </c>
      <c r="N1296" s="132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</row>
    <row r="1297" spans="1:28" s="134" customFormat="1" ht="15" customHeight="1" outlineLevel="1" x14ac:dyDescent="0.2">
      <c r="A1297" s="135">
        <v>10</v>
      </c>
      <c r="B1297" s="135">
        <v>45865</v>
      </c>
      <c r="C1297" s="136">
        <v>41873</v>
      </c>
      <c r="D1297" s="137" t="s">
        <v>513</v>
      </c>
      <c r="E1297" s="135" t="s">
        <v>414</v>
      </c>
      <c r="F1297" s="138" t="s">
        <v>116</v>
      </c>
      <c r="G1297" s="139" t="s">
        <v>415</v>
      </c>
      <c r="H1297" s="140"/>
      <c r="I1297" s="141">
        <v>1</v>
      </c>
      <c r="J1297" s="142">
        <v>5274</v>
      </c>
      <c r="K1297" s="142">
        <v>5274</v>
      </c>
      <c r="L1297" s="623"/>
      <c r="M1297" s="168" t="s">
        <v>39</v>
      </c>
      <c r="N1297" s="132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</row>
    <row r="1298" spans="1:28" s="134" customFormat="1" ht="15" customHeight="1" outlineLevel="1" x14ac:dyDescent="0.2">
      <c r="A1298" s="135">
        <v>11</v>
      </c>
      <c r="B1298" s="135">
        <v>48022</v>
      </c>
      <c r="C1298" s="136">
        <v>41880</v>
      </c>
      <c r="D1298" s="137" t="s">
        <v>1819</v>
      </c>
      <c r="E1298" s="135" t="s">
        <v>414</v>
      </c>
      <c r="F1298" s="138" t="s">
        <v>116</v>
      </c>
      <c r="G1298" s="139" t="s">
        <v>527</v>
      </c>
      <c r="H1298" s="140"/>
      <c r="I1298" s="141">
        <v>1</v>
      </c>
      <c r="J1298" s="142">
        <v>5274</v>
      </c>
      <c r="K1298" s="142">
        <v>5274</v>
      </c>
      <c r="L1298" s="623"/>
      <c r="M1298" s="168" t="s">
        <v>39</v>
      </c>
      <c r="N1298" s="132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</row>
    <row r="1299" spans="1:28" s="134" customFormat="1" ht="15" customHeight="1" outlineLevel="1" x14ac:dyDescent="0.2">
      <c r="A1299" s="135">
        <v>12</v>
      </c>
      <c r="B1299" s="135">
        <v>47904</v>
      </c>
      <c r="C1299" s="136">
        <v>41879</v>
      </c>
      <c r="D1299" s="137" t="s">
        <v>1820</v>
      </c>
      <c r="E1299" s="135" t="s">
        <v>1790</v>
      </c>
      <c r="F1299" s="138" t="s">
        <v>537</v>
      </c>
      <c r="G1299" s="139" t="s">
        <v>431</v>
      </c>
      <c r="H1299" s="140"/>
      <c r="I1299" s="141">
        <v>1</v>
      </c>
      <c r="J1299" s="142">
        <v>30429</v>
      </c>
      <c r="K1299" s="142">
        <v>30429</v>
      </c>
      <c r="L1299" s="623"/>
      <c r="M1299" s="168" t="s">
        <v>39</v>
      </c>
      <c r="N1299" s="132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</row>
    <row r="1300" spans="1:28" s="134" customFormat="1" ht="15" customHeight="1" outlineLevel="1" x14ac:dyDescent="0.2">
      <c r="A1300" s="135">
        <v>13</v>
      </c>
      <c r="B1300" s="135">
        <v>43795</v>
      </c>
      <c r="C1300" s="136">
        <v>41869</v>
      </c>
      <c r="D1300" s="137" t="s">
        <v>1821</v>
      </c>
      <c r="E1300" s="135" t="s">
        <v>414</v>
      </c>
      <c r="F1300" s="138" t="s">
        <v>217</v>
      </c>
      <c r="G1300" s="139" t="s">
        <v>369</v>
      </c>
      <c r="H1300" s="140"/>
      <c r="I1300" s="141">
        <v>1</v>
      </c>
      <c r="J1300" s="142">
        <v>44597</v>
      </c>
      <c r="K1300" s="142">
        <v>44597</v>
      </c>
      <c r="L1300" s="623"/>
      <c r="M1300" s="168" t="s">
        <v>39</v>
      </c>
      <c r="N1300" s="132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</row>
    <row r="1301" spans="1:28" s="134" customFormat="1" ht="15" customHeight="1" outlineLevel="1" x14ac:dyDescent="0.2">
      <c r="A1301" s="135">
        <v>14</v>
      </c>
      <c r="B1301" s="135">
        <v>46774</v>
      </c>
      <c r="C1301" s="136">
        <v>41876</v>
      </c>
      <c r="D1301" s="137" t="s">
        <v>1822</v>
      </c>
      <c r="E1301" s="135" t="s">
        <v>590</v>
      </c>
      <c r="F1301" s="138" t="s">
        <v>217</v>
      </c>
      <c r="G1301" s="139" t="s">
        <v>371</v>
      </c>
      <c r="H1301" s="140"/>
      <c r="I1301" s="141">
        <v>1</v>
      </c>
      <c r="J1301" s="142">
        <v>44597</v>
      </c>
      <c r="K1301" s="142">
        <v>44597</v>
      </c>
      <c r="L1301" s="623"/>
      <c r="M1301" s="168" t="s">
        <v>39</v>
      </c>
      <c r="N1301" s="132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</row>
    <row r="1302" spans="1:28" s="134" customFormat="1" ht="15" customHeight="1" outlineLevel="1" x14ac:dyDescent="0.2">
      <c r="A1302" s="135">
        <v>15</v>
      </c>
      <c r="B1302" s="135">
        <v>40966</v>
      </c>
      <c r="C1302" s="136">
        <v>41857</v>
      </c>
      <c r="D1302" s="137" t="s">
        <v>1797</v>
      </c>
      <c r="E1302" s="135" t="s">
        <v>414</v>
      </c>
      <c r="F1302" s="138" t="s">
        <v>115</v>
      </c>
      <c r="G1302" s="139" t="s">
        <v>417</v>
      </c>
      <c r="H1302" s="140"/>
      <c r="I1302" s="141">
        <v>1</v>
      </c>
      <c r="J1302" s="142">
        <v>33370</v>
      </c>
      <c r="K1302" s="142">
        <v>33370</v>
      </c>
      <c r="L1302" s="623"/>
      <c r="M1302" s="168" t="s">
        <v>39</v>
      </c>
      <c r="N1302" s="132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</row>
    <row r="1303" spans="1:28" s="134" customFormat="1" ht="15" customHeight="1" outlineLevel="1" x14ac:dyDescent="0.2">
      <c r="A1303" s="135">
        <v>16</v>
      </c>
      <c r="B1303" s="135">
        <v>43717</v>
      </c>
      <c r="C1303" s="136">
        <v>41865</v>
      </c>
      <c r="D1303" s="137" t="s">
        <v>1823</v>
      </c>
      <c r="E1303" s="135" t="s">
        <v>1790</v>
      </c>
      <c r="F1303" s="138" t="s">
        <v>537</v>
      </c>
      <c r="G1303" s="139" t="s">
        <v>431</v>
      </c>
      <c r="H1303" s="140"/>
      <c r="I1303" s="141">
        <v>1</v>
      </c>
      <c r="J1303" s="142">
        <v>30429</v>
      </c>
      <c r="K1303" s="142">
        <v>30429</v>
      </c>
      <c r="L1303" s="623"/>
      <c r="M1303" s="168" t="s">
        <v>39</v>
      </c>
      <c r="N1303" s="132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</row>
    <row r="1304" spans="1:28" s="134" customFormat="1" ht="15" customHeight="1" outlineLevel="1" x14ac:dyDescent="0.2">
      <c r="A1304" s="135">
        <v>17</v>
      </c>
      <c r="B1304" s="135">
        <v>47955</v>
      </c>
      <c r="C1304" s="136">
        <v>41879</v>
      </c>
      <c r="D1304" s="137" t="s">
        <v>1504</v>
      </c>
      <c r="E1304" s="135" t="s">
        <v>414</v>
      </c>
      <c r="F1304" s="138" t="s">
        <v>577</v>
      </c>
      <c r="G1304" s="139" t="s">
        <v>417</v>
      </c>
      <c r="H1304" s="140"/>
      <c r="I1304" s="141">
        <v>1</v>
      </c>
      <c r="J1304" s="142">
        <v>49701</v>
      </c>
      <c r="K1304" s="142">
        <v>49701</v>
      </c>
      <c r="L1304" s="623"/>
      <c r="M1304" s="168" t="s">
        <v>39</v>
      </c>
      <c r="N1304" s="132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</row>
    <row r="1305" spans="1:28" s="134" customFormat="1" ht="15" customHeight="1" outlineLevel="1" x14ac:dyDescent="0.2">
      <c r="A1305" s="135">
        <v>18</v>
      </c>
      <c r="B1305" s="135">
        <v>41162</v>
      </c>
      <c r="C1305" s="136">
        <v>41857</v>
      </c>
      <c r="D1305" s="137" t="s">
        <v>778</v>
      </c>
      <c r="E1305" s="135" t="s">
        <v>414</v>
      </c>
      <c r="F1305" s="138" t="s">
        <v>115</v>
      </c>
      <c r="G1305" s="139" t="s">
        <v>594</v>
      </c>
      <c r="H1305" s="140"/>
      <c r="I1305" s="141">
        <v>1</v>
      </c>
      <c r="J1305" s="142">
        <v>33370</v>
      </c>
      <c r="K1305" s="142">
        <v>33370</v>
      </c>
      <c r="L1305" s="623"/>
      <c r="M1305" s="168" t="s">
        <v>39</v>
      </c>
      <c r="N1305" s="132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</row>
    <row r="1306" spans="1:28" s="134" customFormat="1" ht="15" customHeight="1" outlineLevel="1" x14ac:dyDescent="0.2">
      <c r="A1306" s="135">
        <v>19</v>
      </c>
      <c r="B1306" s="135">
        <v>44526</v>
      </c>
      <c r="C1306" s="136">
        <v>41869</v>
      </c>
      <c r="D1306" s="137" t="s">
        <v>1824</v>
      </c>
      <c r="E1306" s="135" t="s">
        <v>414</v>
      </c>
      <c r="F1306" s="138" t="s">
        <v>577</v>
      </c>
      <c r="G1306" s="139" t="s">
        <v>527</v>
      </c>
      <c r="H1306" s="140"/>
      <c r="I1306" s="141">
        <v>1</v>
      </c>
      <c r="J1306" s="142">
        <v>49701</v>
      </c>
      <c r="K1306" s="142">
        <v>49701</v>
      </c>
      <c r="L1306" s="623"/>
      <c r="M1306" s="168" t="s">
        <v>39</v>
      </c>
      <c r="N1306" s="132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</row>
    <row r="1307" spans="1:28" s="134" customFormat="1" ht="15" customHeight="1" outlineLevel="1" x14ac:dyDescent="0.2">
      <c r="A1307" s="135">
        <v>20</v>
      </c>
      <c r="B1307" s="135">
        <v>41480</v>
      </c>
      <c r="C1307" s="136">
        <v>41859</v>
      </c>
      <c r="D1307" s="137" t="s">
        <v>1825</v>
      </c>
      <c r="E1307" s="135" t="s">
        <v>943</v>
      </c>
      <c r="F1307" s="138" t="s">
        <v>580</v>
      </c>
      <c r="G1307" s="139" t="s">
        <v>371</v>
      </c>
      <c r="H1307" s="140"/>
      <c r="I1307" s="141">
        <v>1</v>
      </c>
      <c r="J1307" s="142">
        <v>25800</v>
      </c>
      <c r="K1307" s="142">
        <v>25800</v>
      </c>
      <c r="L1307" s="623"/>
      <c r="M1307" s="168" t="s">
        <v>39</v>
      </c>
      <c r="N1307" s="132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</row>
    <row r="1308" spans="1:28" s="134" customFormat="1" ht="15" customHeight="1" outlineLevel="1" x14ac:dyDescent="0.2">
      <c r="A1308" s="135">
        <v>21</v>
      </c>
      <c r="B1308" s="135">
        <v>46225</v>
      </c>
      <c r="C1308" s="136">
        <v>41874</v>
      </c>
      <c r="D1308" s="137" t="s">
        <v>1826</v>
      </c>
      <c r="E1308" s="135" t="s">
        <v>414</v>
      </c>
      <c r="F1308" s="138" t="s">
        <v>116</v>
      </c>
      <c r="G1308" s="139" t="s">
        <v>419</v>
      </c>
      <c r="H1308" s="140"/>
      <c r="I1308" s="141">
        <v>1</v>
      </c>
      <c r="J1308" s="142">
        <v>5274</v>
      </c>
      <c r="K1308" s="142">
        <v>5274</v>
      </c>
      <c r="L1308" s="623"/>
      <c r="M1308" s="168" t="s">
        <v>39</v>
      </c>
      <c r="N1308" s="132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</row>
    <row r="1309" spans="1:28" s="134" customFormat="1" ht="15" customHeight="1" outlineLevel="1" x14ac:dyDescent="0.2">
      <c r="A1309" s="135">
        <v>22</v>
      </c>
      <c r="B1309" s="135">
        <v>47793</v>
      </c>
      <c r="C1309" s="136">
        <v>41879</v>
      </c>
      <c r="D1309" s="137" t="s">
        <v>1827</v>
      </c>
      <c r="E1309" s="135" t="s">
        <v>414</v>
      </c>
      <c r="F1309" s="138" t="s">
        <v>217</v>
      </c>
      <c r="G1309" s="139" t="s">
        <v>387</v>
      </c>
      <c r="H1309" s="140"/>
      <c r="I1309" s="141">
        <v>2</v>
      </c>
      <c r="J1309" s="142">
        <v>44597</v>
      </c>
      <c r="K1309" s="142">
        <v>89194</v>
      </c>
      <c r="L1309" s="623"/>
      <c r="M1309" s="168" t="s">
        <v>39</v>
      </c>
      <c r="N1309" s="132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</row>
    <row r="1310" spans="1:28" s="134" customFormat="1" ht="15" customHeight="1" outlineLevel="1" x14ac:dyDescent="0.2">
      <c r="A1310" s="135">
        <v>23</v>
      </c>
      <c r="B1310" s="135">
        <v>47179</v>
      </c>
      <c r="C1310" s="136">
        <v>41878</v>
      </c>
      <c r="D1310" s="137" t="s">
        <v>1828</v>
      </c>
      <c r="E1310" s="135" t="s">
        <v>414</v>
      </c>
      <c r="F1310" s="138" t="s">
        <v>217</v>
      </c>
      <c r="G1310" s="139" t="s">
        <v>371</v>
      </c>
      <c r="H1310" s="140"/>
      <c r="I1310" s="141">
        <v>1</v>
      </c>
      <c r="J1310" s="142">
        <v>44597</v>
      </c>
      <c r="K1310" s="142">
        <v>44597</v>
      </c>
      <c r="L1310" s="623"/>
      <c r="M1310" s="168" t="s">
        <v>39</v>
      </c>
      <c r="N1310" s="132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</row>
    <row r="1311" spans="1:28" s="134" customFormat="1" ht="15" customHeight="1" outlineLevel="1" x14ac:dyDescent="0.2">
      <c r="A1311" s="135">
        <v>24</v>
      </c>
      <c r="B1311" s="135">
        <v>41416</v>
      </c>
      <c r="C1311" s="136">
        <v>41857</v>
      </c>
      <c r="D1311" s="137" t="s">
        <v>1829</v>
      </c>
      <c r="E1311" s="135" t="s">
        <v>414</v>
      </c>
      <c r="F1311" s="138" t="s">
        <v>217</v>
      </c>
      <c r="G1311" s="139" t="s">
        <v>371</v>
      </c>
      <c r="H1311" s="140"/>
      <c r="I1311" s="141">
        <v>1</v>
      </c>
      <c r="J1311" s="142">
        <v>44597</v>
      </c>
      <c r="K1311" s="142">
        <v>44597</v>
      </c>
      <c r="L1311" s="623"/>
      <c r="M1311" s="168" t="s">
        <v>39</v>
      </c>
      <c r="N1311" s="132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</row>
    <row r="1312" spans="1:28" s="134" customFormat="1" ht="15" customHeight="1" outlineLevel="1" x14ac:dyDescent="0.2">
      <c r="A1312" s="135">
        <v>25</v>
      </c>
      <c r="B1312" s="135">
        <v>44910</v>
      </c>
      <c r="C1312" s="136">
        <v>41870</v>
      </c>
      <c r="D1312" s="137" t="s">
        <v>1830</v>
      </c>
      <c r="E1312" s="135" t="s">
        <v>414</v>
      </c>
      <c r="F1312" s="138" t="s">
        <v>219</v>
      </c>
      <c r="G1312" s="139" t="s">
        <v>369</v>
      </c>
      <c r="H1312" s="140"/>
      <c r="I1312" s="141">
        <v>1</v>
      </c>
      <c r="J1312" s="142">
        <v>22299</v>
      </c>
      <c r="K1312" s="142">
        <v>22299</v>
      </c>
      <c r="L1312" s="623"/>
      <c r="M1312" s="168" t="s">
        <v>39</v>
      </c>
      <c r="N1312" s="132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</row>
    <row r="1313" spans="1:28" s="134" customFormat="1" ht="15" customHeight="1" outlineLevel="1" x14ac:dyDescent="0.2">
      <c r="A1313" s="135">
        <v>26</v>
      </c>
      <c r="B1313" s="135">
        <v>44034</v>
      </c>
      <c r="C1313" s="136">
        <v>41869</v>
      </c>
      <c r="D1313" s="137" t="s">
        <v>519</v>
      </c>
      <c r="E1313" s="135" t="s">
        <v>1790</v>
      </c>
      <c r="F1313" s="138" t="s">
        <v>217</v>
      </c>
      <c r="G1313" s="139" t="s">
        <v>369</v>
      </c>
      <c r="H1313" s="140"/>
      <c r="I1313" s="141">
        <v>1</v>
      </c>
      <c r="J1313" s="142">
        <v>44597</v>
      </c>
      <c r="K1313" s="142">
        <v>44597</v>
      </c>
      <c r="L1313" s="624"/>
      <c r="M1313" s="168" t="s">
        <v>39</v>
      </c>
      <c r="N1313" s="132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</row>
    <row r="1314" spans="1:28" s="134" customFormat="1" ht="15" customHeight="1" outlineLevel="1" x14ac:dyDescent="0.2">
      <c r="A1314" s="135">
        <v>1</v>
      </c>
      <c r="B1314" s="135">
        <v>51838</v>
      </c>
      <c r="C1314" s="136">
        <v>41893</v>
      </c>
      <c r="D1314" s="137" t="s">
        <v>1831</v>
      </c>
      <c r="E1314" s="135" t="s">
        <v>1790</v>
      </c>
      <c r="F1314" s="138" t="s">
        <v>116</v>
      </c>
      <c r="G1314" s="139" t="s">
        <v>527</v>
      </c>
      <c r="H1314" s="140"/>
      <c r="I1314" s="141">
        <v>1</v>
      </c>
      <c r="J1314" s="142">
        <v>5274</v>
      </c>
      <c r="K1314" s="142">
        <v>5274</v>
      </c>
      <c r="L1314" s="613" t="s">
        <v>617</v>
      </c>
      <c r="M1314" s="168" t="s">
        <v>39</v>
      </c>
      <c r="N1314" s="132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</row>
    <row r="1315" spans="1:28" s="134" customFormat="1" ht="15" customHeight="1" outlineLevel="1" x14ac:dyDescent="0.2">
      <c r="A1315" s="135">
        <v>2</v>
      </c>
      <c r="B1315" s="135">
        <v>49588</v>
      </c>
      <c r="C1315" s="136">
        <v>41885</v>
      </c>
      <c r="D1315" s="137" t="s">
        <v>1832</v>
      </c>
      <c r="E1315" s="135" t="s">
        <v>1790</v>
      </c>
      <c r="F1315" s="138" t="s">
        <v>116</v>
      </c>
      <c r="G1315" s="139" t="s">
        <v>410</v>
      </c>
      <c r="H1315" s="140"/>
      <c r="I1315" s="141">
        <v>1</v>
      </c>
      <c r="J1315" s="142">
        <v>5274</v>
      </c>
      <c r="K1315" s="142">
        <v>5274</v>
      </c>
      <c r="L1315" s="614"/>
      <c r="M1315" s="168" t="s">
        <v>39</v>
      </c>
      <c r="N1315" s="132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</row>
    <row r="1316" spans="1:28" s="134" customFormat="1" ht="15" customHeight="1" outlineLevel="1" x14ac:dyDescent="0.2">
      <c r="A1316" s="135">
        <v>3</v>
      </c>
      <c r="B1316" s="135">
        <v>50465</v>
      </c>
      <c r="C1316" s="136">
        <v>41890</v>
      </c>
      <c r="D1316" s="137" t="s">
        <v>1833</v>
      </c>
      <c r="E1316" s="135" t="s">
        <v>414</v>
      </c>
      <c r="F1316" s="138" t="s">
        <v>116</v>
      </c>
      <c r="G1316" s="139" t="s">
        <v>1834</v>
      </c>
      <c r="H1316" s="140"/>
      <c r="I1316" s="141">
        <v>1</v>
      </c>
      <c r="J1316" s="142">
        <v>5274</v>
      </c>
      <c r="K1316" s="142">
        <v>5274</v>
      </c>
      <c r="L1316" s="614"/>
      <c r="M1316" s="168" t="s">
        <v>39</v>
      </c>
      <c r="N1316" s="132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</row>
    <row r="1317" spans="1:28" s="134" customFormat="1" ht="15" customHeight="1" outlineLevel="1" x14ac:dyDescent="0.2">
      <c r="A1317" s="135">
        <v>4</v>
      </c>
      <c r="B1317" s="135">
        <v>50465</v>
      </c>
      <c r="C1317" s="136">
        <v>41890</v>
      </c>
      <c r="D1317" s="137" t="s">
        <v>1833</v>
      </c>
      <c r="E1317" s="135" t="s">
        <v>414</v>
      </c>
      <c r="F1317" s="138" t="s">
        <v>210</v>
      </c>
      <c r="G1317" s="139" t="s">
        <v>1834</v>
      </c>
      <c r="H1317" s="140"/>
      <c r="I1317" s="141">
        <v>1</v>
      </c>
      <c r="J1317" s="142">
        <v>14099</v>
      </c>
      <c r="K1317" s="142">
        <v>14099</v>
      </c>
      <c r="L1317" s="614"/>
      <c r="M1317" s="168" t="s">
        <v>39</v>
      </c>
      <c r="N1317" s="132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</row>
    <row r="1318" spans="1:28" s="134" customFormat="1" ht="15" customHeight="1" outlineLevel="1" x14ac:dyDescent="0.2">
      <c r="A1318" s="135">
        <v>5</v>
      </c>
      <c r="B1318" s="135">
        <v>50213</v>
      </c>
      <c r="C1318" s="136">
        <v>41886</v>
      </c>
      <c r="D1318" s="137" t="s">
        <v>514</v>
      </c>
      <c r="E1318" s="135" t="s">
        <v>414</v>
      </c>
      <c r="F1318" s="138" t="s">
        <v>537</v>
      </c>
      <c r="G1318" s="139" t="s">
        <v>431</v>
      </c>
      <c r="H1318" s="140"/>
      <c r="I1318" s="141">
        <v>1</v>
      </c>
      <c r="J1318" s="142">
        <v>30429</v>
      </c>
      <c r="K1318" s="142">
        <v>30429</v>
      </c>
      <c r="L1318" s="614"/>
      <c r="M1318" s="168" t="s">
        <v>39</v>
      </c>
      <c r="N1318" s="132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</row>
    <row r="1319" spans="1:28" s="134" customFormat="1" ht="15" customHeight="1" outlineLevel="1" x14ac:dyDescent="0.2">
      <c r="A1319" s="135">
        <v>6</v>
      </c>
      <c r="B1319" s="135">
        <v>53134</v>
      </c>
      <c r="C1319" s="136">
        <v>41895</v>
      </c>
      <c r="D1319" s="137" t="s">
        <v>1815</v>
      </c>
      <c r="E1319" s="135" t="s">
        <v>1790</v>
      </c>
      <c r="F1319" s="138" t="s">
        <v>115</v>
      </c>
      <c r="G1319" s="139" t="s">
        <v>419</v>
      </c>
      <c r="H1319" s="140"/>
      <c r="I1319" s="141">
        <v>1</v>
      </c>
      <c r="J1319" s="142">
        <v>33370</v>
      </c>
      <c r="K1319" s="142">
        <v>33370</v>
      </c>
      <c r="L1319" s="614"/>
      <c r="M1319" s="168" t="s">
        <v>39</v>
      </c>
      <c r="N1319" s="132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</row>
    <row r="1320" spans="1:28" s="134" customFormat="1" ht="15" customHeight="1" outlineLevel="1" x14ac:dyDescent="0.2">
      <c r="A1320" s="135">
        <v>7</v>
      </c>
      <c r="B1320" s="135">
        <v>53963</v>
      </c>
      <c r="C1320" s="136">
        <v>41899</v>
      </c>
      <c r="D1320" s="137" t="s">
        <v>1835</v>
      </c>
      <c r="E1320" s="135" t="s">
        <v>1790</v>
      </c>
      <c r="F1320" s="138" t="s">
        <v>116</v>
      </c>
      <c r="G1320" s="139" t="s">
        <v>415</v>
      </c>
      <c r="H1320" s="140"/>
      <c r="I1320" s="141">
        <v>1</v>
      </c>
      <c r="J1320" s="142">
        <v>5274</v>
      </c>
      <c r="K1320" s="142">
        <v>5274</v>
      </c>
      <c r="L1320" s="614"/>
      <c r="M1320" s="168" t="s">
        <v>39</v>
      </c>
      <c r="N1320" s="132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</row>
    <row r="1321" spans="1:28" s="134" customFormat="1" ht="15" customHeight="1" outlineLevel="1" x14ac:dyDescent="0.2">
      <c r="A1321" s="135">
        <v>8</v>
      </c>
      <c r="B1321" s="135">
        <v>47771</v>
      </c>
      <c r="C1321" s="136">
        <v>41882</v>
      </c>
      <c r="D1321" s="137" t="s">
        <v>1836</v>
      </c>
      <c r="E1321" s="135" t="s">
        <v>1790</v>
      </c>
      <c r="F1321" s="138" t="s">
        <v>116</v>
      </c>
      <c r="G1321" s="139" t="s">
        <v>1837</v>
      </c>
      <c r="H1321" s="140"/>
      <c r="I1321" s="141">
        <v>4</v>
      </c>
      <c r="J1321" s="142">
        <v>5274</v>
      </c>
      <c r="K1321" s="180">
        <v>21096</v>
      </c>
      <c r="L1321" s="614"/>
      <c r="M1321" s="168" t="s">
        <v>39</v>
      </c>
      <c r="N1321" s="132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</row>
    <row r="1322" spans="1:28" s="134" customFormat="1" ht="15" customHeight="1" outlineLevel="1" x14ac:dyDescent="0.2">
      <c r="A1322" s="135">
        <v>9</v>
      </c>
      <c r="B1322" s="135">
        <v>56141</v>
      </c>
      <c r="C1322" s="136">
        <v>41912</v>
      </c>
      <c r="D1322" s="137" t="s">
        <v>1838</v>
      </c>
      <c r="E1322" s="135" t="s">
        <v>1839</v>
      </c>
      <c r="F1322" s="138" t="s">
        <v>217</v>
      </c>
      <c r="G1322" s="139" t="s">
        <v>371</v>
      </c>
      <c r="H1322" s="140"/>
      <c r="I1322" s="141">
        <v>1</v>
      </c>
      <c r="J1322" s="142">
        <v>44597</v>
      </c>
      <c r="K1322" s="142">
        <v>44597</v>
      </c>
      <c r="L1322" s="614"/>
      <c r="M1322" s="168" t="s">
        <v>39</v>
      </c>
      <c r="N1322" s="132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</row>
    <row r="1323" spans="1:28" s="134" customFormat="1" ht="15" customHeight="1" outlineLevel="1" x14ac:dyDescent="0.2">
      <c r="A1323" s="135">
        <v>10</v>
      </c>
      <c r="B1323" s="135">
        <v>55656</v>
      </c>
      <c r="C1323" s="136">
        <v>41911</v>
      </c>
      <c r="D1323" s="137" t="s">
        <v>416</v>
      </c>
      <c r="E1323" s="135" t="s">
        <v>414</v>
      </c>
      <c r="F1323" s="138" t="s">
        <v>210</v>
      </c>
      <c r="G1323" s="139" t="s">
        <v>417</v>
      </c>
      <c r="H1323" s="140"/>
      <c r="I1323" s="141">
        <v>1</v>
      </c>
      <c r="J1323" s="142">
        <v>14099</v>
      </c>
      <c r="K1323" s="142">
        <v>14099</v>
      </c>
      <c r="L1323" s="614"/>
      <c r="M1323" s="168" t="s">
        <v>39</v>
      </c>
      <c r="N1323" s="132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</row>
    <row r="1324" spans="1:28" s="134" customFormat="1" ht="15" customHeight="1" outlineLevel="1" x14ac:dyDescent="0.2">
      <c r="A1324" s="135">
        <v>11</v>
      </c>
      <c r="B1324" s="135">
        <v>54169</v>
      </c>
      <c r="C1324" s="136">
        <v>41904</v>
      </c>
      <c r="D1324" s="137" t="s">
        <v>1840</v>
      </c>
      <c r="E1324" s="135" t="s">
        <v>414</v>
      </c>
      <c r="F1324" s="138" t="s">
        <v>682</v>
      </c>
      <c r="G1324" s="139" t="s">
        <v>369</v>
      </c>
      <c r="H1324" s="140"/>
      <c r="I1324" s="141">
        <v>1</v>
      </c>
      <c r="J1324" s="142">
        <v>55058</v>
      </c>
      <c r="K1324" s="142">
        <v>55058</v>
      </c>
      <c r="L1324" s="614"/>
      <c r="M1324" s="168" t="s">
        <v>39</v>
      </c>
      <c r="N1324" s="132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</row>
    <row r="1325" spans="1:28" s="134" customFormat="1" ht="15" customHeight="1" outlineLevel="1" x14ac:dyDescent="0.2">
      <c r="A1325" s="135">
        <v>12</v>
      </c>
      <c r="B1325" s="135">
        <v>54169</v>
      </c>
      <c r="C1325" s="136">
        <v>41904</v>
      </c>
      <c r="D1325" s="137" t="s">
        <v>1840</v>
      </c>
      <c r="E1325" s="135" t="s">
        <v>414</v>
      </c>
      <c r="F1325" s="138" t="s">
        <v>217</v>
      </c>
      <c r="G1325" s="139" t="s">
        <v>371</v>
      </c>
      <c r="H1325" s="140"/>
      <c r="I1325" s="141">
        <v>1</v>
      </c>
      <c r="J1325" s="142">
        <v>44597</v>
      </c>
      <c r="K1325" s="142">
        <v>44597</v>
      </c>
      <c r="L1325" s="614"/>
      <c r="M1325" s="168" t="s">
        <v>39</v>
      </c>
      <c r="N1325" s="132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</row>
    <row r="1326" spans="1:28" s="134" customFormat="1" ht="15" customHeight="1" outlineLevel="1" x14ac:dyDescent="0.2">
      <c r="A1326" s="135">
        <v>13</v>
      </c>
      <c r="B1326" s="135">
        <v>55724</v>
      </c>
      <c r="C1326" s="136">
        <v>41911</v>
      </c>
      <c r="D1326" s="137" t="s">
        <v>1841</v>
      </c>
      <c r="E1326" s="135" t="s">
        <v>414</v>
      </c>
      <c r="F1326" s="138" t="s">
        <v>210</v>
      </c>
      <c r="G1326" s="139" t="s">
        <v>383</v>
      </c>
      <c r="H1326" s="140"/>
      <c r="I1326" s="141">
        <v>1</v>
      </c>
      <c r="J1326" s="142">
        <v>14099</v>
      </c>
      <c r="K1326" s="142">
        <v>14099</v>
      </c>
      <c r="L1326" s="614"/>
      <c r="M1326" s="168" t="s">
        <v>39</v>
      </c>
      <c r="N1326" s="132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</row>
    <row r="1327" spans="1:28" s="134" customFormat="1" ht="15" customHeight="1" outlineLevel="1" x14ac:dyDescent="0.2">
      <c r="A1327" s="135">
        <v>14</v>
      </c>
      <c r="B1327" s="135">
        <v>52847</v>
      </c>
      <c r="C1327" s="136">
        <v>41895</v>
      </c>
      <c r="D1327" s="137" t="s">
        <v>1842</v>
      </c>
      <c r="E1327" s="135" t="s">
        <v>414</v>
      </c>
      <c r="F1327" s="138" t="s">
        <v>116</v>
      </c>
      <c r="G1327" s="139" t="s">
        <v>415</v>
      </c>
      <c r="H1327" s="140"/>
      <c r="I1327" s="141">
        <v>1</v>
      </c>
      <c r="J1327" s="142">
        <v>5274</v>
      </c>
      <c r="K1327" s="142">
        <v>5274</v>
      </c>
      <c r="L1327" s="614"/>
      <c r="M1327" s="168" t="s">
        <v>39</v>
      </c>
      <c r="N1327" s="132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</row>
    <row r="1328" spans="1:28" s="134" customFormat="1" ht="15" customHeight="1" outlineLevel="1" x14ac:dyDescent="0.2">
      <c r="A1328" s="135">
        <v>15</v>
      </c>
      <c r="B1328" s="135">
        <v>52731</v>
      </c>
      <c r="C1328" s="136">
        <v>41894</v>
      </c>
      <c r="D1328" s="137" t="s">
        <v>1843</v>
      </c>
      <c r="E1328" s="135" t="s">
        <v>943</v>
      </c>
      <c r="F1328" s="138" t="s">
        <v>580</v>
      </c>
      <c r="G1328" s="139" t="s">
        <v>371</v>
      </c>
      <c r="H1328" s="140"/>
      <c r="I1328" s="141">
        <v>1</v>
      </c>
      <c r="J1328" s="142">
        <v>25800</v>
      </c>
      <c r="K1328" s="142">
        <v>25800</v>
      </c>
      <c r="L1328" s="614"/>
      <c r="M1328" s="168" t="s">
        <v>39</v>
      </c>
      <c r="N1328" s="132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</row>
    <row r="1329" spans="1:28" s="134" customFormat="1" ht="15" customHeight="1" outlineLevel="1" x14ac:dyDescent="0.2">
      <c r="A1329" s="135">
        <v>16</v>
      </c>
      <c r="B1329" s="135">
        <v>54601</v>
      </c>
      <c r="C1329" s="136">
        <v>41904</v>
      </c>
      <c r="D1329" s="137" t="s">
        <v>513</v>
      </c>
      <c r="E1329" s="135" t="s">
        <v>414</v>
      </c>
      <c r="F1329" s="138" t="s">
        <v>115</v>
      </c>
      <c r="G1329" s="139" t="s">
        <v>415</v>
      </c>
      <c r="H1329" s="140"/>
      <c r="I1329" s="141">
        <v>1</v>
      </c>
      <c r="J1329" s="142">
        <v>33370</v>
      </c>
      <c r="K1329" s="142">
        <v>33370</v>
      </c>
      <c r="L1329" s="614"/>
      <c r="M1329" s="168" t="s">
        <v>39</v>
      </c>
      <c r="N1329" s="132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</row>
    <row r="1330" spans="1:28" s="134" customFormat="1" ht="15" customHeight="1" outlineLevel="1" x14ac:dyDescent="0.2">
      <c r="A1330" s="135">
        <v>17</v>
      </c>
      <c r="B1330" s="135">
        <v>50583</v>
      </c>
      <c r="C1330" s="136">
        <v>41890</v>
      </c>
      <c r="D1330" s="137" t="s">
        <v>1819</v>
      </c>
      <c r="E1330" s="135" t="s">
        <v>414</v>
      </c>
      <c r="F1330" s="138" t="s">
        <v>210</v>
      </c>
      <c r="G1330" s="139" t="s">
        <v>527</v>
      </c>
      <c r="H1330" s="140"/>
      <c r="I1330" s="141">
        <v>1</v>
      </c>
      <c r="J1330" s="142">
        <v>14099</v>
      </c>
      <c r="K1330" s="142">
        <v>14099</v>
      </c>
      <c r="L1330" s="614"/>
      <c r="M1330" s="168" t="s">
        <v>39</v>
      </c>
      <c r="N1330" s="132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</row>
    <row r="1331" spans="1:28" s="134" customFormat="1" ht="15" customHeight="1" outlineLevel="1" x14ac:dyDescent="0.2">
      <c r="A1331" s="135">
        <v>18</v>
      </c>
      <c r="B1331" s="135">
        <v>52544</v>
      </c>
      <c r="C1331" s="136">
        <v>41893</v>
      </c>
      <c r="D1331" s="137" t="s">
        <v>1819</v>
      </c>
      <c r="E1331" s="135" t="s">
        <v>414</v>
      </c>
      <c r="F1331" s="138" t="s">
        <v>210</v>
      </c>
      <c r="G1331" s="139" t="s">
        <v>434</v>
      </c>
      <c r="H1331" s="140"/>
      <c r="I1331" s="141">
        <v>1</v>
      </c>
      <c r="J1331" s="142">
        <v>14099</v>
      </c>
      <c r="K1331" s="142">
        <v>14099</v>
      </c>
      <c r="L1331" s="614"/>
      <c r="M1331" s="168" t="s">
        <v>39</v>
      </c>
      <c r="N1331" s="132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</row>
    <row r="1332" spans="1:28" s="134" customFormat="1" ht="15" customHeight="1" outlineLevel="1" x14ac:dyDescent="0.2">
      <c r="A1332" s="135">
        <v>19</v>
      </c>
      <c r="B1332" s="135">
        <v>53953</v>
      </c>
      <c r="C1332" s="136">
        <v>41904</v>
      </c>
      <c r="D1332" s="137" t="s">
        <v>1844</v>
      </c>
      <c r="E1332" s="135" t="s">
        <v>414</v>
      </c>
      <c r="F1332" s="138" t="s">
        <v>116</v>
      </c>
      <c r="G1332" s="139" t="s">
        <v>562</v>
      </c>
      <c r="H1332" s="140"/>
      <c r="I1332" s="141">
        <v>1</v>
      </c>
      <c r="J1332" s="142">
        <v>5274</v>
      </c>
      <c r="K1332" s="142">
        <v>5274</v>
      </c>
      <c r="L1332" s="614"/>
      <c r="M1332" s="168" t="s">
        <v>39</v>
      </c>
      <c r="N1332" s="132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</row>
    <row r="1333" spans="1:28" s="134" customFormat="1" ht="15" customHeight="1" outlineLevel="1" x14ac:dyDescent="0.2">
      <c r="A1333" s="135">
        <v>20</v>
      </c>
      <c r="B1333" s="135">
        <v>56086</v>
      </c>
      <c r="C1333" s="136">
        <v>41911</v>
      </c>
      <c r="D1333" s="137" t="s">
        <v>1845</v>
      </c>
      <c r="E1333" s="135" t="s">
        <v>521</v>
      </c>
      <c r="F1333" s="138" t="s">
        <v>580</v>
      </c>
      <c r="G1333" s="139" t="s">
        <v>371</v>
      </c>
      <c r="H1333" s="140"/>
      <c r="I1333" s="141">
        <v>1</v>
      </c>
      <c r="J1333" s="142">
        <v>25800</v>
      </c>
      <c r="K1333" s="142">
        <v>25800</v>
      </c>
      <c r="L1333" s="614"/>
      <c r="M1333" s="168" t="s">
        <v>39</v>
      </c>
      <c r="N1333" s="132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</row>
    <row r="1334" spans="1:28" s="134" customFormat="1" ht="15" customHeight="1" outlineLevel="1" x14ac:dyDescent="0.2">
      <c r="A1334" s="135">
        <v>21</v>
      </c>
      <c r="B1334" s="135">
        <v>52942</v>
      </c>
      <c r="C1334" s="136">
        <v>41895</v>
      </c>
      <c r="D1334" s="137" t="s">
        <v>1776</v>
      </c>
      <c r="E1334" s="135" t="s">
        <v>414</v>
      </c>
      <c r="F1334" s="138" t="s">
        <v>537</v>
      </c>
      <c r="G1334" s="139" t="s">
        <v>431</v>
      </c>
      <c r="H1334" s="140"/>
      <c r="I1334" s="141">
        <v>1</v>
      </c>
      <c r="J1334" s="142">
        <v>30429</v>
      </c>
      <c r="K1334" s="142">
        <v>30429</v>
      </c>
      <c r="L1334" s="614"/>
      <c r="M1334" s="168" t="s">
        <v>39</v>
      </c>
      <c r="N1334" s="132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</row>
    <row r="1335" spans="1:28" s="134" customFormat="1" ht="15" customHeight="1" outlineLevel="1" x14ac:dyDescent="0.2">
      <c r="A1335" s="135">
        <v>22</v>
      </c>
      <c r="B1335" s="135">
        <v>50696</v>
      </c>
      <c r="C1335" s="136">
        <v>41887</v>
      </c>
      <c r="D1335" s="137" t="s">
        <v>1801</v>
      </c>
      <c r="E1335" s="135" t="s">
        <v>414</v>
      </c>
      <c r="F1335" s="138" t="s">
        <v>537</v>
      </c>
      <c r="G1335" s="139" t="s">
        <v>415</v>
      </c>
      <c r="H1335" s="140"/>
      <c r="I1335" s="141">
        <v>1</v>
      </c>
      <c r="J1335" s="142">
        <v>30429</v>
      </c>
      <c r="K1335" s="142">
        <v>30429</v>
      </c>
      <c r="L1335" s="614"/>
      <c r="M1335" s="168" t="s">
        <v>39</v>
      </c>
      <c r="N1335" s="132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</row>
    <row r="1336" spans="1:28" s="134" customFormat="1" ht="15" customHeight="1" outlineLevel="1" x14ac:dyDescent="0.2">
      <c r="A1336" s="135">
        <v>23</v>
      </c>
      <c r="B1336" s="135">
        <v>53516</v>
      </c>
      <c r="C1336" s="136">
        <v>41897</v>
      </c>
      <c r="D1336" s="137" t="s">
        <v>1846</v>
      </c>
      <c r="E1336" s="135" t="s">
        <v>414</v>
      </c>
      <c r="F1336" s="138" t="s">
        <v>577</v>
      </c>
      <c r="G1336" s="139" t="s">
        <v>562</v>
      </c>
      <c r="H1336" s="140"/>
      <c r="I1336" s="141">
        <v>1</v>
      </c>
      <c r="J1336" s="142">
        <v>49701</v>
      </c>
      <c r="K1336" s="142">
        <v>49701</v>
      </c>
      <c r="L1336" s="614"/>
      <c r="M1336" s="168" t="s">
        <v>39</v>
      </c>
      <c r="N1336" s="132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</row>
    <row r="1337" spans="1:28" s="134" customFormat="1" ht="15" customHeight="1" outlineLevel="1" x14ac:dyDescent="0.2">
      <c r="A1337" s="135">
        <v>24</v>
      </c>
      <c r="B1337" s="135">
        <v>55831</v>
      </c>
      <c r="C1337" s="136">
        <v>41909</v>
      </c>
      <c r="D1337" s="137" t="s">
        <v>1847</v>
      </c>
      <c r="E1337" s="135" t="s">
        <v>414</v>
      </c>
      <c r="F1337" s="138" t="s">
        <v>537</v>
      </c>
      <c r="G1337" s="139" t="s">
        <v>527</v>
      </c>
      <c r="H1337" s="140"/>
      <c r="I1337" s="141">
        <v>1</v>
      </c>
      <c r="J1337" s="142">
        <v>30429</v>
      </c>
      <c r="K1337" s="142">
        <v>30429</v>
      </c>
      <c r="L1337" s="614"/>
      <c r="M1337" s="168" t="s">
        <v>39</v>
      </c>
      <c r="N1337" s="132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</row>
    <row r="1338" spans="1:28" s="134" customFormat="1" ht="15" customHeight="1" outlineLevel="1" x14ac:dyDescent="0.2">
      <c r="A1338" s="135">
        <v>25</v>
      </c>
      <c r="B1338" s="135">
        <v>54756</v>
      </c>
      <c r="C1338" s="136">
        <v>41905</v>
      </c>
      <c r="D1338" s="137" t="s">
        <v>1848</v>
      </c>
      <c r="E1338" s="135" t="s">
        <v>414</v>
      </c>
      <c r="F1338" s="138" t="s">
        <v>537</v>
      </c>
      <c r="G1338" s="139" t="s">
        <v>527</v>
      </c>
      <c r="H1338" s="140"/>
      <c r="I1338" s="141">
        <v>1</v>
      </c>
      <c r="J1338" s="142">
        <v>30429</v>
      </c>
      <c r="K1338" s="142">
        <v>30429</v>
      </c>
      <c r="L1338" s="614"/>
      <c r="M1338" s="168" t="s">
        <v>39</v>
      </c>
      <c r="N1338" s="132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</row>
    <row r="1339" spans="1:28" s="134" customFormat="1" ht="15" customHeight="1" outlineLevel="1" x14ac:dyDescent="0.2">
      <c r="A1339" s="135">
        <v>26</v>
      </c>
      <c r="B1339" s="135">
        <v>55940</v>
      </c>
      <c r="C1339" s="136">
        <v>41911</v>
      </c>
      <c r="D1339" s="137" t="s">
        <v>1810</v>
      </c>
      <c r="E1339" s="135" t="s">
        <v>414</v>
      </c>
      <c r="F1339" s="138" t="s">
        <v>115</v>
      </c>
      <c r="G1339" s="139" t="s">
        <v>410</v>
      </c>
      <c r="H1339" s="140"/>
      <c r="I1339" s="141">
        <v>1</v>
      </c>
      <c r="J1339" s="142">
        <v>33370</v>
      </c>
      <c r="K1339" s="142">
        <v>33370</v>
      </c>
      <c r="L1339" s="614"/>
      <c r="M1339" s="168" t="s">
        <v>39</v>
      </c>
      <c r="N1339" s="132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</row>
    <row r="1340" spans="1:28" s="134" customFormat="1" ht="15" customHeight="1" outlineLevel="1" x14ac:dyDescent="0.2">
      <c r="A1340" s="135">
        <v>27</v>
      </c>
      <c r="B1340" s="135">
        <v>55757</v>
      </c>
      <c r="C1340" s="136">
        <v>41911</v>
      </c>
      <c r="D1340" s="137" t="s">
        <v>1849</v>
      </c>
      <c r="E1340" s="135" t="s">
        <v>590</v>
      </c>
      <c r="F1340" s="138" t="s">
        <v>217</v>
      </c>
      <c r="G1340" s="139" t="s">
        <v>369</v>
      </c>
      <c r="H1340" s="140"/>
      <c r="I1340" s="141">
        <v>1</v>
      </c>
      <c r="J1340" s="142">
        <v>44597</v>
      </c>
      <c r="K1340" s="142">
        <v>44597</v>
      </c>
      <c r="L1340" s="614"/>
      <c r="M1340" s="168" t="s">
        <v>39</v>
      </c>
      <c r="N1340" s="132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</row>
    <row r="1341" spans="1:28" s="134" customFormat="1" ht="15" customHeight="1" outlineLevel="1" x14ac:dyDescent="0.2">
      <c r="A1341" s="135">
        <v>28</v>
      </c>
      <c r="B1341" s="135">
        <v>52508</v>
      </c>
      <c r="C1341" s="136">
        <v>41894</v>
      </c>
      <c r="D1341" s="137" t="s">
        <v>1850</v>
      </c>
      <c r="E1341" s="135" t="s">
        <v>1790</v>
      </c>
      <c r="F1341" s="138" t="s">
        <v>537</v>
      </c>
      <c r="G1341" s="139" t="s">
        <v>1851</v>
      </c>
      <c r="H1341" s="140"/>
      <c r="I1341" s="141">
        <v>2</v>
      </c>
      <c r="J1341" s="142">
        <v>30429</v>
      </c>
      <c r="K1341" s="142">
        <v>60858</v>
      </c>
      <c r="L1341" s="614"/>
      <c r="M1341" s="168" t="s">
        <v>39</v>
      </c>
      <c r="N1341" s="132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</row>
    <row r="1342" spans="1:28" s="134" customFormat="1" ht="15" customHeight="1" outlineLevel="1" x14ac:dyDescent="0.2">
      <c r="A1342" s="135">
        <v>29</v>
      </c>
      <c r="B1342" s="135">
        <v>54258</v>
      </c>
      <c r="C1342" s="136">
        <v>41904</v>
      </c>
      <c r="D1342" s="137" t="s">
        <v>1850</v>
      </c>
      <c r="E1342" s="135" t="s">
        <v>1790</v>
      </c>
      <c r="F1342" s="138" t="s">
        <v>537</v>
      </c>
      <c r="G1342" s="139" t="s">
        <v>594</v>
      </c>
      <c r="H1342" s="140"/>
      <c r="I1342" s="141">
        <v>1</v>
      </c>
      <c r="J1342" s="142">
        <v>30429</v>
      </c>
      <c r="K1342" s="142">
        <v>30429</v>
      </c>
      <c r="L1342" s="614"/>
      <c r="M1342" s="168" t="s">
        <v>39</v>
      </c>
      <c r="N1342" s="132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</row>
    <row r="1343" spans="1:28" s="134" customFormat="1" ht="15" customHeight="1" outlineLevel="1" x14ac:dyDescent="0.2">
      <c r="A1343" s="135">
        <v>30</v>
      </c>
      <c r="B1343" s="135">
        <v>52962</v>
      </c>
      <c r="C1343" s="136">
        <v>41897</v>
      </c>
      <c r="D1343" s="137" t="s">
        <v>1852</v>
      </c>
      <c r="E1343" s="135" t="s">
        <v>943</v>
      </c>
      <c r="F1343" s="138" t="s">
        <v>580</v>
      </c>
      <c r="G1343" s="139" t="s">
        <v>371</v>
      </c>
      <c r="H1343" s="140"/>
      <c r="I1343" s="141">
        <v>1</v>
      </c>
      <c r="J1343" s="142">
        <v>25800</v>
      </c>
      <c r="K1343" s="142">
        <v>25800</v>
      </c>
      <c r="L1343" s="614"/>
      <c r="M1343" s="168" t="s">
        <v>39</v>
      </c>
      <c r="N1343" s="132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</row>
    <row r="1344" spans="1:28" s="134" customFormat="1" ht="15" customHeight="1" outlineLevel="1" x14ac:dyDescent="0.2">
      <c r="A1344" s="135">
        <v>31</v>
      </c>
      <c r="B1344" s="135">
        <v>51730</v>
      </c>
      <c r="C1344" s="136">
        <v>41893</v>
      </c>
      <c r="D1344" s="137" t="s">
        <v>1826</v>
      </c>
      <c r="E1344" s="135" t="s">
        <v>414</v>
      </c>
      <c r="F1344" s="138" t="s">
        <v>115</v>
      </c>
      <c r="G1344" s="139" t="s">
        <v>419</v>
      </c>
      <c r="H1344" s="140"/>
      <c r="I1344" s="141">
        <v>1</v>
      </c>
      <c r="J1344" s="142">
        <v>33370</v>
      </c>
      <c r="K1344" s="142">
        <v>33370</v>
      </c>
      <c r="L1344" s="614"/>
      <c r="M1344" s="168" t="s">
        <v>39</v>
      </c>
      <c r="N1344" s="132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</row>
    <row r="1345" spans="1:28" s="134" customFormat="1" ht="15" customHeight="1" outlineLevel="1" x14ac:dyDescent="0.2">
      <c r="A1345" s="135">
        <v>32</v>
      </c>
      <c r="B1345" s="135">
        <v>55278</v>
      </c>
      <c r="C1345" s="136">
        <v>41909</v>
      </c>
      <c r="D1345" s="137" t="s">
        <v>1853</v>
      </c>
      <c r="E1345" s="135" t="s">
        <v>943</v>
      </c>
      <c r="F1345" s="138" t="s">
        <v>580</v>
      </c>
      <c r="G1345" s="139" t="s">
        <v>371</v>
      </c>
      <c r="H1345" s="140"/>
      <c r="I1345" s="141">
        <v>1</v>
      </c>
      <c r="J1345" s="142">
        <v>25800</v>
      </c>
      <c r="K1345" s="142">
        <v>25800</v>
      </c>
      <c r="L1345" s="614"/>
      <c r="M1345" s="168" t="s">
        <v>39</v>
      </c>
      <c r="N1345" s="132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</row>
    <row r="1346" spans="1:28" s="134" customFormat="1" ht="15" customHeight="1" outlineLevel="1" x14ac:dyDescent="0.2">
      <c r="A1346" s="135">
        <v>33</v>
      </c>
      <c r="B1346" s="135">
        <v>55453</v>
      </c>
      <c r="C1346" s="136">
        <v>41911</v>
      </c>
      <c r="D1346" s="137" t="s">
        <v>1854</v>
      </c>
      <c r="E1346" s="135" t="s">
        <v>590</v>
      </c>
      <c r="F1346" s="138" t="s">
        <v>217</v>
      </c>
      <c r="G1346" s="139" t="s">
        <v>387</v>
      </c>
      <c r="H1346" s="140"/>
      <c r="I1346" s="141">
        <v>2</v>
      </c>
      <c r="J1346" s="142">
        <v>44597</v>
      </c>
      <c r="K1346" s="142">
        <v>89194</v>
      </c>
      <c r="L1346" s="614"/>
      <c r="M1346" s="168" t="s">
        <v>39</v>
      </c>
      <c r="N1346" s="132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</row>
    <row r="1347" spans="1:28" s="134" customFormat="1" ht="15" customHeight="1" outlineLevel="1" x14ac:dyDescent="0.2">
      <c r="A1347" s="135">
        <v>34</v>
      </c>
      <c r="B1347" s="135">
        <v>50672</v>
      </c>
      <c r="C1347" s="136">
        <v>41887</v>
      </c>
      <c r="D1347" s="137" t="s">
        <v>1855</v>
      </c>
      <c r="E1347" s="135" t="s">
        <v>414</v>
      </c>
      <c r="F1347" s="138" t="s">
        <v>537</v>
      </c>
      <c r="G1347" s="139" t="s">
        <v>568</v>
      </c>
      <c r="H1347" s="140"/>
      <c r="I1347" s="141">
        <v>1</v>
      </c>
      <c r="J1347" s="142">
        <v>30429</v>
      </c>
      <c r="K1347" s="142">
        <v>30429</v>
      </c>
      <c r="L1347" s="614"/>
      <c r="M1347" s="168" t="s">
        <v>39</v>
      </c>
      <c r="N1347" s="132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</row>
    <row r="1348" spans="1:28" s="134" customFormat="1" ht="15" customHeight="1" outlineLevel="1" x14ac:dyDescent="0.2">
      <c r="A1348" s="135">
        <v>35</v>
      </c>
      <c r="B1348" s="135">
        <v>55653</v>
      </c>
      <c r="C1348" s="136">
        <v>41911</v>
      </c>
      <c r="D1348" s="137" t="s">
        <v>1855</v>
      </c>
      <c r="E1348" s="135" t="s">
        <v>943</v>
      </c>
      <c r="F1348" s="138" t="s">
        <v>580</v>
      </c>
      <c r="G1348" s="139" t="s">
        <v>371</v>
      </c>
      <c r="H1348" s="140"/>
      <c r="I1348" s="141">
        <v>1</v>
      </c>
      <c r="J1348" s="142">
        <v>25800</v>
      </c>
      <c r="K1348" s="142">
        <v>25800</v>
      </c>
      <c r="L1348" s="614"/>
      <c r="M1348" s="168" t="s">
        <v>39</v>
      </c>
      <c r="N1348" s="132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</row>
    <row r="1349" spans="1:28" s="134" customFormat="1" ht="15" customHeight="1" outlineLevel="1" x14ac:dyDescent="0.2">
      <c r="A1349" s="135">
        <v>36</v>
      </c>
      <c r="B1349" s="135">
        <v>55281</v>
      </c>
      <c r="C1349" s="136">
        <v>41906</v>
      </c>
      <c r="D1349" s="137" t="s">
        <v>1856</v>
      </c>
      <c r="E1349" s="135" t="s">
        <v>414</v>
      </c>
      <c r="F1349" s="138" t="s">
        <v>217</v>
      </c>
      <c r="G1349" s="139" t="s">
        <v>371</v>
      </c>
      <c r="H1349" s="140"/>
      <c r="I1349" s="141">
        <v>1</v>
      </c>
      <c r="J1349" s="142">
        <v>44597</v>
      </c>
      <c r="K1349" s="142">
        <v>44597</v>
      </c>
      <c r="L1349" s="614"/>
      <c r="M1349" s="168" t="s">
        <v>39</v>
      </c>
      <c r="N1349" s="132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</row>
    <row r="1350" spans="1:28" s="134" customFormat="1" ht="15" customHeight="1" outlineLevel="1" x14ac:dyDescent="0.2">
      <c r="A1350" s="135">
        <v>37</v>
      </c>
      <c r="B1350" s="135">
        <v>50331</v>
      </c>
      <c r="C1350" s="136">
        <v>41887</v>
      </c>
      <c r="D1350" s="137" t="s">
        <v>1857</v>
      </c>
      <c r="E1350" s="135" t="s">
        <v>1790</v>
      </c>
      <c r="F1350" s="138" t="s">
        <v>116</v>
      </c>
      <c r="G1350" s="139" t="s">
        <v>1858</v>
      </c>
      <c r="H1350" s="140"/>
      <c r="I1350" s="141">
        <v>4</v>
      </c>
      <c r="J1350" s="142">
        <v>5274</v>
      </c>
      <c r="K1350" s="142">
        <v>21096</v>
      </c>
      <c r="L1350" s="614"/>
      <c r="M1350" s="168" t="s">
        <v>39</v>
      </c>
      <c r="N1350" s="132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</row>
    <row r="1351" spans="1:28" s="134" customFormat="1" ht="15" customHeight="1" outlineLevel="1" x14ac:dyDescent="0.2">
      <c r="A1351" s="135">
        <v>38</v>
      </c>
      <c r="B1351" s="135">
        <v>49085</v>
      </c>
      <c r="C1351" s="136">
        <v>41884</v>
      </c>
      <c r="D1351" s="137" t="s">
        <v>1859</v>
      </c>
      <c r="E1351" s="135" t="s">
        <v>521</v>
      </c>
      <c r="F1351" s="138" t="s">
        <v>537</v>
      </c>
      <c r="G1351" s="139" t="s">
        <v>472</v>
      </c>
      <c r="H1351" s="140"/>
      <c r="I1351" s="141">
        <v>1</v>
      </c>
      <c r="J1351" s="142">
        <v>30429</v>
      </c>
      <c r="K1351" s="142">
        <v>30429</v>
      </c>
      <c r="L1351" s="614"/>
      <c r="M1351" s="168" t="s">
        <v>39</v>
      </c>
      <c r="N1351" s="132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</row>
    <row r="1352" spans="1:28" s="134" customFormat="1" ht="15" customHeight="1" outlineLevel="1" x14ac:dyDescent="0.2">
      <c r="A1352" s="135">
        <v>39</v>
      </c>
      <c r="B1352" s="135">
        <v>54868</v>
      </c>
      <c r="C1352" s="136">
        <v>41906</v>
      </c>
      <c r="D1352" s="137" t="s">
        <v>1860</v>
      </c>
      <c r="E1352" s="135" t="s">
        <v>414</v>
      </c>
      <c r="F1352" s="138" t="s">
        <v>210</v>
      </c>
      <c r="G1352" s="139" t="s">
        <v>419</v>
      </c>
      <c r="H1352" s="140"/>
      <c r="I1352" s="141">
        <v>1</v>
      </c>
      <c r="J1352" s="142">
        <v>14099</v>
      </c>
      <c r="K1352" s="142">
        <v>14099</v>
      </c>
      <c r="L1352" s="614"/>
      <c r="M1352" s="168" t="s">
        <v>39</v>
      </c>
      <c r="N1352" s="132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</row>
    <row r="1353" spans="1:28" s="134" customFormat="1" ht="15" customHeight="1" outlineLevel="1" x14ac:dyDescent="0.2">
      <c r="A1353" s="135">
        <v>40</v>
      </c>
      <c r="B1353" s="135">
        <v>53203</v>
      </c>
      <c r="C1353" s="136">
        <v>41897</v>
      </c>
      <c r="D1353" s="137" t="s">
        <v>1861</v>
      </c>
      <c r="E1353" s="135" t="s">
        <v>414</v>
      </c>
      <c r="F1353" s="138" t="s">
        <v>682</v>
      </c>
      <c r="G1353" s="139" t="s">
        <v>371</v>
      </c>
      <c r="H1353" s="140"/>
      <c r="I1353" s="141">
        <v>1</v>
      </c>
      <c r="J1353" s="142">
        <v>55058</v>
      </c>
      <c r="K1353" s="142">
        <v>55058</v>
      </c>
      <c r="L1353" s="615"/>
      <c r="M1353" s="168" t="s">
        <v>39</v>
      </c>
      <c r="N1353" s="132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</row>
    <row r="1354" spans="1:28" s="134" customFormat="1" ht="15" customHeight="1" outlineLevel="1" x14ac:dyDescent="0.2">
      <c r="A1354" s="135">
        <v>9</v>
      </c>
      <c r="B1354" s="174">
        <v>57190</v>
      </c>
      <c r="C1354" s="136">
        <v>41915</v>
      </c>
      <c r="D1354" s="137" t="s">
        <v>525</v>
      </c>
      <c r="E1354" s="135" t="s">
        <v>1790</v>
      </c>
      <c r="F1354" s="138" t="s">
        <v>115</v>
      </c>
      <c r="G1354" s="139" t="s">
        <v>527</v>
      </c>
      <c r="H1354" s="140"/>
      <c r="I1354" s="141">
        <v>1</v>
      </c>
      <c r="J1354" s="142">
        <v>33370</v>
      </c>
      <c r="K1354" s="142">
        <v>33370</v>
      </c>
      <c r="L1354" s="196" t="s">
        <v>620</v>
      </c>
      <c r="M1354" s="168" t="s">
        <v>39</v>
      </c>
      <c r="N1354" s="132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</row>
    <row r="1355" spans="1:28" s="134" customFormat="1" ht="15" customHeight="1" outlineLevel="1" x14ac:dyDescent="0.2">
      <c r="A1355" s="135">
        <v>10</v>
      </c>
      <c r="B1355" s="174">
        <v>58001</v>
      </c>
      <c r="C1355" s="136">
        <v>41918</v>
      </c>
      <c r="D1355" s="137" t="s">
        <v>1862</v>
      </c>
      <c r="E1355" s="135" t="s">
        <v>414</v>
      </c>
      <c r="F1355" s="138" t="s">
        <v>116</v>
      </c>
      <c r="G1355" s="139" t="s">
        <v>407</v>
      </c>
      <c r="H1355" s="140"/>
      <c r="I1355" s="141">
        <v>1</v>
      </c>
      <c r="J1355" s="142">
        <v>5274</v>
      </c>
      <c r="K1355" s="142">
        <v>5274</v>
      </c>
      <c r="L1355" s="196" t="s">
        <v>620</v>
      </c>
      <c r="M1355" s="168" t="s">
        <v>39</v>
      </c>
      <c r="N1355" s="132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</row>
    <row r="1356" spans="1:28" s="134" customFormat="1" ht="15" customHeight="1" outlineLevel="1" x14ac:dyDescent="0.2">
      <c r="A1356" s="135">
        <v>11</v>
      </c>
      <c r="B1356" s="174">
        <v>55066</v>
      </c>
      <c r="C1356" s="136">
        <v>41928</v>
      </c>
      <c r="D1356" s="137" t="s">
        <v>1863</v>
      </c>
      <c r="E1356" s="135" t="s">
        <v>414</v>
      </c>
      <c r="F1356" s="138" t="s">
        <v>115</v>
      </c>
      <c r="G1356" s="139" t="s">
        <v>1834</v>
      </c>
      <c r="H1356" s="140"/>
      <c r="I1356" s="141">
        <v>1</v>
      </c>
      <c r="J1356" s="142">
        <v>33370</v>
      </c>
      <c r="K1356" s="142">
        <v>33370</v>
      </c>
      <c r="L1356" s="196" t="s">
        <v>620</v>
      </c>
      <c r="M1356" s="168" t="s">
        <v>39</v>
      </c>
      <c r="N1356" s="132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</row>
    <row r="1357" spans="1:28" s="134" customFormat="1" ht="15" customHeight="1" outlineLevel="1" x14ac:dyDescent="0.2">
      <c r="A1357" s="135">
        <v>12</v>
      </c>
      <c r="B1357" s="174">
        <v>57380</v>
      </c>
      <c r="C1357" s="136">
        <v>41914</v>
      </c>
      <c r="D1357" s="137" t="s">
        <v>1864</v>
      </c>
      <c r="E1357" s="135" t="s">
        <v>1790</v>
      </c>
      <c r="F1357" s="138" t="s">
        <v>537</v>
      </c>
      <c r="G1357" s="139" t="s">
        <v>472</v>
      </c>
      <c r="H1357" s="140"/>
      <c r="I1357" s="141">
        <v>1</v>
      </c>
      <c r="J1357" s="142">
        <v>30429</v>
      </c>
      <c r="K1357" s="142">
        <v>30429</v>
      </c>
      <c r="L1357" s="196" t="s">
        <v>620</v>
      </c>
      <c r="M1357" s="168" t="s">
        <v>39</v>
      </c>
      <c r="N1357" s="132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</row>
    <row r="1358" spans="1:28" s="134" customFormat="1" ht="15" customHeight="1" outlineLevel="1" x14ac:dyDescent="0.2">
      <c r="A1358" s="135">
        <v>13</v>
      </c>
      <c r="B1358" s="174">
        <v>59842</v>
      </c>
      <c r="C1358" s="136">
        <v>41942</v>
      </c>
      <c r="D1358" s="137" t="s">
        <v>514</v>
      </c>
      <c r="E1358" s="135" t="s">
        <v>515</v>
      </c>
      <c r="F1358" s="138" t="s">
        <v>580</v>
      </c>
      <c r="G1358" s="139" t="s">
        <v>371</v>
      </c>
      <c r="H1358" s="140"/>
      <c r="I1358" s="141">
        <v>1</v>
      </c>
      <c r="J1358" s="142">
        <v>25800</v>
      </c>
      <c r="K1358" s="142">
        <v>25800</v>
      </c>
      <c r="L1358" s="196" t="s">
        <v>620</v>
      </c>
      <c r="M1358" s="168" t="s">
        <v>39</v>
      </c>
      <c r="N1358" s="132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</row>
    <row r="1359" spans="1:28" s="134" customFormat="1" ht="15" customHeight="1" outlineLevel="1" x14ac:dyDescent="0.2">
      <c r="A1359" s="135">
        <v>14</v>
      </c>
      <c r="B1359" s="174">
        <v>54183</v>
      </c>
      <c r="C1359" s="136">
        <v>41927</v>
      </c>
      <c r="D1359" s="137" t="s">
        <v>1865</v>
      </c>
      <c r="E1359" s="135" t="s">
        <v>414</v>
      </c>
      <c r="F1359" s="138" t="s">
        <v>217</v>
      </c>
      <c r="G1359" s="139" t="s">
        <v>369</v>
      </c>
      <c r="H1359" s="140"/>
      <c r="I1359" s="141">
        <v>1</v>
      </c>
      <c r="J1359" s="142">
        <v>44597</v>
      </c>
      <c r="K1359" s="142">
        <v>44597</v>
      </c>
      <c r="L1359" s="196" t="s">
        <v>620</v>
      </c>
      <c r="M1359" s="168" t="s">
        <v>39</v>
      </c>
      <c r="N1359" s="132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</row>
    <row r="1360" spans="1:28" s="134" customFormat="1" ht="15" customHeight="1" outlineLevel="1" x14ac:dyDescent="0.2">
      <c r="A1360" s="135">
        <v>15</v>
      </c>
      <c r="B1360" s="174">
        <v>55740</v>
      </c>
      <c r="C1360" s="136">
        <v>41929</v>
      </c>
      <c r="D1360" s="137" t="s">
        <v>413</v>
      </c>
      <c r="E1360" s="135" t="s">
        <v>414</v>
      </c>
      <c r="F1360" s="138" t="s">
        <v>115</v>
      </c>
      <c r="G1360" s="139" t="s">
        <v>415</v>
      </c>
      <c r="H1360" s="140"/>
      <c r="I1360" s="141">
        <v>1</v>
      </c>
      <c r="J1360" s="142">
        <v>33370</v>
      </c>
      <c r="K1360" s="142">
        <v>33370</v>
      </c>
      <c r="L1360" s="196" t="s">
        <v>620</v>
      </c>
      <c r="M1360" s="168" t="s">
        <v>39</v>
      </c>
      <c r="N1360" s="132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</row>
    <row r="1361" spans="1:28" s="134" customFormat="1" ht="15" customHeight="1" outlineLevel="1" x14ac:dyDescent="0.2">
      <c r="A1361" s="135">
        <v>16</v>
      </c>
      <c r="B1361" s="174">
        <v>53002</v>
      </c>
      <c r="C1361" s="136">
        <v>41922</v>
      </c>
      <c r="D1361" s="137" t="s">
        <v>1835</v>
      </c>
      <c r="E1361" s="135" t="s">
        <v>1790</v>
      </c>
      <c r="F1361" s="138" t="s">
        <v>115</v>
      </c>
      <c r="G1361" s="139" t="s">
        <v>415</v>
      </c>
      <c r="H1361" s="140"/>
      <c r="I1361" s="141">
        <v>1</v>
      </c>
      <c r="J1361" s="142">
        <v>33370</v>
      </c>
      <c r="K1361" s="142">
        <v>33370</v>
      </c>
      <c r="L1361" s="196" t="s">
        <v>620</v>
      </c>
      <c r="M1361" s="168" t="s">
        <v>39</v>
      </c>
      <c r="N1361" s="132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</row>
    <row r="1362" spans="1:28" s="134" customFormat="1" ht="15" customHeight="1" outlineLevel="1" x14ac:dyDescent="0.2">
      <c r="A1362" s="135">
        <v>17</v>
      </c>
      <c r="B1362" s="174">
        <v>59073</v>
      </c>
      <c r="C1362" s="136">
        <v>41940</v>
      </c>
      <c r="D1362" s="137" t="s">
        <v>1866</v>
      </c>
      <c r="E1362" s="135" t="s">
        <v>414</v>
      </c>
      <c r="F1362" s="138" t="s">
        <v>116</v>
      </c>
      <c r="G1362" s="139" t="s">
        <v>534</v>
      </c>
      <c r="H1362" s="140"/>
      <c r="I1362" s="141">
        <v>1</v>
      </c>
      <c r="J1362" s="142">
        <v>5274</v>
      </c>
      <c r="K1362" s="142">
        <v>5274</v>
      </c>
      <c r="L1362" s="196" t="s">
        <v>620</v>
      </c>
      <c r="M1362" s="168" t="s">
        <v>39</v>
      </c>
      <c r="N1362" s="132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</row>
    <row r="1363" spans="1:28" s="134" customFormat="1" ht="15" customHeight="1" outlineLevel="1" x14ac:dyDescent="0.2">
      <c r="A1363" s="135">
        <v>18</v>
      </c>
      <c r="B1363" s="174">
        <v>60392</v>
      </c>
      <c r="C1363" s="136">
        <v>41942</v>
      </c>
      <c r="D1363" s="137" t="s">
        <v>1867</v>
      </c>
      <c r="E1363" s="135" t="s">
        <v>414</v>
      </c>
      <c r="F1363" s="138" t="s">
        <v>537</v>
      </c>
      <c r="G1363" s="139" t="s">
        <v>527</v>
      </c>
      <c r="H1363" s="140"/>
      <c r="I1363" s="141">
        <v>1</v>
      </c>
      <c r="J1363" s="142">
        <v>30429</v>
      </c>
      <c r="K1363" s="142">
        <v>30429</v>
      </c>
      <c r="L1363" s="196" t="s">
        <v>620</v>
      </c>
      <c r="M1363" s="168" t="s">
        <v>39</v>
      </c>
      <c r="N1363" s="132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</row>
    <row r="1364" spans="1:28" s="134" customFormat="1" ht="15" customHeight="1" outlineLevel="1" x14ac:dyDescent="0.2">
      <c r="A1364" s="135">
        <v>19</v>
      </c>
      <c r="B1364" s="174">
        <v>56454</v>
      </c>
      <c r="C1364" s="136">
        <v>41933</v>
      </c>
      <c r="D1364" s="137" t="s">
        <v>416</v>
      </c>
      <c r="E1364" s="135" t="s">
        <v>414</v>
      </c>
      <c r="F1364" s="138" t="s">
        <v>115</v>
      </c>
      <c r="G1364" s="139" t="s">
        <v>417</v>
      </c>
      <c r="H1364" s="140"/>
      <c r="I1364" s="141">
        <v>1</v>
      </c>
      <c r="J1364" s="142">
        <v>33370</v>
      </c>
      <c r="K1364" s="142">
        <v>33370</v>
      </c>
      <c r="L1364" s="196" t="s">
        <v>620</v>
      </c>
      <c r="M1364" s="168" t="s">
        <v>39</v>
      </c>
      <c r="N1364" s="132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</row>
    <row r="1365" spans="1:28" s="134" customFormat="1" ht="15" customHeight="1" outlineLevel="1" x14ac:dyDescent="0.2">
      <c r="A1365" s="135">
        <v>20</v>
      </c>
      <c r="B1365" s="174">
        <v>56340</v>
      </c>
      <c r="C1365" s="136">
        <v>41933</v>
      </c>
      <c r="D1365" s="137" t="s">
        <v>1868</v>
      </c>
      <c r="E1365" s="135" t="s">
        <v>414</v>
      </c>
      <c r="F1365" s="138" t="s">
        <v>116</v>
      </c>
      <c r="G1365" s="139" t="s">
        <v>530</v>
      </c>
      <c r="H1365" s="140"/>
      <c r="I1365" s="141">
        <v>1</v>
      </c>
      <c r="J1365" s="142">
        <v>5274</v>
      </c>
      <c r="K1365" s="142">
        <v>5274</v>
      </c>
      <c r="L1365" s="196" t="s">
        <v>620</v>
      </c>
      <c r="M1365" s="168" t="s">
        <v>39</v>
      </c>
      <c r="N1365" s="132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</row>
    <row r="1366" spans="1:28" s="134" customFormat="1" ht="15" customHeight="1" outlineLevel="1" x14ac:dyDescent="0.2">
      <c r="A1366" s="135">
        <v>21</v>
      </c>
      <c r="B1366" s="135">
        <v>58497</v>
      </c>
      <c r="C1366" s="136">
        <v>41920</v>
      </c>
      <c r="D1366" s="214" t="s">
        <v>1869</v>
      </c>
      <c r="E1366" s="135" t="s">
        <v>414</v>
      </c>
      <c r="F1366" s="138" t="s">
        <v>682</v>
      </c>
      <c r="G1366" s="139" t="s">
        <v>369</v>
      </c>
      <c r="H1366" s="140"/>
      <c r="I1366" s="141">
        <v>1</v>
      </c>
      <c r="J1366" s="142">
        <v>55058</v>
      </c>
      <c r="K1366" s="142">
        <v>55058</v>
      </c>
      <c r="L1366" s="196" t="s">
        <v>620</v>
      </c>
      <c r="M1366" s="168" t="s">
        <v>39</v>
      </c>
      <c r="N1366" s="132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</row>
    <row r="1367" spans="1:28" s="134" customFormat="1" ht="15" customHeight="1" outlineLevel="1" x14ac:dyDescent="0.2">
      <c r="A1367" s="135">
        <v>22</v>
      </c>
      <c r="B1367" s="174">
        <v>59140</v>
      </c>
      <c r="C1367" s="136">
        <v>41920</v>
      </c>
      <c r="D1367" s="137" t="s">
        <v>1819</v>
      </c>
      <c r="E1367" s="135" t="s">
        <v>414</v>
      </c>
      <c r="F1367" s="138" t="s">
        <v>115</v>
      </c>
      <c r="G1367" s="139" t="s">
        <v>434</v>
      </c>
      <c r="H1367" s="140"/>
      <c r="I1367" s="141">
        <v>1</v>
      </c>
      <c r="J1367" s="142">
        <v>33370</v>
      </c>
      <c r="K1367" s="142">
        <v>33370</v>
      </c>
      <c r="L1367" s="196" t="s">
        <v>620</v>
      </c>
      <c r="M1367" s="168" t="s">
        <v>39</v>
      </c>
      <c r="N1367" s="132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</row>
    <row r="1368" spans="1:28" s="134" customFormat="1" ht="15" customHeight="1" outlineLevel="1" x14ac:dyDescent="0.2">
      <c r="A1368" s="135">
        <v>23</v>
      </c>
      <c r="B1368" s="174">
        <v>57681</v>
      </c>
      <c r="C1368" s="136">
        <v>41915</v>
      </c>
      <c r="D1368" s="137" t="s">
        <v>1870</v>
      </c>
      <c r="E1368" s="135" t="s">
        <v>1790</v>
      </c>
      <c r="F1368" s="138" t="s">
        <v>537</v>
      </c>
      <c r="G1368" s="139" t="s">
        <v>415</v>
      </c>
      <c r="H1368" s="140"/>
      <c r="I1368" s="141">
        <v>1</v>
      </c>
      <c r="J1368" s="142">
        <v>30429</v>
      </c>
      <c r="K1368" s="142">
        <v>30429</v>
      </c>
      <c r="L1368" s="196" t="s">
        <v>620</v>
      </c>
      <c r="M1368" s="168" t="s">
        <v>39</v>
      </c>
      <c r="N1368" s="132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</row>
    <row r="1369" spans="1:28" s="134" customFormat="1" ht="15" customHeight="1" outlineLevel="1" x14ac:dyDescent="0.2">
      <c r="A1369" s="135">
        <v>24</v>
      </c>
      <c r="B1369" s="174">
        <v>57998</v>
      </c>
      <c r="C1369" s="136">
        <v>41939</v>
      </c>
      <c r="D1369" s="137" t="s">
        <v>1871</v>
      </c>
      <c r="E1369" s="135" t="s">
        <v>414</v>
      </c>
      <c r="F1369" s="138" t="s">
        <v>116</v>
      </c>
      <c r="G1369" s="139" t="s">
        <v>410</v>
      </c>
      <c r="H1369" s="140"/>
      <c r="I1369" s="141">
        <v>1</v>
      </c>
      <c r="J1369" s="142">
        <v>5274</v>
      </c>
      <c r="K1369" s="142">
        <v>5274</v>
      </c>
      <c r="L1369" s="196" t="s">
        <v>620</v>
      </c>
      <c r="M1369" s="168" t="s">
        <v>39</v>
      </c>
      <c r="N1369" s="132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</row>
    <row r="1370" spans="1:28" s="134" customFormat="1" ht="15" customHeight="1" outlineLevel="1" x14ac:dyDescent="0.2">
      <c r="A1370" s="135">
        <v>25</v>
      </c>
      <c r="B1370" s="174">
        <v>53214</v>
      </c>
      <c r="C1370" s="136">
        <v>41922</v>
      </c>
      <c r="D1370" s="137" t="s">
        <v>1797</v>
      </c>
      <c r="E1370" s="135" t="s">
        <v>414</v>
      </c>
      <c r="F1370" s="138" t="s">
        <v>1132</v>
      </c>
      <c r="G1370" s="139" t="s">
        <v>568</v>
      </c>
      <c r="H1370" s="140"/>
      <c r="I1370" s="141">
        <v>1</v>
      </c>
      <c r="J1370" s="142">
        <v>49701</v>
      </c>
      <c r="K1370" s="142">
        <v>49701</v>
      </c>
      <c r="L1370" s="196" t="s">
        <v>620</v>
      </c>
      <c r="M1370" s="168" t="s">
        <v>39</v>
      </c>
      <c r="N1370" s="132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</row>
    <row r="1371" spans="1:28" s="134" customFormat="1" ht="15" customHeight="1" outlineLevel="1" x14ac:dyDescent="0.2">
      <c r="A1371" s="135">
        <v>26</v>
      </c>
      <c r="B1371" s="174">
        <v>57250</v>
      </c>
      <c r="C1371" s="136">
        <v>41914</v>
      </c>
      <c r="D1371" s="137" t="s">
        <v>1276</v>
      </c>
      <c r="E1371" s="135" t="s">
        <v>414</v>
      </c>
      <c r="F1371" s="138" t="s">
        <v>537</v>
      </c>
      <c r="G1371" s="139" t="s">
        <v>511</v>
      </c>
      <c r="H1371" s="140"/>
      <c r="I1371" s="141">
        <v>1</v>
      </c>
      <c r="J1371" s="142">
        <v>30429</v>
      </c>
      <c r="K1371" s="142">
        <v>30429</v>
      </c>
      <c r="L1371" s="196" t="s">
        <v>620</v>
      </c>
      <c r="M1371" s="168" t="s">
        <v>39</v>
      </c>
      <c r="N1371" s="132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</row>
    <row r="1372" spans="1:28" s="134" customFormat="1" ht="15" customHeight="1" outlineLevel="1" x14ac:dyDescent="0.2">
      <c r="A1372" s="135">
        <v>27</v>
      </c>
      <c r="B1372" s="174">
        <v>55673</v>
      </c>
      <c r="C1372" s="136">
        <v>41929</v>
      </c>
      <c r="D1372" s="137" t="s">
        <v>1872</v>
      </c>
      <c r="E1372" s="135" t="s">
        <v>414</v>
      </c>
      <c r="F1372" s="138" t="s">
        <v>116</v>
      </c>
      <c r="G1372" s="139" t="s">
        <v>431</v>
      </c>
      <c r="H1372" s="140"/>
      <c r="I1372" s="141">
        <v>1</v>
      </c>
      <c r="J1372" s="142">
        <v>5274</v>
      </c>
      <c r="K1372" s="142">
        <v>5274</v>
      </c>
      <c r="L1372" s="196" t="s">
        <v>620</v>
      </c>
      <c r="M1372" s="168" t="s">
        <v>39</v>
      </c>
      <c r="N1372" s="132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</row>
    <row r="1373" spans="1:28" s="134" customFormat="1" ht="15" customHeight="1" outlineLevel="1" x14ac:dyDescent="0.2">
      <c r="A1373" s="135">
        <v>28</v>
      </c>
      <c r="B1373" s="174">
        <v>54656</v>
      </c>
      <c r="C1373" s="136">
        <v>41927</v>
      </c>
      <c r="D1373" s="137" t="s">
        <v>1873</v>
      </c>
      <c r="E1373" s="135" t="s">
        <v>414</v>
      </c>
      <c r="F1373" s="138" t="s">
        <v>537</v>
      </c>
      <c r="G1373" s="139" t="s">
        <v>431</v>
      </c>
      <c r="H1373" s="140"/>
      <c r="I1373" s="141">
        <v>1</v>
      </c>
      <c r="J1373" s="142">
        <v>30429</v>
      </c>
      <c r="K1373" s="142">
        <v>30429</v>
      </c>
      <c r="L1373" s="196" t="s">
        <v>620</v>
      </c>
      <c r="M1373" s="168" t="s">
        <v>39</v>
      </c>
      <c r="N1373" s="132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</row>
    <row r="1374" spans="1:28" s="134" customFormat="1" ht="15" customHeight="1" outlineLevel="1" x14ac:dyDescent="0.2">
      <c r="A1374" s="135">
        <v>29</v>
      </c>
      <c r="B1374" s="174">
        <v>60415</v>
      </c>
      <c r="C1374" s="136">
        <v>41942</v>
      </c>
      <c r="D1374" s="137" t="s">
        <v>1874</v>
      </c>
      <c r="E1374" s="135" t="s">
        <v>414</v>
      </c>
      <c r="F1374" s="138" t="s">
        <v>537</v>
      </c>
      <c r="G1374" s="139" t="s">
        <v>419</v>
      </c>
      <c r="H1374" s="140"/>
      <c r="I1374" s="141">
        <v>1</v>
      </c>
      <c r="J1374" s="142">
        <v>30429</v>
      </c>
      <c r="K1374" s="142">
        <v>30429</v>
      </c>
      <c r="L1374" s="196" t="s">
        <v>620</v>
      </c>
      <c r="M1374" s="168" t="s">
        <v>39</v>
      </c>
      <c r="N1374" s="132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</row>
    <row r="1375" spans="1:28" s="134" customFormat="1" ht="15" customHeight="1" outlineLevel="1" x14ac:dyDescent="0.2">
      <c r="A1375" s="135">
        <v>30</v>
      </c>
      <c r="B1375" s="174">
        <v>57688</v>
      </c>
      <c r="C1375" s="136">
        <v>41915</v>
      </c>
      <c r="D1375" s="137" t="s">
        <v>1192</v>
      </c>
      <c r="E1375" s="135" t="s">
        <v>414</v>
      </c>
      <c r="F1375" s="138" t="s">
        <v>682</v>
      </c>
      <c r="G1375" s="139" t="s">
        <v>371</v>
      </c>
      <c r="H1375" s="140"/>
      <c r="I1375" s="141">
        <v>1</v>
      </c>
      <c r="J1375" s="142">
        <v>55058</v>
      </c>
      <c r="K1375" s="142">
        <v>55058</v>
      </c>
      <c r="L1375" s="196" t="s">
        <v>620</v>
      </c>
      <c r="M1375" s="168" t="s">
        <v>39</v>
      </c>
      <c r="N1375" s="132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</row>
    <row r="1376" spans="1:28" s="134" customFormat="1" ht="15" customHeight="1" outlineLevel="1" x14ac:dyDescent="0.2">
      <c r="A1376" s="135">
        <v>31</v>
      </c>
      <c r="B1376" s="174">
        <v>58226</v>
      </c>
      <c r="C1376" s="136">
        <v>41918</v>
      </c>
      <c r="D1376" s="137" t="s">
        <v>1875</v>
      </c>
      <c r="E1376" s="135" t="s">
        <v>521</v>
      </c>
      <c r="F1376" s="138" t="s">
        <v>580</v>
      </c>
      <c r="G1376" s="139" t="s">
        <v>371</v>
      </c>
      <c r="H1376" s="140"/>
      <c r="I1376" s="141">
        <v>1</v>
      </c>
      <c r="J1376" s="142">
        <v>25800</v>
      </c>
      <c r="K1376" s="142">
        <v>25800</v>
      </c>
      <c r="L1376" s="196" t="s">
        <v>620</v>
      </c>
      <c r="M1376" s="168" t="s">
        <v>39</v>
      </c>
      <c r="N1376" s="132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</row>
    <row r="1377" spans="1:28" s="134" customFormat="1" ht="15" customHeight="1" outlineLevel="1" x14ac:dyDescent="0.2">
      <c r="A1377" s="135">
        <v>32</v>
      </c>
      <c r="B1377" s="174">
        <v>56238</v>
      </c>
      <c r="C1377" s="136">
        <v>41932</v>
      </c>
      <c r="D1377" s="137" t="s">
        <v>418</v>
      </c>
      <c r="E1377" s="135" t="s">
        <v>414</v>
      </c>
      <c r="F1377" s="138" t="s">
        <v>115</v>
      </c>
      <c r="G1377" s="139" t="s">
        <v>419</v>
      </c>
      <c r="H1377" s="140"/>
      <c r="I1377" s="141">
        <v>1</v>
      </c>
      <c r="J1377" s="142">
        <v>33370</v>
      </c>
      <c r="K1377" s="142">
        <v>33370</v>
      </c>
      <c r="L1377" s="196" t="s">
        <v>620</v>
      </c>
      <c r="M1377" s="168" t="s">
        <v>39</v>
      </c>
      <c r="N1377" s="132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</row>
    <row r="1378" spans="1:28" s="134" customFormat="1" ht="15" customHeight="1" outlineLevel="1" x14ac:dyDescent="0.2">
      <c r="A1378" s="122">
        <v>2</v>
      </c>
      <c r="B1378" s="148">
        <v>62677</v>
      </c>
      <c r="C1378" s="123">
        <v>41953</v>
      </c>
      <c r="D1378" s="124" t="s">
        <v>1876</v>
      </c>
      <c r="E1378" s="122" t="s">
        <v>414</v>
      </c>
      <c r="F1378" s="125" t="s">
        <v>116</v>
      </c>
      <c r="G1378" s="126" t="s">
        <v>431</v>
      </c>
      <c r="H1378" s="127"/>
      <c r="I1378" s="128">
        <v>1</v>
      </c>
      <c r="J1378" s="129">
        <v>5274</v>
      </c>
      <c r="K1378" s="129">
        <v>5274</v>
      </c>
      <c r="L1378" s="215" t="s">
        <v>960</v>
      </c>
      <c r="M1378" s="168" t="s">
        <v>39</v>
      </c>
      <c r="N1378" s="132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</row>
    <row r="1379" spans="1:28" s="134" customFormat="1" ht="15" customHeight="1" outlineLevel="1" x14ac:dyDescent="0.2">
      <c r="A1379" s="122">
        <v>3</v>
      </c>
      <c r="B1379" s="148">
        <v>61231</v>
      </c>
      <c r="C1379" s="123">
        <v>41947</v>
      </c>
      <c r="D1379" s="124" t="s">
        <v>420</v>
      </c>
      <c r="E1379" s="122" t="s">
        <v>421</v>
      </c>
      <c r="F1379" s="125" t="s">
        <v>580</v>
      </c>
      <c r="G1379" s="126" t="s">
        <v>371</v>
      </c>
      <c r="H1379" s="127"/>
      <c r="I1379" s="128">
        <v>1</v>
      </c>
      <c r="J1379" s="129">
        <v>25800</v>
      </c>
      <c r="K1379" s="129">
        <v>25800</v>
      </c>
      <c r="L1379" s="215" t="s">
        <v>960</v>
      </c>
      <c r="M1379" s="168" t="s">
        <v>39</v>
      </c>
      <c r="N1379" s="132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</row>
    <row r="1380" spans="1:28" s="134" customFormat="1" ht="15" customHeight="1" outlineLevel="1" x14ac:dyDescent="0.2">
      <c r="A1380" s="122">
        <v>4</v>
      </c>
      <c r="B1380" s="148">
        <v>60387</v>
      </c>
      <c r="C1380" s="123">
        <v>41942</v>
      </c>
      <c r="D1380" s="124" t="s">
        <v>1877</v>
      </c>
      <c r="E1380" s="122" t="s">
        <v>414</v>
      </c>
      <c r="F1380" s="125" t="s">
        <v>235</v>
      </c>
      <c r="G1380" s="126" t="s">
        <v>369</v>
      </c>
      <c r="H1380" s="127"/>
      <c r="I1380" s="128">
        <v>1</v>
      </c>
      <c r="J1380" s="129">
        <v>12499</v>
      </c>
      <c r="K1380" s="129">
        <v>12499</v>
      </c>
      <c r="L1380" s="215" t="s">
        <v>960</v>
      </c>
      <c r="M1380" s="168" t="s">
        <v>39</v>
      </c>
      <c r="N1380" s="132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</row>
    <row r="1381" spans="1:28" s="134" customFormat="1" ht="15" customHeight="1" outlineLevel="1" x14ac:dyDescent="0.2">
      <c r="A1381" s="122">
        <v>5</v>
      </c>
      <c r="B1381" s="148">
        <v>58001</v>
      </c>
      <c r="C1381" s="123">
        <v>41918</v>
      </c>
      <c r="D1381" s="124" t="s">
        <v>1862</v>
      </c>
      <c r="E1381" s="122" t="s">
        <v>414</v>
      </c>
      <c r="F1381" s="125" t="s">
        <v>210</v>
      </c>
      <c r="G1381" s="126" t="s">
        <v>407</v>
      </c>
      <c r="H1381" s="127"/>
      <c r="I1381" s="128">
        <v>1</v>
      </c>
      <c r="J1381" s="129">
        <v>14099</v>
      </c>
      <c r="K1381" s="129">
        <v>14099</v>
      </c>
      <c r="L1381" s="215" t="s">
        <v>960</v>
      </c>
      <c r="M1381" s="168" t="s">
        <v>39</v>
      </c>
      <c r="N1381" s="132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</row>
    <row r="1382" spans="1:28" s="134" customFormat="1" ht="15" customHeight="1" outlineLevel="1" x14ac:dyDescent="0.2">
      <c r="A1382" s="122">
        <v>6</v>
      </c>
      <c r="B1382" s="148">
        <v>67374</v>
      </c>
      <c r="C1382" s="123">
        <v>41963</v>
      </c>
      <c r="D1382" s="124" t="s">
        <v>1862</v>
      </c>
      <c r="E1382" s="122" t="s">
        <v>414</v>
      </c>
      <c r="F1382" s="125" t="s">
        <v>192</v>
      </c>
      <c r="G1382" s="126" t="s">
        <v>407</v>
      </c>
      <c r="H1382" s="127"/>
      <c r="I1382" s="128">
        <v>1</v>
      </c>
      <c r="J1382" s="129">
        <v>57960</v>
      </c>
      <c r="K1382" s="129">
        <v>57960</v>
      </c>
      <c r="L1382" s="215" t="s">
        <v>960</v>
      </c>
      <c r="M1382" s="168" t="s">
        <v>39</v>
      </c>
      <c r="N1382" s="132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</row>
    <row r="1383" spans="1:28" s="134" customFormat="1" ht="15" customHeight="1" outlineLevel="1" x14ac:dyDescent="0.2">
      <c r="A1383" s="122">
        <v>7</v>
      </c>
      <c r="B1383" s="148">
        <v>68325</v>
      </c>
      <c r="C1383" s="123">
        <v>41967</v>
      </c>
      <c r="D1383" s="124" t="s">
        <v>1878</v>
      </c>
      <c r="E1383" s="122" t="s">
        <v>414</v>
      </c>
      <c r="F1383" s="125" t="s">
        <v>537</v>
      </c>
      <c r="G1383" s="126" t="s">
        <v>511</v>
      </c>
      <c r="H1383" s="127"/>
      <c r="I1383" s="128">
        <v>1</v>
      </c>
      <c r="J1383" s="129">
        <v>30429</v>
      </c>
      <c r="K1383" s="129">
        <v>30429</v>
      </c>
      <c r="L1383" s="215" t="s">
        <v>960</v>
      </c>
      <c r="M1383" s="168" t="s">
        <v>39</v>
      </c>
      <c r="N1383" s="132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</row>
    <row r="1384" spans="1:28" s="134" customFormat="1" ht="15" customHeight="1" outlineLevel="1" x14ac:dyDescent="0.2">
      <c r="A1384" s="122">
        <v>8</v>
      </c>
      <c r="B1384" s="148">
        <v>69529</v>
      </c>
      <c r="C1384" s="123">
        <v>41969</v>
      </c>
      <c r="D1384" s="124" t="s">
        <v>1879</v>
      </c>
      <c r="E1384" s="122" t="s">
        <v>414</v>
      </c>
      <c r="F1384" s="125" t="s">
        <v>116</v>
      </c>
      <c r="G1384" s="126" t="s">
        <v>1880</v>
      </c>
      <c r="H1384" s="127"/>
      <c r="I1384" s="128">
        <v>4</v>
      </c>
      <c r="J1384" s="129">
        <v>5274</v>
      </c>
      <c r="K1384" s="129">
        <v>21096</v>
      </c>
      <c r="L1384" s="215" t="s">
        <v>960</v>
      </c>
      <c r="M1384" s="168" t="s">
        <v>39</v>
      </c>
      <c r="N1384" s="132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</row>
    <row r="1385" spans="1:28" s="134" customFormat="1" ht="15" customHeight="1" outlineLevel="1" x14ac:dyDescent="0.2">
      <c r="A1385" s="122">
        <v>9</v>
      </c>
      <c r="B1385" s="148">
        <v>63327</v>
      </c>
      <c r="C1385" s="123">
        <v>41954</v>
      </c>
      <c r="D1385" s="124" t="s">
        <v>1881</v>
      </c>
      <c r="E1385" s="122" t="s">
        <v>414</v>
      </c>
      <c r="F1385" s="125" t="s">
        <v>116</v>
      </c>
      <c r="G1385" s="126" t="s">
        <v>1882</v>
      </c>
      <c r="H1385" s="127"/>
      <c r="I1385" s="128">
        <v>2</v>
      </c>
      <c r="J1385" s="129">
        <v>5274</v>
      </c>
      <c r="K1385" s="129">
        <v>10548</v>
      </c>
      <c r="L1385" s="215" t="s">
        <v>960</v>
      </c>
      <c r="M1385" s="168" t="s">
        <v>39</v>
      </c>
      <c r="N1385" s="132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</row>
    <row r="1386" spans="1:28" s="134" customFormat="1" ht="15" customHeight="1" outlineLevel="1" x14ac:dyDescent="0.2">
      <c r="A1386" s="122">
        <v>10</v>
      </c>
      <c r="B1386" s="148">
        <v>69390</v>
      </c>
      <c r="C1386" s="123">
        <v>41969</v>
      </c>
      <c r="D1386" s="124" t="s">
        <v>1883</v>
      </c>
      <c r="E1386" s="122" t="s">
        <v>414</v>
      </c>
      <c r="F1386" s="125" t="s">
        <v>577</v>
      </c>
      <c r="G1386" s="126" t="s">
        <v>431</v>
      </c>
      <c r="H1386" s="127"/>
      <c r="I1386" s="128">
        <v>1</v>
      </c>
      <c r="J1386" s="129">
        <v>49701</v>
      </c>
      <c r="K1386" s="129">
        <v>49701</v>
      </c>
      <c r="L1386" s="215" t="s">
        <v>960</v>
      </c>
      <c r="M1386" s="168" t="s">
        <v>39</v>
      </c>
      <c r="N1386" s="132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</row>
    <row r="1387" spans="1:28" s="134" customFormat="1" ht="15" customHeight="1" outlineLevel="1" x14ac:dyDescent="0.2">
      <c r="A1387" s="122">
        <v>11</v>
      </c>
      <c r="B1387" s="148">
        <v>61184</v>
      </c>
      <c r="C1387" s="123">
        <v>41947</v>
      </c>
      <c r="D1387" s="124" t="s">
        <v>1884</v>
      </c>
      <c r="E1387" s="122" t="s">
        <v>590</v>
      </c>
      <c r="F1387" s="125" t="s">
        <v>217</v>
      </c>
      <c r="G1387" s="126" t="s">
        <v>371</v>
      </c>
      <c r="H1387" s="127"/>
      <c r="I1387" s="128">
        <v>1</v>
      </c>
      <c r="J1387" s="129">
        <v>44597</v>
      </c>
      <c r="K1387" s="129">
        <v>44597</v>
      </c>
      <c r="L1387" s="215" t="s">
        <v>960</v>
      </c>
      <c r="M1387" s="168" t="s">
        <v>39</v>
      </c>
      <c r="N1387" s="132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</row>
    <row r="1388" spans="1:28" s="134" customFormat="1" ht="15" customHeight="1" outlineLevel="1" x14ac:dyDescent="0.2">
      <c r="A1388" s="122">
        <v>12</v>
      </c>
      <c r="B1388" s="122">
        <v>70829</v>
      </c>
      <c r="C1388" s="123">
        <v>41971</v>
      </c>
      <c r="D1388" s="124" t="s">
        <v>1868</v>
      </c>
      <c r="E1388" s="122" t="s">
        <v>414</v>
      </c>
      <c r="F1388" s="125" t="s">
        <v>115</v>
      </c>
      <c r="G1388" s="126" t="s">
        <v>404</v>
      </c>
      <c r="H1388" s="127"/>
      <c r="I1388" s="128">
        <v>1</v>
      </c>
      <c r="J1388" s="129">
        <v>33370</v>
      </c>
      <c r="K1388" s="129">
        <v>33370</v>
      </c>
      <c r="L1388" s="215" t="s">
        <v>960</v>
      </c>
      <c r="M1388" s="168" t="s">
        <v>39</v>
      </c>
      <c r="N1388" s="132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</row>
    <row r="1389" spans="1:28" s="134" customFormat="1" ht="15" customHeight="1" outlineLevel="1" x14ac:dyDescent="0.2">
      <c r="A1389" s="122">
        <v>13</v>
      </c>
      <c r="B1389" s="148">
        <v>68322</v>
      </c>
      <c r="C1389" s="123">
        <v>41969</v>
      </c>
      <c r="D1389" s="124" t="s">
        <v>1885</v>
      </c>
      <c r="E1389" s="122" t="s">
        <v>414</v>
      </c>
      <c r="F1389" s="125" t="s">
        <v>537</v>
      </c>
      <c r="G1389" s="126" t="s">
        <v>415</v>
      </c>
      <c r="H1389" s="127"/>
      <c r="I1389" s="128">
        <v>1</v>
      </c>
      <c r="J1389" s="129">
        <v>30429</v>
      </c>
      <c r="K1389" s="129">
        <v>30429</v>
      </c>
      <c r="L1389" s="215" t="s">
        <v>960</v>
      </c>
      <c r="M1389" s="168" t="s">
        <v>39</v>
      </c>
      <c r="N1389" s="132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</row>
    <row r="1390" spans="1:28" s="134" customFormat="1" ht="15" customHeight="1" outlineLevel="1" x14ac:dyDescent="0.2">
      <c r="A1390" s="122">
        <v>14</v>
      </c>
      <c r="B1390" s="148">
        <v>67443</v>
      </c>
      <c r="C1390" s="123">
        <v>41963</v>
      </c>
      <c r="D1390" s="124" t="s">
        <v>1886</v>
      </c>
      <c r="E1390" s="122" t="s">
        <v>414</v>
      </c>
      <c r="F1390" s="125" t="s">
        <v>537</v>
      </c>
      <c r="G1390" s="126" t="s">
        <v>417</v>
      </c>
      <c r="H1390" s="127"/>
      <c r="I1390" s="128">
        <v>1</v>
      </c>
      <c r="J1390" s="129">
        <v>30429</v>
      </c>
      <c r="K1390" s="129">
        <v>30429</v>
      </c>
      <c r="L1390" s="215" t="s">
        <v>960</v>
      </c>
      <c r="M1390" s="168" t="s">
        <v>39</v>
      </c>
      <c r="N1390" s="132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</row>
    <row r="1391" spans="1:28" s="134" customFormat="1" ht="15" customHeight="1" outlineLevel="1" x14ac:dyDescent="0.2">
      <c r="A1391" s="122">
        <v>15</v>
      </c>
      <c r="B1391" s="148">
        <v>69389</v>
      </c>
      <c r="C1391" s="123">
        <v>41969</v>
      </c>
      <c r="D1391" s="124" t="s">
        <v>1887</v>
      </c>
      <c r="E1391" s="122" t="s">
        <v>414</v>
      </c>
      <c r="F1391" s="125" t="s">
        <v>577</v>
      </c>
      <c r="G1391" s="126" t="s">
        <v>562</v>
      </c>
      <c r="H1391" s="127"/>
      <c r="I1391" s="128">
        <v>1</v>
      </c>
      <c r="J1391" s="129">
        <v>49701</v>
      </c>
      <c r="K1391" s="129">
        <v>49701</v>
      </c>
      <c r="L1391" s="215" t="s">
        <v>960</v>
      </c>
      <c r="M1391" s="168" t="s">
        <v>39</v>
      </c>
      <c r="N1391" s="132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</row>
    <row r="1392" spans="1:28" s="134" customFormat="1" ht="15" customHeight="1" outlineLevel="1" x14ac:dyDescent="0.2">
      <c r="A1392" s="122">
        <v>16</v>
      </c>
      <c r="B1392" s="148">
        <v>69591</v>
      </c>
      <c r="C1392" s="123">
        <v>41969</v>
      </c>
      <c r="D1392" s="124" t="s">
        <v>1888</v>
      </c>
      <c r="E1392" s="122" t="s">
        <v>414</v>
      </c>
      <c r="F1392" s="125" t="s">
        <v>537</v>
      </c>
      <c r="G1392" s="126" t="s">
        <v>472</v>
      </c>
      <c r="H1392" s="127"/>
      <c r="I1392" s="128">
        <v>1</v>
      </c>
      <c r="J1392" s="129">
        <v>30429</v>
      </c>
      <c r="K1392" s="129">
        <v>30429</v>
      </c>
      <c r="L1392" s="215" t="s">
        <v>960</v>
      </c>
      <c r="M1392" s="168" t="s">
        <v>39</v>
      </c>
      <c r="N1392" s="132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</row>
    <row r="1393" spans="1:28" s="134" customFormat="1" ht="15" customHeight="1" outlineLevel="1" x14ac:dyDescent="0.2">
      <c r="A1393" s="122">
        <v>17</v>
      </c>
      <c r="B1393" s="148">
        <v>63890</v>
      </c>
      <c r="C1393" s="123">
        <v>41954</v>
      </c>
      <c r="D1393" s="124" t="s">
        <v>1819</v>
      </c>
      <c r="E1393" s="122" t="s">
        <v>414</v>
      </c>
      <c r="F1393" s="125" t="s">
        <v>115</v>
      </c>
      <c r="G1393" s="126" t="s">
        <v>415</v>
      </c>
      <c r="H1393" s="127"/>
      <c r="I1393" s="128">
        <v>1</v>
      </c>
      <c r="J1393" s="129">
        <v>33370</v>
      </c>
      <c r="K1393" s="129">
        <v>33370</v>
      </c>
      <c r="L1393" s="215" t="s">
        <v>960</v>
      </c>
      <c r="M1393" s="168" t="s">
        <v>39</v>
      </c>
      <c r="N1393" s="132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</row>
    <row r="1394" spans="1:28" s="134" customFormat="1" ht="15" customHeight="1" outlineLevel="1" x14ac:dyDescent="0.2">
      <c r="A1394" s="122">
        <v>18</v>
      </c>
      <c r="B1394" s="148">
        <v>60970</v>
      </c>
      <c r="C1394" s="123">
        <v>41946</v>
      </c>
      <c r="D1394" s="124" t="s">
        <v>1844</v>
      </c>
      <c r="E1394" s="122" t="s">
        <v>414</v>
      </c>
      <c r="F1394" s="125" t="s">
        <v>537</v>
      </c>
      <c r="G1394" s="126" t="s">
        <v>472</v>
      </c>
      <c r="H1394" s="127"/>
      <c r="I1394" s="128">
        <v>1</v>
      </c>
      <c r="J1394" s="129">
        <v>30429</v>
      </c>
      <c r="K1394" s="129">
        <v>30429</v>
      </c>
      <c r="L1394" s="215" t="s">
        <v>960</v>
      </c>
      <c r="M1394" s="168" t="s">
        <v>39</v>
      </c>
      <c r="N1394" s="132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</row>
    <row r="1395" spans="1:28" s="134" customFormat="1" ht="15" customHeight="1" outlineLevel="1" x14ac:dyDescent="0.2">
      <c r="A1395" s="122">
        <v>20</v>
      </c>
      <c r="B1395" s="148">
        <v>63845</v>
      </c>
      <c r="C1395" s="123">
        <v>41955</v>
      </c>
      <c r="D1395" s="124" t="s">
        <v>1889</v>
      </c>
      <c r="E1395" s="122" t="s">
        <v>414</v>
      </c>
      <c r="F1395" s="125" t="s">
        <v>210</v>
      </c>
      <c r="G1395" s="126" t="s">
        <v>410</v>
      </c>
      <c r="H1395" s="127"/>
      <c r="I1395" s="128">
        <v>1</v>
      </c>
      <c r="J1395" s="129">
        <v>14099</v>
      </c>
      <c r="K1395" s="129">
        <v>14099</v>
      </c>
      <c r="L1395" s="215" t="s">
        <v>960</v>
      </c>
      <c r="M1395" s="168" t="s">
        <v>39</v>
      </c>
      <c r="N1395" s="132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</row>
    <row r="1396" spans="1:28" s="134" customFormat="1" ht="15" customHeight="1" outlineLevel="1" x14ac:dyDescent="0.2">
      <c r="A1396" s="122">
        <v>21</v>
      </c>
      <c r="B1396" s="148">
        <v>61051</v>
      </c>
      <c r="C1396" s="123">
        <v>41946</v>
      </c>
      <c r="D1396" s="124" t="s">
        <v>1890</v>
      </c>
      <c r="E1396" s="122" t="s">
        <v>414</v>
      </c>
      <c r="F1396" s="125" t="s">
        <v>217</v>
      </c>
      <c r="G1396" s="126" t="s">
        <v>369</v>
      </c>
      <c r="H1396" s="127"/>
      <c r="I1396" s="128">
        <v>1</v>
      </c>
      <c r="J1396" s="129">
        <v>44597</v>
      </c>
      <c r="K1396" s="129">
        <v>44597</v>
      </c>
      <c r="L1396" s="215" t="s">
        <v>960</v>
      </c>
      <c r="M1396" s="168" t="s">
        <v>39</v>
      </c>
      <c r="N1396" s="132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</row>
    <row r="1397" spans="1:28" s="134" customFormat="1" ht="15" customHeight="1" outlineLevel="1" x14ac:dyDescent="0.2">
      <c r="A1397" s="122">
        <v>22</v>
      </c>
      <c r="B1397" s="148">
        <v>69064</v>
      </c>
      <c r="C1397" s="123">
        <v>41968</v>
      </c>
      <c r="D1397" s="124" t="s">
        <v>1891</v>
      </c>
      <c r="E1397" s="122" t="s">
        <v>414</v>
      </c>
      <c r="F1397" s="125" t="s">
        <v>207</v>
      </c>
      <c r="G1397" s="126" t="s">
        <v>472</v>
      </c>
      <c r="H1397" s="127"/>
      <c r="I1397" s="128">
        <v>1</v>
      </c>
      <c r="J1397" s="129">
        <v>55062</v>
      </c>
      <c r="K1397" s="129">
        <v>55062</v>
      </c>
      <c r="L1397" s="215" t="s">
        <v>960</v>
      </c>
      <c r="M1397" s="168" t="s">
        <v>39</v>
      </c>
      <c r="N1397" s="132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</row>
    <row r="1398" spans="1:28" s="134" customFormat="1" ht="15" customHeight="1" outlineLevel="1" x14ac:dyDescent="0.2">
      <c r="A1398" s="122">
        <v>23</v>
      </c>
      <c r="B1398" s="148">
        <v>60458</v>
      </c>
      <c r="C1398" s="123">
        <v>41942</v>
      </c>
      <c r="D1398" s="124" t="s">
        <v>1892</v>
      </c>
      <c r="E1398" s="122" t="s">
        <v>414</v>
      </c>
      <c r="F1398" s="125" t="s">
        <v>210</v>
      </c>
      <c r="G1398" s="126" t="s">
        <v>407</v>
      </c>
      <c r="H1398" s="127"/>
      <c r="I1398" s="128">
        <v>1</v>
      </c>
      <c r="J1398" s="129">
        <v>14099</v>
      </c>
      <c r="K1398" s="129">
        <v>14099</v>
      </c>
      <c r="L1398" s="215" t="s">
        <v>960</v>
      </c>
      <c r="M1398" s="168" t="s">
        <v>39</v>
      </c>
      <c r="N1398" s="132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</row>
    <row r="1399" spans="1:28" s="134" customFormat="1" ht="15" customHeight="1" outlineLevel="1" x14ac:dyDescent="0.2">
      <c r="A1399" s="122">
        <v>24</v>
      </c>
      <c r="B1399" s="148">
        <v>65853</v>
      </c>
      <c r="C1399" s="123">
        <v>41960</v>
      </c>
      <c r="D1399" s="124" t="s">
        <v>1893</v>
      </c>
      <c r="E1399" s="122" t="s">
        <v>414</v>
      </c>
      <c r="F1399" s="125" t="s">
        <v>537</v>
      </c>
      <c r="G1399" s="126" t="s">
        <v>431</v>
      </c>
      <c r="H1399" s="127"/>
      <c r="I1399" s="128">
        <v>1</v>
      </c>
      <c r="J1399" s="129">
        <v>30429</v>
      </c>
      <c r="K1399" s="129">
        <v>30429</v>
      </c>
      <c r="L1399" s="215" t="s">
        <v>960</v>
      </c>
      <c r="M1399" s="168" t="s">
        <v>39</v>
      </c>
      <c r="N1399" s="132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</row>
    <row r="1400" spans="1:28" s="134" customFormat="1" ht="15" customHeight="1" outlineLevel="1" x14ac:dyDescent="0.2">
      <c r="A1400" s="122">
        <v>26</v>
      </c>
      <c r="B1400" s="148">
        <v>55673</v>
      </c>
      <c r="C1400" s="123">
        <v>41929</v>
      </c>
      <c r="D1400" s="124" t="s">
        <v>1872</v>
      </c>
      <c r="E1400" s="122" t="s">
        <v>414</v>
      </c>
      <c r="F1400" s="125" t="s">
        <v>210</v>
      </c>
      <c r="G1400" s="126" t="s">
        <v>431</v>
      </c>
      <c r="H1400" s="127"/>
      <c r="I1400" s="128">
        <v>1</v>
      </c>
      <c r="J1400" s="129">
        <v>14099</v>
      </c>
      <c r="K1400" s="129">
        <v>14099</v>
      </c>
      <c r="L1400" s="215" t="s">
        <v>960</v>
      </c>
      <c r="M1400" s="168" t="s">
        <v>39</v>
      </c>
      <c r="N1400" s="132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</row>
    <row r="1401" spans="1:28" s="134" customFormat="1" ht="15" customHeight="1" outlineLevel="1" x14ac:dyDescent="0.2">
      <c r="A1401" s="122">
        <v>27</v>
      </c>
      <c r="B1401" s="148">
        <v>59524</v>
      </c>
      <c r="C1401" s="123">
        <v>41941</v>
      </c>
      <c r="D1401" s="124" t="s">
        <v>523</v>
      </c>
      <c r="E1401" s="122" t="s">
        <v>521</v>
      </c>
      <c r="F1401" s="125" t="s">
        <v>580</v>
      </c>
      <c r="G1401" s="126" t="s">
        <v>371</v>
      </c>
      <c r="H1401" s="127"/>
      <c r="I1401" s="128">
        <v>1</v>
      </c>
      <c r="J1401" s="129">
        <v>25800</v>
      </c>
      <c r="K1401" s="129">
        <v>25800</v>
      </c>
      <c r="L1401" s="215" t="s">
        <v>960</v>
      </c>
      <c r="M1401" s="168" t="s">
        <v>39</v>
      </c>
      <c r="N1401" s="132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</row>
    <row r="1402" spans="1:28" s="134" customFormat="1" ht="15" customHeight="1" outlineLevel="1" x14ac:dyDescent="0.2">
      <c r="A1402" s="122">
        <v>28</v>
      </c>
      <c r="B1402" s="148">
        <v>61112</v>
      </c>
      <c r="C1402" s="123">
        <v>41947</v>
      </c>
      <c r="D1402" s="124" t="s">
        <v>1894</v>
      </c>
      <c r="E1402" s="122" t="s">
        <v>1895</v>
      </c>
      <c r="F1402" s="125" t="s">
        <v>1011</v>
      </c>
      <c r="G1402" s="126" t="s">
        <v>387</v>
      </c>
      <c r="H1402" s="127"/>
      <c r="I1402" s="128">
        <v>2</v>
      </c>
      <c r="J1402" s="129">
        <v>9129</v>
      </c>
      <c r="K1402" s="129">
        <v>18258</v>
      </c>
      <c r="L1402" s="215" t="s">
        <v>960</v>
      </c>
      <c r="M1402" s="168" t="s">
        <v>39</v>
      </c>
      <c r="N1402" s="132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</row>
    <row r="1403" spans="1:28" s="134" customFormat="1" ht="15" customHeight="1" outlineLevel="1" x14ac:dyDescent="0.2">
      <c r="A1403" s="122">
        <v>29</v>
      </c>
      <c r="B1403" s="148">
        <v>60717</v>
      </c>
      <c r="C1403" s="123">
        <v>41946</v>
      </c>
      <c r="D1403" s="124" t="s">
        <v>529</v>
      </c>
      <c r="E1403" s="122" t="s">
        <v>414</v>
      </c>
      <c r="F1403" s="125" t="s">
        <v>116</v>
      </c>
      <c r="G1403" s="126" t="s">
        <v>530</v>
      </c>
      <c r="H1403" s="127"/>
      <c r="I1403" s="128">
        <v>1</v>
      </c>
      <c r="J1403" s="129">
        <v>5274</v>
      </c>
      <c r="K1403" s="129">
        <v>5274</v>
      </c>
      <c r="L1403" s="215" t="s">
        <v>960</v>
      </c>
      <c r="M1403" s="168" t="s">
        <v>39</v>
      </c>
      <c r="N1403" s="132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</row>
    <row r="1404" spans="1:28" s="134" customFormat="1" ht="15" customHeight="1" outlineLevel="1" x14ac:dyDescent="0.2">
      <c r="A1404" s="122">
        <v>30</v>
      </c>
      <c r="B1404" s="148">
        <v>57221</v>
      </c>
      <c r="C1404" s="123">
        <v>41914</v>
      </c>
      <c r="D1404" s="124" t="s">
        <v>1896</v>
      </c>
      <c r="E1404" s="122" t="s">
        <v>1790</v>
      </c>
      <c r="F1404" s="125" t="s">
        <v>537</v>
      </c>
      <c r="G1404" s="126" t="s">
        <v>431</v>
      </c>
      <c r="H1404" s="127"/>
      <c r="I1404" s="128">
        <v>1</v>
      </c>
      <c r="J1404" s="129">
        <v>30429</v>
      </c>
      <c r="K1404" s="129">
        <v>30429</v>
      </c>
      <c r="L1404" s="215" t="s">
        <v>960</v>
      </c>
      <c r="M1404" s="168" t="s">
        <v>39</v>
      </c>
      <c r="N1404" s="132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</row>
    <row r="1405" spans="1:28" s="134" customFormat="1" ht="15" customHeight="1" outlineLevel="1" x14ac:dyDescent="0.2">
      <c r="A1405" s="122">
        <v>31</v>
      </c>
      <c r="B1405" s="148">
        <v>68131</v>
      </c>
      <c r="C1405" s="123">
        <v>41967</v>
      </c>
      <c r="D1405" s="124" t="s">
        <v>1854</v>
      </c>
      <c r="E1405" s="122" t="s">
        <v>590</v>
      </c>
      <c r="F1405" s="125" t="s">
        <v>217</v>
      </c>
      <c r="G1405" s="126" t="s">
        <v>387</v>
      </c>
      <c r="H1405" s="127"/>
      <c r="I1405" s="128">
        <v>2</v>
      </c>
      <c r="J1405" s="129">
        <v>44597</v>
      </c>
      <c r="K1405" s="129" t="s">
        <v>1570</v>
      </c>
      <c r="L1405" s="215" t="s">
        <v>960</v>
      </c>
      <c r="M1405" s="168" t="s">
        <v>39</v>
      </c>
      <c r="N1405" s="132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</row>
    <row r="1406" spans="1:28" s="134" customFormat="1" ht="15" customHeight="1" outlineLevel="1" x14ac:dyDescent="0.2">
      <c r="A1406" s="122">
        <v>32</v>
      </c>
      <c r="B1406" s="148">
        <v>65176</v>
      </c>
      <c r="C1406" s="123">
        <v>41957</v>
      </c>
      <c r="D1406" s="124" t="s">
        <v>1897</v>
      </c>
      <c r="E1406" s="122" t="s">
        <v>414</v>
      </c>
      <c r="F1406" s="125" t="s">
        <v>116</v>
      </c>
      <c r="G1406" s="126" t="s">
        <v>527</v>
      </c>
      <c r="H1406" s="127"/>
      <c r="I1406" s="128">
        <v>1</v>
      </c>
      <c r="J1406" s="129">
        <v>5274</v>
      </c>
      <c r="K1406" s="129">
        <v>5274</v>
      </c>
      <c r="L1406" s="215" t="s">
        <v>960</v>
      </c>
      <c r="M1406" s="168" t="s">
        <v>39</v>
      </c>
      <c r="N1406" s="132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</row>
    <row r="1407" spans="1:28" s="134" customFormat="1" ht="15" customHeight="1" outlineLevel="1" x14ac:dyDescent="0.2">
      <c r="A1407" s="122">
        <v>33</v>
      </c>
      <c r="B1407" s="148">
        <v>67538</v>
      </c>
      <c r="C1407" s="123">
        <v>41964</v>
      </c>
      <c r="D1407" s="124" t="s">
        <v>520</v>
      </c>
      <c r="E1407" s="122" t="s">
        <v>521</v>
      </c>
      <c r="F1407" s="125" t="s">
        <v>580</v>
      </c>
      <c r="G1407" s="126" t="s">
        <v>371</v>
      </c>
      <c r="H1407" s="127"/>
      <c r="I1407" s="128">
        <v>1</v>
      </c>
      <c r="J1407" s="129">
        <v>25800</v>
      </c>
      <c r="K1407" s="129">
        <v>25800</v>
      </c>
      <c r="L1407" s="215" t="s">
        <v>960</v>
      </c>
      <c r="M1407" s="168" t="s">
        <v>39</v>
      </c>
      <c r="N1407" s="132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</row>
    <row r="1408" spans="1:28" s="134" customFormat="1" ht="15" customHeight="1" outlineLevel="1" x14ac:dyDescent="0.2">
      <c r="A1408" s="122">
        <v>34</v>
      </c>
      <c r="B1408" s="148">
        <v>63750</v>
      </c>
      <c r="C1408" s="123">
        <v>41954</v>
      </c>
      <c r="D1408" s="124" t="s">
        <v>1898</v>
      </c>
      <c r="E1408" s="122" t="s">
        <v>414</v>
      </c>
      <c r="F1408" s="125" t="s">
        <v>537</v>
      </c>
      <c r="G1408" s="126" t="s">
        <v>431</v>
      </c>
      <c r="H1408" s="127"/>
      <c r="I1408" s="128">
        <v>1</v>
      </c>
      <c r="J1408" s="129">
        <v>30429</v>
      </c>
      <c r="K1408" s="129">
        <v>30429</v>
      </c>
      <c r="L1408" s="215" t="s">
        <v>960</v>
      </c>
      <c r="M1408" s="168" t="s">
        <v>39</v>
      </c>
      <c r="N1408" s="132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</row>
    <row r="1409" spans="1:28" s="134" customFormat="1" ht="18.75" customHeight="1" outlineLevel="1" x14ac:dyDescent="0.2">
      <c r="A1409" s="122">
        <v>35</v>
      </c>
      <c r="B1409" s="122">
        <v>71053</v>
      </c>
      <c r="C1409" s="123">
        <v>41974</v>
      </c>
      <c r="D1409" s="124" t="s">
        <v>1899</v>
      </c>
      <c r="E1409" s="122" t="s">
        <v>414</v>
      </c>
      <c r="F1409" s="125" t="s">
        <v>116</v>
      </c>
      <c r="G1409" s="126" t="s">
        <v>392</v>
      </c>
      <c r="H1409" s="127"/>
      <c r="I1409" s="128">
        <v>1</v>
      </c>
      <c r="J1409" s="129">
        <v>5274</v>
      </c>
      <c r="K1409" s="129">
        <v>5274</v>
      </c>
      <c r="L1409" s="215" t="s">
        <v>960</v>
      </c>
      <c r="M1409" s="168" t="s">
        <v>39</v>
      </c>
      <c r="N1409" s="132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</row>
    <row r="1410" spans="1:28" s="134" customFormat="1" ht="15" customHeight="1" outlineLevel="1" x14ac:dyDescent="0.2">
      <c r="A1410" s="122">
        <v>26</v>
      </c>
      <c r="B1410" s="122">
        <v>52727</v>
      </c>
      <c r="C1410" s="123">
        <v>41985</v>
      </c>
      <c r="D1410" s="124" t="s">
        <v>1900</v>
      </c>
      <c r="E1410" s="122" t="s">
        <v>414</v>
      </c>
      <c r="F1410" s="125" t="s">
        <v>116</v>
      </c>
      <c r="G1410" s="126" t="s">
        <v>410</v>
      </c>
      <c r="H1410" s="127"/>
      <c r="I1410" s="128">
        <v>1</v>
      </c>
      <c r="J1410" s="129">
        <v>5274</v>
      </c>
      <c r="K1410" s="129">
        <v>5274</v>
      </c>
      <c r="L1410" s="212" t="s">
        <v>623</v>
      </c>
      <c r="M1410" s="168" t="s">
        <v>39</v>
      </c>
      <c r="N1410" s="132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</row>
    <row r="1411" spans="1:28" s="134" customFormat="1" ht="15" customHeight="1" outlineLevel="1" x14ac:dyDescent="0.2">
      <c r="A1411" s="122">
        <v>22</v>
      </c>
      <c r="B1411" s="122">
        <v>52897</v>
      </c>
      <c r="C1411" s="123">
        <v>41988</v>
      </c>
      <c r="D1411" s="124" t="s">
        <v>1901</v>
      </c>
      <c r="E1411" s="122" t="s">
        <v>414</v>
      </c>
      <c r="F1411" s="125" t="s">
        <v>116</v>
      </c>
      <c r="G1411" s="126" t="s">
        <v>527</v>
      </c>
      <c r="H1411" s="127"/>
      <c r="I1411" s="128">
        <v>1</v>
      </c>
      <c r="J1411" s="129">
        <v>5274</v>
      </c>
      <c r="K1411" s="129">
        <v>5274</v>
      </c>
      <c r="L1411" s="212" t="s">
        <v>623</v>
      </c>
      <c r="M1411" s="168" t="s">
        <v>39</v>
      </c>
      <c r="N1411" s="132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</row>
    <row r="1412" spans="1:28" s="134" customFormat="1" ht="15" customHeight="1" outlineLevel="1" x14ac:dyDescent="0.2">
      <c r="A1412" s="122">
        <v>23</v>
      </c>
      <c r="B1412" s="122">
        <v>52931</v>
      </c>
      <c r="C1412" s="123">
        <v>41985</v>
      </c>
      <c r="D1412" s="124" t="s">
        <v>1781</v>
      </c>
      <c r="E1412" s="122" t="s">
        <v>414</v>
      </c>
      <c r="F1412" s="125" t="s">
        <v>537</v>
      </c>
      <c r="G1412" s="126" t="s">
        <v>645</v>
      </c>
      <c r="H1412" s="127"/>
      <c r="I1412" s="128">
        <v>1</v>
      </c>
      <c r="J1412" s="129">
        <v>30429</v>
      </c>
      <c r="K1412" s="129">
        <v>30429</v>
      </c>
      <c r="L1412" s="212" t="s">
        <v>623</v>
      </c>
      <c r="M1412" s="168" t="s">
        <v>39</v>
      </c>
      <c r="N1412" s="132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</row>
    <row r="1413" spans="1:28" s="134" customFormat="1" ht="15" customHeight="1" outlineLevel="1" x14ac:dyDescent="0.2">
      <c r="A1413" s="122">
        <v>24</v>
      </c>
      <c r="B1413" s="122">
        <v>52934</v>
      </c>
      <c r="C1413" s="123">
        <v>41988</v>
      </c>
      <c r="D1413" s="124" t="s">
        <v>1902</v>
      </c>
      <c r="E1413" s="122" t="s">
        <v>414</v>
      </c>
      <c r="F1413" s="125" t="s">
        <v>116</v>
      </c>
      <c r="G1413" s="126" t="s">
        <v>1903</v>
      </c>
      <c r="H1413" s="127"/>
      <c r="I1413" s="128">
        <v>1</v>
      </c>
      <c r="J1413" s="129">
        <v>5274</v>
      </c>
      <c r="K1413" s="129">
        <v>5274</v>
      </c>
      <c r="L1413" s="212" t="s">
        <v>623</v>
      </c>
      <c r="M1413" s="168" t="s">
        <v>39</v>
      </c>
      <c r="N1413" s="132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</row>
    <row r="1414" spans="1:28" s="134" customFormat="1" ht="15" customHeight="1" outlineLevel="1" x14ac:dyDescent="0.2">
      <c r="A1414" s="122">
        <v>25</v>
      </c>
      <c r="B1414" s="122">
        <v>53060</v>
      </c>
      <c r="C1414" s="123">
        <v>41988</v>
      </c>
      <c r="D1414" s="124" t="s">
        <v>1904</v>
      </c>
      <c r="E1414" s="122" t="s">
        <v>414</v>
      </c>
      <c r="F1414" s="125" t="s">
        <v>192</v>
      </c>
      <c r="G1414" s="126" t="s">
        <v>407</v>
      </c>
      <c r="H1414" s="127"/>
      <c r="I1414" s="128">
        <v>1</v>
      </c>
      <c r="J1414" s="129">
        <v>57960</v>
      </c>
      <c r="K1414" s="129">
        <v>57960</v>
      </c>
      <c r="L1414" s="212" t="s">
        <v>623</v>
      </c>
      <c r="M1414" s="168" t="s">
        <v>39</v>
      </c>
      <c r="N1414" s="132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</row>
    <row r="1415" spans="1:28" s="134" customFormat="1" ht="15" customHeight="1" outlineLevel="1" x14ac:dyDescent="0.2">
      <c r="A1415" s="122">
        <v>2</v>
      </c>
      <c r="B1415" s="148">
        <v>53215</v>
      </c>
      <c r="C1415" s="123">
        <v>41925</v>
      </c>
      <c r="D1415" s="124" t="s">
        <v>1848</v>
      </c>
      <c r="E1415" s="122" t="s">
        <v>943</v>
      </c>
      <c r="F1415" s="125" t="s">
        <v>580</v>
      </c>
      <c r="G1415" s="126" t="s">
        <v>369</v>
      </c>
      <c r="H1415" s="127"/>
      <c r="I1415" s="128">
        <v>1</v>
      </c>
      <c r="J1415" s="129">
        <v>25800</v>
      </c>
      <c r="K1415" s="129">
        <v>25800</v>
      </c>
      <c r="L1415" s="212" t="s">
        <v>623</v>
      </c>
      <c r="M1415" s="168" t="s">
        <v>39</v>
      </c>
      <c r="N1415" s="132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</row>
    <row r="1416" spans="1:28" s="134" customFormat="1" ht="15" customHeight="1" outlineLevel="1" x14ac:dyDescent="0.2">
      <c r="A1416" s="122">
        <v>1</v>
      </c>
      <c r="B1416" s="148">
        <v>53250</v>
      </c>
      <c r="C1416" s="123">
        <v>41925</v>
      </c>
      <c r="D1416" s="124" t="s">
        <v>1905</v>
      </c>
      <c r="E1416" s="122" t="s">
        <v>414</v>
      </c>
      <c r="F1416" s="125" t="s">
        <v>210</v>
      </c>
      <c r="G1416" s="126" t="s">
        <v>392</v>
      </c>
      <c r="H1416" s="127"/>
      <c r="I1416" s="128">
        <v>1</v>
      </c>
      <c r="J1416" s="129">
        <v>14099</v>
      </c>
      <c r="K1416" s="129">
        <v>14099</v>
      </c>
      <c r="L1416" s="212" t="s">
        <v>623</v>
      </c>
      <c r="M1416" s="168" t="s">
        <v>39</v>
      </c>
      <c r="N1416" s="132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</row>
    <row r="1417" spans="1:28" s="134" customFormat="1" ht="15" customHeight="1" outlineLevel="1" x14ac:dyDescent="0.2">
      <c r="A1417" s="122">
        <v>6</v>
      </c>
      <c r="B1417" s="122">
        <v>71382</v>
      </c>
      <c r="C1417" s="123">
        <v>41974</v>
      </c>
      <c r="D1417" s="124" t="s">
        <v>1906</v>
      </c>
      <c r="E1417" s="122" t="s">
        <v>414</v>
      </c>
      <c r="F1417" s="125" t="s">
        <v>537</v>
      </c>
      <c r="G1417" s="126" t="s">
        <v>415</v>
      </c>
      <c r="H1417" s="127"/>
      <c r="I1417" s="128">
        <v>1</v>
      </c>
      <c r="J1417" s="129">
        <v>30429</v>
      </c>
      <c r="K1417" s="129">
        <v>30429</v>
      </c>
      <c r="L1417" s="212" t="s">
        <v>623</v>
      </c>
      <c r="M1417" s="168" t="s">
        <v>39</v>
      </c>
      <c r="N1417" s="132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</row>
    <row r="1418" spans="1:28" s="134" customFormat="1" ht="15" customHeight="1" outlineLevel="1" x14ac:dyDescent="0.2">
      <c r="A1418" s="122">
        <v>5</v>
      </c>
      <c r="B1418" s="122">
        <v>71552</v>
      </c>
      <c r="C1418" s="123">
        <v>41974</v>
      </c>
      <c r="D1418" s="124" t="s">
        <v>1907</v>
      </c>
      <c r="E1418" s="122" t="s">
        <v>414</v>
      </c>
      <c r="F1418" s="125" t="s">
        <v>537</v>
      </c>
      <c r="G1418" s="126" t="s">
        <v>1098</v>
      </c>
      <c r="H1418" s="127"/>
      <c r="I1418" s="128">
        <v>2</v>
      </c>
      <c r="J1418" s="129">
        <v>30429</v>
      </c>
      <c r="K1418" s="129">
        <v>60858</v>
      </c>
      <c r="L1418" s="212" t="s">
        <v>623</v>
      </c>
      <c r="M1418" s="168" t="s">
        <v>39</v>
      </c>
      <c r="N1418" s="132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</row>
    <row r="1419" spans="1:28" s="134" customFormat="1" ht="15" customHeight="1" outlineLevel="1" x14ac:dyDescent="0.2">
      <c r="A1419" s="122">
        <v>4</v>
      </c>
      <c r="B1419" s="122">
        <v>71637</v>
      </c>
      <c r="C1419" s="123">
        <v>41974</v>
      </c>
      <c r="D1419" s="124" t="s">
        <v>1908</v>
      </c>
      <c r="E1419" s="122" t="s">
        <v>414</v>
      </c>
      <c r="F1419" s="125" t="s">
        <v>537</v>
      </c>
      <c r="G1419" s="126" t="s">
        <v>415</v>
      </c>
      <c r="H1419" s="127"/>
      <c r="I1419" s="128">
        <v>1</v>
      </c>
      <c r="J1419" s="129">
        <v>30429</v>
      </c>
      <c r="K1419" s="129">
        <v>30429</v>
      </c>
      <c r="L1419" s="212" t="s">
        <v>623</v>
      </c>
      <c r="M1419" s="168" t="s">
        <v>39</v>
      </c>
      <c r="N1419" s="132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</row>
    <row r="1420" spans="1:28" s="134" customFormat="1" ht="15" customHeight="1" outlineLevel="1" x14ac:dyDescent="0.2">
      <c r="A1420" s="122">
        <v>8</v>
      </c>
      <c r="B1420" s="122">
        <v>72006</v>
      </c>
      <c r="C1420" s="123">
        <v>41976</v>
      </c>
      <c r="D1420" s="124" t="s">
        <v>1844</v>
      </c>
      <c r="E1420" s="122" t="s">
        <v>414</v>
      </c>
      <c r="F1420" s="125" t="s">
        <v>116</v>
      </c>
      <c r="G1420" s="126" t="s">
        <v>562</v>
      </c>
      <c r="H1420" s="127"/>
      <c r="I1420" s="128">
        <v>1</v>
      </c>
      <c r="J1420" s="129">
        <v>5274</v>
      </c>
      <c r="K1420" s="129">
        <v>5274</v>
      </c>
      <c r="L1420" s="212" t="s">
        <v>623</v>
      </c>
      <c r="M1420" s="168" t="s">
        <v>39</v>
      </c>
      <c r="N1420" s="132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</row>
    <row r="1421" spans="1:28" s="134" customFormat="1" ht="15" customHeight="1" outlineLevel="1" x14ac:dyDescent="0.2">
      <c r="A1421" s="122">
        <v>10</v>
      </c>
      <c r="B1421" s="122">
        <v>72325</v>
      </c>
      <c r="C1421" s="123">
        <v>41976</v>
      </c>
      <c r="D1421" s="124" t="s">
        <v>1909</v>
      </c>
      <c r="E1421" s="122" t="s">
        <v>414</v>
      </c>
      <c r="F1421" s="125" t="s">
        <v>115</v>
      </c>
      <c r="G1421" s="126" t="s">
        <v>1563</v>
      </c>
      <c r="H1421" s="127"/>
      <c r="I1421" s="128">
        <v>3</v>
      </c>
      <c r="J1421" s="129">
        <v>33370</v>
      </c>
      <c r="K1421" s="129">
        <v>100110</v>
      </c>
      <c r="L1421" s="212" t="s">
        <v>623</v>
      </c>
      <c r="M1421" s="168" t="s">
        <v>39</v>
      </c>
      <c r="N1421" s="132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</row>
    <row r="1422" spans="1:28" s="134" customFormat="1" ht="15" customHeight="1" outlineLevel="1" x14ac:dyDescent="0.2">
      <c r="A1422" s="122">
        <v>9</v>
      </c>
      <c r="B1422" s="122">
        <v>72347</v>
      </c>
      <c r="C1422" s="123">
        <v>41976</v>
      </c>
      <c r="D1422" s="124" t="s">
        <v>1910</v>
      </c>
      <c r="E1422" s="122" t="s">
        <v>414</v>
      </c>
      <c r="F1422" s="125" t="s">
        <v>577</v>
      </c>
      <c r="G1422" s="126" t="s">
        <v>404</v>
      </c>
      <c r="H1422" s="127"/>
      <c r="I1422" s="128">
        <v>1</v>
      </c>
      <c r="J1422" s="129">
        <v>49701</v>
      </c>
      <c r="K1422" s="129">
        <v>49701</v>
      </c>
      <c r="L1422" s="212" t="s">
        <v>623</v>
      </c>
      <c r="M1422" s="168" t="s">
        <v>39</v>
      </c>
      <c r="N1422" s="132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</row>
    <row r="1423" spans="1:28" s="134" customFormat="1" ht="15" customHeight="1" outlineLevel="1" x14ac:dyDescent="0.2">
      <c r="A1423" s="122">
        <v>7</v>
      </c>
      <c r="B1423" s="122">
        <v>72348</v>
      </c>
      <c r="C1423" s="123">
        <v>41976</v>
      </c>
      <c r="D1423" s="124" t="s">
        <v>1911</v>
      </c>
      <c r="E1423" s="122" t="s">
        <v>414</v>
      </c>
      <c r="F1423" s="125" t="s">
        <v>577</v>
      </c>
      <c r="G1423" s="126" t="s">
        <v>415</v>
      </c>
      <c r="H1423" s="127"/>
      <c r="I1423" s="128">
        <v>1</v>
      </c>
      <c r="J1423" s="129">
        <v>49701</v>
      </c>
      <c r="K1423" s="129">
        <v>49701</v>
      </c>
      <c r="L1423" s="212" t="s">
        <v>623</v>
      </c>
      <c r="M1423" s="168" t="s">
        <v>39</v>
      </c>
      <c r="N1423" s="132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</row>
    <row r="1424" spans="1:28" s="134" customFormat="1" ht="15" customHeight="1" outlineLevel="1" x14ac:dyDescent="0.2">
      <c r="A1424" s="122">
        <v>11</v>
      </c>
      <c r="B1424" s="122">
        <v>72864</v>
      </c>
      <c r="C1424" s="123">
        <v>41978</v>
      </c>
      <c r="D1424" s="124" t="s">
        <v>533</v>
      </c>
      <c r="E1424" s="122" t="s">
        <v>414</v>
      </c>
      <c r="F1424" s="125" t="s">
        <v>116</v>
      </c>
      <c r="G1424" s="126" t="s">
        <v>534</v>
      </c>
      <c r="H1424" s="127"/>
      <c r="I1424" s="128">
        <v>1</v>
      </c>
      <c r="J1424" s="129">
        <v>5274</v>
      </c>
      <c r="K1424" s="129">
        <v>5274</v>
      </c>
      <c r="L1424" s="212" t="s">
        <v>623</v>
      </c>
      <c r="M1424" s="168" t="s">
        <v>39</v>
      </c>
      <c r="N1424" s="132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</row>
    <row r="1425" spans="1:28" s="134" customFormat="1" ht="15" customHeight="1" outlineLevel="1" x14ac:dyDescent="0.2">
      <c r="A1425" s="122">
        <v>3</v>
      </c>
      <c r="B1425" s="122">
        <v>72941</v>
      </c>
      <c r="C1425" s="123">
        <v>41977</v>
      </c>
      <c r="D1425" s="124" t="s">
        <v>1912</v>
      </c>
      <c r="E1425" s="122" t="s">
        <v>414</v>
      </c>
      <c r="F1425" s="125" t="s">
        <v>1485</v>
      </c>
      <c r="G1425" s="126" t="s">
        <v>400</v>
      </c>
      <c r="H1425" s="127"/>
      <c r="I1425" s="128">
        <v>2</v>
      </c>
      <c r="J1425" s="129">
        <v>48203</v>
      </c>
      <c r="K1425" s="129">
        <v>96406</v>
      </c>
      <c r="L1425" s="212" t="s">
        <v>623</v>
      </c>
      <c r="M1425" s="168" t="s">
        <v>39</v>
      </c>
      <c r="N1425" s="132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</row>
    <row r="1426" spans="1:28" s="134" customFormat="1" ht="15" customHeight="1" outlineLevel="1" x14ac:dyDescent="0.2">
      <c r="A1426" s="122">
        <v>18</v>
      </c>
      <c r="B1426" s="122">
        <v>73509</v>
      </c>
      <c r="C1426" s="123">
        <v>41978</v>
      </c>
      <c r="D1426" s="124" t="s">
        <v>1866</v>
      </c>
      <c r="E1426" s="122" t="s">
        <v>414</v>
      </c>
      <c r="F1426" s="125" t="s">
        <v>210</v>
      </c>
      <c r="G1426" s="126" t="s">
        <v>392</v>
      </c>
      <c r="H1426" s="127"/>
      <c r="I1426" s="128">
        <v>1</v>
      </c>
      <c r="J1426" s="129">
        <v>14099</v>
      </c>
      <c r="K1426" s="129">
        <v>14099</v>
      </c>
      <c r="L1426" s="212" t="s">
        <v>623</v>
      </c>
      <c r="M1426" s="168" t="s">
        <v>39</v>
      </c>
      <c r="N1426" s="132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</row>
    <row r="1427" spans="1:28" s="134" customFormat="1" ht="15" customHeight="1" outlineLevel="1" x14ac:dyDescent="0.2">
      <c r="A1427" s="122">
        <v>12</v>
      </c>
      <c r="B1427" s="122">
        <v>73517</v>
      </c>
      <c r="C1427" s="123">
        <v>41978</v>
      </c>
      <c r="D1427" s="124" t="s">
        <v>529</v>
      </c>
      <c r="E1427" s="122" t="s">
        <v>414</v>
      </c>
      <c r="F1427" s="125" t="s">
        <v>210</v>
      </c>
      <c r="G1427" s="126" t="s">
        <v>530</v>
      </c>
      <c r="H1427" s="127"/>
      <c r="I1427" s="128">
        <v>1</v>
      </c>
      <c r="J1427" s="129">
        <v>14099</v>
      </c>
      <c r="K1427" s="129">
        <v>14099</v>
      </c>
      <c r="L1427" s="212" t="s">
        <v>623</v>
      </c>
      <c r="M1427" s="168" t="s">
        <v>39</v>
      </c>
      <c r="N1427" s="132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</row>
    <row r="1428" spans="1:28" s="134" customFormat="1" ht="15" customHeight="1" outlineLevel="1" x14ac:dyDescent="0.2">
      <c r="A1428" s="122">
        <v>17</v>
      </c>
      <c r="B1428" s="122">
        <v>73717</v>
      </c>
      <c r="C1428" s="123">
        <v>41978</v>
      </c>
      <c r="D1428" s="124" t="s">
        <v>1866</v>
      </c>
      <c r="E1428" s="122" t="s">
        <v>414</v>
      </c>
      <c r="F1428" s="125" t="s">
        <v>192</v>
      </c>
      <c r="G1428" s="126" t="s">
        <v>534</v>
      </c>
      <c r="H1428" s="127"/>
      <c r="I1428" s="128">
        <v>1</v>
      </c>
      <c r="J1428" s="129">
        <v>57960</v>
      </c>
      <c r="K1428" s="129">
        <v>57960</v>
      </c>
      <c r="L1428" s="212" t="s">
        <v>623</v>
      </c>
      <c r="M1428" s="168" t="s">
        <v>39</v>
      </c>
      <c r="N1428" s="132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</row>
    <row r="1429" spans="1:28" s="134" customFormat="1" ht="15" customHeight="1" outlineLevel="1" x14ac:dyDescent="0.2">
      <c r="A1429" s="122">
        <v>50</v>
      </c>
      <c r="B1429" s="122">
        <v>73729</v>
      </c>
      <c r="C1429" s="123">
        <v>41978</v>
      </c>
      <c r="D1429" s="124" t="s">
        <v>1913</v>
      </c>
      <c r="E1429" s="122" t="s">
        <v>414</v>
      </c>
      <c r="F1429" s="125" t="s">
        <v>577</v>
      </c>
      <c r="G1429" s="126" t="s">
        <v>431</v>
      </c>
      <c r="H1429" s="127"/>
      <c r="I1429" s="128">
        <v>1</v>
      </c>
      <c r="J1429" s="129">
        <v>49701</v>
      </c>
      <c r="K1429" s="129">
        <v>49701</v>
      </c>
      <c r="L1429" s="212" t="s">
        <v>623</v>
      </c>
      <c r="M1429" s="168" t="s">
        <v>39</v>
      </c>
      <c r="N1429" s="132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</row>
    <row r="1430" spans="1:28" s="134" customFormat="1" ht="15" customHeight="1" outlineLevel="1" x14ac:dyDescent="0.2">
      <c r="A1430" s="122">
        <v>19</v>
      </c>
      <c r="B1430" s="122">
        <v>73934</v>
      </c>
      <c r="C1430" s="123">
        <v>41982</v>
      </c>
      <c r="D1430" s="124" t="s">
        <v>1914</v>
      </c>
      <c r="E1430" s="122" t="s">
        <v>414</v>
      </c>
      <c r="F1430" s="125" t="s">
        <v>577</v>
      </c>
      <c r="G1430" s="126" t="s">
        <v>419</v>
      </c>
      <c r="H1430" s="127"/>
      <c r="I1430" s="128">
        <v>1</v>
      </c>
      <c r="J1430" s="129">
        <v>49701</v>
      </c>
      <c r="K1430" s="129">
        <v>49701</v>
      </c>
      <c r="L1430" s="212" t="s">
        <v>623</v>
      </c>
      <c r="M1430" s="168" t="s">
        <v>39</v>
      </c>
      <c r="N1430" s="132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</row>
    <row r="1431" spans="1:28" s="134" customFormat="1" ht="15" customHeight="1" outlineLevel="1" x14ac:dyDescent="0.2">
      <c r="A1431" s="122">
        <v>16</v>
      </c>
      <c r="B1431" s="122">
        <v>74688</v>
      </c>
      <c r="C1431" s="123">
        <v>41984</v>
      </c>
      <c r="D1431" s="124" t="s">
        <v>525</v>
      </c>
      <c r="E1431" s="122" t="s">
        <v>526</v>
      </c>
      <c r="F1431" s="125" t="s">
        <v>580</v>
      </c>
      <c r="G1431" s="126" t="s">
        <v>371</v>
      </c>
      <c r="H1431" s="127"/>
      <c r="I1431" s="128">
        <v>1</v>
      </c>
      <c r="J1431" s="129">
        <v>25800</v>
      </c>
      <c r="K1431" s="129">
        <v>25800</v>
      </c>
      <c r="L1431" s="212" t="s">
        <v>623</v>
      </c>
      <c r="M1431" s="168" t="s">
        <v>39</v>
      </c>
      <c r="N1431" s="132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</row>
    <row r="1432" spans="1:28" s="134" customFormat="1" ht="15" customHeight="1" outlineLevel="1" x14ac:dyDescent="0.2">
      <c r="A1432" s="122">
        <v>15</v>
      </c>
      <c r="B1432" s="122">
        <v>74699</v>
      </c>
      <c r="C1432" s="123">
        <v>41983</v>
      </c>
      <c r="D1432" s="124" t="s">
        <v>1915</v>
      </c>
      <c r="E1432" s="122" t="s">
        <v>414</v>
      </c>
      <c r="F1432" s="125" t="s">
        <v>537</v>
      </c>
      <c r="G1432" s="126" t="s">
        <v>527</v>
      </c>
      <c r="H1432" s="127"/>
      <c r="I1432" s="128">
        <v>1</v>
      </c>
      <c r="J1432" s="129">
        <v>30429</v>
      </c>
      <c r="K1432" s="129">
        <v>30429</v>
      </c>
      <c r="L1432" s="212" t="s">
        <v>623</v>
      </c>
      <c r="M1432" s="168" t="s">
        <v>39</v>
      </c>
      <c r="N1432" s="132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</row>
    <row r="1433" spans="1:28" s="134" customFormat="1" ht="15" customHeight="1" outlineLevel="1" x14ac:dyDescent="0.2">
      <c r="A1433" s="122">
        <v>13</v>
      </c>
      <c r="B1433" s="122">
        <v>74773</v>
      </c>
      <c r="C1433" s="123">
        <v>41983</v>
      </c>
      <c r="D1433" s="124" t="s">
        <v>1916</v>
      </c>
      <c r="E1433" s="122" t="s">
        <v>414</v>
      </c>
      <c r="F1433" s="125" t="s">
        <v>116</v>
      </c>
      <c r="G1433" s="126" t="s">
        <v>527</v>
      </c>
      <c r="H1433" s="127"/>
      <c r="I1433" s="128">
        <v>1</v>
      </c>
      <c r="J1433" s="129">
        <v>5274</v>
      </c>
      <c r="K1433" s="129">
        <v>5274</v>
      </c>
      <c r="L1433" s="212" t="s">
        <v>623</v>
      </c>
      <c r="M1433" s="168" t="s">
        <v>39</v>
      </c>
      <c r="N1433" s="132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</row>
    <row r="1434" spans="1:28" s="134" customFormat="1" ht="15" customHeight="1" outlineLevel="1" x14ac:dyDescent="0.2">
      <c r="A1434" s="122">
        <v>14</v>
      </c>
      <c r="B1434" s="122">
        <v>74895</v>
      </c>
      <c r="C1434" s="123">
        <v>41983</v>
      </c>
      <c r="D1434" s="124" t="s">
        <v>1917</v>
      </c>
      <c r="E1434" s="122" t="s">
        <v>414</v>
      </c>
      <c r="F1434" s="125" t="s">
        <v>537</v>
      </c>
      <c r="G1434" s="126" t="s">
        <v>527</v>
      </c>
      <c r="H1434" s="127"/>
      <c r="I1434" s="128">
        <v>1</v>
      </c>
      <c r="J1434" s="129">
        <v>30429</v>
      </c>
      <c r="K1434" s="129">
        <v>30429</v>
      </c>
      <c r="L1434" s="212" t="s">
        <v>623</v>
      </c>
      <c r="M1434" s="168" t="s">
        <v>39</v>
      </c>
      <c r="N1434" s="132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</row>
    <row r="1435" spans="1:28" s="134" customFormat="1" ht="15" customHeight="1" outlineLevel="1" x14ac:dyDescent="0.2">
      <c r="A1435" s="122">
        <v>21</v>
      </c>
      <c r="B1435" s="122">
        <v>80025</v>
      </c>
      <c r="C1435" s="123">
        <v>41989</v>
      </c>
      <c r="D1435" s="124" t="s">
        <v>1918</v>
      </c>
      <c r="E1435" s="122" t="s">
        <v>484</v>
      </c>
      <c r="F1435" s="125" t="s">
        <v>1069</v>
      </c>
      <c r="G1435" s="126" t="s">
        <v>371</v>
      </c>
      <c r="H1435" s="127"/>
      <c r="I1435" s="128">
        <v>1</v>
      </c>
      <c r="J1435" s="129">
        <v>18764</v>
      </c>
      <c r="K1435" s="129">
        <v>18764</v>
      </c>
      <c r="L1435" s="212" t="s">
        <v>623</v>
      </c>
      <c r="M1435" s="168" t="s">
        <v>39</v>
      </c>
      <c r="N1435" s="132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</row>
    <row r="1436" spans="1:28" s="134" customFormat="1" ht="15" customHeight="1" outlineLevel="1" x14ac:dyDescent="0.2">
      <c r="A1436" s="122">
        <v>27</v>
      </c>
      <c r="B1436" s="122">
        <v>80057</v>
      </c>
      <c r="C1436" s="123">
        <v>41988</v>
      </c>
      <c r="D1436" s="124" t="s">
        <v>1919</v>
      </c>
      <c r="E1436" s="122" t="s">
        <v>414</v>
      </c>
      <c r="F1436" s="125" t="s">
        <v>115</v>
      </c>
      <c r="G1436" s="126" t="s">
        <v>527</v>
      </c>
      <c r="H1436" s="127"/>
      <c r="I1436" s="128">
        <v>1</v>
      </c>
      <c r="J1436" s="129">
        <v>33370</v>
      </c>
      <c r="K1436" s="129">
        <v>33370</v>
      </c>
      <c r="L1436" s="212" t="s">
        <v>623</v>
      </c>
      <c r="M1436" s="168" t="s">
        <v>39</v>
      </c>
      <c r="N1436" s="132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</row>
    <row r="1437" spans="1:28" s="134" customFormat="1" ht="15" customHeight="1" outlineLevel="1" x14ac:dyDescent="0.2">
      <c r="A1437" s="122">
        <v>28</v>
      </c>
      <c r="B1437" s="122">
        <v>80146</v>
      </c>
      <c r="C1437" s="123">
        <v>41988</v>
      </c>
      <c r="D1437" s="124" t="s">
        <v>533</v>
      </c>
      <c r="E1437" s="122" t="s">
        <v>414</v>
      </c>
      <c r="F1437" s="125" t="s">
        <v>210</v>
      </c>
      <c r="G1437" s="126" t="s">
        <v>534</v>
      </c>
      <c r="H1437" s="127"/>
      <c r="I1437" s="128">
        <v>1</v>
      </c>
      <c r="J1437" s="129">
        <v>14099</v>
      </c>
      <c r="K1437" s="129">
        <v>14099</v>
      </c>
      <c r="L1437" s="212" t="s">
        <v>623</v>
      </c>
      <c r="M1437" s="168" t="s">
        <v>39</v>
      </c>
      <c r="N1437" s="132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</row>
    <row r="1438" spans="1:28" s="134" customFormat="1" ht="15" customHeight="1" outlineLevel="1" x14ac:dyDescent="0.2">
      <c r="A1438" s="122">
        <v>20</v>
      </c>
      <c r="B1438" s="122">
        <v>80705</v>
      </c>
      <c r="C1438" s="123">
        <v>41989</v>
      </c>
      <c r="D1438" s="124" t="s">
        <v>1920</v>
      </c>
      <c r="E1438" s="122" t="s">
        <v>1921</v>
      </c>
      <c r="F1438" s="125" t="s">
        <v>580</v>
      </c>
      <c r="G1438" s="126" t="s">
        <v>371</v>
      </c>
      <c r="H1438" s="127"/>
      <c r="I1438" s="128">
        <v>1</v>
      </c>
      <c r="J1438" s="129">
        <v>25800</v>
      </c>
      <c r="K1438" s="129">
        <v>25800</v>
      </c>
      <c r="L1438" s="212" t="s">
        <v>623</v>
      </c>
      <c r="M1438" s="168" t="s">
        <v>39</v>
      </c>
      <c r="N1438" s="132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</row>
    <row r="1439" spans="1:28" s="134" customFormat="1" ht="15" customHeight="1" outlineLevel="1" x14ac:dyDescent="0.2">
      <c r="A1439" s="122">
        <v>38</v>
      </c>
      <c r="B1439" s="122">
        <v>81430</v>
      </c>
      <c r="C1439" s="123">
        <v>41991</v>
      </c>
      <c r="D1439" s="124" t="s">
        <v>1876</v>
      </c>
      <c r="E1439" s="122" t="s">
        <v>414</v>
      </c>
      <c r="F1439" s="125" t="s">
        <v>115</v>
      </c>
      <c r="G1439" s="126" t="s">
        <v>431</v>
      </c>
      <c r="H1439" s="127"/>
      <c r="I1439" s="128">
        <v>1</v>
      </c>
      <c r="J1439" s="129">
        <v>33370</v>
      </c>
      <c r="K1439" s="129">
        <v>33370</v>
      </c>
      <c r="L1439" s="212" t="s">
        <v>623</v>
      </c>
      <c r="M1439" s="168" t="s">
        <v>39</v>
      </c>
      <c r="N1439" s="132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</row>
    <row r="1440" spans="1:28" s="134" customFormat="1" ht="15" customHeight="1" outlineLevel="1" x14ac:dyDescent="0.2">
      <c r="A1440" s="122">
        <v>37</v>
      </c>
      <c r="B1440" s="122">
        <v>81517</v>
      </c>
      <c r="C1440" s="123">
        <v>41992</v>
      </c>
      <c r="D1440" s="124" t="s">
        <v>1922</v>
      </c>
      <c r="E1440" s="122" t="s">
        <v>536</v>
      </c>
      <c r="F1440" s="125" t="s">
        <v>116</v>
      </c>
      <c r="G1440" s="126" t="s">
        <v>472</v>
      </c>
      <c r="H1440" s="127"/>
      <c r="I1440" s="128">
        <v>1</v>
      </c>
      <c r="J1440" s="129">
        <v>5274</v>
      </c>
      <c r="K1440" s="129">
        <v>5274</v>
      </c>
      <c r="L1440" s="212" t="s">
        <v>623</v>
      </c>
      <c r="M1440" s="168" t="s">
        <v>39</v>
      </c>
      <c r="N1440" s="132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</row>
    <row r="1441" spans="1:28" s="134" customFormat="1" ht="15" customHeight="1" outlineLevel="1" x14ac:dyDescent="0.2">
      <c r="A1441" s="122">
        <v>36</v>
      </c>
      <c r="B1441" s="122">
        <v>81758</v>
      </c>
      <c r="C1441" s="123">
        <v>41991</v>
      </c>
      <c r="D1441" s="124" t="s">
        <v>1923</v>
      </c>
      <c r="E1441" s="122" t="s">
        <v>414</v>
      </c>
      <c r="F1441" s="125" t="s">
        <v>537</v>
      </c>
      <c r="G1441" s="126" t="s">
        <v>562</v>
      </c>
      <c r="H1441" s="127"/>
      <c r="I1441" s="128">
        <v>1</v>
      </c>
      <c r="J1441" s="129">
        <v>30429</v>
      </c>
      <c r="K1441" s="129">
        <v>30429</v>
      </c>
      <c r="L1441" s="212" t="s">
        <v>623</v>
      </c>
      <c r="M1441" s="168" t="s">
        <v>39</v>
      </c>
      <c r="N1441" s="132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</row>
    <row r="1442" spans="1:28" s="134" customFormat="1" ht="15" customHeight="1" outlineLevel="1" x14ac:dyDescent="0.2">
      <c r="A1442" s="122">
        <v>35</v>
      </c>
      <c r="B1442" s="122">
        <v>81857</v>
      </c>
      <c r="C1442" s="123">
        <v>41991</v>
      </c>
      <c r="D1442" s="124" t="s">
        <v>1924</v>
      </c>
      <c r="E1442" s="122" t="s">
        <v>414</v>
      </c>
      <c r="F1442" s="125" t="s">
        <v>115</v>
      </c>
      <c r="G1442" s="126" t="s">
        <v>431</v>
      </c>
      <c r="H1442" s="127"/>
      <c r="I1442" s="128">
        <v>1</v>
      </c>
      <c r="J1442" s="129">
        <v>33370</v>
      </c>
      <c r="K1442" s="129">
        <v>33370</v>
      </c>
      <c r="L1442" s="212" t="s">
        <v>623</v>
      </c>
      <c r="M1442" s="168" t="s">
        <v>39</v>
      </c>
      <c r="N1442" s="132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</row>
    <row r="1443" spans="1:28" s="134" customFormat="1" ht="15" customHeight="1" outlineLevel="1" x14ac:dyDescent="0.2">
      <c r="A1443" s="122">
        <v>34</v>
      </c>
      <c r="B1443" s="122">
        <v>82547</v>
      </c>
      <c r="C1443" s="123">
        <v>41995</v>
      </c>
      <c r="D1443" s="124" t="s">
        <v>1925</v>
      </c>
      <c r="E1443" s="122" t="s">
        <v>414</v>
      </c>
      <c r="F1443" s="125" t="s">
        <v>217</v>
      </c>
      <c r="G1443" s="126" t="s">
        <v>387</v>
      </c>
      <c r="H1443" s="127"/>
      <c r="I1443" s="128">
        <v>2</v>
      </c>
      <c r="J1443" s="129">
        <v>44597</v>
      </c>
      <c r="K1443" s="129">
        <v>89194</v>
      </c>
      <c r="L1443" s="212" t="s">
        <v>623</v>
      </c>
      <c r="M1443" s="168" t="s">
        <v>39</v>
      </c>
      <c r="N1443" s="132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</row>
    <row r="1444" spans="1:28" s="134" customFormat="1" ht="15" customHeight="1" outlineLevel="1" x14ac:dyDescent="0.2">
      <c r="A1444" s="122">
        <v>30</v>
      </c>
      <c r="B1444" s="122">
        <v>82741</v>
      </c>
      <c r="C1444" s="123">
        <v>41996</v>
      </c>
      <c r="D1444" s="124" t="s">
        <v>1830</v>
      </c>
      <c r="E1444" s="122" t="s">
        <v>414</v>
      </c>
      <c r="F1444" s="125" t="s">
        <v>217</v>
      </c>
      <c r="G1444" s="126" t="s">
        <v>387</v>
      </c>
      <c r="H1444" s="127"/>
      <c r="I1444" s="128">
        <v>2</v>
      </c>
      <c r="J1444" s="129">
        <v>44597</v>
      </c>
      <c r="K1444" s="129">
        <v>89194</v>
      </c>
      <c r="L1444" s="212" t="s">
        <v>623</v>
      </c>
      <c r="M1444" s="168" t="s">
        <v>39</v>
      </c>
      <c r="N1444" s="132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</row>
    <row r="1445" spans="1:28" s="134" customFormat="1" ht="15" customHeight="1" outlineLevel="1" x14ac:dyDescent="0.2">
      <c r="A1445" s="122">
        <v>33</v>
      </c>
      <c r="B1445" s="122">
        <v>82809</v>
      </c>
      <c r="C1445" s="123">
        <v>41995</v>
      </c>
      <c r="D1445" s="124" t="s">
        <v>1901</v>
      </c>
      <c r="E1445" s="122" t="s">
        <v>414</v>
      </c>
      <c r="F1445" s="125" t="s">
        <v>210</v>
      </c>
      <c r="G1445" s="126" t="s">
        <v>527</v>
      </c>
      <c r="H1445" s="127"/>
      <c r="I1445" s="128">
        <v>1</v>
      </c>
      <c r="J1445" s="129">
        <v>14099</v>
      </c>
      <c r="K1445" s="129">
        <v>14099</v>
      </c>
      <c r="L1445" s="212" t="s">
        <v>623</v>
      </c>
      <c r="M1445" s="168" t="s">
        <v>39</v>
      </c>
      <c r="N1445" s="132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</row>
    <row r="1446" spans="1:28" s="134" customFormat="1" ht="15" customHeight="1" outlineLevel="1" x14ac:dyDescent="0.2">
      <c r="A1446" s="122">
        <v>31</v>
      </c>
      <c r="B1446" s="122">
        <v>82828</v>
      </c>
      <c r="C1446" s="123">
        <v>41995</v>
      </c>
      <c r="D1446" s="124" t="s">
        <v>1926</v>
      </c>
      <c r="E1446" s="122" t="s">
        <v>414</v>
      </c>
      <c r="F1446" s="125" t="s">
        <v>537</v>
      </c>
      <c r="G1446" s="126" t="s">
        <v>568</v>
      </c>
      <c r="H1446" s="127"/>
      <c r="I1446" s="128">
        <v>1</v>
      </c>
      <c r="J1446" s="129">
        <v>30429</v>
      </c>
      <c r="K1446" s="129">
        <v>30429</v>
      </c>
      <c r="L1446" s="212" t="s">
        <v>623</v>
      </c>
      <c r="M1446" s="168" t="s">
        <v>39</v>
      </c>
      <c r="N1446" s="132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</row>
    <row r="1447" spans="1:28" s="134" customFormat="1" ht="15" customHeight="1" outlineLevel="1" x14ac:dyDescent="0.2">
      <c r="A1447" s="122">
        <v>32</v>
      </c>
      <c r="B1447" s="122">
        <v>82844</v>
      </c>
      <c r="C1447" s="123">
        <v>41995</v>
      </c>
      <c r="D1447" s="124" t="s">
        <v>1927</v>
      </c>
      <c r="E1447" s="122" t="s">
        <v>414</v>
      </c>
      <c r="F1447" s="125" t="s">
        <v>537</v>
      </c>
      <c r="G1447" s="126" t="s">
        <v>431</v>
      </c>
      <c r="H1447" s="127"/>
      <c r="I1447" s="128">
        <v>1</v>
      </c>
      <c r="J1447" s="129">
        <v>30429</v>
      </c>
      <c r="K1447" s="129">
        <v>30429</v>
      </c>
      <c r="L1447" s="212" t="s">
        <v>623</v>
      </c>
      <c r="M1447" s="168" t="s">
        <v>39</v>
      </c>
      <c r="N1447" s="132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</row>
    <row r="1448" spans="1:28" s="134" customFormat="1" ht="15" customHeight="1" outlineLevel="1" x14ac:dyDescent="0.2">
      <c r="A1448" s="122">
        <v>44</v>
      </c>
      <c r="B1448" s="122">
        <v>83358</v>
      </c>
      <c r="C1448" s="123">
        <v>41999</v>
      </c>
      <c r="D1448" s="124" t="s">
        <v>1928</v>
      </c>
      <c r="E1448" s="122" t="s">
        <v>414</v>
      </c>
      <c r="F1448" s="125" t="s">
        <v>217</v>
      </c>
      <c r="G1448" s="126" t="s">
        <v>387</v>
      </c>
      <c r="H1448" s="127"/>
      <c r="I1448" s="128">
        <v>2</v>
      </c>
      <c r="J1448" s="129">
        <v>44597</v>
      </c>
      <c r="K1448" s="129">
        <v>89194</v>
      </c>
      <c r="L1448" s="212" t="s">
        <v>623</v>
      </c>
      <c r="M1448" s="168" t="s">
        <v>39</v>
      </c>
      <c r="N1448" s="132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</row>
    <row r="1449" spans="1:28" s="134" customFormat="1" ht="15" customHeight="1" outlineLevel="1" x14ac:dyDescent="0.2">
      <c r="A1449" s="122">
        <v>29</v>
      </c>
      <c r="B1449" s="122">
        <v>83631</v>
      </c>
      <c r="C1449" s="123">
        <v>41999</v>
      </c>
      <c r="D1449" s="124" t="s">
        <v>1929</v>
      </c>
      <c r="E1449" s="122" t="s">
        <v>414</v>
      </c>
      <c r="F1449" s="125" t="s">
        <v>537</v>
      </c>
      <c r="G1449" s="126" t="s">
        <v>431</v>
      </c>
      <c r="H1449" s="127"/>
      <c r="I1449" s="128">
        <v>1</v>
      </c>
      <c r="J1449" s="129">
        <v>30429</v>
      </c>
      <c r="K1449" s="129">
        <v>30429</v>
      </c>
      <c r="L1449" s="212" t="s">
        <v>623</v>
      </c>
      <c r="M1449" s="168" t="s">
        <v>39</v>
      </c>
      <c r="N1449" s="132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</row>
    <row r="1450" spans="1:28" s="134" customFormat="1" ht="15" customHeight="1" outlineLevel="1" x14ac:dyDescent="0.2">
      <c r="A1450" s="122">
        <v>40</v>
      </c>
      <c r="B1450" s="122">
        <v>84066</v>
      </c>
      <c r="C1450" s="123">
        <v>42002</v>
      </c>
      <c r="D1450" s="124" t="s">
        <v>1930</v>
      </c>
      <c r="E1450" s="122" t="s">
        <v>536</v>
      </c>
      <c r="F1450" s="125" t="s">
        <v>537</v>
      </c>
      <c r="G1450" s="126" t="s">
        <v>645</v>
      </c>
      <c r="H1450" s="127"/>
      <c r="I1450" s="128">
        <v>1</v>
      </c>
      <c r="J1450" s="129">
        <v>30429</v>
      </c>
      <c r="K1450" s="129">
        <v>30429</v>
      </c>
      <c r="L1450" s="212" t="s">
        <v>623</v>
      </c>
      <c r="M1450" s="168" t="s">
        <v>39</v>
      </c>
      <c r="N1450" s="132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</row>
    <row r="1451" spans="1:28" s="134" customFormat="1" ht="15" customHeight="1" outlineLevel="1" x14ac:dyDescent="0.2">
      <c r="A1451" s="122">
        <v>42</v>
      </c>
      <c r="B1451" s="122">
        <v>84257</v>
      </c>
      <c r="C1451" s="123">
        <v>42002</v>
      </c>
      <c r="D1451" s="124" t="s">
        <v>1931</v>
      </c>
      <c r="E1451" s="122" t="s">
        <v>414</v>
      </c>
      <c r="F1451" s="125" t="s">
        <v>577</v>
      </c>
      <c r="G1451" s="126" t="s">
        <v>568</v>
      </c>
      <c r="H1451" s="127"/>
      <c r="I1451" s="128">
        <v>1</v>
      </c>
      <c r="J1451" s="129">
        <v>49701</v>
      </c>
      <c r="K1451" s="129">
        <v>49701</v>
      </c>
      <c r="L1451" s="212" t="s">
        <v>623</v>
      </c>
      <c r="M1451" s="168" t="s">
        <v>39</v>
      </c>
      <c r="N1451" s="132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</row>
    <row r="1452" spans="1:28" s="134" customFormat="1" ht="15" customHeight="1" outlineLevel="1" x14ac:dyDescent="0.2">
      <c r="A1452" s="122">
        <v>43</v>
      </c>
      <c r="B1452" s="122">
        <v>84272</v>
      </c>
      <c r="C1452" s="123">
        <v>42002</v>
      </c>
      <c r="D1452" s="124" t="s">
        <v>1932</v>
      </c>
      <c r="E1452" s="122" t="s">
        <v>536</v>
      </c>
      <c r="F1452" s="125" t="s">
        <v>537</v>
      </c>
      <c r="G1452" s="126" t="s">
        <v>527</v>
      </c>
      <c r="H1452" s="127"/>
      <c r="I1452" s="128">
        <v>1</v>
      </c>
      <c r="J1452" s="129">
        <v>30429</v>
      </c>
      <c r="K1452" s="129">
        <v>30429</v>
      </c>
      <c r="L1452" s="212" t="s">
        <v>623</v>
      </c>
      <c r="M1452" s="187" t="s">
        <v>39</v>
      </c>
      <c r="N1452" s="132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</row>
    <row r="1453" spans="1:28" s="134" customFormat="1" ht="15" customHeight="1" outlineLevel="1" x14ac:dyDescent="0.2">
      <c r="A1453" s="122">
        <v>39</v>
      </c>
      <c r="B1453" s="122">
        <v>84616</v>
      </c>
      <c r="C1453" s="123">
        <v>42003</v>
      </c>
      <c r="D1453" s="124" t="s">
        <v>1933</v>
      </c>
      <c r="E1453" s="122" t="s">
        <v>414</v>
      </c>
      <c r="F1453" s="125" t="s">
        <v>682</v>
      </c>
      <c r="G1453" s="126" t="s">
        <v>371</v>
      </c>
      <c r="H1453" s="127"/>
      <c r="I1453" s="128">
        <v>1</v>
      </c>
      <c r="J1453" s="129">
        <v>55058</v>
      </c>
      <c r="K1453" s="129">
        <v>55058</v>
      </c>
      <c r="L1453" s="212" t="s">
        <v>623</v>
      </c>
      <c r="M1453" s="187" t="s">
        <v>39</v>
      </c>
      <c r="N1453" s="132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</row>
    <row r="1454" spans="1:28" s="134" customFormat="1" ht="15" customHeight="1" outlineLevel="1" x14ac:dyDescent="0.2">
      <c r="A1454" s="122">
        <v>46</v>
      </c>
      <c r="B1454" s="122">
        <v>84741</v>
      </c>
      <c r="C1454" s="123">
        <v>42003</v>
      </c>
      <c r="D1454" s="124" t="s">
        <v>1892</v>
      </c>
      <c r="E1454" s="122" t="s">
        <v>414</v>
      </c>
      <c r="F1454" s="125" t="s">
        <v>116</v>
      </c>
      <c r="G1454" s="126" t="s">
        <v>530</v>
      </c>
      <c r="H1454" s="127"/>
      <c r="I1454" s="128">
        <v>1</v>
      </c>
      <c r="J1454" s="129">
        <v>5274</v>
      </c>
      <c r="K1454" s="129">
        <v>5274</v>
      </c>
      <c r="L1454" s="212" t="s">
        <v>623</v>
      </c>
      <c r="M1454" s="187" t="s">
        <v>39</v>
      </c>
      <c r="N1454" s="132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</row>
    <row r="1455" spans="1:28" s="134" customFormat="1" ht="15" customHeight="1" outlineLevel="1" x14ac:dyDescent="0.2">
      <c r="A1455" s="122">
        <v>47</v>
      </c>
      <c r="B1455" s="122">
        <v>84741</v>
      </c>
      <c r="C1455" s="123">
        <v>42003</v>
      </c>
      <c r="D1455" s="124" t="s">
        <v>1892</v>
      </c>
      <c r="E1455" s="122" t="s">
        <v>414</v>
      </c>
      <c r="F1455" s="125" t="s">
        <v>210</v>
      </c>
      <c r="G1455" s="126" t="s">
        <v>530</v>
      </c>
      <c r="H1455" s="127"/>
      <c r="I1455" s="128">
        <v>1</v>
      </c>
      <c r="J1455" s="129">
        <v>14099</v>
      </c>
      <c r="K1455" s="129">
        <v>14099</v>
      </c>
      <c r="L1455" s="212" t="s">
        <v>623</v>
      </c>
      <c r="M1455" s="187" t="s">
        <v>39</v>
      </c>
      <c r="N1455" s="132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</row>
    <row r="1456" spans="1:28" s="134" customFormat="1" ht="15" customHeight="1" outlineLevel="1" x14ac:dyDescent="0.2">
      <c r="A1456" s="122">
        <v>45</v>
      </c>
      <c r="B1456" s="122">
        <v>84806</v>
      </c>
      <c r="C1456" s="123">
        <v>42003</v>
      </c>
      <c r="D1456" s="124" t="s">
        <v>1934</v>
      </c>
      <c r="E1456" s="122" t="s">
        <v>414</v>
      </c>
      <c r="F1456" s="125" t="s">
        <v>537</v>
      </c>
      <c r="G1456" s="126" t="s">
        <v>419</v>
      </c>
      <c r="H1456" s="127"/>
      <c r="I1456" s="128">
        <v>1</v>
      </c>
      <c r="J1456" s="129">
        <v>30429</v>
      </c>
      <c r="K1456" s="129">
        <v>30429</v>
      </c>
      <c r="L1456" s="212" t="s">
        <v>623</v>
      </c>
      <c r="M1456" s="187" t="s">
        <v>39</v>
      </c>
      <c r="N1456" s="132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</row>
    <row r="1457" spans="1:28" s="134" customFormat="1" ht="15" customHeight="1" outlineLevel="1" x14ac:dyDescent="0.2">
      <c r="A1457" s="122">
        <v>49</v>
      </c>
      <c r="B1457" s="122">
        <v>84836</v>
      </c>
      <c r="C1457" s="123">
        <v>42004</v>
      </c>
      <c r="D1457" s="124" t="s">
        <v>1935</v>
      </c>
      <c r="E1457" s="122" t="s">
        <v>414</v>
      </c>
      <c r="F1457" s="125" t="s">
        <v>537</v>
      </c>
      <c r="G1457" s="126" t="s">
        <v>472</v>
      </c>
      <c r="H1457" s="127"/>
      <c r="I1457" s="128">
        <v>1</v>
      </c>
      <c r="J1457" s="129">
        <v>30429</v>
      </c>
      <c r="K1457" s="129">
        <v>30429</v>
      </c>
      <c r="L1457" s="212" t="s">
        <v>623</v>
      </c>
      <c r="M1457" s="187" t="s">
        <v>39</v>
      </c>
      <c r="N1457" s="132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</row>
    <row r="1458" spans="1:28" s="134" customFormat="1" ht="15" customHeight="1" outlineLevel="1" x14ac:dyDescent="0.2">
      <c r="A1458" s="122">
        <v>48</v>
      </c>
      <c r="B1458" s="122">
        <v>84838</v>
      </c>
      <c r="C1458" s="123">
        <v>42006</v>
      </c>
      <c r="D1458" s="124" t="s">
        <v>1936</v>
      </c>
      <c r="E1458" s="122" t="s">
        <v>414</v>
      </c>
      <c r="F1458" s="125" t="s">
        <v>537</v>
      </c>
      <c r="G1458" s="126" t="s">
        <v>392</v>
      </c>
      <c r="H1458" s="127"/>
      <c r="I1458" s="128">
        <v>1</v>
      </c>
      <c r="J1458" s="129">
        <v>30429</v>
      </c>
      <c r="K1458" s="129">
        <v>30429</v>
      </c>
      <c r="L1458" s="212" t="s">
        <v>623</v>
      </c>
      <c r="M1458" s="187" t="s">
        <v>39</v>
      </c>
      <c r="N1458" s="132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</row>
    <row r="1459" spans="1:28" s="134" customFormat="1" ht="15" customHeight="1" outlineLevel="1" x14ac:dyDescent="0.2">
      <c r="A1459" s="122">
        <v>51</v>
      </c>
      <c r="B1459" s="122">
        <v>84916</v>
      </c>
      <c r="C1459" s="123">
        <v>42003</v>
      </c>
      <c r="D1459" s="124" t="s">
        <v>1937</v>
      </c>
      <c r="E1459" s="122" t="s">
        <v>414</v>
      </c>
      <c r="F1459" s="125" t="s">
        <v>217</v>
      </c>
      <c r="G1459" s="126" t="s">
        <v>369</v>
      </c>
      <c r="H1459" s="127"/>
      <c r="I1459" s="128">
        <v>1</v>
      </c>
      <c r="J1459" s="129">
        <v>44597</v>
      </c>
      <c r="K1459" s="129">
        <v>44597</v>
      </c>
      <c r="L1459" s="212" t="s">
        <v>623</v>
      </c>
      <c r="M1459" s="187" t="s">
        <v>39</v>
      </c>
      <c r="N1459" s="132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</row>
    <row r="1460" spans="1:28" s="134" customFormat="1" ht="15" customHeight="1" outlineLevel="1" x14ac:dyDescent="0.2">
      <c r="A1460" s="122">
        <v>53</v>
      </c>
      <c r="B1460" s="122">
        <v>84487</v>
      </c>
      <c r="C1460" s="123">
        <v>42002</v>
      </c>
      <c r="D1460" s="124" t="s">
        <v>1938</v>
      </c>
      <c r="E1460" s="122" t="s">
        <v>414</v>
      </c>
      <c r="F1460" s="125" t="s">
        <v>217</v>
      </c>
      <c r="G1460" s="126" t="s">
        <v>387</v>
      </c>
      <c r="H1460" s="127"/>
      <c r="I1460" s="128">
        <v>2</v>
      </c>
      <c r="J1460" s="129">
        <v>44597</v>
      </c>
      <c r="K1460" s="129">
        <v>89194</v>
      </c>
      <c r="L1460" s="212" t="s">
        <v>623</v>
      </c>
      <c r="M1460" s="187" t="s">
        <v>39</v>
      </c>
      <c r="N1460" s="132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</row>
    <row r="1461" spans="1:28" s="134" customFormat="1" ht="15" customHeight="1" outlineLevel="1" x14ac:dyDescent="0.2">
      <c r="A1461" s="122">
        <v>1</v>
      </c>
      <c r="B1461" s="122">
        <v>91474</v>
      </c>
      <c r="C1461" s="124" t="s">
        <v>1939</v>
      </c>
      <c r="D1461" s="122" t="s">
        <v>1940</v>
      </c>
      <c r="E1461" s="125" t="s">
        <v>115</v>
      </c>
      <c r="F1461" s="123">
        <v>41666</v>
      </c>
      <c r="G1461" s="126" t="s">
        <v>415</v>
      </c>
      <c r="H1461" s="127" t="s">
        <v>1941</v>
      </c>
      <c r="I1461" s="128">
        <v>1</v>
      </c>
      <c r="J1461" s="129">
        <v>33370</v>
      </c>
      <c r="K1461" s="129">
        <v>33370</v>
      </c>
      <c r="L1461" s="613" t="s">
        <v>555</v>
      </c>
      <c r="M1461" s="603" t="s">
        <v>41</v>
      </c>
      <c r="N1461" s="132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</row>
    <row r="1462" spans="1:28" s="134" customFormat="1" ht="15" customHeight="1" outlineLevel="1" x14ac:dyDescent="0.2">
      <c r="A1462" s="122">
        <v>2</v>
      </c>
      <c r="B1462" s="122">
        <v>89762</v>
      </c>
      <c r="C1462" s="124" t="s">
        <v>1942</v>
      </c>
      <c r="D1462" s="122" t="s">
        <v>1940</v>
      </c>
      <c r="E1462" s="125" t="s">
        <v>537</v>
      </c>
      <c r="F1462" s="123">
        <v>41660</v>
      </c>
      <c r="G1462" s="126" t="s">
        <v>431</v>
      </c>
      <c r="H1462" s="127" t="s">
        <v>650</v>
      </c>
      <c r="I1462" s="128">
        <v>1</v>
      </c>
      <c r="J1462" s="129">
        <v>30429</v>
      </c>
      <c r="K1462" s="129">
        <v>30429</v>
      </c>
      <c r="L1462" s="614"/>
      <c r="M1462" s="604"/>
      <c r="N1462" s="132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</row>
    <row r="1463" spans="1:28" s="134" customFormat="1" ht="15" customHeight="1" outlineLevel="1" x14ac:dyDescent="0.2">
      <c r="A1463" s="122">
        <v>3</v>
      </c>
      <c r="B1463" s="122">
        <v>90757</v>
      </c>
      <c r="C1463" s="124" t="s">
        <v>1943</v>
      </c>
      <c r="D1463" s="122" t="s">
        <v>1940</v>
      </c>
      <c r="E1463" s="125" t="s">
        <v>537</v>
      </c>
      <c r="F1463" s="123">
        <v>41665</v>
      </c>
      <c r="G1463" s="126" t="s">
        <v>472</v>
      </c>
      <c r="H1463" s="127" t="s">
        <v>554</v>
      </c>
      <c r="I1463" s="128">
        <v>1</v>
      </c>
      <c r="J1463" s="129">
        <v>30429</v>
      </c>
      <c r="K1463" s="129">
        <v>30429</v>
      </c>
      <c r="L1463" s="614"/>
      <c r="M1463" s="604"/>
      <c r="N1463" s="132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</row>
    <row r="1464" spans="1:28" s="134" customFormat="1" ht="15" customHeight="1" outlineLevel="1" x14ac:dyDescent="0.2">
      <c r="A1464" s="122">
        <v>4</v>
      </c>
      <c r="B1464" s="122">
        <v>78215</v>
      </c>
      <c r="C1464" s="124" t="s">
        <v>1944</v>
      </c>
      <c r="D1464" s="122" t="s">
        <v>1940</v>
      </c>
      <c r="E1464" s="125" t="s">
        <v>115</v>
      </c>
      <c r="F1464" s="123">
        <v>41614</v>
      </c>
      <c r="G1464" s="126" t="s">
        <v>511</v>
      </c>
      <c r="H1464" s="127"/>
      <c r="I1464" s="128">
        <v>1</v>
      </c>
      <c r="J1464" s="129">
        <v>33370</v>
      </c>
      <c r="K1464" s="129">
        <v>33370</v>
      </c>
      <c r="L1464" s="614"/>
      <c r="M1464" s="604"/>
      <c r="N1464" s="132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</row>
    <row r="1465" spans="1:28" s="134" customFormat="1" ht="15" customHeight="1" outlineLevel="1" x14ac:dyDescent="0.2">
      <c r="A1465" s="122">
        <v>5</v>
      </c>
      <c r="B1465" s="122">
        <v>93196</v>
      </c>
      <c r="C1465" s="124" t="s">
        <v>1945</v>
      </c>
      <c r="D1465" s="122" t="s">
        <v>1940</v>
      </c>
      <c r="E1465" s="125" t="s">
        <v>537</v>
      </c>
      <c r="F1465" s="123">
        <v>41674</v>
      </c>
      <c r="G1465" s="126" t="s">
        <v>404</v>
      </c>
      <c r="H1465" s="127" t="s">
        <v>554</v>
      </c>
      <c r="I1465" s="128">
        <v>1</v>
      </c>
      <c r="J1465" s="129">
        <v>30429</v>
      </c>
      <c r="K1465" s="129">
        <v>30429</v>
      </c>
      <c r="L1465" s="614"/>
      <c r="M1465" s="604"/>
      <c r="N1465" s="132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</row>
    <row r="1466" spans="1:28" s="134" customFormat="1" ht="15" customHeight="1" outlineLevel="1" x14ac:dyDescent="0.2">
      <c r="A1466" s="122">
        <v>6</v>
      </c>
      <c r="B1466" s="122">
        <v>88298</v>
      </c>
      <c r="C1466" s="124" t="s">
        <v>1946</v>
      </c>
      <c r="D1466" s="122" t="s">
        <v>1940</v>
      </c>
      <c r="E1466" s="125" t="s">
        <v>115</v>
      </c>
      <c r="F1466" s="123">
        <v>41654</v>
      </c>
      <c r="G1466" s="126" t="s">
        <v>562</v>
      </c>
      <c r="H1466" s="127" t="s">
        <v>554</v>
      </c>
      <c r="I1466" s="128">
        <v>1</v>
      </c>
      <c r="J1466" s="129">
        <v>33370</v>
      </c>
      <c r="K1466" s="129">
        <v>33370</v>
      </c>
      <c r="L1466" s="614"/>
      <c r="M1466" s="604"/>
      <c r="N1466" s="132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</row>
    <row r="1467" spans="1:28" s="134" customFormat="1" ht="15" customHeight="1" outlineLevel="1" x14ac:dyDescent="0.2">
      <c r="A1467" s="122">
        <v>7</v>
      </c>
      <c r="B1467" s="122">
        <v>85955</v>
      </c>
      <c r="C1467" s="124" t="s">
        <v>1947</v>
      </c>
      <c r="D1467" s="122" t="s">
        <v>1940</v>
      </c>
      <c r="E1467" s="125" t="s">
        <v>537</v>
      </c>
      <c r="F1467" s="123">
        <v>41646</v>
      </c>
      <c r="G1467" s="126" t="s">
        <v>431</v>
      </c>
      <c r="H1467" s="127" t="s">
        <v>1948</v>
      </c>
      <c r="I1467" s="128">
        <v>1</v>
      </c>
      <c r="J1467" s="129">
        <v>30429</v>
      </c>
      <c r="K1467" s="129">
        <v>30429</v>
      </c>
      <c r="L1467" s="614"/>
      <c r="M1467" s="604"/>
      <c r="N1467" s="132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</row>
    <row r="1468" spans="1:28" s="134" customFormat="1" ht="15" customHeight="1" outlineLevel="1" x14ac:dyDescent="0.2">
      <c r="A1468" s="122">
        <v>8</v>
      </c>
      <c r="B1468" s="122">
        <v>89527</v>
      </c>
      <c r="C1468" s="124" t="s">
        <v>1949</v>
      </c>
      <c r="D1468" s="122" t="s">
        <v>1940</v>
      </c>
      <c r="E1468" s="125" t="s">
        <v>537</v>
      </c>
      <c r="F1468" s="123">
        <v>41660</v>
      </c>
      <c r="G1468" s="126" t="s">
        <v>562</v>
      </c>
      <c r="H1468" s="127" t="s">
        <v>1941</v>
      </c>
      <c r="I1468" s="128">
        <v>1</v>
      </c>
      <c r="J1468" s="129">
        <v>30429</v>
      </c>
      <c r="K1468" s="129">
        <v>30429</v>
      </c>
      <c r="L1468" s="614"/>
      <c r="M1468" s="604"/>
      <c r="N1468" s="132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</row>
    <row r="1469" spans="1:28" s="134" customFormat="1" ht="15" customHeight="1" outlineLevel="1" x14ac:dyDescent="0.2">
      <c r="A1469" s="122">
        <v>9</v>
      </c>
      <c r="B1469" s="122">
        <v>89844</v>
      </c>
      <c r="C1469" s="124" t="s">
        <v>1950</v>
      </c>
      <c r="D1469" s="122" t="s">
        <v>1940</v>
      </c>
      <c r="E1469" s="125" t="s">
        <v>537</v>
      </c>
      <c r="F1469" s="123">
        <v>41660</v>
      </c>
      <c r="G1469" s="126" t="s">
        <v>431</v>
      </c>
      <c r="H1469" s="127" t="s">
        <v>554</v>
      </c>
      <c r="I1469" s="128">
        <v>1</v>
      </c>
      <c r="J1469" s="129">
        <v>30429</v>
      </c>
      <c r="K1469" s="129">
        <v>30429</v>
      </c>
      <c r="L1469" s="614"/>
      <c r="M1469" s="604"/>
      <c r="N1469" s="132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</row>
    <row r="1470" spans="1:28" s="134" customFormat="1" ht="15" customHeight="1" outlineLevel="1" x14ac:dyDescent="0.2">
      <c r="A1470" s="122">
        <v>10</v>
      </c>
      <c r="B1470" s="122">
        <v>88927</v>
      </c>
      <c r="C1470" s="124" t="s">
        <v>1951</v>
      </c>
      <c r="D1470" s="122" t="s">
        <v>1940</v>
      </c>
      <c r="E1470" s="125" t="s">
        <v>537</v>
      </c>
      <c r="F1470" s="123">
        <v>41660</v>
      </c>
      <c r="G1470" s="126" t="s">
        <v>472</v>
      </c>
      <c r="H1470" s="127" t="s">
        <v>650</v>
      </c>
      <c r="I1470" s="128">
        <v>1</v>
      </c>
      <c r="J1470" s="129">
        <v>30429</v>
      </c>
      <c r="K1470" s="129">
        <v>30429</v>
      </c>
      <c r="L1470" s="614"/>
      <c r="M1470" s="604"/>
      <c r="N1470" s="132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</row>
    <row r="1471" spans="1:28" s="134" customFormat="1" ht="15" customHeight="1" outlineLevel="1" x14ac:dyDescent="0.2">
      <c r="A1471" s="122">
        <v>11</v>
      </c>
      <c r="B1471" s="122">
        <v>88122</v>
      </c>
      <c r="C1471" s="124" t="s">
        <v>1952</v>
      </c>
      <c r="D1471" s="122" t="s">
        <v>1940</v>
      </c>
      <c r="E1471" s="125" t="s">
        <v>537</v>
      </c>
      <c r="F1471" s="123">
        <v>41654</v>
      </c>
      <c r="G1471" s="126" t="s">
        <v>419</v>
      </c>
      <c r="H1471" s="127" t="s">
        <v>554</v>
      </c>
      <c r="I1471" s="128">
        <v>1</v>
      </c>
      <c r="J1471" s="129">
        <v>30429</v>
      </c>
      <c r="K1471" s="129">
        <v>30429</v>
      </c>
      <c r="L1471" s="614"/>
      <c r="M1471" s="604"/>
      <c r="N1471" s="132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</row>
    <row r="1472" spans="1:28" s="134" customFormat="1" ht="15" customHeight="1" outlineLevel="1" x14ac:dyDescent="0.2">
      <c r="A1472" s="122">
        <v>12</v>
      </c>
      <c r="B1472" s="122">
        <v>91545</v>
      </c>
      <c r="C1472" s="124" t="s">
        <v>1953</v>
      </c>
      <c r="D1472" s="122" t="s">
        <v>1940</v>
      </c>
      <c r="E1472" s="125" t="s">
        <v>537</v>
      </c>
      <c r="F1472" s="123">
        <v>41667</v>
      </c>
      <c r="G1472" s="126" t="s">
        <v>1954</v>
      </c>
      <c r="H1472" s="127" t="s">
        <v>1955</v>
      </c>
      <c r="I1472" s="128">
        <v>2</v>
      </c>
      <c r="J1472" s="129">
        <v>30429</v>
      </c>
      <c r="K1472" s="129">
        <v>60858</v>
      </c>
      <c r="L1472" s="614"/>
      <c r="M1472" s="604"/>
      <c r="N1472" s="132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</row>
    <row r="1473" spans="1:28" s="134" customFormat="1" ht="15" customHeight="1" outlineLevel="1" x14ac:dyDescent="0.2">
      <c r="A1473" s="122">
        <v>13</v>
      </c>
      <c r="B1473" s="122">
        <v>85970</v>
      </c>
      <c r="C1473" s="124" t="s">
        <v>1956</v>
      </c>
      <c r="D1473" s="122" t="s">
        <v>1940</v>
      </c>
      <c r="E1473" s="125" t="s">
        <v>537</v>
      </c>
      <c r="F1473" s="123">
        <v>41645</v>
      </c>
      <c r="G1473" s="126" t="s">
        <v>404</v>
      </c>
      <c r="H1473" s="127" t="s">
        <v>1941</v>
      </c>
      <c r="I1473" s="128">
        <v>1</v>
      </c>
      <c r="J1473" s="129">
        <v>30429</v>
      </c>
      <c r="K1473" s="129">
        <v>30429</v>
      </c>
      <c r="L1473" s="614"/>
      <c r="M1473" s="604"/>
      <c r="N1473" s="132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</row>
    <row r="1474" spans="1:28" s="134" customFormat="1" ht="15" customHeight="1" outlineLevel="1" x14ac:dyDescent="0.2">
      <c r="A1474" s="122">
        <v>14</v>
      </c>
      <c r="B1474" s="122">
        <v>91380</v>
      </c>
      <c r="C1474" s="124" t="s">
        <v>1957</v>
      </c>
      <c r="D1474" s="122" t="s">
        <v>1940</v>
      </c>
      <c r="E1474" s="125" t="s">
        <v>537</v>
      </c>
      <c r="F1474" s="123">
        <v>41666</v>
      </c>
      <c r="G1474" s="126" t="s">
        <v>538</v>
      </c>
      <c r="H1474" s="127" t="s">
        <v>554</v>
      </c>
      <c r="I1474" s="128">
        <v>1</v>
      </c>
      <c r="J1474" s="129">
        <v>30429</v>
      </c>
      <c r="K1474" s="129">
        <v>30429</v>
      </c>
      <c r="L1474" s="615"/>
      <c r="M1474" s="605"/>
      <c r="N1474" s="132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</row>
    <row r="1475" spans="1:28" s="145" customFormat="1" ht="15" customHeight="1" outlineLevel="1" x14ac:dyDescent="0.2">
      <c r="A1475" s="135" t="s">
        <v>1958</v>
      </c>
      <c r="B1475" s="135">
        <v>92924</v>
      </c>
      <c r="C1475" s="137" t="s">
        <v>1959</v>
      </c>
      <c r="D1475" s="135" t="s">
        <v>1960</v>
      </c>
      <c r="E1475" s="138" t="s">
        <v>217</v>
      </c>
      <c r="F1475" s="136">
        <v>41673</v>
      </c>
      <c r="G1475" s="139" t="s">
        <v>371</v>
      </c>
      <c r="H1475" s="140" t="s">
        <v>489</v>
      </c>
      <c r="I1475" s="141">
        <v>1</v>
      </c>
      <c r="J1475" s="142">
        <v>44597</v>
      </c>
      <c r="K1475" s="169">
        <v>44597</v>
      </c>
      <c r="L1475" s="606" t="s">
        <v>558</v>
      </c>
      <c r="M1475" s="608" t="s">
        <v>41</v>
      </c>
      <c r="N1475" s="143"/>
      <c r="O1475" s="144"/>
      <c r="P1475" s="144"/>
      <c r="Q1475" s="144"/>
      <c r="R1475" s="144"/>
      <c r="S1475" s="144"/>
      <c r="T1475" s="144"/>
      <c r="U1475" s="144"/>
      <c r="V1475" s="144"/>
      <c r="W1475" s="144"/>
      <c r="X1475" s="144"/>
      <c r="Y1475" s="144"/>
      <c r="Z1475" s="144"/>
      <c r="AA1475" s="144"/>
      <c r="AB1475" s="144"/>
    </row>
    <row r="1476" spans="1:28" s="145" customFormat="1" ht="25.5" customHeight="1" outlineLevel="1" x14ac:dyDescent="0.2">
      <c r="A1476" s="135">
        <v>2</v>
      </c>
      <c r="B1476" s="135">
        <v>92924</v>
      </c>
      <c r="C1476" s="137" t="s">
        <v>1959</v>
      </c>
      <c r="D1476" s="135" t="s">
        <v>1960</v>
      </c>
      <c r="E1476" s="138" t="s">
        <v>682</v>
      </c>
      <c r="F1476" s="136">
        <v>41673</v>
      </c>
      <c r="G1476" s="139" t="s">
        <v>369</v>
      </c>
      <c r="H1476" s="140" t="s">
        <v>489</v>
      </c>
      <c r="I1476" s="141">
        <v>1</v>
      </c>
      <c r="J1476" s="142">
        <v>55058</v>
      </c>
      <c r="K1476" s="169">
        <v>55058</v>
      </c>
      <c r="L1476" s="607"/>
      <c r="M1476" s="609"/>
      <c r="N1476" s="143"/>
      <c r="O1476" s="144"/>
      <c r="P1476" s="144"/>
      <c r="Q1476" s="144"/>
      <c r="R1476" s="144"/>
      <c r="S1476" s="144"/>
      <c r="T1476" s="144"/>
      <c r="U1476" s="144"/>
      <c r="V1476" s="144"/>
      <c r="W1476" s="144"/>
      <c r="X1476" s="144"/>
      <c r="Y1476" s="144"/>
      <c r="Z1476" s="144"/>
      <c r="AA1476" s="144"/>
      <c r="AB1476" s="144"/>
    </row>
    <row r="1477" spans="1:28" s="134" customFormat="1" ht="15" customHeight="1" outlineLevel="1" x14ac:dyDescent="0.2">
      <c r="A1477" s="122">
        <v>1</v>
      </c>
      <c r="B1477" s="148">
        <v>3340</v>
      </c>
      <c r="C1477" s="124" t="s">
        <v>1961</v>
      </c>
      <c r="D1477" s="122" t="s">
        <v>1940</v>
      </c>
      <c r="E1477" s="125" t="s">
        <v>537</v>
      </c>
      <c r="F1477" s="123">
        <v>41718</v>
      </c>
      <c r="G1477" s="126" t="s">
        <v>417</v>
      </c>
      <c r="H1477" s="127" t="s">
        <v>554</v>
      </c>
      <c r="I1477" s="128">
        <v>1</v>
      </c>
      <c r="J1477" s="129">
        <v>30429</v>
      </c>
      <c r="K1477" s="129">
        <v>30429</v>
      </c>
      <c r="L1477" s="610" t="s">
        <v>581</v>
      </c>
      <c r="M1477" s="168" t="s">
        <v>41</v>
      </c>
      <c r="N1477" s="132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</row>
    <row r="1478" spans="1:28" s="134" customFormat="1" ht="15" customHeight="1" outlineLevel="1" x14ac:dyDescent="0.2">
      <c r="A1478" s="122">
        <v>2</v>
      </c>
      <c r="B1478" s="122">
        <v>4209</v>
      </c>
      <c r="C1478" s="124" t="s">
        <v>1962</v>
      </c>
      <c r="D1478" s="122" t="s">
        <v>1940</v>
      </c>
      <c r="E1478" s="125" t="s">
        <v>537</v>
      </c>
      <c r="F1478" s="123">
        <v>41722</v>
      </c>
      <c r="G1478" s="126" t="s">
        <v>527</v>
      </c>
      <c r="H1478" s="127" t="s">
        <v>554</v>
      </c>
      <c r="I1478" s="128">
        <v>1</v>
      </c>
      <c r="J1478" s="129">
        <v>30429</v>
      </c>
      <c r="K1478" s="129">
        <v>30429</v>
      </c>
      <c r="L1478" s="611"/>
      <c r="M1478" s="168" t="s">
        <v>41</v>
      </c>
      <c r="N1478" s="132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</row>
    <row r="1479" spans="1:28" s="134" customFormat="1" ht="15" customHeight="1" outlineLevel="1" x14ac:dyDescent="0.2">
      <c r="A1479" s="122">
        <v>3</v>
      </c>
      <c r="B1479" s="122">
        <v>3332</v>
      </c>
      <c r="C1479" s="124" t="s">
        <v>1963</v>
      </c>
      <c r="D1479" s="122" t="s">
        <v>1940</v>
      </c>
      <c r="E1479" s="125" t="s">
        <v>537</v>
      </c>
      <c r="F1479" s="123">
        <v>41722</v>
      </c>
      <c r="G1479" s="126" t="s">
        <v>511</v>
      </c>
      <c r="H1479" s="127" t="s">
        <v>554</v>
      </c>
      <c r="I1479" s="128">
        <v>1</v>
      </c>
      <c r="J1479" s="129">
        <v>30429</v>
      </c>
      <c r="K1479" s="129">
        <v>30429</v>
      </c>
      <c r="L1479" s="611"/>
      <c r="M1479" s="168" t="s">
        <v>41</v>
      </c>
      <c r="N1479" s="132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</row>
    <row r="1480" spans="1:28" s="134" customFormat="1" ht="15" customHeight="1" outlineLevel="1" x14ac:dyDescent="0.2">
      <c r="A1480" s="122">
        <v>4</v>
      </c>
      <c r="B1480" s="122">
        <v>3342</v>
      </c>
      <c r="C1480" s="124" t="s">
        <v>1964</v>
      </c>
      <c r="D1480" s="122" t="s">
        <v>1940</v>
      </c>
      <c r="E1480" s="125" t="s">
        <v>537</v>
      </c>
      <c r="F1480" s="123">
        <v>41718</v>
      </c>
      <c r="G1480" s="126" t="s">
        <v>527</v>
      </c>
      <c r="H1480" s="127" t="s">
        <v>554</v>
      </c>
      <c r="I1480" s="128">
        <v>1</v>
      </c>
      <c r="J1480" s="129">
        <v>30429</v>
      </c>
      <c r="K1480" s="129">
        <v>30429</v>
      </c>
      <c r="L1480" s="611"/>
      <c r="M1480" s="168" t="s">
        <v>41</v>
      </c>
      <c r="N1480" s="132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</row>
    <row r="1481" spans="1:28" s="134" customFormat="1" ht="15" customHeight="1" outlineLevel="1" x14ac:dyDescent="0.2">
      <c r="A1481" s="122">
        <v>5</v>
      </c>
      <c r="B1481" s="122">
        <v>3330</v>
      </c>
      <c r="C1481" s="124" t="s">
        <v>1965</v>
      </c>
      <c r="D1481" s="122" t="s">
        <v>1940</v>
      </c>
      <c r="E1481" s="125" t="s">
        <v>537</v>
      </c>
      <c r="F1481" s="123">
        <v>41718</v>
      </c>
      <c r="G1481" s="126" t="s">
        <v>404</v>
      </c>
      <c r="H1481" s="127" t="s">
        <v>1966</v>
      </c>
      <c r="I1481" s="128">
        <v>1</v>
      </c>
      <c r="J1481" s="129">
        <v>30429</v>
      </c>
      <c r="K1481" s="129">
        <v>30429</v>
      </c>
      <c r="L1481" s="611"/>
      <c r="M1481" s="168" t="s">
        <v>41</v>
      </c>
      <c r="N1481" s="132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</row>
    <row r="1482" spans="1:28" s="134" customFormat="1" ht="15" customHeight="1" outlineLevel="1" x14ac:dyDescent="0.2">
      <c r="A1482" s="122">
        <v>6</v>
      </c>
      <c r="B1482" s="122">
        <v>1475</v>
      </c>
      <c r="C1482" s="124" t="s">
        <v>1967</v>
      </c>
      <c r="D1482" s="122" t="s">
        <v>1940</v>
      </c>
      <c r="E1482" s="125" t="s">
        <v>537</v>
      </c>
      <c r="F1482" s="123">
        <v>41711</v>
      </c>
      <c r="G1482" s="126" t="s">
        <v>568</v>
      </c>
      <c r="H1482" s="127" t="s">
        <v>554</v>
      </c>
      <c r="I1482" s="128">
        <v>1</v>
      </c>
      <c r="J1482" s="129">
        <v>30429</v>
      </c>
      <c r="K1482" s="129">
        <v>30429</v>
      </c>
      <c r="L1482" s="611"/>
      <c r="M1482" s="168" t="s">
        <v>41</v>
      </c>
      <c r="N1482" s="132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</row>
    <row r="1483" spans="1:28" s="134" customFormat="1" ht="15" customHeight="1" outlineLevel="1" x14ac:dyDescent="0.2">
      <c r="A1483" s="122">
        <v>7</v>
      </c>
      <c r="B1483" s="122">
        <v>5644</v>
      </c>
      <c r="C1483" s="124" t="s">
        <v>1968</v>
      </c>
      <c r="D1483" s="122" t="s">
        <v>376</v>
      </c>
      <c r="E1483" s="125" t="s">
        <v>188</v>
      </c>
      <c r="F1483" s="123">
        <v>41726</v>
      </c>
      <c r="G1483" s="126" t="s">
        <v>442</v>
      </c>
      <c r="H1483" s="127" t="s">
        <v>629</v>
      </c>
      <c r="I1483" s="128">
        <v>1</v>
      </c>
      <c r="J1483" s="129">
        <v>42601</v>
      </c>
      <c r="K1483" s="129">
        <v>42601</v>
      </c>
      <c r="L1483" s="612"/>
      <c r="M1483" s="168" t="s">
        <v>41</v>
      </c>
      <c r="N1483" s="132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</row>
    <row r="1484" spans="1:28" s="134" customFormat="1" ht="15" customHeight="1" outlineLevel="1" x14ac:dyDescent="0.2">
      <c r="A1484" s="122">
        <v>1</v>
      </c>
      <c r="B1484" s="122">
        <v>14895</v>
      </c>
      <c r="C1484" s="124" t="s">
        <v>1969</v>
      </c>
      <c r="D1484" s="122" t="s">
        <v>484</v>
      </c>
      <c r="E1484" s="125" t="s">
        <v>537</v>
      </c>
      <c r="F1484" s="123">
        <v>41759</v>
      </c>
      <c r="G1484" s="126" t="s">
        <v>527</v>
      </c>
      <c r="H1484" s="127" t="s">
        <v>554</v>
      </c>
      <c r="I1484" s="128">
        <v>1</v>
      </c>
      <c r="J1484" s="129">
        <v>30429</v>
      </c>
      <c r="K1484" s="129">
        <v>30429</v>
      </c>
      <c r="L1484" s="610" t="s">
        <v>600</v>
      </c>
      <c r="M1484" s="168" t="s">
        <v>41</v>
      </c>
      <c r="N1484" s="132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</row>
    <row r="1485" spans="1:28" s="134" customFormat="1" ht="15" customHeight="1" outlineLevel="1" x14ac:dyDescent="0.2">
      <c r="A1485" s="122">
        <v>2</v>
      </c>
      <c r="B1485" s="122">
        <v>14059</v>
      </c>
      <c r="C1485" s="124" t="s">
        <v>1970</v>
      </c>
      <c r="D1485" s="122" t="s">
        <v>1940</v>
      </c>
      <c r="E1485" s="125" t="s">
        <v>192</v>
      </c>
      <c r="F1485" s="123">
        <v>41757</v>
      </c>
      <c r="G1485" s="126" t="s">
        <v>407</v>
      </c>
      <c r="H1485" s="127" t="s">
        <v>554</v>
      </c>
      <c r="I1485" s="128">
        <v>1</v>
      </c>
      <c r="J1485" s="129">
        <v>57960</v>
      </c>
      <c r="K1485" s="129">
        <v>57960</v>
      </c>
      <c r="L1485" s="611"/>
      <c r="M1485" s="168" t="s">
        <v>41</v>
      </c>
      <c r="N1485" s="132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</row>
    <row r="1486" spans="1:28" s="134" customFormat="1" ht="15" customHeight="1" outlineLevel="1" x14ac:dyDescent="0.2">
      <c r="A1486" s="122">
        <v>3</v>
      </c>
      <c r="B1486" s="122">
        <v>10612</v>
      </c>
      <c r="C1486" s="124" t="s">
        <v>1971</v>
      </c>
      <c r="D1486" s="122" t="s">
        <v>1940</v>
      </c>
      <c r="E1486" s="125" t="s">
        <v>192</v>
      </c>
      <c r="F1486" s="123">
        <v>41745</v>
      </c>
      <c r="G1486" s="126" t="s">
        <v>407</v>
      </c>
      <c r="H1486" s="127" t="s">
        <v>1966</v>
      </c>
      <c r="I1486" s="128">
        <v>1</v>
      </c>
      <c r="J1486" s="129">
        <v>57960</v>
      </c>
      <c r="K1486" s="129">
        <v>57960</v>
      </c>
      <c r="L1486" s="611"/>
      <c r="M1486" s="168" t="s">
        <v>41</v>
      </c>
      <c r="N1486" s="132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</row>
    <row r="1487" spans="1:28" s="134" customFormat="1" ht="15" customHeight="1" outlineLevel="1" x14ac:dyDescent="0.2">
      <c r="A1487" s="122">
        <v>4</v>
      </c>
      <c r="B1487" s="122">
        <v>14896</v>
      </c>
      <c r="C1487" s="124" t="s">
        <v>1972</v>
      </c>
      <c r="D1487" s="122" t="s">
        <v>484</v>
      </c>
      <c r="E1487" s="125" t="s">
        <v>537</v>
      </c>
      <c r="F1487" s="123">
        <v>41759</v>
      </c>
      <c r="G1487" s="126" t="s">
        <v>562</v>
      </c>
      <c r="H1487" s="127" t="s">
        <v>569</v>
      </c>
      <c r="I1487" s="128">
        <v>1</v>
      </c>
      <c r="J1487" s="129">
        <v>30429</v>
      </c>
      <c r="K1487" s="129">
        <v>30429</v>
      </c>
      <c r="L1487" s="612"/>
      <c r="M1487" s="168" t="s">
        <v>41</v>
      </c>
      <c r="N1487" s="132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</row>
    <row r="1488" spans="1:28" s="134" customFormat="1" ht="16.5" customHeight="1" outlineLevel="1" x14ac:dyDescent="0.2">
      <c r="A1488" s="122">
        <v>1</v>
      </c>
      <c r="B1488" s="122">
        <v>30232</v>
      </c>
      <c r="C1488" s="124" t="s">
        <v>1973</v>
      </c>
      <c r="D1488" s="122" t="s">
        <v>484</v>
      </c>
      <c r="E1488" s="125" t="s">
        <v>192</v>
      </c>
      <c r="F1488" s="123">
        <v>41816</v>
      </c>
      <c r="G1488" s="126" t="s">
        <v>417</v>
      </c>
      <c r="H1488" s="127"/>
      <c r="I1488" s="128">
        <v>1</v>
      </c>
      <c r="J1488" s="129">
        <v>57960</v>
      </c>
      <c r="K1488" s="129">
        <v>57960</v>
      </c>
      <c r="L1488" s="130" t="s">
        <v>608</v>
      </c>
      <c r="M1488" s="131" t="s">
        <v>41</v>
      </c>
      <c r="N1488" s="132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</row>
    <row r="1489" spans="1:28" s="145" customFormat="1" ht="15" customHeight="1" outlineLevel="1" x14ac:dyDescent="0.2">
      <c r="A1489" s="135">
        <v>1</v>
      </c>
      <c r="B1489" s="135">
        <v>89840</v>
      </c>
      <c r="C1489" s="137" t="s">
        <v>1974</v>
      </c>
      <c r="D1489" s="135" t="s">
        <v>1975</v>
      </c>
      <c r="E1489" s="138" t="s">
        <v>115</v>
      </c>
      <c r="F1489" s="136">
        <v>41657</v>
      </c>
      <c r="G1489" s="139" t="s">
        <v>431</v>
      </c>
      <c r="H1489" s="140" t="s">
        <v>1976</v>
      </c>
      <c r="I1489" s="141">
        <v>1</v>
      </c>
      <c r="J1489" s="142">
        <v>33370</v>
      </c>
      <c r="K1489" s="142">
        <v>33370</v>
      </c>
      <c r="L1489" s="613" t="s">
        <v>555</v>
      </c>
      <c r="M1489" s="616" t="s">
        <v>42</v>
      </c>
      <c r="N1489" s="143"/>
      <c r="O1489" s="144"/>
      <c r="P1489" s="144"/>
      <c r="Q1489" s="144"/>
      <c r="R1489" s="144"/>
      <c r="S1489" s="144"/>
      <c r="T1489" s="144"/>
      <c r="U1489" s="144"/>
      <c r="V1489" s="144"/>
      <c r="W1489" s="144"/>
      <c r="X1489" s="144"/>
      <c r="Y1489" s="144"/>
      <c r="Z1489" s="144"/>
      <c r="AA1489" s="144"/>
      <c r="AB1489" s="144"/>
    </row>
    <row r="1490" spans="1:28" s="145" customFormat="1" ht="15" customHeight="1" outlineLevel="1" x14ac:dyDescent="0.2">
      <c r="A1490" s="135">
        <v>2</v>
      </c>
      <c r="B1490" s="135">
        <v>80907</v>
      </c>
      <c r="C1490" s="137" t="s">
        <v>1977</v>
      </c>
      <c r="D1490" s="135" t="s">
        <v>1978</v>
      </c>
      <c r="E1490" s="138" t="s">
        <v>116</v>
      </c>
      <c r="F1490" s="136">
        <v>41621</v>
      </c>
      <c r="G1490" s="139" t="s">
        <v>1979</v>
      </c>
      <c r="H1490" s="140" t="s">
        <v>489</v>
      </c>
      <c r="I1490" s="141">
        <v>14</v>
      </c>
      <c r="J1490" s="142">
        <v>5274</v>
      </c>
      <c r="K1490" s="142">
        <v>73836</v>
      </c>
      <c r="L1490" s="614"/>
      <c r="M1490" s="617"/>
      <c r="N1490" s="143"/>
      <c r="O1490" s="144"/>
      <c r="P1490" s="144"/>
      <c r="Q1490" s="144"/>
      <c r="R1490" s="144"/>
      <c r="S1490" s="144"/>
      <c r="T1490" s="144"/>
      <c r="U1490" s="144"/>
      <c r="V1490" s="144"/>
      <c r="W1490" s="144"/>
      <c r="X1490" s="144"/>
      <c r="Y1490" s="144"/>
      <c r="Z1490" s="144"/>
      <c r="AA1490" s="144"/>
      <c r="AB1490" s="144"/>
    </row>
    <row r="1491" spans="1:28" s="145" customFormat="1" ht="15" customHeight="1" outlineLevel="1" x14ac:dyDescent="0.2">
      <c r="A1491" s="135">
        <v>3</v>
      </c>
      <c r="B1491" s="135">
        <v>87324</v>
      </c>
      <c r="C1491" s="137" t="s">
        <v>1980</v>
      </c>
      <c r="D1491" s="135" t="s">
        <v>1981</v>
      </c>
      <c r="E1491" s="138" t="s">
        <v>537</v>
      </c>
      <c r="F1491" s="136">
        <v>41650</v>
      </c>
      <c r="G1491" s="139" t="s">
        <v>417</v>
      </c>
      <c r="H1491" s="140" t="s">
        <v>1982</v>
      </c>
      <c r="I1491" s="141">
        <v>1</v>
      </c>
      <c r="J1491" s="142">
        <v>30429</v>
      </c>
      <c r="K1491" s="142">
        <v>30429</v>
      </c>
      <c r="L1491" s="614"/>
      <c r="M1491" s="617"/>
      <c r="N1491" s="143"/>
      <c r="O1491" s="144"/>
      <c r="P1491" s="144"/>
      <c r="Q1491" s="144"/>
      <c r="R1491" s="144"/>
      <c r="S1491" s="144"/>
      <c r="T1491" s="144"/>
      <c r="U1491" s="144"/>
      <c r="V1491" s="144"/>
      <c r="W1491" s="144"/>
      <c r="X1491" s="144"/>
      <c r="Y1491" s="144"/>
      <c r="Z1491" s="144"/>
      <c r="AA1491" s="144"/>
      <c r="AB1491" s="144"/>
    </row>
    <row r="1492" spans="1:28" s="145" customFormat="1" ht="15" customHeight="1" outlineLevel="1" x14ac:dyDescent="0.2">
      <c r="A1492" s="135">
        <v>4</v>
      </c>
      <c r="B1492" s="135">
        <v>93616</v>
      </c>
      <c r="C1492" s="137" t="s">
        <v>1983</v>
      </c>
      <c r="D1492" s="135" t="s">
        <v>1984</v>
      </c>
      <c r="E1492" s="138" t="s">
        <v>1985</v>
      </c>
      <c r="F1492" s="136">
        <v>41670</v>
      </c>
      <c r="G1492" s="139" t="s">
        <v>371</v>
      </c>
      <c r="H1492" s="140"/>
      <c r="I1492" s="141">
        <v>1</v>
      </c>
      <c r="J1492" s="142">
        <v>20396</v>
      </c>
      <c r="K1492" s="142">
        <v>20396</v>
      </c>
      <c r="L1492" s="614"/>
      <c r="M1492" s="617"/>
      <c r="N1492" s="143"/>
      <c r="O1492" s="144"/>
      <c r="P1492" s="144"/>
      <c r="Q1492" s="144"/>
      <c r="R1492" s="144"/>
      <c r="S1492" s="144"/>
      <c r="T1492" s="144"/>
      <c r="U1492" s="144"/>
      <c r="V1492" s="144"/>
      <c r="W1492" s="144"/>
      <c r="X1492" s="144"/>
      <c r="Y1492" s="144"/>
      <c r="Z1492" s="144"/>
      <c r="AA1492" s="144"/>
      <c r="AB1492" s="144"/>
    </row>
    <row r="1493" spans="1:28" s="145" customFormat="1" ht="15" customHeight="1" outlineLevel="1" x14ac:dyDescent="0.2">
      <c r="A1493" s="135">
        <v>5</v>
      </c>
      <c r="B1493" s="135">
        <v>86659</v>
      </c>
      <c r="C1493" s="137" t="s">
        <v>1986</v>
      </c>
      <c r="D1493" s="135" t="s">
        <v>1975</v>
      </c>
      <c r="E1493" s="138" t="s">
        <v>116</v>
      </c>
      <c r="F1493" s="136">
        <v>41647</v>
      </c>
      <c r="G1493" s="139" t="s">
        <v>562</v>
      </c>
      <c r="H1493" s="140" t="s">
        <v>554</v>
      </c>
      <c r="I1493" s="141">
        <v>1</v>
      </c>
      <c r="J1493" s="142">
        <v>5274</v>
      </c>
      <c r="K1493" s="142">
        <v>5274</v>
      </c>
      <c r="L1493" s="614"/>
      <c r="M1493" s="617"/>
      <c r="N1493" s="143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</row>
    <row r="1494" spans="1:28" s="145" customFormat="1" ht="15" customHeight="1" outlineLevel="1" x14ac:dyDescent="0.2">
      <c r="A1494" s="135">
        <v>6</v>
      </c>
      <c r="B1494" s="135">
        <v>72201</v>
      </c>
      <c r="C1494" s="137" t="s">
        <v>1987</v>
      </c>
      <c r="D1494" s="135" t="s">
        <v>1988</v>
      </c>
      <c r="E1494" s="138" t="s">
        <v>580</v>
      </c>
      <c r="F1494" s="136">
        <v>41597</v>
      </c>
      <c r="G1494" s="139" t="s">
        <v>371</v>
      </c>
      <c r="H1494" s="140"/>
      <c r="I1494" s="141">
        <v>1</v>
      </c>
      <c r="J1494" s="142">
        <v>25800</v>
      </c>
      <c r="K1494" s="142">
        <v>25800</v>
      </c>
      <c r="L1494" s="614"/>
      <c r="M1494" s="617"/>
      <c r="N1494" s="143"/>
      <c r="O1494" s="144"/>
      <c r="P1494" s="144"/>
      <c r="Q1494" s="144"/>
      <c r="R1494" s="144"/>
      <c r="S1494" s="144"/>
      <c r="T1494" s="144"/>
      <c r="U1494" s="144"/>
      <c r="V1494" s="144"/>
      <c r="W1494" s="144"/>
      <c r="X1494" s="144"/>
      <c r="Y1494" s="144"/>
      <c r="Z1494" s="144"/>
      <c r="AA1494" s="144"/>
      <c r="AB1494" s="144"/>
    </row>
    <row r="1495" spans="1:28" s="145" customFormat="1" ht="15" customHeight="1" outlineLevel="1" x14ac:dyDescent="0.2">
      <c r="A1495" s="135">
        <v>7</v>
      </c>
      <c r="B1495" s="135">
        <v>87807</v>
      </c>
      <c r="C1495" s="137" t="s">
        <v>1989</v>
      </c>
      <c r="D1495" s="135" t="s">
        <v>1990</v>
      </c>
      <c r="E1495" s="138" t="s">
        <v>580</v>
      </c>
      <c r="F1495" s="136">
        <v>41652</v>
      </c>
      <c r="G1495" s="139" t="s">
        <v>371</v>
      </c>
      <c r="H1495" s="140"/>
      <c r="I1495" s="141">
        <v>1</v>
      </c>
      <c r="J1495" s="142">
        <v>25800</v>
      </c>
      <c r="K1495" s="142">
        <v>25800</v>
      </c>
      <c r="L1495" s="614"/>
      <c r="M1495" s="617"/>
      <c r="N1495" s="143"/>
      <c r="O1495" s="144"/>
      <c r="P1495" s="144"/>
      <c r="Q1495" s="144"/>
      <c r="R1495" s="144"/>
      <c r="S1495" s="144"/>
      <c r="T1495" s="144"/>
      <c r="U1495" s="144"/>
      <c r="V1495" s="144"/>
      <c r="W1495" s="144"/>
      <c r="X1495" s="144"/>
      <c r="Y1495" s="144"/>
      <c r="Z1495" s="144"/>
      <c r="AA1495" s="144"/>
      <c r="AB1495" s="144"/>
    </row>
    <row r="1496" spans="1:28" s="145" customFormat="1" ht="15" customHeight="1" outlineLevel="1" x14ac:dyDescent="0.2">
      <c r="A1496" s="135">
        <v>8</v>
      </c>
      <c r="B1496" s="135">
        <v>84376</v>
      </c>
      <c r="C1496" s="137" t="s">
        <v>1991</v>
      </c>
      <c r="D1496" s="135" t="s">
        <v>1988</v>
      </c>
      <c r="E1496" s="138" t="s">
        <v>188</v>
      </c>
      <c r="F1496" s="136">
        <v>41634</v>
      </c>
      <c r="G1496" s="139" t="s">
        <v>417</v>
      </c>
      <c r="H1496" s="140" t="s">
        <v>560</v>
      </c>
      <c r="I1496" s="141">
        <v>1</v>
      </c>
      <c r="J1496" s="142">
        <v>42601</v>
      </c>
      <c r="K1496" s="142">
        <v>42601</v>
      </c>
      <c r="L1496" s="614"/>
      <c r="M1496" s="617"/>
      <c r="N1496" s="143"/>
      <c r="O1496" s="144"/>
      <c r="P1496" s="144"/>
      <c r="Q1496" s="144"/>
      <c r="R1496" s="144"/>
      <c r="S1496" s="144"/>
      <c r="T1496" s="144"/>
      <c r="U1496" s="144"/>
      <c r="V1496" s="144"/>
      <c r="W1496" s="144"/>
      <c r="X1496" s="144"/>
      <c r="Y1496" s="144"/>
      <c r="Z1496" s="144"/>
      <c r="AA1496" s="144"/>
      <c r="AB1496" s="144"/>
    </row>
    <row r="1497" spans="1:28" s="145" customFormat="1" ht="15" customHeight="1" outlineLevel="1" x14ac:dyDescent="0.2">
      <c r="A1497" s="135">
        <v>9</v>
      </c>
      <c r="B1497" s="135">
        <v>85378</v>
      </c>
      <c r="C1497" s="137" t="s">
        <v>1992</v>
      </c>
      <c r="D1497" s="135" t="s">
        <v>1975</v>
      </c>
      <c r="E1497" s="138" t="s">
        <v>115</v>
      </c>
      <c r="F1497" s="136">
        <v>41638</v>
      </c>
      <c r="G1497" s="139" t="s">
        <v>417</v>
      </c>
      <c r="H1497" s="140" t="s">
        <v>642</v>
      </c>
      <c r="I1497" s="141">
        <v>1</v>
      </c>
      <c r="J1497" s="142">
        <v>33370</v>
      </c>
      <c r="K1497" s="142">
        <v>33370</v>
      </c>
      <c r="L1497" s="614"/>
      <c r="M1497" s="617"/>
      <c r="N1497" s="143"/>
      <c r="O1497" s="144"/>
      <c r="P1497" s="144"/>
      <c r="Q1497" s="144"/>
      <c r="R1497" s="144"/>
      <c r="S1497" s="144"/>
      <c r="T1497" s="144"/>
      <c r="U1497" s="144"/>
      <c r="V1497" s="144"/>
      <c r="W1497" s="144"/>
      <c r="X1497" s="144"/>
      <c r="Y1497" s="144"/>
      <c r="Z1497" s="144"/>
      <c r="AA1497" s="144"/>
      <c r="AB1497" s="144"/>
    </row>
    <row r="1498" spans="1:28" s="145" customFormat="1" ht="15" customHeight="1" outlineLevel="1" x14ac:dyDescent="0.2">
      <c r="A1498" s="135">
        <v>10</v>
      </c>
      <c r="B1498" s="135">
        <v>89884</v>
      </c>
      <c r="C1498" s="137" t="s">
        <v>1993</v>
      </c>
      <c r="D1498" s="135" t="s">
        <v>1975</v>
      </c>
      <c r="E1498" s="138" t="s">
        <v>115</v>
      </c>
      <c r="F1498" s="136">
        <v>41660</v>
      </c>
      <c r="G1498" s="139" t="s">
        <v>562</v>
      </c>
      <c r="H1498" s="140" t="s">
        <v>1994</v>
      </c>
      <c r="I1498" s="141">
        <v>1</v>
      </c>
      <c r="J1498" s="142">
        <v>33370</v>
      </c>
      <c r="K1498" s="142">
        <v>33370</v>
      </c>
      <c r="L1498" s="614"/>
      <c r="M1498" s="617"/>
      <c r="N1498" s="143"/>
      <c r="O1498" s="144"/>
      <c r="P1498" s="144"/>
      <c r="Q1498" s="144"/>
      <c r="R1498" s="144"/>
      <c r="S1498" s="144"/>
      <c r="T1498" s="144"/>
      <c r="U1498" s="144"/>
      <c r="V1498" s="144"/>
      <c r="W1498" s="144"/>
      <c r="X1498" s="144"/>
      <c r="Y1498" s="144"/>
      <c r="Z1498" s="144"/>
      <c r="AA1498" s="144"/>
      <c r="AB1498" s="144"/>
    </row>
    <row r="1499" spans="1:28" s="145" customFormat="1" ht="15" customHeight="1" outlineLevel="1" x14ac:dyDescent="0.2">
      <c r="A1499" s="135">
        <v>11</v>
      </c>
      <c r="B1499" s="135">
        <v>90472</v>
      </c>
      <c r="C1499" s="137" t="s">
        <v>1995</v>
      </c>
      <c r="D1499" s="135" t="s">
        <v>1988</v>
      </c>
      <c r="E1499" s="138" t="s">
        <v>192</v>
      </c>
      <c r="F1499" s="136">
        <v>41661</v>
      </c>
      <c r="G1499" s="139" t="s">
        <v>400</v>
      </c>
      <c r="H1499" s="140" t="s">
        <v>1996</v>
      </c>
      <c r="I1499" s="141">
        <v>2</v>
      </c>
      <c r="J1499" s="142">
        <v>57960</v>
      </c>
      <c r="K1499" s="142">
        <v>115920</v>
      </c>
      <c r="L1499" s="614"/>
      <c r="M1499" s="617"/>
      <c r="N1499" s="143"/>
      <c r="O1499" s="144"/>
      <c r="P1499" s="144"/>
      <c r="Q1499" s="144"/>
      <c r="R1499" s="144"/>
      <c r="S1499" s="144"/>
      <c r="T1499" s="144"/>
      <c r="U1499" s="144"/>
      <c r="V1499" s="144"/>
      <c r="W1499" s="144"/>
      <c r="X1499" s="144"/>
      <c r="Y1499" s="144"/>
      <c r="Z1499" s="144"/>
      <c r="AA1499" s="144"/>
      <c r="AB1499" s="144"/>
    </row>
    <row r="1500" spans="1:28" s="145" customFormat="1" ht="15" customHeight="1" outlineLevel="1" x14ac:dyDescent="0.2">
      <c r="A1500" s="135">
        <v>12</v>
      </c>
      <c r="B1500" s="135">
        <v>87566</v>
      </c>
      <c r="C1500" s="137" t="s">
        <v>1997</v>
      </c>
      <c r="D1500" s="135" t="s">
        <v>1998</v>
      </c>
      <c r="E1500" s="138" t="s">
        <v>580</v>
      </c>
      <c r="F1500" s="136">
        <v>41649</v>
      </c>
      <c r="G1500" s="139" t="s">
        <v>371</v>
      </c>
      <c r="H1500" s="140"/>
      <c r="I1500" s="141">
        <v>1</v>
      </c>
      <c r="J1500" s="142">
        <v>25800</v>
      </c>
      <c r="K1500" s="142">
        <v>25800</v>
      </c>
      <c r="L1500" s="614"/>
      <c r="M1500" s="617"/>
      <c r="N1500" s="143"/>
      <c r="O1500" s="144"/>
      <c r="P1500" s="144"/>
      <c r="Q1500" s="144"/>
      <c r="R1500" s="144"/>
      <c r="S1500" s="144"/>
      <c r="T1500" s="144"/>
      <c r="U1500" s="144"/>
      <c r="V1500" s="144"/>
      <c r="W1500" s="144"/>
      <c r="X1500" s="144"/>
      <c r="Y1500" s="144"/>
      <c r="Z1500" s="144"/>
      <c r="AA1500" s="144"/>
      <c r="AB1500" s="144"/>
    </row>
    <row r="1501" spans="1:28" s="145" customFormat="1" ht="15" customHeight="1" outlineLevel="1" x14ac:dyDescent="0.2">
      <c r="A1501" s="135">
        <v>13</v>
      </c>
      <c r="B1501" s="135">
        <v>76520</v>
      </c>
      <c r="C1501" s="137" t="s">
        <v>1999</v>
      </c>
      <c r="D1501" s="135" t="s">
        <v>1975</v>
      </c>
      <c r="E1501" s="138" t="s">
        <v>537</v>
      </c>
      <c r="F1501" s="136">
        <v>41610</v>
      </c>
      <c r="G1501" s="139" t="s">
        <v>562</v>
      </c>
      <c r="H1501" s="140" t="s">
        <v>569</v>
      </c>
      <c r="I1501" s="141">
        <v>1</v>
      </c>
      <c r="J1501" s="142">
        <v>30429</v>
      </c>
      <c r="K1501" s="142">
        <v>30429</v>
      </c>
      <c r="L1501" s="614"/>
      <c r="M1501" s="617"/>
      <c r="N1501" s="143"/>
      <c r="O1501" s="144"/>
      <c r="P1501" s="144"/>
      <c r="Q1501" s="144"/>
      <c r="R1501" s="144"/>
      <c r="S1501" s="144"/>
      <c r="T1501" s="144"/>
      <c r="U1501" s="144"/>
      <c r="V1501" s="144"/>
      <c r="W1501" s="144"/>
      <c r="X1501" s="144"/>
      <c r="Y1501" s="144"/>
      <c r="Z1501" s="144"/>
      <c r="AA1501" s="144"/>
      <c r="AB1501" s="144"/>
    </row>
    <row r="1502" spans="1:28" s="145" customFormat="1" ht="15" customHeight="1" outlineLevel="1" x14ac:dyDescent="0.2">
      <c r="A1502" s="135">
        <v>14</v>
      </c>
      <c r="B1502" s="135">
        <v>77134</v>
      </c>
      <c r="C1502" s="137" t="s">
        <v>2000</v>
      </c>
      <c r="D1502" s="135" t="s">
        <v>1975</v>
      </c>
      <c r="E1502" s="138" t="s">
        <v>188</v>
      </c>
      <c r="F1502" s="136">
        <v>41611</v>
      </c>
      <c r="G1502" s="139" t="s">
        <v>392</v>
      </c>
      <c r="H1502" s="140" t="s">
        <v>1253</v>
      </c>
      <c r="I1502" s="141">
        <v>1</v>
      </c>
      <c r="J1502" s="142">
        <v>42601</v>
      </c>
      <c r="K1502" s="142">
        <v>42601</v>
      </c>
      <c r="L1502" s="614"/>
      <c r="M1502" s="617"/>
      <c r="N1502" s="143"/>
      <c r="O1502" s="144"/>
      <c r="P1502" s="144"/>
      <c r="Q1502" s="144"/>
      <c r="R1502" s="144"/>
      <c r="S1502" s="144"/>
      <c r="T1502" s="144"/>
      <c r="U1502" s="144"/>
      <c r="V1502" s="144"/>
      <c r="W1502" s="144"/>
      <c r="X1502" s="144"/>
      <c r="Y1502" s="144"/>
      <c r="Z1502" s="144"/>
      <c r="AA1502" s="144"/>
      <c r="AB1502" s="144"/>
    </row>
    <row r="1503" spans="1:28" s="145" customFormat="1" ht="15" customHeight="1" outlineLevel="1" x14ac:dyDescent="0.2">
      <c r="A1503" s="135">
        <v>15</v>
      </c>
      <c r="B1503" s="135">
        <v>87136</v>
      </c>
      <c r="C1503" s="137" t="s">
        <v>2001</v>
      </c>
      <c r="D1503" s="135" t="s">
        <v>1975</v>
      </c>
      <c r="E1503" s="138" t="s">
        <v>116</v>
      </c>
      <c r="F1503" s="136">
        <v>41652</v>
      </c>
      <c r="G1503" s="139" t="s">
        <v>431</v>
      </c>
      <c r="H1503" s="140" t="s">
        <v>569</v>
      </c>
      <c r="I1503" s="141">
        <v>1</v>
      </c>
      <c r="J1503" s="142">
        <v>5274</v>
      </c>
      <c r="K1503" s="142">
        <v>5274</v>
      </c>
      <c r="L1503" s="614"/>
      <c r="M1503" s="617"/>
      <c r="N1503" s="143"/>
      <c r="O1503" s="144"/>
      <c r="P1503" s="144"/>
      <c r="Q1503" s="144"/>
      <c r="R1503" s="144"/>
      <c r="S1503" s="144"/>
      <c r="T1503" s="144"/>
      <c r="U1503" s="144"/>
      <c r="V1503" s="144"/>
      <c r="W1503" s="144"/>
      <c r="X1503" s="144"/>
      <c r="Y1503" s="144"/>
      <c r="Z1503" s="144"/>
      <c r="AA1503" s="144"/>
      <c r="AB1503" s="144"/>
    </row>
    <row r="1504" spans="1:28" s="145" customFormat="1" ht="15" customHeight="1" outlineLevel="1" x14ac:dyDescent="0.2">
      <c r="A1504" s="135">
        <v>16</v>
      </c>
      <c r="B1504" s="135">
        <v>91782</v>
      </c>
      <c r="C1504" s="137" t="s">
        <v>2002</v>
      </c>
      <c r="D1504" s="135" t="s">
        <v>1975</v>
      </c>
      <c r="E1504" s="138" t="s">
        <v>115</v>
      </c>
      <c r="F1504" s="136">
        <v>41666</v>
      </c>
      <c r="G1504" s="139" t="s">
        <v>417</v>
      </c>
      <c r="H1504" s="140" t="s">
        <v>629</v>
      </c>
      <c r="I1504" s="141">
        <v>1</v>
      </c>
      <c r="J1504" s="142">
        <v>33370</v>
      </c>
      <c r="K1504" s="142">
        <v>33370</v>
      </c>
      <c r="L1504" s="614"/>
      <c r="M1504" s="617"/>
      <c r="N1504" s="143"/>
      <c r="O1504" s="144"/>
      <c r="P1504" s="144"/>
      <c r="Q1504" s="144"/>
      <c r="R1504" s="144"/>
      <c r="S1504" s="144"/>
      <c r="T1504" s="144"/>
      <c r="U1504" s="144"/>
      <c r="V1504" s="144"/>
      <c r="W1504" s="144"/>
      <c r="X1504" s="144"/>
      <c r="Y1504" s="144"/>
      <c r="Z1504" s="144"/>
      <c r="AA1504" s="144"/>
      <c r="AB1504" s="144"/>
    </row>
    <row r="1505" spans="1:28" s="145" customFormat="1" ht="15" customHeight="1" outlineLevel="1" x14ac:dyDescent="0.2">
      <c r="A1505" s="135">
        <v>17</v>
      </c>
      <c r="B1505" s="135">
        <v>81291</v>
      </c>
      <c r="C1505" s="137" t="s">
        <v>2003</v>
      </c>
      <c r="D1505" s="135" t="s">
        <v>1975</v>
      </c>
      <c r="E1505" s="138" t="s">
        <v>537</v>
      </c>
      <c r="F1505" s="136">
        <v>41624</v>
      </c>
      <c r="G1505" s="139" t="s">
        <v>472</v>
      </c>
      <c r="H1505" s="140" t="s">
        <v>569</v>
      </c>
      <c r="I1505" s="141">
        <v>1</v>
      </c>
      <c r="J1505" s="142">
        <v>30429</v>
      </c>
      <c r="K1505" s="142">
        <v>30429</v>
      </c>
      <c r="L1505" s="614"/>
      <c r="M1505" s="617"/>
      <c r="N1505" s="143"/>
      <c r="O1505" s="144"/>
      <c r="P1505" s="144"/>
      <c r="Q1505" s="144"/>
      <c r="R1505" s="144"/>
      <c r="S1505" s="144"/>
      <c r="T1505" s="144"/>
      <c r="U1505" s="144"/>
      <c r="V1505" s="144"/>
      <c r="W1505" s="144"/>
      <c r="X1505" s="144"/>
      <c r="Y1505" s="144"/>
      <c r="Z1505" s="144"/>
      <c r="AA1505" s="144"/>
      <c r="AB1505" s="144"/>
    </row>
    <row r="1506" spans="1:28" s="145" customFormat="1" ht="15" customHeight="1" outlineLevel="1" x14ac:dyDescent="0.2">
      <c r="A1506" s="135">
        <v>18</v>
      </c>
      <c r="B1506" s="135">
        <v>85773</v>
      </c>
      <c r="C1506" s="137" t="s">
        <v>2004</v>
      </c>
      <c r="D1506" s="135" t="s">
        <v>1975</v>
      </c>
      <c r="E1506" s="138" t="s">
        <v>115</v>
      </c>
      <c r="F1506" s="136">
        <v>41643</v>
      </c>
      <c r="G1506" s="139" t="s">
        <v>392</v>
      </c>
      <c r="H1506" s="140" t="s">
        <v>1994</v>
      </c>
      <c r="I1506" s="141">
        <v>1</v>
      </c>
      <c r="J1506" s="142">
        <v>33370</v>
      </c>
      <c r="K1506" s="142">
        <v>33370</v>
      </c>
      <c r="L1506" s="614"/>
      <c r="M1506" s="617"/>
      <c r="N1506" s="143"/>
      <c r="O1506" s="144"/>
      <c r="P1506" s="144"/>
      <c r="Q1506" s="144"/>
      <c r="R1506" s="144"/>
      <c r="S1506" s="144"/>
      <c r="T1506" s="144"/>
      <c r="U1506" s="144"/>
      <c r="V1506" s="144"/>
      <c r="W1506" s="144"/>
      <c r="X1506" s="144"/>
      <c r="Y1506" s="144"/>
      <c r="Z1506" s="144"/>
      <c r="AA1506" s="144"/>
      <c r="AB1506" s="144"/>
    </row>
    <row r="1507" spans="1:28" s="145" customFormat="1" ht="15" customHeight="1" outlineLevel="1" x14ac:dyDescent="0.2">
      <c r="A1507" s="135">
        <v>19</v>
      </c>
      <c r="B1507" s="135">
        <v>83723</v>
      </c>
      <c r="C1507" s="137" t="s">
        <v>2005</v>
      </c>
      <c r="D1507" s="135" t="s">
        <v>1975</v>
      </c>
      <c r="E1507" s="138" t="s">
        <v>115</v>
      </c>
      <c r="F1507" s="136">
        <v>41631</v>
      </c>
      <c r="G1507" s="139" t="s">
        <v>404</v>
      </c>
      <c r="H1507" s="140" t="s">
        <v>1269</v>
      </c>
      <c r="I1507" s="141">
        <v>1</v>
      </c>
      <c r="J1507" s="142">
        <v>33370</v>
      </c>
      <c r="K1507" s="142">
        <v>33370</v>
      </c>
      <c r="L1507" s="615"/>
      <c r="M1507" s="618"/>
      <c r="N1507" s="143"/>
      <c r="O1507" s="144"/>
      <c r="P1507" s="144"/>
      <c r="Q1507" s="144"/>
      <c r="R1507" s="144"/>
      <c r="S1507" s="144"/>
      <c r="T1507" s="144"/>
      <c r="U1507" s="144"/>
      <c r="V1507" s="144"/>
      <c r="W1507" s="144"/>
      <c r="X1507" s="144"/>
      <c r="Y1507" s="144"/>
      <c r="Z1507" s="144"/>
      <c r="AA1507" s="144"/>
      <c r="AB1507" s="144"/>
    </row>
    <row r="1508" spans="1:28" s="145" customFormat="1" ht="15" customHeight="1" outlineLevel="1" x14ac:dyDescent="0.2">
      <c r="A1508" s="135">
        <v>13</v>
      </c>
      <c r="B1508" s="135">
        <v>96881</v>
      </c>
      <c r="C1508" s="137" t="s">
        <v>2006</v>
      </c>
      <c r="D1508" s="135" t="s">
        <v>572</v>
      </c>
      <c r="E1508" s="138" t="s">
        <v>116</v>
      </c>
      <c r="F1508" s="136">
        <v>41688</v>
      </c>
      <c r="G1508" s="139" t="s">
        <v>392</v>
      </c>
      <c r="H1508" s="140" t="s">
        <v>489</v>
      </c>
      <c r="I1508" s="141">
        <v>1</v>
      </c>
      <c r="J1508" s="142">
        <v>5274</v>
      </c>
      <c r="K1508" s="142">
        <v>5274</v>
      </c>
      <c r="L1508" s="610" t="s">
        <v>558</v>
      </c>
      <c r="M1508" s="625" t="s">
        <v>42</v>
      </c>
      <c r="N1508" s="143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</row>
    <row r="1509" spans="1:28" s="145" customFormat="1" ht="15" customHeight="1" outlineLevel="1" x14ac:dyDescent="0.2">
      <c r="A1509" s="135">
        <v>14</v>
      </c>
      <c r="B1509" s="135">
        <v>93745</v>
      </c>
      <c r="C1509" s="137" t="s">
        <v>2007</v>
      </c>
      <c r="D1509" s="135" t="s">
        <v>572</v>
      </c>
      <c r="E1509" s="138" t="s">
        <v>116</v>
      </c>
      <c r="F1509" s="136">
        <v>41674</v>
      </c>
      <c r="G1509" s="139" t="s">
        <v>417</v>
      </c>
      <c r="H1509" s="140" t="s">
        <v>489</v>
      </c>
      <c r="I1509" s="141">
        <v>1</v>
      </c>
      <c r="J1509" s="142">
        <v>5274</v>
      </c>
      <c r="K1509" s="142">
        <v>5274</v>
      </c>
      <c r="L1509" s="611"/>
      <c r="M1509" s="626"/>
      <c r="N1509" s="143"/>
      <c r="O1509" s="144"/>
      <c r="P1509" s="144"/>
      <c r="Q1509" s="144"/>
      <c r="R1509" s="144"/>
      <c r="S1509" s="144"/>
      <c r="T1509" s="144"/>
      <c r="U1509" s="144"/>
      <c r="V1509" s="144"/>
      <c r="W1509" s="144"/>
      <c r="X1509" s="144"/>
      <c r="Y1509" s="144"/>
      <c r="Z1509" s="144"/>
      <c r="AA1509" s="144"/>
      <c r="AB1509" s="144"/>
    </row>
    <row r="1510" spans="1:28" s="145" customFormat="1" ht="15" customHeight="1" outlineLevel="1" x14ac:dyDescent="0.2">
      <c r="A1510" s="135">
        <v>15</v>
      </c>
      <c r="B1510" s="135">
        <v>97306</v>
      </c>
      <c r="C1510" s="137" t="s">
        <v>2008</v>
      </c>
      <c r="D1510" s="135" t="s">
        <v>572</v>
      </c>
      <c r="E1510" s="138" t="s">
        <v>116</v>
      </c>
      <c r="F1510" s="136">
        <v>41691</v>
      </c>
      <c r="G1510" s="139" t="s">
        <v>392</v>
      </c>
      <c r="H1510" s="140" t="s">
        <v>489</v>
      </c>
      <c r="I1510" s="141">
        <v>1</v>
      </c>
      <c r="J1510" s="142">
        <v>5274</v>
      </c>
      <c r="K1510" s="142">
        <v>5274</v>
      </c>
      <c r="L1510" s="611"/>
      <c r="M1510" s="626"/>
      <c r="N1510" s="143"/>
      <c r="O1510" s="144"/>
      <c r="P1510" s="144"/>
      <c r="Q1510" s="144"/>
      <c r="R1510" s="144"/>
      <c r="S1510" s="144"/>
      <c r="T1510" s="144"/>
      <c r="U1510" s="144"/>
      <c r="V1510" s="144"/>
      <c r="W1510" s="144"/>
      <c r="X1510" s="144"/>
      <c r="Y1510" s="144"/>
      <c r="Z1510" s="144"/>
      <c r="AA1510" s="144"/>
      <c r="AB1510" s="144"/>
    </row>
    <row r="1511" spans="1:28" s="145" customFormat="1" ht="15" customHeight="1" outlineLevel="1" x14ac:dyDescent="0.2">
      <c r="A1511" s="135">
        <v>16</v>
      </c>
      <c r="B1511" s="135">
        <v>97971</v>
      </c>
      <c r="C1511" s="137" t="s">
        <v>1977</v>
      </c>
      <c r="D1511" s="135" t="s">
        <v>1978</v>
      </c>
      <c r="E1511" s="138" t="s">
        <v>115</v>
      </c>
      <c r="F1511" s="136">
        <v>41694</v>
      </c>
      <c r="G1511" s="139" t="s">
        <v>419</v>
      </c>
      <c r="H1511" s="140" t="s">
        <v>563</v>
      </c>
      <c r="I1511" s="141">
        <v>1</v>
      </c>
      <c r="J1511" s="142">
        <v>33370</v>
      </c>
      <c r="K1511" s="142">
        <v>33370</v>
      </c>
      <c r="L1511" s="611"/>
      <c r="M1511" s="626"/>
      <c r="N1511" s="143"/>
      <c r="O1511" s="144"/>
      <c r="P1511" s="144"/>
      <c r="Q1511" s="144"/>
      <c r="R1511" s="144"/>
      <c r="S1511" s="144"/>
      <c r="T1511" s="144"/>
      <c r="U1511" s="144"/>
      <c r="V1511" s="144"/>
      <c r="W1511" s="144"/>
      <c r="X1511" s="144"/>
      <c r="Y1511" s="144"/>
      <c r="Z1511" s="144"/>
      <c r="AA1511" s="144"/>
      <c r="AB1511" s="144"/>
    </row>
    <row r="1512" spans="1:28" s="145" customFormat="1" ht="15" customHeight="1" outlineLevel="1" x14ac:dyDescent="0.2">
      <c r="A1512" s="135">
        <v>17</v>
      </c>
      <c r="B1512" s="135">
        <v>98658</v>
      </c>
      <c r="C1512" s="137" t="s">
        <v>2009</v>
      </c>
      <c r="D1512" s="135" t="s">
        <v>572</v>
      </c>
      <c r="E1512" s="138" t="s">
        <v>537</v>
      </c>
      <c r="F1512" s="136">
        <v>41696</v>
      </c>
      <c r="G1512" s="139" t="s">
        <v>527</v>
      </c>
      <c r="H1512" s="140" t="s">
        <v>583</v>
      </c>
      <c r="I1512" s="141">
        <v>1</v>
      </c>
      <c r="J1512" s="142">
        <v>30429</v>
      </c>
      <c r="K1512" s="142">
        <v>30429</v>
      </c>
      <c r="L1512" s="611"/>
      <c r="M1512" s="626"/>
      <c r="N1512" s="143"/>
      <c r="O1512" s="144"/>
      <c r="P1512" s="144"/>
      <c r="Q1512" s="144"/>
      <c r="R1512" s="144"/>
      <c r="S1512" s="144"/>
      <c r="T1512" s="144"/>
      <c r="U1512" s="144"/>
      <c r="V1512" s="144"/>
      <c r="W1512" s="144"/>
      <c r="X1512" s="144"/>
      <c r="Y1512" s="144"/>
      <c r="Z1512" s="144"/>
      <c r="AA1512" s="144"/>
      <c r="AB1512" s="144"/>
    </row>
    <row r="1513" spans="1:28" s="145" customFormat="1" ht="15" customHeight="1" outlineLevel="1" x14ac:dyDescent="0.2">
      <c r="A1513" s="135">
        <v>18</v>
      </c>
      <c r="B1513" s="135">
        <v>96906</v>
      </c>
      <c r="C1513" s="137" t="s">
        <v>2010</v>
      </c>
      <c r="D1513" s="135" t="s">
        <v>572</v>
      </c>
      <c r="E1513" s="138" t="s">
        <v>537</v>
      </c>
      <c r="F1513" s="136">
        <v>41691</v>
      </c>
      <c r="G1513" s="139" t="s">
        <v>527</v>
      </c>
      <c r="H1513" s="140" t="s">
        <v>583</v>
      </c>
      <c r="I1513" s="141">
        <v>1</v>
      </c>
      <c r="J1513" s="142">
        <v>30429</v>
      </c>
      <c r="K1513" s="142">
        <v>30429</v>
      </c>
      <c r="L1513" s="611"/>
      <c r="M1513" s="626"/>
      <c r="N1513" s="143"/>
      <c r="O1513" s="144"/>
      <c r="P1513" s="144"/>
      <c r="Q1513" s="144"/>
      <c r="R1513" s="144"/>
      <c r="S1513" s="144"/>
      <c r="T1513" s="144"/>
      <c r="U1513" s="144"/>
      <c r="V1513" s="144"/>
      <c r="W1513" s="144"/>
      <c r="X1513" s="144"/>
      <c r="Y1513" s="144"/>
      <c r="Z1513" s="144"/>
      <c r="AA1513" s="144"/>
      <c r="AB1513" s="144"/>
    </row>
    <row r="1514" spans="1:28" s="145" customFormat="1" ht="15" customHeight="1" outlineLevel="1" x14ac:dyDescent="0.2">
      <c r="A1514" s="135">
        <v>19</v>
      </c>
      <c r="B1514" s="135">
        <v>95626</v>
      </c>
      <c r="C1514" s="137" t="s">
        <v>2011</v>
      </c>
      <c r="D1514" s="135" t="s">
        <v>1981</v>
      </c>
      <c r="E1514" s="138" t="s">
        <v>537</v>
      </c>
      <c r="F1514" s="136">
        <v>41682</v>
      </c>
      <c r="G1514" s="139" t="s">
        <v>431</v>
      </c>
      <c r="H1514" s="140"/>
      <c r="I1514" s="141">
        <v>1</v>
      </c>
      <c r="J1514" s="142">
        <v>30429</v>
      </c>
      <c r="K1514" s="142">
        <v>30429</v>
      </c>
      <c r="L1514" s="611"/>
      <c r="M1514" s="626"/>
      <c r="N1514" s="143"/>
      <c r="O1514" s="144"/>
      <c r="P1514" s="144"/>
      <c r="Q1514" s="144"/>
      <c r="R1514" s="144"/>
      <c r="S1514" s="144"/>
      <c r="T1514" s="144"/>
      <c r="U1514" s="144"/>
      <c r="V1514" s="144"/>
      <c r="W1514" s="144"/>
      <c r="X1514" s="144"/>
      <c r="Y1514" s="144"/>
      <c r="Z1514" s="144"/>
      <c r="AA1514" s="144"/>
      <c r="AB1514" s="144"/>
    </row>
    <row r="1515" spans="1:28" s="145" customFormat="1" ht="15" customHeight="1" outlineLevel="1" x14ac:dyDescent="0.2">
      <c r="A1515" s="135">
        <v>20</v>
      </c>
      <c r="B1515" s="135">
        <v>99155</v>
      </c>
      <c r="C1515" s="137" t="s">
        <v>674</v>
      </c>
      <c r="D1515" s="135" t="s">
        <v>572</v>
      </c>
      <c r="E1515" s="138" t="s">
        <v>580</v>
      </c>
      <c r="F1515" s="136">
        <v>41698</v>
      </c>
      <c r="G1515" s="139" t="s">
        <v>371</v>
      </c>
      <c r="H1515" s="140"/>
      <c r="I1515" s="141">
        <v>1</v>
      </c>
      <c r="J1515" s="142">
        <v>25800</v>
      </c>
      <c r="K1515" s="142">
        <v>25800</v>
      </c>
      <c r="L1515" s="611"/>
      <c r="M1515" s="626"/>
      <c r="N1515" s="143"/>
      <c r="O1515" s="144"/>
      <c r="P1515" s="144"/>
      <c r="Q1515" s="144"/>
      <c r="R1515" s="144"/>
      <c r="S1515" s="144"/>
      <c r="T1515" s="144"/>
      <c r="U1515" s="144"/>
      <c r="V1515" s="144"/>
      <c r="W1515" s="144"/>
      <c r="X1515" s="144"/>
      <c r="Y1515" s="144"/>
      <c r="Z1515" s="144"/>
      <c r="AA1515" s="144"/>
      <c r="AB1515" s="144"/>
    </row>
    <row r="1516" spans="1:28" s="145" customFormat="1" ht="15" customHeight="1" outlineLevel="1" x14ac:dyDescent="0.2">
      <c r="A1516" s="135">
        <v>21</v>
      </c>
      <c r="B1516" s="135">
        <v>98634</v>
      </c>
      <c r="C1516" s="137" t="s">
        <v>2012</v>
      </c>
      <c r="D1516" s="135" t="s">
        <v>2013</v>
      </c>
      <c r="E1516" s="138" t="s">
        <v>580</v>
      </c>
      <c r="F1516" s="136">
        <v>41696</v>
      </c>
      <c r="G1516" s="139" t="s">
        <v>371</v>
      </c>
      <c r="H1516" s="140"/>
      <c r="I1516" s="141">
        <v>1</v>
      </c>
      <c r="J1516" s="142">
        <v>25800</v>
      </c>
      <c r="K1516" s="142">
        <v>25800</v>
      </c>
      <c r="L1516" s="611"/>
      <c r="M1516" s="626"/>
      <c r="N1516" s="143"/>
      <c r="O1516" s="144"/>
      <c r="P1516" s="144"/>
      <c r="Q1516" s="144"/>
      <c r="R1516" s="144"/>
      <c r="S1516" s="144"/>
      <c r="T1516" s="144"/>
      <c r="U1516" s="144"/>
      <c r="V1516" s="144"/>
      <c r="W1516" s="144"/>
      <c r="X1516" s="144"/>
      <c r="Y1516" s="144"/>
      <c r="Z1516" s="144"/>
      <c r="AA1516" s="144"/>
      <c r="AB1516" s="144"/>
    </row>
    <row r="1517" spans="1:28" s="145" customFormat="1" ht="15" customHeight="1" outlineLevel="1" x14ac:dyDescent="0.2">
      <c r="A1517" s="135">
        <v>22</v>
      </c>
      <c r="B1517" s="135">
        <v>96295</v>
      </c>
      <c r="C1517" s="137" t="s">
        <v>2014</v>
      </c>
      <c r="D1517" s="135" t="s">
        <v>1981</v>
      </c>
      <c r="E1517" s="138" t="s">
        <v>197</v>
      </c>
      <c r="F1517" s="136">
        <v>41684</v>
      </c>
      <c r="G1517" s="139" t="s">
        <v>2015</v>
      </c>
      <c r="H1517" s="140"/>
      <c r="I1517" s="141">
        <v>6</v>
      </c>
      <c r="J1517" s="142">
        <v>2739</v>
      </c>
      <c r="K1517" s="142">
        <v>16434</v>
      </c>
      <c r="L1517" s="611"/>
      <c r="M1517" s="626"/>
      <c r="N1517" s="143"/>
      <c r="O1517" s="144"/>
      <c r="P1517" s="144"/>
      <c r="Q1517" s="144"/>
      <c r="R1517" s="144"/>
      <c r="S1517" s="144"/>
      <c r="T1517" s="144"/>
      <c r="U1517" s="144"/>
      <c r="V1517" s="144"/>
      <c r="W1517" s="144"/>
      <c r="X1517" s="144"/>
      <c r="Y1517" s="144"/>
      <c r="Z1517" s="144"/>
      <c r="AA1517" s="144"/>
      <c r="AB1517" s="144"/>
    </row>
    <row r="1518" spans="1:28" s="145" customFormat="1" ht="15" customHeight="1" outlineLevel="1" x14ac:dyDescent="0.2">
      <c r="A1518" s="135">
        <v>23</v>
      </c>
      <c r="B1518" s="135">
        <v>97674</v>
      </c>
      <c r="C1518" s="137" t="s">
        <v>2016</v>
      </c>
      <c r="D1518" s="135" t="s">
        <v>572</v>
      </c>
      <c r="E1518" s="138" t="s">
        <v>118</v>
      </c>
      <c r="F1518" s="136">
        <v>41691</v>
      </c>
      <c r="G1518" s="139" t="s">
        <v>371</v>
      </c>
      <c r="H1518" s="140" t="s">
        <v>489</v>
      </c>
      <c r="I1518" s="141">
        <v>1</v>
      </c>
      <c r="J1518" s="142">
        <v>65930</v>
      </c>
      <c r="K1518" s="142">
        <v>65930</v>
      </c>
      <c r="L1518" s="611"/>
      <c r="M1518" s="626"/>
      <c r="N1518" s="143"/>
      <c r="O1518" s="144"/>
      <c r="P1518" s="144"/>
      <c r="Q1518" s="144"/>
      <c r="R1518" s="144"/>
      <c r="S1518" s="144"/>
      <c r="T1518" s="144"/>
      <c r="U1518" s="144"/>
      <c r="V1518" s="144"/>
      <c r="W1518" s="144"/>
      <c r="X1518" s="144"/>
      <c r="Y1518" s="144"/>
      <c r="Z1518" s="144"/>
      <c r="AA1518" s="144"/>
      <c r="AB1518" s="144"/>
    </row>
    <row r="1519" spans="1:28" s="145" customFormat="1" ht="15" customHeight="1" outlineLevel="1" x14ac:dyDescent="0.2">
      <c r="A1519" s="135">
        <v>24</v>
      </c>
      <c r="B1519" s="135">
        <v>96676</v>
      </c>
      <c r="C1519" s="137" t="s">
        <v>2017</v>
      </c>
      <c r="D1519" s="135" t="s">
        <v>572</v>
      </c>
      <c r="E1519" s="138" t="s">
        <v>116</v>
      </c>
      <c r="F1519" s="136">
        <v>41687</v>
      </c>
      <c r="G1519" s="139" t="s">
        <v>407</v>
      </c>
      <c r="H1519" s="140" t="s">
        <v>486</v>
      </c>
      <c r="I1519" s="141">
        <v>1</v>
      </c>
      <c r="J1519" s="142">
        <v>5274</v>
      </c>
      <c r="K1519" s="142">
        <v>5274</v>
      </c>
      <c r="L1519" s="611"/>
      <c r="M1519" s="626"/>
      <c r="N1519" s="143"/>
      <c r="O1519" s="144"/>
      <c r="P1519" s="144"/>
      <c r="Q1519" s="144"/>
      <c r="R1519" s="144"/>
      <c r="S1519" s="144"/>
      <c r="T1519" s="144"/>
      <c r="U1519" s="144"/>
      <c r="V1519" s="144"/>
      <c r="W1519" s="144"/>
      <c r="X1519" s="144"/>
      <c r="Y1519" s="144"/>
      <c r="Z1519" s="144"/>
      <c r="AA1519" s="144"/>
      <c r="AB1519" s="144"/>
    </row>
    <row r="1520" spans="1:28" s="145" customFormat="1" ht="15" customHeight="1" outlineLevel="1" x14ac:dyDescent="0.2">
      <c r="A1520" s="135">
        <v>25</v>
      </c>
      <c r="B1520" s="135">
        <v>96676</v>
      </c>
      <c r="C1520" s="137" t="s">
        <v>2017</v>
      </c>
      <c r="D1520" s="135" t="s">
        <v>572</v>
      </c>
      <c r="E1520" s="138" t="s">
        <v>537</v>
      </c>
      <c r="F1520" s="136">
        <v>41687</v>
      </c>
      <c r="G1520" s="139" t="s">
        <v>419</v>
      </c>
      <c r="H1520" s="140" t="s">
        <v>583</v>
      </c>
      <c r="I1520" s="141">
        <v>1</v>
      </c>
      <c r="J1520" s="142">
        <v>30429</v>
      </c>
      <c r="K1520" s="142">
        <v>30429</v>
      </c>
      <c r="L1520" s="611"/>
      <c r="M1520" s="626"/>
      <c r="N1520" s="143"/>
      <c r="O1520" s="144"/>
      <c r="P1520" s="144"/>
      <c r="Q1520" s="144"/>
      <c r="R1520" s="144"/>
      <c r="S1520" s="144"/>
      <c r="T1520" s="144"/>
      <c r="U1520" s="144"/>
      <c r="V1520" s="144"/>
      <c r="W1520" s="144"/>
      <c r="X1520" s="144"/>
      <c r="Y1520" s="144"/>
      <c r="Z1520" s="144"/>
      <c r="AA1520" s="144"/>
      <c r="AB1520" s="144"/>
    </row>
    <row r="1521" spans="1:28" s="145" customFormat="1" ht="15" customHeight="1" outlineLevel="1" x14ac:dyDescent="0.2">
      <c r="A1521" s="135">
        <v>26</v>
      </c>
      <c r="B1521" s="135">
        <v>94267</v>
      </c>
      <c r="C1521" s="137" t="s">
        <v>2018</v>
      </c>
      <c r="D1521" s="135" t="s">
        <v>1981</v>
      </c>
      <c r="E1521" s="138" t="s">
        <v>580</v>
      </c>
      <c r="F1521" s="136">
        <v>41675</v>
      </c>
      <c r="G1521" s="139" t="s">
        <v>371</v>
      </c>
      <c r="H1521" s="140"/>
      <c r="I1521" s="141">
        <v>1</v>
      </c>
      <c r="J1521" s="142">
        <v>25800</v>
      </c>
      <c r="K1521" s="142">
        <v>25800</v>
      </c>
      <c r="L1521" s="611"/>
      <c r="M1521" s="626"/>
      <c r="N1521" s="143"/>
      <c r="O1521" s="144"/>
      <c r="P1521" s="144"/>
      <c r="Q1521" s="144"/>
      <c r="R1521" s="144"/>
      <c r="S1521" s="144"/>
      <c r="T1521" s="144"/>
      <c r="U1521" s="144"/>
      <c r="V1521" s="144"/>
      <c r="W1521" s="144"/>
      <c r="X1521" s="144"/>
      <c r="Y1521" s="144"/>
      <c r="Z1521" s="144"/>
      <c r="AA1521" s="144"/>
      <c r="AB1521" s="144"/>
    </row>
    <row r="1522" spans="1:28" s="145" customFormat="1" ht="15" customHeight="1" outlineLevel="1" x14ac:dyDescent="0.2">
      <c r="A1522" s="135">
        <v>27</v>
      </c>
      <c r="B1522" s="135">
        <v>95610</v>
      </c>
      <c r="C1522" s="137" t="s">
        <v>2019</v>
      </c>
      <c r="D1522" s="135" t="s">
        <v>572</v>
      </c>
      <c r="E1522" s="138" t="s">
        <v>116</v>
      </c>
      <c r="F1522" s="136">
        <v>41684</v>
      </c>
      <c r="G1522" s="139" t="s">
        <v>1954</v>
      </c>
      <c r="H1522" s="140"/>
      <c r="I1522" s="141">
        <v>2</v>
      </c>
      <c r="J1522" s="142">
        <v>5274</v>
      </c>
      <c r="K1522" s="142">
        <v>10548</v>
      </c>
      <c r="L1522" s="611"/>
      <c r="M1522" s="626"/>
      <c r="N1522" s="143"/>
      <c r="O1522" s="144"/>
      <c r="P1522" s="144"/>
      <c r="Q1522" s="144"/>
      <c r="R1522" s="144"/>
      <c r="S1522" s="144"/>
      <c r="T1522" s="144"/>
      <c r="U1522" s="144"/>
      <c r="V1522" s="144"/>
      <c r="W1522" s="144"/>
      <c r="X1522" s="144"/>
      <c r="Y1522" s="144"/>
      <c r="Z1522" s="144"/>
      <c r="AA1522" s="144"/>
      <c r="AB1522" s="144"/>
    </row>
    <row r="1523" spans="1:28" s="145" customFormat="1" ht="15" customHeight="1" outlineLevel="1" x14ac:dyDescent="0.2">
      <c r="A1523" s="135">
        <v>28</v>
      </c>
      <c r="B1523" s="135">
        <v>86484</v>
      </c>
      <c r="C1523" s="137" t="s">
        <v>2020</v>
      </c>
      <c r="D1523" s="135" t="s">
        <v>1975</v>
      </c>
      <c r="E1523" s="138" t="s">
        <v>115</v>
      </c>
      <c r="F1523" s="136">
        <v>41646</v>
      </c>
      <c r="G1523" s="139" t="s">
        <v>404</v>
      </c>
      <c r="H1523" s="140" t="s">
        <v>2021</v>
      </c>
      <c r="I1523" s="141">
        <v>1</v>
      </c>
      <c r="J1523" s="142">
        <v>33370</v>
      </c>
      <c r="K1523" s="169">
        <v>33370</v>
      </c>
      <c r="L1523" s="611"/>
      <c r="M1523" s="626"/>
      <c r="N1523" s="143"/>
      <c r="O1523" s="144"/>
      <c r="P1523" s="144"/>
      <c r="Q1523" s="144"/>
      <c r="R1523" s="144"/>
      <c r="S1523" s="144"/>
      <c r="T1523" s="144"/>
      <c r="U1523" s="144"/>
      <c r="V1523" s="144"/>
      <c r="W1523" s="144"/>
      <c r="X1523" s="144"/>
      <c r="Y1523" s="144"/>
      <c r="Z1523" s="144"/>
      <c r="AA1523" s="144"/>
      <c r="AB1523" s="144"/>
    </row>
    <row r="1524" spans="1:28" s="145" customFormat="1" ht="15" customHeight="1" outlineLevel="1" x14ac:dyDescent="0.2">
      <c r="A1524" s="135">
        <v>29</v>
      </c>
      <c r="B1524" s="135">
        <v>97340</v>
      </c>
      <c r="C1524" s="137" t="s">
        <v>2022</v>
      </c>
      <c r="D1524" s="135" t="s">
        <v>572</v>
      </c>
      <c r="E1524" s="138" t="s">
        <v>116</v>
      </c>
      <c r="F1524" s="136">
        <v>41690</v>
      </c>
      <c r="G1524" s="139" t="s">
        <v>417</v>
      </c>
      <c r="H1524" s="140" t="s">
        <v>489</v>
      </c>
      <c r="I1524" s="141">
        <v>1</v>
      </c>
      <c r="J1524" s="142">
        <v>5274</v>
      </c>
      <c r="K1524" s="142">
        <v>5274</v>
      </c>
      <c r="L1524" s="611"/>
      <c r="M1524" s="626"/>
      <c r="N1524" s="143"/>
      <c r="O1524" s="144"/>
      <c r="P1524" s="144"/>
      <c r="Q1524" s="144"/>
      <c r="R1524" s="144"/>
      <c r="S1524" s="144"/>
      <c r="T1524" s="144"/>
      <c r="U1524" s="144"/>
      <c r="V1524" s="144"/>
      <c r="W1524" s="144"/>
      <c r="X1524" s="144"/>
      <c r="Y1524" s="144"/>
      <c r="Z1524" s="144"/>
      <c r="AA1524" s="144"/>
      <c r="AB1524" s="144"/>
    </row>
    <row r="1525" spans="1:28" s="145" customFormat="1" ht="15" customHeight="1" outlineLevel="1" x14ac:dyDescent="0.2">
      <c r="A1525" s="135">
        <v>30</v>
      </c>
      <c r="B1525" s="135">
        <v>97715</v>
      </c>
      <c r="C1525" s="137" t="s">
        <v>2023</v>
      </c>
      <c r="D1525" s="135" t="s">
        <v>572</v>
      </c>
      <c r="E1525" s="138" t="s">
        <v>116</v>
      </c>
      <c r="F1525" s="136">
        <v>41694</v>
      </c>
      <c r="G1525" s="139" t="s">
        <v>511</v>
      </c>
      <c r="H1525" s="140" t="s">
        <v>489</v>
      </c>
      <c r="I1525" s="141">
        <v>1</v>
      </c>
      <c r="J1525" s="142">
        <v>5274</v>
      </c>
      <c r="K1525" s="142">
        <v>5274</v>
      </c>
      <c r="L1525" s="611"/>
      <c r="M1525" s="626"/>
      <c r="N1525" s="143"/>
      <c r="O1525" s="144"/>
      <c r="P1525" s="144"/>
      <c r="Q1525" s="144"/>
      <c r="R1525" s="144"/>
      <c r="S1525" s="144"/>
      <c r="T1525" s="144"/>
      <c r="U1525" s="144"/>
      <c r="V1525" s="144"/>
      <c r="W1525" s="144"/>
      <c r="X1525" s="144"/>
      <c r="Y1525" s="144"/>
      <c r="Z1525" s="144"/>
      <c r="AA1525" s="144"/>
      <c r="AB1525" s="144"/>
    </row>
    <row r="1526" spans="1:28" s="145" customFormat="1" ht="15" customHeight="1" outlineLevel="1" x14ac:dyDescent="0.2">
      <c r="A1526" s="135">
        <v>31</v>
      </c>
      <c r="B1526" s="135">
        <v>96255</v>
      </c>
      <c r="C1526" s="137" t="s">
        <v>2024</v>
      </c>
      <c r="D1526" s="135" t="s">
        <v>572</v>
      </c>
      <c r="E1526" s="138" t="s">
        <v>537</v>
      </c>
      <c r="F1526" s="136">
        <v>41683</v>
      </c>
      <c r="G1526" s="139" t="s">
        <v>527</v>
      </c>
      <c r="H1526" s="140" t="s">
        <v>563</v>
      </c>
      <c r="I1526" s="141">
        <v>1</v>
      </c>
      <c r="J1526" s="142">
        <v>30429</v>
      </c>
      <c r="K1526" s="142">
        <v>30429</v>
      </c>
      <c r="L1526" s="611"/>
      <c r="M1526" s="626"/>
      <c r="N1526" s="143"/>
      <c r="O1526" s="144"/>
      <c r="P1526" s="144"/>
      <c r="Q1526" s="144"/>
      <c r="R1526" s="144"/>
      <c r="S1526" s="144"/>
      <c r="T1526" s="144"/>
      <c r="U1526" s="144"/>
      <c r="V1526" s="144"/>
      <c r="W1526" s="144"/>
      <c r="X1526" s="144"/>
      <c r="Y1526" s="144"/>
      <c r="Z1526" s="144"/>
      <c r="AA1526" s="144"/>
      <c r="AB1526" s="144"/>
    </row>
    <row r="1527" spans="1:28" s="145" customFormat="1" ht="15" customHeight="1" outlineLevel="1" x14ac:dyDescent="0.2">
      <c r="A1527" s="135">
        <v>32</v>
      </c>
      <c r="B1527" s="135">
        <v>95671</v>
      </c>
      <c r="C1527" s="137" t="s">
        <v>2025</v>
      </c>
      <c r="D1527" s="135" t="s">
        <v>572</v>
      </c>
      <c r="E1527" s="138" t="s">
        <v>537</v>
      </c>
      <c r="F1527" s="136">
        <v>41682</v>
      </c>
      <c r="G1527" s="139" t="s">
        <v>562</v>
      </c>
      <c r="H1527" s="140" t="s">
        <v>563</v>
      </c>
      <c r="I1527" s="141">
        <v>1</v>
      </c>
      <c r="J1527" s="142">
        <v>30429</v>
      </c>
      <c r="K1527" s="142">
        <v>30429</v>
      </c>
      <c r="L1527" s="611"/>
      <c r="M1527" s="626"/>
      <c r="N1527" s="143"/>
      <c r="O1527" s="144"/>
      <c r="P1527" s="144"/>
      <c r="Q1527" s="144"/>
      <c r="R1527" s="144"/>
      <c r="S1527" s="144"/>
      <c r="T1527" s="144"/>
      <c r="U1527" s="144"/>
      <c r="V1527" s="144"/>
      <c r="W1527" s="144"/>
      <c r="X1527" s="144"/>
      <c r="Y1527" s="144"/>
      <c r="Z1527" s="144"/>
      <c r="AA1527" s="144"/>
      <c r="AB1527" s="144"/>
    </row>
    <row r="1528" spans="1:28" s="145" customFormat="1" ht="15" customHeight="1" outlineLevel="1" x14ac:dyDescent="0.2">
      <c r="A1528" s="135">
        <v>33</v>
      </c>
      <c r="B1528" s="135">
        <v>96569</v>
      </c>
      <c r="C1528" s="137" t="s">
        <v>2026</v>
      </c>
      <c r="D1528" s="135" t="s">
        <v>1981</v>
      </c>
      <c r="E1528" s="138" t="s">
        <v>197</v>
      </c>
      <c r="F1528" s="136">
        <v>41684</v>
      </c>
      <c r="G1528" s="139" t="s">
        <v>2015</v>
      </c>
      <c r="H1528" s="140"/>
      <c r="I1528" s="141">
        <v>6</v>
      </c>
      <c r="J1528" s="142">
        <v>2739</v>
      </c>
      <c r="K1528" s="142">
        <v>16434</v>
      </c>
      <c r="L1528" s="611"/>
      <c r="M1528" s="626"/>
      <c r="N1528" s="143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</row>
    <row r="1529" spans="1:28" s="145" customFormat="1" ht="15" customHeight="1" outlineLevel="1" x14ac:dyDescent="0.2">
      <c r="A1529" s="135">
        <v>34</v>
      </c>
      <c r="B1529" s="135">
        <v>96739</v>
      </c>
      <c r="C1529" s="137" t="s">
        <v>2027</v>
      </c>
      <c r="D1529" s="135" t="s">
        <v>572</v>
      </c>
      <c r="E1529" s="138" t="s">
        <v>116</v>
      </c>
      <c r="F1529" s="136">
        <v>41689</v>
      </c>
      <c r="G1529" s="139" t="s">
        <v>562</v>
      </c>
      <c r="H1529" s="140" t="s">
        <v>489</v>
      </c>
      <c r="I1529" s="141">
        <v>1</v>
      </c>
      <c r="J1529" s="142">
        <v>5274</v>
      </c>
      <c r="K1529" s="142">
        <v>5274</v>
      </c>
      <c r="L1529" s="612"/>
      <c r="M1529" s="627"/>
      <c r="N1529" s="143"/>
      <c r="O1529" s="144"/>
      <c r="P1529" s="144"/>
      <c r="Q1529" s="144"/>
      <c r="R1529" s="144"/>
      <c r="S1529" s="144"/>
      <c r="T1529" s="144"/>
      <c r="U1529" s="144"/>
      <c r="V1529" s="144"/>
      <c r="W1529" s="144"/>
      <c r="X1529" s="144"/>
      <c r="Y1529" s="144"/>
      <c r="Z1529" s="144"/>
      <c r="AA1529" s="144"/>
      <c r="AB1529" s="144"/>
    </row>
    <row r="1530" spans="1:28" s="134" customFormat="1" ht="15" customHeight="1" outlineLevel="1" x14ac:dyDescent="0.2">
      <c r="A1530" s="122">
        <v>0</v>
      </c>
      <c r="B1530" s="122">
        <v>98846</v>
      </c>
      <c r="C1530" s="124" t="s">
        <v>2028</v>
      </c>
      <c r="D1530" s="122" t="s">
        <v>1978</v>
      </c>
      <c r="E1530" s="125" t="s">
        <v>537</v>
      </c>
      <c r="F1530" s="123">
        <v>41695</v>
      </c>
      <c r="G1530" s="126" t="s">
        <v>527</v>
      </c>
      <c r="H1530" s="127" t="s">
        <v>554</v>
      </c>
      <c r="I1530" s="128">
        <v>1</v>
      </c>
      <c r="J1530" s="129">
        <v>30429</v>
      </c>
      <c r="K1530" s="207">
        <v>30429</v>
      </c>
      <c r="L1530" s="600" t="s">
        <v>581</v>
      </c>
      <c r="M1530" s="168" t="s">
        <v>42</v>
      </c>
      <c r="N1530" s="132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</row>
    <row r="1531" spans="1:28" s="134" customFormat="1" ht="15" customHeight="1" outlineLevel="1" x14ac:dyDescent="0.2">
      <c r="A1531" s="122">
        <v>1</v>
      </c>
      <c r="B1531" s="122">
        <v>3454</v>
      </c>
      <c r="C1531" s="124" t="s">
        <v>2029</v>
      </c>
      <c r="D1531" s="122" t="s">
        <v>572</v>
      </c>
      <c r="E1531" s="125" t="s">
        <v>223</v>
      </c>
      <c r="F1531" s="123">
        <v>41717</v>
      </c>
      <c r="G1531" s="126" t="s">
        <v>371</v>
      </c>
      <c r="H1531" s="127" t="s">
        <v>489</v>
      </c>
      <c r="I1531" s="128">
        <v>1</v>
      </c>
      <c r="J1531" s="129">
        <v>40572</v>
      </c>
      <c r="K1531" s="129">
        <v>40572</v>
      </c>
      <c r="L1531" s="601"/>
      <c r="M1531" s="168" t="s">
        <v>42</v>
      </c>
      <c r="N1531" s="132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</row>
    <row r="1532" spans="1:28" s="134" customFormat="1" ht="15" customHeight="1" outlineLevel="1" x14ac:dyDescent="0.2">
      <c r="A1532" s="122">
        <v>2</v>
      </c>
      <c r="B1532" s="122">
        <v>3875</v>
      </c>
      <c r="C1532" s="124" t="s">
        <v>2030</v>
      </c>
      <c r="D1532" s="122" t="s">
        <v>572</v>
      </c>
      <c r="E1532" s="125" t="s">
        <v>115</v>
      </c>
      <c r="F1532" s="123">
        <v>41718</v>
      </c>
      <c r="G1532" s="126" t="s">
        <v>445</v>
      </c>
      <c r="H1532" s="127" t="s">
        <v>563</v>
      </c>
      <c r="I1532" s="128">
        <v>1</v>
      </c>
      <c r="J1532" s="129">
        <v>33370</v>
      </c>
      <c r="K1532" s="129">
        <v>33370</v>
      </c>
      <c r="L1532" s="601"/>
      <c r="M1532" s="168" t="s">
        <v>42</v>
      </c>
      <c r="N1532" s="132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</row>
    <row r="1533" spans="1:28" s="134" customFormat="1" ht="26.25" customHeight="1" outlineLevel="1" x14ac:dyDescent="0.2">
      <c r="A1533" s="122">
        <v>3</v>
      </c>
      <c r="B1533" s="122">
        <v>87257</v>
      </c>
      <c r="C1533" s="124" t="s">
        <v>2031</v>
      </c>
      <c r="D1533" s="122" t="s">
        <v>1988</v>
      </c>
      <c r="E1533" s="125" t="s">
        <v>192</v>
      </c>
      <c r="F1533" s="123">
        <v>41648</v>
      </c>
      <c r="G1533" s="126" t="s">
        <v>400</v>
      </c>
      <c r="H1533" s="127" t="s">
        <v>2032</v>
      </c>
      <c r="I1533" s="128">
        <v>2</v>
      </c>
      <c r="J1533" s="129">
        <v>57960</v>
      </c>
      <c r="K1533" s="216" t="s">
        <v>2033</v>
      </c>
      <c r="L1533" s="601"/>
      <c r="M1533" s="168" t="s">
        <v>42</v>
      </c>
      <c r="N1533" s="132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</row>
    <row r="1534" spans="1:28" s="134" customFormat="1" ht="15" customHeight="1" outlineLevel="1" x14ac:dyDescent="0.2">
      <c r="A1534" s="122">
        <v>4</v>
      </c>
      <c r="B1534" s="122">
        <v>4496</v>
      </c>
      <c r="C1534" s="124" t="s">
        <v>2034</v>
      </c>
      <c r="D1534" s="122" t="s">
        <v>1975</v>
      </c>
      <c r="E1534" s="125" t="s">
        <v>682</v>
      </c>
      <c r="F1534" s="123">
        <v>41722</v>
      </c>
      <c r="G1534" s="126" t="s">
        <v>371</v>
      </c>
      <c r="H1534" s="127" t="s">
        <v>2035</v>
      </c>
      <c r="I1534" s="128">
        <v>1</v>
      </c>
      <c r="J1534" s="129">
        <v>55058</v>
      </c>
      <c r="K1534" s="129">
        <v>55058</v>
      </c>
      <c r="L1534" s="601"/>
      <c r="M1534" s="168" t="s">
        <v>42</v>
      </c>
      <c r="N1534" s="132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</row>
    <row r="1535" spans="1:28" s="134" customFormat="1" ht="15" customHeight="1" outlineLevel="1" x14ac:dyDescent="0.2">
      <c r="A1535" s="122">
        <v>5</v>
      </c>
      <c r="B1535" s="122">
        <v>98204</v>
      </c>
      <c r="C1535" s="124" t="s">
        <v>2036</v>
      </c>
      <c r="D1535" s="122" t="s">
        <v>2013</v>
      </c>
      <c r="E1535" s="125" t="s">
        <v>580</v>
      </c>
      <c r="F1535" s="123">
        <v>41696</v>
      </c>
      <c r="G1535" s="126" t="s">
        <v>371</v>
      </c>
      <c r="H1535" s="127"/>
      <c r="I1535" s="128">
        <v>1</v>
      </c>
      <c r="J1535" s="129">
        <v>25800</v>
      </c>
      <c r="K1535" s="207">
        <v>25800</v>
      </c>
      <c r="L1535" s="601"/>
      <c r="M1535" s="168" t="s">
        <v>42</v>
      </c>
      <c r="N1535" s="132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</row>
    <row r="1536" spans="1:28" s="134" customFormat="1" ht="15" customHeight="1" outlineLevel="1" x14ac:dyDescent="0.2">
      <c r="A1536" s="122">
        <v>6</v>
      </c>
      <c r="B1536" s="122">
        <v>1881</v>
      </c>
      <c r="C1536" s="124" t="s">
        <v>2037</v>
      </c>
      <c r="D1536" s="122" t="s">
        <v>1975</v>
      </c>
      <c r="E1536" s="125" t="s">
        <v>188</v>
      </c>
      <c r="F1536" s="123">
        <v>41715</v>
      </c>
      <c r="G1536" s="126" t="s">
        <v>1880</v>
      </c>
      <c r="H1536" s="127" t="s">
        <v>1994</v>
      </c>
      <c r="I1536" s="128">
        <v>4</v>
      </c>
      <c r="J1536" s="129">
        <v>42601</v>
      </c>
      <c r="K1536" s="129">
        <v>170404</v>
      </c>
      <c r="L1536" s="601"/>
      <c r="M1536" s="168" t="s">
        <v>42</v>
      </c>
      <c r="N1536" s="132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</row>
    <row r="1537" spans="1:28" s="134" customFormat="1" ht="15" customHeight="1" outlineLevel="1" x14ac:dyDescent="0.2">
      <c r="A1537" s="122">
        <v>7</v>
      </c>
      <c r="B1537" s="122">
        <v>96410</v>
      </c>
      <c r="C1537" s="124" t="s">
        <v>2038</v>
      </c>
      <c r="D1537" s="122" t="s">
        <v>2039</v>
      </c>
      <c r="E1537" s="125" t="s">
        <v>580</v>
      </c>
      <c r="F1537" s="123">
        <v>41684</v>
      </c>
      <c r="G1537" s="126" t="s">
        <v>371</v>
      </c>
      <c r="H1537" s="127"/>
      <c r="I1537" s="128">
        <v>1</v>
      </c>
      <c r="J1537" s="129">
        <v>25800</v>
      </c>
      <c r="K1537" s="207">
        <v>25800</v>
      </c>
      <c r="L1537" s="601"/>
      <c r="M1537" s="168" t="s">
        <v>42</v>
      </c>
      <c r="N1537" s="132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</row>
    <row r="1538" spans="1:28" s="134" customFormat="1" ht="15" customHeight="1" outlineLevel="1" x14ac:dyDescent="0.2">
      <c r="A1538" s="122">
        <v>8</v>
      </c>
      <c r="B1538" s="122">
        <v>70348</v>
      </c>
      <c r="C1538" s="124" t="s">
        <v>2040</v>
      </c>
      <c r="D1538" s="122" t="s">
        <v>862</v>
      </c>
      <c r="E1538" s="125" t="s">
        <v>210</v>
      </c>
      <c r="F1538" s="123">
        <v>41589</v>
      </c>
      <c r="G1538" s="126" t="s">
        <v>511</v>
      </c>
      <c r="H1538" s="127"/>
      <c r="I1538" s="128">
        <v>1</v>
      </c>
      <c r="J1538" s="129">
        <v>14099</v>
      </c>
      <c r="K1538" s="210" t="s">
        <v>1015</v>
      </c>
      <c r="L1538" s="601"/>
      <c r="M1538" s="168" t="s">
        <v>42</v>
      </c>
      <c r="N1538" s="132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</row>
    <row r="1539" spans="1:28" s="134" customFormat="1" ht="15" customHeight="1" outlineLevel="1" x14ac:dyDescent="0.2">
      <c r="A1539" s="122">
        <v>9</v>
      </c>
      <c r="B1539" s="122">
        <v>97054</v>
      </c>
      <c r="C1539" s="124" t="s">
        <v>2041</v>
      </c>
      <c r="D1539" s="122" t="s">
        <v>572</v>
      </c>
      <c r="E1539" s="125" t="s">
        <v>115</v>
      </c>
      <c r="F1539" s="123">
        <v>41689</v>
      </c>
      <c r="G1539" s="126" t="s">
        <v>417</v>
      </c>
      <c r="H1539" s="127" t="s">
        <v>583</v>
      </c>
      <c r="I1539" s="128">
        <v>1</v>
      </c>
      <c r="J1539" s="129">
        <v>33370</v>
      </c>
      <c r="K1539" s="207">
        <v>33370</v>
      </c>
      <c r="L1539" s="601"/>
      <c r="M1539" s="168" t="s">
        <v>42</v>
      </c>
      <c r="N1539" s="132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</row>
    <row r="1540" spans="1:28" s="134" customFormat="1" ht="15" customHeight="1" outlineLevel="1" x14ac:dyDescent="0.2">
      <c r="A1540" s="122">
        <v>10</v>
      </c>
      <c r="B1540" s="122">
        <v>83585</v>
      </c>
      <c r="C1540" s="124" t="s">
        <v>2042</v>
      </c>
      <c r="D1540" s="122" t="s">
        <v>1978</v>
      </c>
      <c r="E1540" s="125" t="s">
        <v>116</v>
      </c>
      <c r="F1540" s="123">
        <v>41632</v>
      </c>
      <c r="G1540" s="126" t="s">
        <v>562</v>
      </c>
      <c r="H1540" s="127" t="s">
        <v>489</v>
      </c>
      <c r="I1540" s="128">
        <v>1</v>
      </c>
      <c r="J1540" s="129">
        <v>5274</v>
      </c>
      <c r="K1540" s="210" t="s">
        <v>1015</v>
      </c>
      <c r="L1540" s="601"/>
      <c r="M1540" s="168" t="s">
        <v>42</v>
      </c>
      <c r="N1540" s="132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</row>
    <row r="1541" spans="1:28" s="134" customFormat="1" ht="15" customHeight="1" outlineLevel="1" x14ac:dyDescent="0.2">
      <c r="A1541" s="122">
        <v>11</v>
      </c>
      <c r="B1541" s="122">
        <v>99097</v>
      </c>
      <c r="C1541" s="124" t="s">
        <v>807</v>
      </c>
      <c r="D1541" s="122" t="s">
        <v>572</v>
      </c>
      <c r="E1541" s="125" t="s">
        <v>115</v>
      </c>
      <c r="F1541" s="123">
        <v>41698</v>
      </c>
      <c r="G1541" s="126" t="s">
        <v>442</v>
      </c>
      <c r="H1541" s="127" t="s">
        <v>642</v>
      </c>
      <c r="I1541" s="128">
        <v>1</v>
      </c>
      <c r="J1541" s="129">
        <v>33370</v>
      </c>
      <c r="K1541" s="207">
        <v>33370</v>
      </c>
      <c r="L1541" s="601"/>
      <c r="M1541" s="168" t="s">
        <v>42</v>
      </c>
      <c r="N1541" s="132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</row>
    <row r="1542" spans="1:28" s="134" customFormat="1" ht="15" customHeight="1" outlineLevel="1" x14ac:dyDescent="0.2">
      <c r="A1542" s="122">
        <v>12</v>
      </c>
      <c r="B1542" s="122">
        <v>97691</v>
      </c>
      <c r="C1542" s="124" t="s">
        <v>2043</v>
      </c>
      <c r="D1542" s="122" t="s">
        <v>572</v>
      </c>
      <c r="E1542" s="125" t="s">
        <v>116</v>
      </c>
      <c r="F1542" s="123">
        <v>41694</v>
      </c>
      <c r="G1542" s="126" t="s">
        <v>472</v>
      </c>
      <c r="H1542" s="127" t="s">
        <v>489</v>
      </c>
      <c r="I1542" s="128">
        <v>1</v>
      </c>
      <c r="J1542" s="129">
        <v>5274</v>
      </c>
      <c r="K1542" s="207">
        <v>5274</v>
      </c>
      <c r="L1542" s="601"/>
      <c r="M1542" s="168" t="s">
        <v>42</v>
      </c>
      <c r="N1542" s="132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</row>
    <row r="1543" spans="1:28" s="134" customFormat="1" ht="15" customHeight="1" outlineLevel="1" x14ac:dyDescent="0.2">
      <c r="A1543" s="122">
        <v>13</v>
      </c>
      <c r="B1543" s="122">
        <v>82237</v>
      </c>
      <c r="C1543" s="124" t="s">
        <v>2044</v>
      </c>
      <c r="D1543" s="122" t="s">
        <v>1988</v>
      </c>
      <c r="E1543" s="125" t="s">
        <v>115</v>
      </c>
      <c r="F1543" s="123">
        <v>41667</v>
      </c>
      <c r="G1543" s="126" t="s">
        <v>1356</v>
      </c>
      <c r="H1543" s="127" t="s">
        <v>563</v>
      </c>
      <c r="I1543" s="128">
        <v>2</v>
      </c>
      <c r="J1543" s="129">
        <v>33370</v>
      </c>
      <c r="K1543" s="207">
        <v>66740</v>
      </c>
      <c r="L1543" s="601"/>
      <c r="M1543" s="168" t="s">
        <v>42</v>
      </c>
      <c r="N1543" s="132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</row>
    <row r="1544" spans="1:28" s="134" customFormat="1" ht="15" customHeight="1" outlineLevel="1" x14ac:dyDescent="0.2">
      <c r="A1544" s="122">
        <v>14</v>
      </c>
      <c r="B1544" s="122">
        <v>96132</v>
      </c>
      <c r="C1544" s="124" t="s">
        <v>2045</v>
      </c>
      <c r="D1544" s="122" t="s">
        <v>1981</v>
      </c>
      <c r="E1544" s="125" t="s">
        <v>580</v>
      </c>
      <c r="F1544" s="123">
        <v>41684</v>
      </c>
      <c r="G1544" s="126" t="s">
        <v>371</v>
      </c>
      <c r="H1544" s="127"/>
      <c r="I1544" s="128">
        <v>1</v>
      </c>
      <c r="J1544" s="129">
        <v>25800</v>
      </c>
      <c r="K1544" s="210" t="s">
        <v>1570</v>
      </c>
      <c r="L1544" s="601"/>
      <c r="M1544" s="168" t="s">
        <v>42</v>
      </c>
      <c r="N1544" s="132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</row>
    <row r="1545" spans="1:28" s="134" customFormat="1" ht="15" customHeight="1" outlineLevel="1" x14ac:dyDescent="0.2">
      <c r="A1545" s="122">
        <v>15</v>
      </c>
      <c r="B1545" s="122">
        <v>96065</v>
      </c>
      <c r="C1545" s="124" t="s">
        <v>2046</v>
      </c>
      <c r="D1545" s="122" t="s">
        <v>1998</v>
      </c>
      <c r="E1545" s="125" t="s">
        <v>580</v>
      </c>
      <c r="F1545" s="123">
        <v>41683</v>
      </c>
      <c r="G1545" s="126" t="s">
        <v>371</v>
      </c>
      <c r="H1545" s="127"/>
      <c r="I1545" s="128">
        <v>1</v>
      </c>
      <c r="J1545" s="129">
        <v>25800</v>
      </c>
      <c r="K1545" s="207">
        <v>25800</v>
      </c>
      <c r="L1545" s="602"/>
      <c r="M1545" s="168" t="s">
        <v>42</v>
      </c>
      <c r="N1545" s="132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</row>
    <row r="1546" spans="1:28" s="134" customFormat="1" ht="69" customHeight="1" outlineLevel="1" x14ac:dyDescent="0.2">
      <c r="A1546" s="122">
        <v>1</v>
      </c>
      <c r="B1546" s="122">
        <v>31409</v>
      </c>
      <c r="C1546" s="124" t="s">
        <v>2034</v>
      </c>
      <c r="D1546" s="122" t="s">
        <v>1975</v>
      </c>
      <c r="E1546" s="125" t="s">
        <v>682</v>
      </c>
      <c r="F1546" s="123">
        <v>41820</v>
      </c>
      <c r="G1546" s="126" t="s">
        <v>369</v>
      </c>
      <c r="H1546" s="127"/>
      <c r="I1546" s="128">
        <v>1</v>
      </c>
      <c r="J1546" s="129">
        <v>55058</v>
      </c>
      <c r="K1546" s="129">
        <v>55058</v>
      </c>
      <c r="L1546" s="130" t="s">
        <v>608</v>
      </c>
      <c r="M1546" s="187" t="s">
        <v>42</v>
      </c>
      <c r="N1546" s="132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</row>
    <row r="1547" spans="1:28" s="134" customFormat="1" ht="15" customHeight="1" outlineLevel="1" x14ac:dyDescent="0.2">
      <c r="A1547" s="122">
        <v>1</v>
      </c>
      <c r="B1547" s="122">
        <v>39147</v>
      </c>
      <c r="C1547" s="124" t="s">
        <v>2047</v>
      </c>
      <c r="D1547" s="122" t="s">
        <v>1978</v>
      </c>
      <c r="E1547" s="125" t="s">
        <v>188</v>
      </c>
      <c r="F1547" s="123">
        <v>41850</v>
      </c>
      <c r="G1547" s="126" t="s">
        <v>442</v>
      </c>
      <c r="H1547" s="127" t="s">
        <v>1903</v>
      </c>
      <c r="I1547" s="128">
        <v>1</v>
      </c>
      <c r="J1547" s="129">
        <v>42601</v>
      </c>
      <c r="K1547" s="129" t="s">
        <v>2048</v>
      </c>
      <c r="L1547" s="189" t="s">
        <v>760</v>
      </c>
      <c r="M1547" s="187" t="s">
        <v>42</v>
      </c>
      <c r="N1547" s="132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</row>
    <row r="1548" spans="1:28" s="134" customFormat="1" ht="15" customHeight="1" outlineLevel="1" x14ac:dyDescent="0.2">
      <c r="A1548" s="122">
        <v>1</v>
      </c>
      <c r="B1548" s="122">
        <v>42117</v>
      </c>
      <c r="C1548" s="124" t="s">
        <v>2049</v>
      </c>
      <c r="D1548" s="122" t="s">
        <v>1975</v>
      </c>
      <c r="E1548" s="125" t="s">
        <v>682</v>
      </c>
      <c r="F1548" s="123">
        <v>41862</v>
      </c>
      <c r="G1548" s="126" t="s">
        <v>371</v>
      </c>
      <c r="H1548" s="127"/>
      <c r="I1548" s="128">
        <v>1</v>
      </c>
      <c r="J1548" s="129">
        <v>55058</v>
      </c>
      <c r="K1548" s="129">
        <v>55058</v>
      </c>
      <c r="L1548" s="189" t="s">
        <v>788</v>
      </c>
      <c r="M1548" s="187" t="s">
        <v>42</v>
      </c>
      <c r="N1548" s="132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L853:L878"/>
    <mergeCell ref="L889:L911"/>
    <mergeCell ref="L784:L810"/>
    <mergeCell ref="L811:L852"/>
    <mergeCell ref="M811:M852"/>
    <mergeCell ref="M889:M911"/>
    <mergeCell ref="K422:K423"/>
    <mergeCell ref="L425:L450"/>
    <mergeCell ref="L502:L542"/>
    <mergeCell ref="L750:L783"/>
    <mergeCell ref="M750:M783"/>
    <mergeCell ref="L649:L676"/>
    <mergeCell ref="M649:M676"/>
    <mergeCell ref="L677:L704"/>
    <mergeCell ref="M677:M704"/>
    <mergeCell ref="L705:L749"/>
    <mergeCell ref="M705:M749"/>
    <mergeCell ref="M502:M542"/>
    <mergeCell ref="L592:L648"/>
    <mergeCell ref="M592:M648"/>
    <mergeCell ref="L946:L969"/>
    <mergeCell ref="M946:M969"/>
    <mergeCell ref="L995:L1001"/>
    <mergeCell ref="L1200:L1206"/>
    <mergeCell ref="L1017:L1033"/>
    <mergeCell ref="L1055:L1096"/>
    <mergeCell ref="L1002:L1016"/>
    <mergeCell ref="L1243:L1259"/>
    <mergeCell ref="L1289:L1313"/>
    <mergeCell ref="L1508:L1529"/>
    <mergeCell ref="M1508:M1529"/>
    <mergeCell ref="L1314:L1353"/>
    <mergeCell ref="L1461:L1474"/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topLeftCell="A902" workbookViewId="0">
      <selection activeCell="C925" sqref="C925"/>
    </sheetView>
  </sheetViews>
  <sheetFormatPr baseColWidth="10" defaultRowHeight="12.75" outlineLevelRow="1" x14ac:dyDescent="0.25"/>
  <cols>
    <col min="1" max="1" width="5" style="217" customWidth="1"/>
    <col min="2" max="2" width="7.85546875" style="217" customWidth="1"/>
    <col min="3" max="3" width="22.42578125" style="217" customWidth="1"/>
    <col min="4" max="4" width="11.28515625" style="217" customWidth="1"/>
    <col min="5" max="5" width="24" style="217" customWidth="1"/>
    <col min="6" max="6" width="10.85546875" style="217" customWidth="1"/>
    <col min="7" max="7" width="9" style="217" customWidth="1"/>
    <col min="8" max="8" width="13" style="217" customWidth="1"/>
    <col min="9" max="9" width="5.28515625" style="217" customWidth="1"/>
    <col min="10" max="10" width="11.7109375" style="217" customWidth="1"/>
    <col min="11" max="11" width="13.5703125" style="217" customWidth="1"/>
    <col min="12" max="12" width="13.5703125" style="316" customWidth="1"/>
    <col min="13" max="13" width="23" style="316" customWidth="1"/>
    <col min="14" max="16384" width="11.42578125" style="217"/>
  </cols>
  <sheetData>
    <row r="1" spans="1:13" ht="15" customHeight="1" collapsed="1" x14ac:dyDescent="0.2">
      <c r="A1" s="220"/>
      <c r="B1" s="220"/>
      <c r="C1" s="220"/>
      <c r="D1" s="220"/>
      <c r="E1" s="220"/>
      <c r="F1" s="220"/>
      <c r="G1" s="220"/>
      <c r="H1" s="220"/>
      <c r="I1" s="220"/>
      <c r="J1" s="220"/>
      <c r="K1" s="221"/>
      <c r="L1" s="221"/>
      <c r="M1" s="222"/>
    </row>
    <row r="2" spans="1:13" ht="28.5" customHeight="1" x14ac:dyDescent="0.25">
      <c r="A2" s="652" t="s">
        <v>2050</v>
      </c>
      <c r="B2" s="652"/>
      <c r="C2" s="652"/>
      <c r="D2" s="652"/>
      <c r="E2" s="652"/>
      <c r="F2" s="652"/>
      <c r="G2" s="652"/>
      <c r="H2" s="652"/>
      <c r="I2" s="652"/>
      <c r="J2" s="652"/>
      <c r="K2" s="652"/>
      <c r="L2" s="652"/>
      <c r="M2" s="652"/>
    </row>
    <row r="3" spans="1:13" ht="18.75" customHeight="1" x14ac:dyDescent="0.25">
      <c r="A3" s="223" t="s">
        <v>2051</v>
      </c>
      <c r="B3" s="223" t="s">
        <v>97</v>
      </c>
      <c r="C3" s="223" t="s">
        <v>2052</v>
      </c>
      <c r="D3" s="223" t="s">
        <v>2053</v>
      </c>
      <c r="E3" s="223" t="s">
        <v>2054</v>
      </c>
      <c r="F3" s="223" t="s">
        <v>2055</v>
      </c>
      <c r="G3" s="223" t="s">
        <v>2056</v>
      </c>
      <c r="H3" s="224" t="s">
        <v>2057</v>
      </c>
      <c r="I3" s="223" t="s">
        <v>2058</v>
      </c>
      <c r="J3" s="223" t="s">
        <v>2059</v>
      </c>
      <c r="K3" s="223" t="s">
        <v>2060</v>
      </c>
      <c r="L3" s="223" t="s">
        <v>2061</v>
      </c>
      <c r="M3" s="223" t="s">
        <v>0</v>
      </c>
    </row>
    <row r="4" spans="1:13" s="227" customFormat="1" ht="15" customHeight="1" x14ac:dyDescent="0.25">
      <c r="A4" s="174">
        <v>1</v>
      </c>
      <c r="B4" s="174">
        <v>33782</v>
      </c>
      <c r="C4" s="172" t="s">
        <v>2062</v>
      </c>
      <c r="D4" s="174" t="s">
        <v>724</v>
      </c>
      <c r="E4" s="172" t="s">
        <v>197</v>
      </c>
      <c r="F4" s="177" t="s">
        <v>2063</v>
      </c>
      <c r="G4" s="177"/>
      <c r="H4" s="175">
        <v>41437</v>
      </c>
      <c r="I4" s="174">
        <v>13</v>
      </c>
      <c r="J4" s="225">
        <v>2739</v>
      </c>
      <c r="K4" s="225">
        <v>35607</v>
      </c>
      <c r="L4" s="226" t="s">
        <v>608</v>
      </c>
      <c r="M4" s="130" t="s">
        <v>21</v>
      </c>
    </row>
    <row r="5" spans="1:13" s="227" customFormat="1" ht="15" customHeight="1" x14ac:dyDescent="0.25">
      <c r="A5" s="174">
        <v>2</v>
      </c>
      <c r="B5" s="174">
        <v>35353</v>
      </c>
      <c r="C5" s="172" t="s">
        <v>2064</v>
      </c>
      <c r="D5" s="174" t="s">
        <v>724</v>
      </c>
      <c r="E5" s="172" t="s">
        <v>537</v>
      </c>
      <c r="F5" s="177" t="s">
        <v>2065</v>
      </c>
      <c r="G5" s="177" t="s">
        <v>554</v>
      </c>
      <c r="H5" s="175">
        <v>41445</v>
      </c>
      <c r="I5" s="174">
        <v>2</v>
      </c>
      <c r="J5" s="225">
        <v>30429</v>
      </c>
      <c r="K5" s="225">
        <v>60858</v>
      </c>
      <c r="L5" s="226" t="s">
        <v>608</v>
      </c>
      <c r="M5" s="130" t="s">
        <v>21</v>
      </c>
    </row>
    <row r="6" spans="1:13" s="227" customFormat="1" ht="15" customHeight="1" x14ac:dyDescent="0.25">
      <c r="A6" s="174">
        <v>3</v>
      </c>
      <c r="B6" s="174">
        <v>35851</v>
      </c>
      <c r="C6" s="172" t="s">
        <v>2064</v>
      </c>
      <c r="D6" s="174" t="s">
        <v>724</v>
      </c>
      <c r="E6" s="172" t="s">
        <v>537</v>
      </c>
      <c r="F6" s="177" t="s">
        <v>419</v>
      </c>
      <c r="G6" s="177" t="s">
        <v>554</v>
      </c>
      <c r="H6" s="175">
        <v>41449</v>
      </c>
      <c r="I6" s="174">
        <v>1</v>
      </c>
      <c r="J6" s="225">
        <v>30429</v>
      </c>
      <c r="K6" s="225">
        <v>30429</v>
      </c>
      <c r="L6" s="226" t="s">
        <v>608</v>
      </c>
      <c r="M6" s="130" t="s">
        <v>21</v>
      </c>
    </row>
    <row r="7" spans="1:13" s="227" customFormat="1" ht="15" customHeight="1" thickBot="1" x14ac:dyDescent="0.3">
      <c r="A7" s="228">
        <v>4</v>
      </c>
      <c r="B7" s="228">
        <v>36980</v>
      </c>
      <c r="C7" s="229" t="s">
        <v>2066</v>
      </c>
      <c r="D7" s="228" t="s">
        <v>724</v>
      </c>
      <c r="E7" s="229" t="s">
        <v>116</v>
      </c>
      <c r="F7" s="230" t="s">
        <v>417</v>
      </c>
      <c r="G7" s="230" t="s">
        <v>2067</v>
      </c>
      <c r="H7" s="231">
        <v>41452</v>
      </c>
      <c r="I7" s="228">
        <v>1</v>
      </c>
      <c r="J7" s="232">
        <v>5274</v>
      </c>
      <c r="K7" s="232">
        <v>5274</v>
      </c>
      <c r="L7" s="226" t="s">
        <v>608</v>
      </c>
      <c r="M7" s="130" t="s">
        <v>21</v>
      </c>
    </row>
    <row r="8" spans="1:13" s="240" customFormat="1" ht="15" customHeight="1" thickTop="1" x14ac:dyDescent="0.25">
      <c r="A8" s="233">
        <v>5</v>
      </c>
      <c r="B8" s="233">
        <v>41153</v>
      </c>
      <c r="C8" s="234" t="s">
        <v>2068</v>
      </c>
      <c r="D8" s="233" t="s">
        <v>724</v>
      </c>
      <c r="E8" s="235" t="s">
        <v>537</v>
      </c>
      <c r="F8" s="236" t="s">
        <v>2069</v>
      </c>
      <c r="G8" s="237" t="s">
        <v>2070</v>
      </c>
      <c r="H8" s="238">
        <v>41470</v>
      </c>
      <c r="I8" s="233">
        <v>3</v>
      </c>
      <c r="J8" s="239">
        <v>30429</v>
      </c>
      <c r="K8" s="239">
        <v>91287</v>
      </c>
      <c r="L8" s="226" t="s">
        <v>760</v>
      </c>
      <c r="M8" s="130" t="s">
        <v>21</v>
      </c>
    </row>
    <row r="9" spans="1:13" s="240" customFormat="1" ht="15" customHeight="1" x14ac:dyDescent="0.25">
      <c r="A9" s="135">
        <v>6</v>
      </c>
      <c r="B9" s="135">
        <v>43232</v>
      </c>
      <c r="C9" s="137" t="s">
        <v>2071</v>
      </c>
      <c r="D9" s="135" t="s">
        <v>724</v>
      </c>
      <c r="E9" s="172" t="s">
        <v>192</v>
      </c>
      <c r="F9" s="139" t="s">
        <v>400</v>
      </c>
      <c r="G9" s="177" t="s">
        <v>2072</v>
      </c>
      <c r="H9" s="136">
        <v>41479</v>
      </c>
      <c r="I9" s="135">
        <v>2</v>
      </c>
      <c r="J9" s="225">
        <v>57960</v>
      </c>
      <c r="K9" s="225">
        <v>115920</v>
      </c>
      <c r="L9" s="226" t="s">
        <v>760</v>
      </c>
      <c r="M9" s="130" t="s">
        <v>21</v>
      </c>
    </row>
    <row r="10" spans="1:13" s="240" customFormat="1" ht="15" customHeight="1" x14ac:dyDescent="0.25">
      <c r="A10" s="135">
        <v>7</v>
      </c>
      <c r="B10" s="135">
        <v>38969</v>
      </c>
      <c r="C10" s="137" t="s">
        <v>2073</v>
      </c>
      <c r="D10" s="135" t="s">
        <v>724</v>
      </c>
      <c r="E10" s="172" t="s">
        <v>537</v>
      </c>
      <c r="F10" s="139" t="s">
        <v>2074</v>
      </c>
      <c r="G10" s="177" t="s">
        <v>2075</v>
      </c>
      <c r="H10" s="136">
        <v>41460</v>
      </c>
      <c r="I10" s="135">
        <v>2</v>
      </c>
      <c r="J10" s="225">
        <v>30429</v>
      </c>
      <c r="K10" s="225">
        <v>60858</v>
      </c>
      <c r="L10" s="226" t="s">
        <v>760</v>
      </c>
      <c r="M10" s="130" t="s">
        <v>21</v>
      </c>
    </row>
    <row r="11" spans="1:13" s="240" customFormat="1" ht="15" customHeight="1" x14ac:dyDescent="0.25">
      <c r="A11" s="135">
        <v>8</v>
      </c>
      <c r="B11" s="135">
        <v>44241</v>
      </c>
      <c r="C11" s="137" t="s">
        <v>2066</v>
      </c>
      <c r="D11" s="135" t="s">
        <v>724</v>
      </c>
      <c r="E11" s="172" t="s">
        <v>115</v>
      </c>
      <c r="F11" s="139" t="s">
        <v>417</v>
      </c>
      <c r="G11" s="177" t="s">
        <v>563</v>
      </c>
      <c r="H11" s="136">
        <v>41484</v>
      </c>
      <c r="I11" s="135">
        <v>1</v>
      </c>
      <c r="J11" s="225">
        <v>33370</v>
      </c>
      <c r="K11" s="225">
        <v>33370</v>
      </c>
      <c r="L11" s="226" t="s">
        <v>760</v>
      </c>
      <c r="M11" s="130" t="s">
        <v>21</v>
      </c>
    </row>
    <row r="12" spans="1:13" s="240" customFormat="1" ht="15" customHeight="1" x14ac:dyDescent="0.25">
      <c r="A12" s="135">
        <v>9</v>
      </c>
      <c r="B12" s="135">
        <v>44314</v>
      </c>
      <c r="C12" s="137" t="s">
        <v>2076</v>
      </c>
      <c r="D12" s="135" t="s">
        <v>724</v>
      </c>
      <c r="E12" s="172" t="s">
        <v>537</v>
      </c>
      <c r="F12" s="139" t="s">
        <v>527</v>
      </c>
      <c r="G12" s="177" t="s">
        <v>560</v>
      </c>
      <c r="H12" s="136">
        <v>41484</v>
      </c>
      <c r="I12" s="135">
        <v>1</v>
      </c>
      <c r="J12" s="225">
        <v>30429</v>
      </c>
      <c r="K12" s="225">
        <v>30429</v>
      </c>
      <c r="L12" s="226" t="s">
        <v>760</v>
      </c>
      <c r="M12" s="130" t="s">
        <v>21</v>
      </c>
    </row>
    <row r="13" spans="1:13" s="240" customFormat="1" ht="15" customHeight="1" x14ac:dyDescent="0.25">
      <c r="A13" s="135">
        <v>10</v>
      </c>
      <c r="B13" s="135">
        <v>44242</v>
      </c>
      <c r="C13" s="137" t="s">
        <v>2077</v>
      </c>
      <c r="D13" s="135" t="s">
        <v>724</v>
      </c>
      <c r="E13" s="172" t="s">
        <v>537</v>
      </c>
      <c r="F13" s="139" t="s">
        <v>442</v>
      </c>
      <c r="G13" s="177" t="s">
        <v>566</v>
      </c>
      <c r="H13" s="136">
        <v>41484</v>
      </c>
      <c r="I13" s="135">
        <v>1</v>
      </c>
      <c r="J13" s="225">
        <v>30429</v>
      </c>
      <c r="K13" s="225">
        <v>30429</v>
      </c>
      <c r="L13" s="226" t="s">
        <v>760</v>
      </c>
      <c r="M13" s="130" t="s">
        <v>21</v>
      </c>
    </row>
    <row r="14" spans="1:13" s="240" customFormat="1" ht="15" customHeight="1" x14ac:dyDescent="0.25">
      <c r="A14" s="135">
        <v>11</v>
      </c>
      <c r="B14" s="135">
        <v>38046</v>
      </c>
      <c r="C14" s="137" t="s">
        <v>2078</v>
      </c>
      <c r="D14" s="135" t="s">
        <v>724</v>
      </c>
      <c r="E14" s="172" t="s">
        <v>537</v>
      </c>
      <c r="F14" s="139" t="s">
        <v>417</v>
      </c>
      <c r="G14" s="177" t="s">
        <v>2079</v>
      </c>
      <c r="H14" s="136">
        <v>41457</v>
      </c>
      <c r="I14" s="135">
        <v>1</v>
      </c>
      <c r="J14" s="225">
        <v>30429</v>
      </c>
      <c r="K14" s="225">
        <v>30429</v>
      </c>
      <c r="L14" s="226" t="s">
        <v>760</v>
      </c>
      <c r="M14" s="130" t="s">
        <v>21</v>
      </c>
    </row>
    <row r="15" spans="1:13" s="240" customFormat="1" ht="15" customHeight="1" x14ac:dyDescent="0.25">
      <c r="A15" s="135">
        <v>12</v>
      </c>
      <c r="B15" s="135">
        <v>41989</v>
      </c>
      <c r="C15" s="137" t="s">
        <v>2078</v>
      </c>
      <c r="D15" s="135" t="s">
        <v>724</v>
      </c>
      <c r="E15" s="172" t="s">
        <v>537</v>
      </c>
      <c r="F15" s="139" t="s">
        <v>419</v>
      </c>
      <c r="G15" s="177" t="s">
        <v>2079</v>
      </c>
      <c r="H15" s="136">
        <v>41473</v>
      </c>
      <c r="I15" s="135">
        <v>1</v>
      </c>
      <c r="J15" s="225">
        <v>30429</v>
      </c>
      <c r="K15" s="225">
        <v>30429</v>
      </c>
      <c r="L15" s="226" t="s">
        <v>760</v>
      </c>
      <c r="M15" s="130" t="s">
        <v>21</v>
      </c>
    </row>
    <row r="16" spans="1:13" s="240" customFormat="1" ht="15" customHeight="1" x14ac:dyDescent="0.25">
      <c r="A16" s="135">
        <v>13</v>
      </c>
      <c r="B16" s="135">
        <v>40597</v>
      </c>
      <c r="C16" s="137" t="s">
        <v>2080</v>
      </c>
      <c r="D16" s="135" t="s">
        <v>724</v>
      </c>
      <c r="E16" s="172" t="s">
        <v>115</v>
      </c>
      <c r="F16" s="139" t="s">
        <v>527</v>
      </c>
      <c r="G16" s="177" t="s">
        <v>2081</v>
      </c>
      <c r="H16" s="136">
        <v>41466</v>
      </c>
      <c r="I16" s="135">
        <v>1</v>
      </c>
      <c r="J16" s="225">
        <v>33370</v>
      </c>
      <c r="K16" s="225">
        <v>33370</v>
      </c>
      <c r="L16" s="226" t="s">
        <v>760</v>
      </c>
      <c r="M16" s="130" t="s">
        <v>21</v>
      </c>
    </row>
    <row r="17" spans="1:13" s="240" customFormat="1" ht="15" customHeight="1" x14ac:dyDescent="0.25">
      <c r="A17" s="135">
        <v>14</v>
      </c>
      <c r="B17" s="135">
        <v>38040</v>
      </c>
      <c r="C17" s="137" t="s">
        <v>2062</v>
      </c>
      <c r="D17" s="135" t="s">
        <v>724</v>
      </c>
      <c r="E17" s="172" t="s">
        <v>116</v>
      </c>
      <c r="F17" s="139" t="s">
        <v>594</v>
      </c>
      <c r="G17" s="177" t="s">
        <v>2067</v>
      </c>
      <c r="H17" s="136">
        <v>41457</v>
      </c>
      <c r="I17" s="135">
        <v>1</v>
      </c>
      <c r="J17" s="225">
        <v>5274</v>
      </c>
      <c r="K17" s="225">
        <v>5274</v>
      </c>
      <c r="L17" s="226" t="s">
        <v>760</v>
      </c>
      <c r="M17" s="130" t="s">
        <v>21</v>
      </c>
    </row>
    <row r="18" spans="1:13" s="240" customFormat="1" ht="15" customHeight="1" x14ac:dyDescent="0.25">
      <c r="A18" s="135">
        <v>15</v>
      </c>
      <c r="B18" s="135">
        <v>42898</v>
      </c>
      <c r="C18" s="137" t="s">
        <v>2062</v>
      </c>
      <c r="D18" s="135" t="s">
        <v>724</v>
      </c>
      <c r="E18" s="172" t="s">
        <v>115</v>
      </c>
      <c r="F18" s="139" t="s">
        <v>594</v>
      </c>
      <c r="G18" s="177" t="s">
        <v>2081</v>
      </c>
      <c r="H18" s="136">
        <v>41479</v>
      </c>
      <c r="I18" s="135">
        <v>1</v>
      </c>
      <c r="J18" s="225">
        <v>33370</v>
      </c>
      <c r="K18" s="225">
        <v>33370</v>
      </c>
      <c r="L18" s="226" t="s">
        <v>760</v>
      </c>
      <c r="M18" s="130" t="s">
        <v>21</v>
      </c>
    </row>
    <row r="19" spans="1:13" s="240" customFormat="1" ht="15" customHeight="1" x14ac:dyDescent="0.25">
      <c r="A19" s="135">
        <v>16</v>
      </c>
      <c r="B19" s="135">
        <v>41672</v>
      </c>
      <c r="C19" s="137" t="s">
        <v>2082</v>
      </c>
      <c r="D19" s="135" t="s">
        <v>724</v>
      </c>
      <c r="E19" s="172" t="s">
        <v>204</v>
      </c>
      <c r="F19" s="139" t="s">
        <v>415</v>
      </c>
      <c r="G19" s="177"/>
      <c r="H19" s="136">
        <v>41472</v>
      </c>
      <c r="I19" s="135">
        <v>1</v>
      </c>
      <c r="J19" s="225">
        <v>17244</v>
      </c>
      <c r="K19" s="225">
        <v>17244</v>
      </c>
      <c r="L19" s="226" t="s">
        <v>760</v>
      </c>
      <c r="M19" s="130" t="s">
        <v>21</v>
      </c>
    </row>
    <row r="20" spans="1:13" s="240" customFormat="1" ht="15" customHeight="1" x14ac:dyDescent="0.25">
      <c r="A20" s="135">
        <v>17</v>
      </c>
      <c r="B20" s="135">
        <v>43600</v>
      </c>
      <c r="C20" s="137" t="s">
        <v>723</v>
      </c>
      <c r="D20" s="135" t="s">
        <v>724</v>
      </c>
      <c r="E20" s="172" t="s">
        <v>116</v>
      </c>
      <c r="F20" s="139" t="s">
        <v>725</v>
      </c>
      <c r="G20" s="177" t="s">
        <v>554</v>
      </c>
      <c r="H20" s="136">
        <v>41484</v>
      </c>
      <c r="I20" s="135">
        <v>3</v>
      </c>
      <c r="J20" s="225">
        <v>5274</v>
      </c>
      <c r="K20" s="225">
        <v>15822</v>
      </c>
      <c r="L20" s="226" t="s">
        <v>760</v>
      </c>
      <c r="M20" s="130" t="s">
        <v>21</v>
      </c>
    </row>
    <row r="21" spans="1:13" s="240" customFormat="1" ht="15" customHeight="1" x14ac:dyDescent="0.25">
      <c r="A21" s="135">
        <v>18</v>
      </c>
      <c r="B21" s="135">
        <v>43563</v>
      </c>
      <c r="C21" s="137" t="s">
        <v>2083</v>
      </c>
      <c r="D21" s="135" t="s">
        <v>724</v>
      </c>
      <c r="E21" s="172" t="s">
        <v>537</v>
      </c>
      <c r="F21" s="139" t="s">
        <v>562</v>
      </c>
      <c r="G21" s="177" t="s">
        <v>2084</v>
      </c>
      <c r="H21" s="136">
        <v>41480</v>
      </c>
      <c r="I21" s="135">
        <v>1</v>
      </c>
      <c r="J21" s="225">
        <v>30429</v>
      </c>
      <c r="K21" s="225">
        <v>30429</v>
      </c>
      <c r="L21" s="226" t="s">
        <v>760</v>
      </c>
      <c r="M21" s="130" t="s">
        <v>21</v>
      </c>
    </row>
    <row r="22" spans="1:13" s="240" customFormat="1" ht="15" customHeight="1" x14ac:dyDescent="0.25">
      <c r="A22" s="135">
        <v>19</v>
      </c>
      <c r="B22" s="135">
        <v>43128</v>
      </c>
      <c r="C22" s="137" t="s">
        <v>2085</v>
      </c>
      <c r="D22" s="135" t="s">
        <v>724</v>
      </c>
      <c r="E22" s="172" t="s">
        <v>537</v>
      </c>
      <c r="F22" s="139" t="s">
        <v>417</v>
      </c>
      <c r="G22" s="177" t="s">
        <v>560</v>
      </c>
      <c r="H22" s="136">
        <v>41479</v>
      </c>
      <c r="I22" s="135">
        <v>1</v>
      </c>
      <c r="J22" s="225">
        <v>30429</v>
      </c>
      <c r="K22" s="225">
        <v>30429</v>
      </c>
      <c r="L22" s="226" t="s">
        <v>760</v>
      </c>
      <c r="M22" s="130" t="s">
        <v>21</v>
      </c>
    </row>
    <row r="23" spans="1:13" s="240" customFormat="1" ht="15" customHeight="1" x14ac:dyDescent="0.25">
      <c r="A23" s="135">
        <v>20</v>
      </c>
      <c r="B23" s="135">
        <v>43790</v>
      </c>
      <c r="C23" s="137" t="s">
        <v>2086</v>
      </c>
      <c r="D23" s="135" t="s">
        <v>724</v>
      </c>
      <c r="E23" s="172" t="s">
        <v>116</v>
      </c>
      <c r="F23" s="139" t="s">
        <v>2087</v>
      </c>
      <c r="G23" s="177" t="s">
        <v>1059</v>
      </c>
      <c r="H23" s="136">
        <v>41484</v>
      </c>
      <c r="I23" s="135">
        <v>8</v>
      </c>
      <c r="J23" s="225">
        <v>5274</v>
      </c>
      <c r="K23" s="225">
        <v>42192</v>
      </c>
      <c r="L23" s="226" t="s">
        <v>760</v>
      </c>
      <c r="M23" s="130" t="s">
        <v>21</v>
      </c>
    </row>
    <row r="24" spans="1:13" s="240" customFormat="1" ht="15" customHeight="1" x14ac:dyDescent="0.25">
      <c r="A24" s="135">
        <v>21</v>
      </c>
      <c r="B24" s="135">
        <v>39816</v>
      </c>
      <c r="C24" s="137" t="s">
        <v>2088</v>
      </c>
      <c r="D24" s="135" t="s">
        <v>724</v>
      </c>
      <c r="E24" s="172" t="s">
        <v>237</v>
      </c>
      <c r="F24" s="139" t="s">
        <v>369</v>
      </c>
      <c r="G24" s="177"/>
      <c r="H24" s="136">
        <v>41464</v>
      </c>
      <c r="I24" s="135">
        <v>1</v>
      </c>
      <c r="J24" s="225">
        <v>10401</v>
      </c>
      <c r="K24" s="225">
        <v>10401</v>
      </c>
      <c r="L24" s="226" t="s">
        <v>760</v>
      </c>
      <c r="M24" s="130" t="s">
        <v>21</v>
      </c>
    </row>
    <row r="25" spans="1:13" s="240" customFormat="1" ht="15" customHeight="1" thickBot="1" x14ac:dyDescent="0.3">
      <c r="A25" s="241">
        <v>22</v>
      </c>
      <c r="B25" s="241">
        <v>41610</v>
      </c>
      <c r="C25" s="242" t="s">
        <v>2089</v>
      </c>
      <c r="D25" s="241" t="s">
        <v>724</v>
      </c>
      <c r="E25" s="229" t="s">
        <v>116</v>
      </c>
      <c r="F25" s="243" t="s">
        <v>2090</v>
      </c>
      <c r="G25" s="230" t="s">
        <v>1059</v>
      </c>
      <c r="H25" s="244">
        <v>41473</v>
      </c>
      <c r="I25" s="241">
        <v>4</v>
      </c>
      <c r="J25" s="232">
        <v>5274</v>
      </c>
      <c r="K25" s="232">
        <v>21096</v>
      </c>
      <c r="L25" s="226" t="s">
        <v>760</v>
      </c>
      <c r="M25" s="130" t="s">
        <v>21</v>
      </c>
    </row>
    <row r="26" spans="1:13" s="145" customFormat="1" ht="15" customHeight="1" thickTop="1" x14ac:dyDescent="0.25">
      <c r="A26" s="135">
        <v>23</v>
      </c>
      <c r="B26" s="135">
        <v>44970</v>
      </c>
      <c r="C26" s="137" t="s">
        <v>2091</v>
      </c>
      <c r="D26" s="135" t="s">
        <v>724</v>
      </c>
      <c r="E26" s="172" t="s">
        <v>682</v>
      </c>
      <c r="F26" s="139" t="s">
        <v>387</v>
      </c>
      <c r="G26" s="177"/>
      <c r="H26" s="136">
        <v>41486</v>
      </c>
      <c r="I26" s="135">
        <v>2</v>
      </c>
      <c r="J26" s="225">
        <v>55058</v>
      </c>
      <c r="K26" s="225">
        <v>110116</v>
      </c>
      <c r="L26" s="226" t="s">
        <v>788</v>
      </c>
      <c r="M26" s="130" t="s">
        <v>21</v>
      </c>
    </row>
    <row r="27" spans="1:13" s="145" customFormat="1" ht="15" customHeight="1" x14ac:dyDescent="0.25">
      <c r="A27" s="135">
        <v>24</v>
      </c>
      <c r="B27" s="135">
        <v>46175</v>
      </c>
      <c r="C27" s="137" t="s">
        <v>2092</v>
      </c>
      <c r="D27" s="135" t="s">
        <v>724</v>
      </c>
      <c r="E27" s="172" t="s">
        <v>217</v>
      </c>
      <c r="F27" s="139" t="s">
        <v>369</v>
      </c>
      <c r="G27" s="177" t="s">
        <v>1064</v>
      </c>
      <c r="H27" s="136">
        <v>41492</v>
      </c>
      <c r="I27" s="135">
        <v>1</v>
      </c>
      <c r="J27" s="225">
        <v>44597</v>
      </c>
      <c r="K27" s="225">
        <v>44597</v>
      </c>
      <c r="L27" s="226" t="s">
        <v>788</v>
      </c>
      <c r="M27" s="130" t="s">
        <v>21</v>
      </c>
    </row>
    <row r="28" spans="1:13" s="145" customFormat="1" ht="15" customHeight="1" x14ac:dyDescent="0.25">
      <c r="A28" s="135">
        <v>25</v>
      </c>
      <c r="B28" s="135">
        <v>45680</v>
      </c>
      <c r="C28" s="137" t="s">
        <v>2093</v>
      </c>
      <c r="D28" s="135" t="s">
        <v>724</v>
      </c>
      <c r="E28" s="172" t="s">
        <v>207</v>
      </c>
      <c r="F28" s="139" t="s">
        <v>472</v>
      </c>
      <c r="G28" s="177" t="s">
        <v>2094</v>
      </c>
      <c r="H28" s="136">
        <v>41491</v>
      </c>
      <c r="I28" s="135">
        <v>1</v>
      </c>
      <c r="J28" s="225">
        <v>55062</v>
      </c>
      <c r="K28" s="225">
        <v>55062</v>
      </c>
      <c r="L28" s="226" t="s">
        <v>788</v>
      </c>
      <c r="M28" s="130" t="s">
        <v>21</v>
      </c>
    </row>
    <row r="29" spans="1:13" s="145" customFormat="1" ht="15" customHeight="1" x14ac:dyDescent="0.25">
      <c r="A29" s="135">
        <v>26</v>
      </c>
      <c r="B29" s="135">
        <v>45661</v>
      </c>
      <c r="C29" s="137" t="s">
        <v>2095</v>
      </c>
      <c r="D29" s="135" t="s">
        <v>724</v>
      </c>
      <c r="E29" s="172" t="s">
        <v>537</v>
      </c>
      <c r="F29" s="139" t="s">
        <v>431</v>
      </c>
      <c r="G29" s="177" t="s">
        <v>560</v>
      </c>
      <c r="H29" s="136">
        <v>41491</v>
      </c>
      <c r="I29" s="135">
        <v>1</v>
      </c>
      <c r="J29" s="225">
        <v>30429</v>
      </c>
      <c r="K29" s="225">
        <v>30429</v>
      </c>
      <c r="L29" s="226" t="s">
        <v>788</v>
      </c>
      <c r="M29" s="130" t="s">
        <v>21</v>
      </c>
    </row>
    <row r="30" spans="1:13" s="145" customFormat="1" ht="15" customHeight="1" x14ac:dyDescent="0.25">
      <c r="A30" s="135">
        <v>27</v>
      </c>
      <c r="B30" s="135">
        <v>45834</v>
      </c>
      <c r="C30" s="137" t="s">
        <v>2096</v>
      </c>
      <c r="D30" s="135" t="s">
        <v>724</v>
      </c>
      <c r="E30" s="172" t="s">
        <v>580</v>
      </c>
      <c r="F30" s="139" t="s">
        <v>371</v>
      </c>
      <c r="G30" s="177"/>
      <c r="H30" s="136">
        <v>41491</v>
      </c>
      <c r="I30" s="135">
        <v>1</v>
      </c>
      <c r="J30" s="225">
        <v>25800</v>
      </c>
      <c r="K30" s="225">
        <v>25800</v>
      </c>
      <c r="L30" s="226" t="s">
        <v>788</v>
      </c>
      <c r="M30" s="130" t="s">
        <v>21</v>
      </c>
    </row>
    <row r="31" spans="1:13" s="145" customFormat="1" ht="15" customHeight="1" x14ac:dyDescent="0.25">
      <c r="A31" s="135">
        <v>28</v>
      </c>
      <c r="B31" s="135">
        <v>46659</v>
      </c>
      <c r="C31" s="137" t="s">
        <v>701</v>
      </c>
      <c r="D31" s="135" t="s">
        <v>724</v>
      </c>
      <c r="E31" s="172" t="s">
        <v>217</v>
      </c>
      <c r="F31" s="139" t="s">
        <v>371</v>
      </c>
      <c r="G31" s="177" t="s">
        <v>2097</v>
      </c>
      <c r="H31" s="136">
        <v>41493</v>
      </c>
      <c r="I31" s="135">
        <v>1</v>
      </c>
      <c r="J31" s="225">
        <v>44597</v>
      </c>
      <c r="K31" s="225">
        <v>44597</v>
      </c>
      <c r="L31" s="226" t="s">
        <v>788</v>
      </c>
      <c r="M31" s="130" t="s">
        <v>21</v>
      </c>
    </row>
    <row r="32" spans="1:13" s="145" customFormat="1" ht="15" customHeight="1" x14ac:dyDescent="0.25">
      <c r="A32" s="135">
        <v>29</v>
      </c>
      <c r="B32" s="135">
        <v>46669</v>
      </c>
      <c r="C32" s="137" t="s">
        <v>2098</v>
      </c>
      <c r="D32" s="135" t="s">
        <v>724</v>
      </c>
      <c r="E32" s="172" t="s">
        <v>237</v>
      </c>
      <c r="F32" s="139" t="s">
        <v>369</v>
      </c>
      <c r="G32" s="177"/>
      <c r="H32" s="136">
        <v>41494</v>
      </c>
      <c r="I32" s="135">
        <v>1</v>
      </c>
      <c r="J32" s="225">
        <v>10401</v>
      </c>
      <c r="K32" s="225">
        <v>10401</v>
      </c>
      <c r="L32" s="226" t="s">
        <v>788</v>
      </c>
      <c r="M32" s="130" t="s">
        <v>21</v>
      </c>
    </row>
    <row r="33" spans="1:13" s="145" customFormat="1" ht="15" customHeight="1" x14ac:dyDescent="0.25">
      <c r="A33" s="135">
        <v>30</v>
      </c>
      <c r="B33" s="135">
        <v>46377</v>
      </c>
      <c r="C33" s="137" t="s">
        <v>810</v>
      </c>
      <c r="D33" s="135" t="s">
        <v>724</v>
      </c>
      <c r="E33" s="172" t="s">
        <v>217</v>
      </c>
      <c r="F33" s="139" t="s">
        <v>369</v>
      </c>
      <c r="G33" s="177" t="s">
        <v>2067</v>
      </c>
      <c r="H33" s="136">
        <v>41492</v>
      </c>
      <c r="I33" s="135">
        <v>1</v>
      </c>
      <c r="J33" s="225">
        <v>44597</v>
      </c>
      <c r="K33" s="225">
        <v>44597</v>
      </c>
      <c r="L33" s="226" t="s">
        <v>788</v>
      </c>
      <c r="M33" s="130" t="s">
        <v>21</v>
      </c>
    </row>
    <row r="34" spans="1:13" s="145" customFormat="1" ht="15" customHeight="1" x14ac:dyDescent="0.25">
      <c r="A34" s="135">
        <v>31</v>
      </c>
      <c r="B34" s="135">
        <v>47565</v>
      </c>
      <c r="C34" s="137" t="s">
        <v>2099</v>
      </c>
      <c r="D34" s="135" t="s">
        <v>724</v>
      </c>
      <c r="E34" s="172" t="s">
        <v>116</v>
      </c>
      <c r="F34" s="139" t="s">
        <v>2100</v>
      </c>
      <c r="G34" s="177" t="s">
        <v>2101</v>
      </c>
      <c r="H34" s="136">
        <v>41498</v>
      </c>
      <c r="I34" s="135">
        <v>4</v>
      </c>
      <c r="J34" s="225">
        <v>5274</v>
      </c>
      <c r="K34" s="225">
        <v>21096</v>
      </c>
      <c r="L34" s="226" t="s">
        <v>788</v>
      </c>
      <c r="M34" s="130" t="s">
        <v>21</v>
      </c>
    </row>
    <row r="35" spans="1:13" s="145" customFormat="1" ht="15" customHeight="1" x14ac:dyDescent="0.25">
      <c r="A35" s="135">
        <v>32</v>
      </c>
      <c r="B35" s="135">
        <v>47554</v>
      </c>
      <c r="C35" s="137" t="s">
        <v>2102</v>
      </c>
      <c r="D35" s="135" t="s">
        <v>724</v>
      </c>
      <c r="E35" s="172" t="s">
        <v>116</v>
      </c>
      <c r="F35" s="139" t="s">
        <v>472</v>
      </c>
      <c r="G35" s="177" t="s">
        <v>2101</v>
      </c>
      <c r="H35" s="136">
        <v>41498</v>
      </c>
      <c r="I35" s="135">
        <v>1</v>
      </c>
      <c r="J35" s="225">
        <v>5274</v>
      </c>
      <c r="K35" s="225">
        <v>5274</v>
      </c>
      <c r="L35" s="226" t="s">
        <v>788</v>
      </c>
      <c r="M35" s="130" t="s">
        <v>21</v>
      </c>
    </row>
    <row r="36" spans="1:13" s="145" customFormat="1" ht="15" customHeight="1" x14ac:dyDescent="0.25">
      <c r="A36" s="135">
        <v>33</v>
      </c>
      <c r="B36" s="135">
        <v>47886</v>
      </c>
      <c r="C36" s="137" t="s">
        <v>2103</v>
      </c>
      <c r="D36" s="135" t="s">
        <v>724</v>
      </c>
      <c r="E36" s="172" t="s">
        <v>537</v>
      </c>
      <c r="F36" s="139" t="s">
        <v>431</v>
      </c>
      <c r="G36" s="177" t="s">
        <v>597</v>
      </c>
      <c r="H36" s="136">
        <v>41498</v>
      </c>
      <c r="I36" s="135">
        <v>1</v>
      </c>
      <c r="J36" s="225">
        <v>30429</v>
      </c>
      <c r="K36" s="225">
        <v>30429</v>
      </c>
      <c r="L36" s="226" t="s">
        <v>788</v>
      </c>
      <c r="M36" s="130" t="s">
        <v>21</v>
      </c>
    </row>
    <row r="37" spans="1:13" s="145" customFormat="1" ht="15" customHeight="1" x14ac:dyDescent="0.25">
      <c r="A37" s="135">
        <v>34</v>
      </c>
      <c r="B37" s="135">
        <v>47803</v>
      </c>
      <c r="C37" s="137" t="s">
        <v>2104</v>
      </c>
      <c r="D37" s="135" t="s">
        <v>724</v>
      </c>
      <c r="E37" s="172" t="s">
        <v>1011</v>
      </c>
      <c r="F37" s="139" t="s">
        <v>387</v>
      </c>
      <c r="G37" s="177"/>
      <c r="H37" s="136">
        <v>41498</v>
      </c>
      <c r="I37" s="135">
        <v>2</v>
      </c>
      <c r="J37" s="225">
        <v>9129</v>
      </c>
      <c r="K37" s="225">
        <v>18258</v>
      </c>
      <c r="L37" s="226" t="s">
        <v>788</v>
      </c>
      <c r="M37" s="130" t="s">
        <v>21</v>
      </c>
    </row>
    <row r="38" spans="1:13" s="145" customFormat="1" ht="15" customHeight="1" x14ac:dyDescent="0.25">
      <c r="A38" s="135">
        <v>35</v>
      </c>
      <c r="B38" s="135">
        <v>47743</v>
      </c>
      <c r="C38" s="137" t="s">
        <v>2105</v>
      </c>
      <c r="D38" s="135" t="s">
        <v>724</v>
      </c>
      <c r="E38" s="172" t="s">
        <v>682</v>
      </c>
      <c r="F38" s="139" t="s">
        <v>371</v>
      </c>
      <c r="G38" s="177"/>
      <c r="H38" s="136">
        <v>41498</v>
      </c>
      <c r="I38" s="135">
        <v>1</v>
      </c>
      <c r="J38" s="225">
        <v>55058</v>
      </c>
      <c r="K38" s="225">
        <v>55058</v>
      </c>
      <c r="L38" s="226" t="s">
        <v>788</v>
      </c>
      <c r="M38" s="130" t="s">
        <v>21</v>
      </c>
    </row>
    <row r="39" spans="1:13" s="145" customFormat="1" ht="15" customHeight="1" x14ac:dyDescent="0.25">
      <c r="A39" s="135">
        <v>36</v>
      </c>
      <c r="B39" s="135">
        <v>49303</v>
      </c>
      <c r="C39" s="137" t="s">
        <v>2106</v>
      </c>
      <c r="D39" s="135" t="s">
        <v>478</v>
      </c>
      <c r="E39" s="172" t="s">
        <v>116</v>
      </c>
      <c r="F39" s="139" t="s">
        <v>562</v>
      </c>
      <c r="G39" s="177" t="s">
        <v>2107</v>
      </c>
      <c r="H39" s="136">
        <v>41506</v>
      </c>
      <c r="I39" s="135">
        <v>1</v>
      </c>
      <c r="J39" s="225">
        <v>5274</v>
      </c>
      <c r="K39" s="225">
        <v>5274</v>
      </c>
      <c r="L39" s="226" t="s">
        <v>788</v>
      </c>
      <c r="M39" s="130" t="s">
        <v>21</v>
      </c>
    </row>
    <row r="40" spans="1:13" s="145" customFormat="1" ht="15" customHeight="1" x14ac:dyDescent="0.25">
      <c r="A40" s="135">
        <v>37</v>
      </c>
      <c r="B40" s="135">
        <v>49325</v>
      </c>
      <c r="C40" s="137" t="s">
        <v>2108</v>
      </c>
      <c r="D40" s="135" t="s">
        <v>724</v>
      </c>
      <c r="E40" s="172" t="s">
        <v>217</v>
      </c>
      <c r="F40" s="139" t="s">
        <v>371</v>
      </c>
      <c r="G40" s="177" t="s">
        <v>2101</v>
      </c>
      <c r="H40" s="136">
        <v>41505</v>
      </c>
      <c r="I40" s="135">
        <v>1</v>
      </c>
      <c r="J40" s="225">
        <v>44597</v>
      </c>
      <c r="K40" s="225">
        <v>44597</v>
      </c>
      <c r="L40" s="226" t="s">
        <v>788</v>
      </c>
      <c r="M40" s="130" t="s">
        <v>21</v>
      </c>
    </row>
    <row r="41" spans="1:13" s="145" customFormat="1" ht="15" customHeight="1" x14ac:dyDescent="0.25">
      <c r="A41" s="135">
        <v>38</v>
      </c>
      <c r="B41" s="135">
        <v>49458</v>
      </c>
      <c r="C41" s="137" t="s">
        <v>2109</v>
      </c>
      <c r="D41" s="135" t="s">
        <v>724</v>
      </c>
      <c r="E41" s="172" t="s">
        <v>217</v>
      </c>
      <c r="F41" s="139" t="s">
        <v>371</v>
      </c>
      <c r="G41" s="177" t="s">
        <v>2110</v>
      </c>
      <c r="H41" s="136">
        <v>41505</v>
      </c>
      <c r="I41" s="135">
        <v>1</v>
      </c>
      <c r="J41" s="225">
        <v>44597</v>
      </c>
      <c r="K41" s="225">
        <v>44597</v>
      </c>
      <c r="L41" s="226" t="s">
        <v>788</v>
      </c>
      <c r="M41" s="130" t="s">
        <v>21</v>
      </c>
    </row>
    <row r="42" spans="1:13" s="145" customFormat="1" ht="15" customHeight="1" x14ac:dyDescent="0.25">
      <c r="A42" s="135">
        <v>39</v>
      </c>
      <c r="B42" s="135">
        <v>49435</v>
      </c>
      <c r="C42" s="137" t="s">
        <v>2111</v>
      </c>
      <c r="D42" s="135" t="s">
        <v>724</v>
      </c>
      <c r="E42" s="172" t="s">
        <v>537</v>
      </c>
      <c r="F42" s="139" t="s">
        <v>511</v>
      </c>
      <c r="G42" s="177" t="s">
        <v>2112</v>
      </c>
      <c r="H42" s="136">
        <v>41505</v>
      </c>
      <c r="I42" s="135">
        <v>1</v>
      </c>
      <c r="J42" s="225">
        <v>30429</v>
      </c>
      <c r="K42" s="225">
        <v>30429</v>
      </c>
      <c r="L42" s="226" t="s">
        <v>788</v>
      </c>
      <c r="M42" s="130" t="s">
        <v>21</v>
      </c>
    </row>
    <row r="43" spans="1:13" s="145" customFormat="1" ht="15" customHeight="1" x14ac:dyDescent="0.25">
      <c r="A43" s="135">
        <v>40</v>
      </c>
      <c r="B43" s="135">
        <v>50946</v>
      </c>
      <c r="C43" s="137" t="s">
        <v>2113</v>
      </c>
      <c r="D43" s="135" t="s">
        <v>724</v>
      </c>
      <c r="E43" s="172" t="s">
        <v>116</v>
      </c>
      <c r="F43" s="139" t="s">
        <v>2114</v>
      </c>
      <c r="G43" s="177" t="s">
        <v>2067</v>
      </c>
      <c r="H43" s="136">
        <v>41510</v>
      </c>
      <c r="I43" s="135">
        <v>1</v>
      </c>
      <c r="J43" s="225">
        <v>5274</v>
      </c>
      <c r="K43" s="225">
        <v>5274</v>
      </c>
      <c r="L43" s="226" t="s">
        <v>788</v>
      </c>
      <c r="M43" s="130" t="s">
        <v>21</v>
      </c>
    </row>
    <row r="44" spans="1:13" s="145" customFormat="1" ht="15" customHeight="1" x14ac:dyDescent="0.25">
      <c r="A44" s="135">
        <v>41</v>
      </c>
      <c r="B44" s="135">
        <v>51486</v>
      </c>
      <c r="C44" s="137" t="s">
        <v>2115</v>
      </c>
      <c r="D44" s="135" t="s">
        <v>545</v>
      </c>
      <c r="E44" s="172" t="s">
        <v>217</v>
      </c>
      <c r="F44" s="139" t="s">
        <v>371</v>
      </c>
      <c r="G44" s="177" t="s">
        <v>2067</v>
      </c>
      <c r="H44" s="136">
        <v>41513</v>
      </c>
      <c r="I44" s="135">
        <v>1</v>
      </c>
      <c r="J44" s="225">
        <v>44597</v>
      </c>
      <c r="K44" s="225">
        <v>44597</v>
      </c>
      <c r="L44" s="226" t="s">
        <v>788</v>
      </c>
      <c r="M44" s="130" t="s">
        <v>21</v>
      </c>
    </row>
    <row r="45" spans="1:13" s="145" customFormat="1" ht="15" customHeight="1" x14ac:dyDescent="0.25">
      <c r="A45" s="135">
        <v>42</v>
      </c>
      <c r="B45" s="135">
        <v>51590</v>
      </c>
      <c r="C45" s="137" t="s">
        <v>2116</v>
      </c>
      <c r="D45" s="135" t="s">
        <v>724</v>
      </c>
      <c r="E45" s="172" t="s">
        <v>116</v>
      </c>
      <c r="F45" s="139" t="s">
        <v>527</v>
      </c>
      <c r="G45" s="177" t="s">
        <v>2117</v>
      </c>
      <c r="H45" s="136">
        <v>41514</v>
      </c>
      <c r="I45" s="135">
        <v>1</v>
      </c>
      <c r="J45" s="225">
        <v>5274</v>
      </c>
      <c r="K45" s="225">
        <v>5274</v>
      </c>
      <c r="L45" s="226" t="s">
        <v>788</v>
      </c>
      <c r="M45" s="130" t="s">
        <v>21</v>
      </c>
    </row>
    <row r="46" spans="1:13" s="145" customFormat="1" ht="15" customHeight="1" x14ac:dyDescent="0.25">
      <c r="A46" s="135">
        <v>43</v>
      </c>
      <c r="B46" s="135">
        <v>51661</v>
      </c>
      <c r="C46" s="137" t="s">
        <v>2118</v>
      </c>
      <c r="D46" s="135" t="s">
        <v>389</v>
      </c>
      <c r="E46" s="172" t="s">
        <v>580</v>
      </c>
      <c r="F46" s="139" t="s">
        <v>371</v>
      </c>
      <c r="G46" s="177"/>
      <c r="H46" s="136">
        <v>41513</v>
      </c>
      <c r="I46" s="135">
        <v>1</v>
      </c>
      <c r="J46" s="225">
        <v>25800</v>
      </c>
      <c r="K46" s="225">
        <v>25800</v>
      </c>
      <c r="L46" s="226" t="s">
        <v>788</v>
      </c>
      <c r="M46" s="130" t="s">
        <v>21</v>
      </c>
    </row>
    <row r="47" spans="1:13" s="145" customFormat="1" ht="15" customHeight="1" x14ac:dyDescent="0.25">
      <c r="A47" s="135">
        <v>44</v>
      </c>
      <c r="B47" s="135">
        <v>51756</v>
      </c>
      <c r="C47" s="137" t="s">
        <v>2089</v>
      </c>
      <c r="D47" s="135" t="s">
        <v>724</v>
      </c>
      <c r="E47" s="172" t="s">
        <v>210</v>
      </c>
      <c r="F47" s="139" t="s">
        <v>419</v>
      </c>
      <c r="G47" s="177"/>
      <c r="H47" s="136">
        <v>41513</v>
      </c>
      <c r="I47" s="135">
        <v>1</v>
      </c>
      <c r="J47" s="225">
        <v>14099</v>
      </c>
      <c r="K47" s="225">
        <v>14099</v>
      </c>
      <c r="L47" s="226" t="s">
        <v>788</v>
      </c>
      <c r="M47" s="130" t="s">
        <v>21</v>
      </c>
    </row>
    <row r="48" spans="1:13" s="145" customFormat="1" ht="15" customHeight="1" thickBot="1" x14ac:dyDescent="0.3">
      <c r="A48" s="135">
        <v>45</v>
      </c>
      <c r="B48" s="245">
        <v>52236</v>
      </c>
      <c r="C48" s="246" t="s">
        <v>2119</v>
      </c>
      <c r="D48" s="245" t="s">
        <v>478</v>
      </c>
      <c r="E48" s="247" t="s">
        <v>217</v>
      </c>
      <c r="F48" s="248" t="s">
        <v>2120</v>
      </c>
      <c r="G48" s="249" t="s">
        <v>2117</v>
      </c>
      <c r="H48" s="250">
        <v>41515</v>
      </c>
      <c r="I48" s="245">
        <v>1</v>
      </c>
      <c r="J48" s="251">
        <v>44597</v>
      </c>
      <c r="K48" s="251">
        <v>44597</v>
      </c>
      <c r="L48" s="226" t="s">
        <v>788</v>
      </c>
      <c r="M48" s="130" t="s">
        <v>21</v>
      </c>
    </row>
    <row r="49" spans="1:13" s="134" customFormat="1" ht="15" customHeight="1" x14ac:dyDescent="0.25">
      <c r="A49" s="252">
        <v>46</v>
      </c>
      <c r="B49" s="252">
        <v>51602</v>
      </c>
      <c r="C49" s="137" t="s">
        <v>2121</v>
      </c>
      <c r="D49" s="135" t="s">
        <v>724</v>
      </c>
      <c r="E49" s="172" t="s">
        <v>116</v>
      </c>
      <c r="F49" s="139" t="s">
        <v>404</v>
      </c>
      <c r="G49" s="177" t="s">
        <v>2067</v>
      </c>
      <c r="H49" s="136">
        <v>41514</v>
      </c>
      <c r="I49" s="135">
        <v>1</v>
      </c>
      <c r="J49" s="225">
        <v>5274</v>
      </c>
      <c r="K49" s="225">
        <v>5274</v>
      </c>
      <c r="L49" s="226" t="s">
        <v>617</v>
      </c>
      <c r="M49" s="130" t="s">
        <v>21</v>
      </c>
    </row>
    <row r="50" spans="1:13" s="134" customFormat="1" ht="15" customHeight="1" x14ac:dyDescent="0.25">
      <c r="A50" s="252">
        <v>47</v>
      </c>
      <c r="B50" s="252">
        <v>56109</v>
      </c>
      <c r="C50" s="137" t="s">
        <v>2121</v>
      </c>
      <c r="D50" s="135" t="s">
        <v>724</v>
      </c>
      <c r="E50" s="172" t="s">
        <v>115</v>
      </c>
      <c r="F50" s="139" t="s">
        <v>404</v>
      </c>
      <c r="G50" s="177" t="s">
        <v>597</v>
      </c>
      <c r="H50" s="136">
        <v>41529</v>
      </c>
      <c r="I50" s="135">
        <v>1</v>
      </c>
      <c r="J50" s="225">
        <v>33370</v>
      </c>
      <c r="K50" s="225">
        <v>33370</v>
      </c>
      <c r="L50" s="226" t="s">
        <v>617</v>
      </c>
      <c r="M50" s="130" t="s">
        <v>21</v>
      </c>
    </row>
    <row r="51" spans="1:13" s="134" customFormat="1" ht="15" customHeight="1" x14ac:dyDescent="0.25">
      <c r="A51" s="252">
        <v>48</v>
      </c>
      <c r="B51" s="252">
        <v>55544</v>
      </c>
      <c r="C51" s="137" t="s">
        <v>2122</v>
      </c>
      <c r="D51" s="135" t="s">
        <v>545</v>
      </c>
      <c r="E51" s="172" t="s">
        <v>217</v>
      </c>
      <c r="F51" s="139" t="s">
        <v>371</v>
      </c>
      <c r="G51" s="177" t="s">
        <v>743</v>
      </c>
      <c r="H51" s="136">
        <v>41528</v>
      </c>
      <c r="I51" s="135">
        <v>1</v>
      </c>
      <c r="J51" s="225">
        <v>44597</v>
      </c>
      <c r="K51" s="225">
        <v>44597</v>
      </c>
      <c r="L51" s="226" t="s">
        <v>617</v>
      </c>
      <c r="M51" s="130" t="s">
        <v>21</v>
      </c>
    </row>
    <row r="52" spans="1:13" s="134" customFormat="1" ht="15" customHeight="1" x14ac:dyDescent="0.25">
      <c r="A52" s="252">
        <v>49</v>
      </c>
      <c r="B52" s="252">
        <v>56110</v>
      </c>
      <c r="C52" s="137" t="s">
        <v>2123</v>
      </c>
      <c r="D52" s="135" t="s">
        <v>724</v>
      </c>
      <c r="E52" s="172" t="s">
        <v>537</v>
      </c>
      <c r="F52" s="139" t="s">
        <v>472</v>
      </c>
      <c r="G52" s="177" t="s">
        <v>729</v>
      </c>
      <c r="H52" s="136">
        <v>41529</v>
      </c>
      <c r="I52" s="135">
        <v>1</v>
      </c>
      <c r="J52" s="225">
        <v>30429</v>
      </c>
      <c r="K52" s="225">
        <v>30429</v>
      </c>
      <c r="L52" s="226" t="s">
        <v>617</v>
      </c>
      <c r="M52" s="130" t="s">
        <v>21</v>
      </c>
    </row>
    <row r="53" spans="1:13" s="134" customFormat="1" ht="15" customHeight="1" x14ac:dyDescent="0.25">
      <c r="A53" s="252">
        <v>50</v>
      </c>
      <c r="B53" s="252">
        <v>58856</v>
      </c>
      <c r="C53" s="137" t="s">
        <v>2124</v>
      </c>
      <c r="D53" s="135" t="s">
        <v>545</v>
      </c>
      <c r="E53" s="172" t="s">
        <v>537</v>
      </c>
      <c r="F53" s="139" t="s">
        <v>511</v>
      </c>
      <c r="G53" s="177" t="s">
        <v>563</v>
      </c>
      <c r="H53" s="136">
        <v>41547</v>
      </c>
      <c r="I53" s="135">
        <v>1</v>
      </c>
      <c r="J53" s="225">
        <v>30429</v>
      </c>
      <c r="K53" s="225">
        <v>30429</v>
      </c>
      <c r="L53" s="226" t="s">
        <v>617</v>
      </c>
      <c r="M53" s="130" t="s">
        <v>21</v>
      </c>
    </row>
    <row r="54" spans="1:13" s="134" customFormat="1" ht="15" customHeight="1" x14ac:dyDescent="0.25">
      <c r="A54" s="252">
        <v>51</v>
      </c>
      <c r="B54" s="252">
        <v>57143</v>
      </c>
      <c r="C54" s="137" t="s">
        <v>2099</v>
      </c>
      <c r="D54" s="135" t="s">
        <v>724</v>
      </c>
      <c r="E54" s="172" t="s">
        <v>192</v>
      </c>
      <c r="F54" s="139" t="s">
        <v>2100</v>
      </c>
      <c r="G54" s="177" t="s">
        <v>2097</v>
      </c>
      <c r="H54" s="136">
        <v>41533</v>
      </c>
      <c r="I54" s="135">
        <v>4</v>
      </c>
      <c r="J54" s="225">
        <v>57960</v>
      </c>
      <c r="K54" s="225">
        <v>231840</v>
      </c>
      <c r="L54" s="226" t="s">
        <v>617</v>
      </c>
      <c r="M54" s="130" t="s">
        <v>21</v>
      </c>
    </row>
    <row r="55" spans="1:13" s="134" customFormat="1" ht="15" customHeight="1" x14ac:dyDescent="0.25">
      <c r="A55" s="252">
        <v>52</v>
      </c>
      <c r="B55" s="252">
        <v>44138</v>
      </c>
      <c r="C55" s="137" t="s">
        <v>633</v>
      </c>
      <c r="D55" s="135" t="s">
        <v>724</v>
      </c>
      <c r="E55" s="172" t="s">
        <v>116</v>
      </c>
      <c r="F55" s="139" t="s">
        <v>2125</v>
      </c>
      <c r="G55" s="177" t="s">
        <v>2107</v>
      </c>
      <c r="H55" s="136">
        <v>41486</v>
      </c>
      <c r="I55" s="135">
        <v>2</v>
      </c>
      <c r="J55" s="225">
        <v>5274</v>
      </c>
      <c r="K55" s="225">
        <v>10548</v>
      </c>
      <c r="L55" s="226" t="s">
        <v>617</v>
      </c>
      <c r="M55" s="130" t="s">
        <v>21</v>
      </c>
    </row>
    <row r="56" spans="1:13" s="134" customFormat="1" ht="15" customHeight="1" x14ac:dyDescent="0.25">
      <c r="A56" s="252">
        <v>53</v>
      </c>
      <c r="B56" s="252">
        <v>57816</v>
      </c>
      <c r="C56" s="137" t="s">
        <v>2126</v>
      </c>
      <c r="D56" s="135" t="s">
        <v>724</v>
      </c>
      <c r="E56" s="172" t="s">
        <v>537</v>
      </c>
      <c r="F56" s="139" t="s">
        <v>431</v>
      </c>
      <c r="G56" s="177" t="s">
        <v>2127</v>
      </c>
      <c r="H56" s="136">
        <v>41541</v>
      </c>
      <c r="I56" s="135">
        <v>1</v>
      </c>
      <c r="J56" s="225">
        <v>30429</v>
      </c>
      <c r="K56" s="225">
        <v>30429</v>
      </c>
      <c r="L56" s="226" t="s">
        <v>617</v>
      </c>
      <c r="M56" s="130" t="s">
        <v>21</v>
      </c>
    </row>
    <row r="57" spans="1:13" s="134" customFormat="1" ht="15" customHeight="1" x14ac:dyDescent="0.25">
      <c r="A57" s="252">
        <v>54</v>
      </c>
      <c r="B57" s="252">
        <v>53900</v>
      </c>
      <c r="C57" s="137" t="s">
        <v>2066</v>
      </c>
      <c r="D57" s="135" t="s">
        <v>724</v>
      </c>
      <c r="E57" s="172" t="s">
        <v>537</v>
      </c>
      <c r="F57" s="139" t="s">
        <v>392</v>
      </c>
      <c r="G57" s="177" t="s">
        <v>560</v>
      </c>
      <c r="H57" s="136">
        <v>41521</v>
      </c>
      <c r="I57" s="135">
        <v>1</v>
      </c>
      <c r="J57" s="225">
        <v>30429</v>
      </c>
      <c r="K57" s="225">
        <v>30429</v>
      </c>
      <c r="L57" s="226" t="s">
        <v>617</v>
      </c>
      <c r="M57" s="130" t="s">
        <v>21</v>
      </c>
    </row>
    <row r="58" spans="1:13" s="134" customFormat="1" ht="15" customHeight="1" x14ac:dyDescent="0.25">
      <c r="A58" s="252">
        <v>55</v>
      </c>
      <c r="B58" s="252">
        <v>53280</v>
      </c>
      <c r="C58" s="137" t="s">
        <v>2128</v>
      </c>
      <c r="D58" s="135" t="s">
        <v>545</v>
      </c>
      <c r="E58" s="172" t="s">
        <v>537</v>
      </c>
      <c r="F58" s="139" t="s">
        <v>472</v>
      </c>
      <c r="G58" s="177" t="s">
        <v>642</v>
      </c>
      <c r="H58" s="136">
        <v>41520</v>
      </c>
      <c r="I58" s="135">
        <v>1</v>
      </c>
      <c r="J58" s="225">
        <v>30429</v>
      </c>
      <c r="K58" s="225">
        <v>30429</v>
      </c>
      <c r="L58" s="226" t="s">
        <v>617</v>
      </c>
      <c r="M58" s="130" t="s">
        <v>21</v>
      </c>
    </row>
    <row r="59" spans="1:13" s="134" customFormat="1" ht="15" customHeight="1" x14ac:dyDescent="0.25">
      <c r="A59" s="252">
        <v>56</v>
      </c>
      <c r="B59" s="252">
        <v>57672</v>
      </c>
      <c r="C59" s="137" t="s">
        <v>2129</v>
      </c>
      <c r="D59" s="135" t="s">
        <v>545</v>
      </c>
      <c r="E59" s="172" t="s">
        <v>537</v>
      </c>
      <c r="F59" s="139" t="s">
        <v>442</v>
      </c>
      <c r="G59" s="177" t="s">
        <v>563</v>
      </c>
      <c r="H59" s="136">
        <v>41540</v>
      </c>
      <c r="I59" s="135">
        <v>1</v>
      </c>
      <c r="J59" s="225">
        <v>30429</v>
      </c>
      <c r="K59" s="225">
        <v>30429</v>
      </c>
      <c r="L59" s="226" t="s">
        <v>617</v>
      </c>
      <c r="M59" s="130" t="s">
        <v>21</v>
      </c>
    </row>
    <row r="60" spans="1:13" s="134" customFormat="1" ht="15" customHeight="1" x14ac:dyDescent="0.25">
      <c r="A60" s="252">
        <v>57</v>
      </c>
      <c r="B60" s="252">
        <v>53769</v>
      </c>
      <c r="C60" s="137" t="s">
        <v>2130</v>
      </c>
      <c r="D60" s="135" t="s">
        <v>724</v>
      </c>
      <c r="E60" s="172" t="s">
        <v>537</v>
      </c>
      <c r="F60" s="139" t="s">
        <v>562</v>
      </c>
      <c r="G60" s="177"/>
      <c r="H60" s="136">
        <v>41521</v>
      </c>
      <c r="I60" s="135">
        <v>1</v>
      </c>
      <c r="J60" s="225">
        <v>30429</v>
      </c>
      <c r="K60" s="225">
        <v>30429</v>
      </c>
      <c r="L60" s="226" t="s">
        <v>617</v>
      </c>
      <c r="M60" s="130" t="s">
        <v>21</v>
      </c>
    </row>
    <row r="61" spans="1:13" s="134" customFormat="1" ht="15" customHeight="1" x14ac:dyDescent="0.25">
      <c r="A61" s="252">
        <v>58</v>
      </c>
      <c r="B61" s="252">
        <v>52954</v>
      </c>
      <c r="C61" s="137" t="s">
        <v>2131</v>
      </c>
      <c r="D61" s="135" t="s">
        <v>724</v>
      </c>
      <c r="E61" s="172" t="s">
        <v>237</v>
      </c>
      <c r="F61" s="139" t="s">
        <v>369</v>
      </c>
      <c r="G61" s="177"/>
      <c r="H61" s="136">
        <v>41519</v>
      </c>
      <c r="I61" s="135">
        <v>1</v>
      </c>
      <c r="J61" s="225">
        <v>10401</v>
      </c>
      <c r="K61" s="225">
        <v>10401</v>
      </c>
      <c r="L61" s="226" t="s">
        <v>617</v>
      </c>
      <c r="M61" s="130" t="s">
        <v>21</v>
      </c>
    </row>
    <row r="62" spans="1:13" s="134" customFormat="1" ht="15" customHeight="1" x14ac:dyDescent="0.25">
      <c r="A62" s="252">
        <v>59</v>
      </c>
      <c r="B62" s="252">
        <v>58657</v>
      </c>
      <c r="C62" s="137" t="s">
        <v>2132</v>
      </c>
      <c r="D62" s="135" t="s">
        <v>478</v>
      </c>
      <c r="E62" s="172" t="s">
        <v>217</v>
      </c>
      <c r="F62" s="139" t="s">
        <v>371</v>
      </c>
      <c r="G62" s="177" t="s">
        <v>2133</v>
      </c>
      <c r="H62" s="136">
        <v>41547</v>
      </c>
      <c r="I62" s="135">
        <v>1</v>
      </c>
      <c r="J62" s="225">
        <v>44597</v>
      </c>
      <c r="K62" s="225">
        <v>44597</v>
      </c>
      <c r="L62" s="226" t="s">
        <v>617</v>
      </c>
      <c r="M62" s="130" t="s">
        <v>21</v>
      </c>
    </row>
    <row r="63" spans="1:13" s="134" customFormat="1" ht="15" customHeight="1" x14ac:dyDescent="0.25">
      <c r="A63" s="252">
        <v>60</v>
      </c>
      <c r="B63" s="252">
        <v>53627</v>
      </c>
      <c r="C63" s="137" t="s">
        <v>2134</v>
      </c>
      <c r="D63" s="135" t="s">
        <v>545</v>
      </c>
      <c r="E63" s="172" t="s">
        <v>116</v>
      </c>
      <c r="F63" s="139" t="s">
        <v>419</v>
      </c>
      <c r="G63" s="177" t="s">
        <v>2135</v>
      </c>
      <c r="H63" s="136">
        <v>41520</v>
      </c>
      <c r="I63" s="135">
        <v>1</v>
      </c>
      <c r="J63" s="225">
        <v>5274</v>
      </c>
      <c r="K63" s="225">
        <v>5274</v>
      </c>
      <c r="L63" s="226" t="s">
        <v>617</v>
      </c>
      <c r="M63" s="130" t="s">
        <v>21</v>
      </c>
    </row>
    <row r="64" spans="1:13" s="134" customFormat="1" ht="15" customHeight="1" x14ac:dyDescent="0.25">
      <c r="A64" s="252">
        <v>61</v>
      </c>
      <c r="B64" s="252">
        <v>53627</v>
      </c>
      <c r="C64" s="137" t="s">
        <v>2134</v>
      </c>
      <c r="D64" s="135" t="s">
        <v>545</v>
      </c>
      <c r="E64" s="172" t="s">
        <v>210</v>
      </c>
      <c r="F64" s="139" t="s">
        <v>419</v>
      </c>
      <c r="G64" s="177"/>
      <c r="H64" s="136">
        <v>41520</v>
      </c>
      <c r="I64" s="135">
        <v>1</v>
      </c>
      <c r="J64" s="225">
        <v>14099</v>
      </c>
      <c r="K64" s="225">
        <v>14099</v>
      </c>
      <c r="L64" s="226" t="s">
        <v>617</v>
      </c>
      <c r="M64" s="130" t="s">
        <v>21</v>
      </c>
    </row>
    <row r="65" spans="1:13" s="134" customFormat="1" ht="15" customHeight="1" x14ac:dyDescent="0.25">
      <c r="A65" s="252">
        <v>62</v>
      </c>
      <c r="B65" s="252">
        <v>59091</v>
      </c>
      <c r="C65" s="137" t="s">
        <v>2134</v>
      </c>
      <c r="D65" s="135" t="s">
        <v>545</v>
      </c>
      <c r="E65" s="172" t="s">
        <v>115</v>
      </c>
      <c r="F65" s="139" t="s">
        <v>419</v>
      </c>
      <c r="G65" s="177" t="s">
        <v>2136</v>
      </c>
      <c r="H65" s="136">
        <v>41547</v>
      </c>
      <c r="I65" s="135">
        <v>1</v>
      </c>
      <c r="J65" s="225">
        <v>33370</v>
      </c>
      <c r="K65" s="225">
        <v>33370</v>
      </c>
      <c r="L65" s="226" t="s">
        <v>617</v>
      </c>
      <c r="M65" s="130" t="s">
        <v>21</v>
      </c>
    </row>
    <row r="66" spans="1:13" s="134" customFormat="1" ht="15" customHeight="1" x14ac:dyDescent="0.25">
      <c r="A66" s="252">
        <v>63</v>
      </c>
      <c r="B66" s="252">
        <v>52889</v>
      </c>
      <c r="C66" s="137" t="s">
        <v>2137</v>
      </c>
      <c r="D66" s="135" t="s">
        <v>545</v>
      </c>
      <c r="E66" s="172" t="s">
        <v>116</v>
      </c>
      <c r="F66" s="139" t="s">
        <v>472</v>
      </c>
      <c r="G66" s="177" t="s">
        <v>2067</v>
      </c>
      <c r="H66" s="136">
        <v>41516</v>
      </c>
      <c r="I66" s="135">
        <v>1</v>
      </c>
      <c r="J66" s="225">
        <v>5274</v>
      </c>
      <c r="K66" s="225">
        <v>5274</v>
      </c>
      <c r="L66" s="226" t="s">
        <v>617</v>
      </c>
      <c r="M66" s="130" t="s">
        <v>21</v>
      </c>
    </row>
    <row r="67" spans="1:13" s="134" customFormat="1" ht="15" customHeight="1" x14ac:dyDescent="0.25">
      <c r="A67" s="252">
        <v>64</v>
      </c>
      <c r="B67" s="252">
        <v>52889</v>
      </c>
      <c r="C67" s="137" t="s">
        <v>2137</v>
      </c>
      <c r="D67" s="135" t="s">
        <v>545</v>
      </c>
      <c r="E67" s="172" t="s">
        <v>210</v>
      </c>
      <c r="F67" s="139" t="s">
        <v>472</v>
      </c>
      <c r="G67" s="177"/>
      <c r="H67" s="136">
        <v>41547</v>
      </c>
      <c r="I67" s="135">
        <v>1</v>
      </c>
      <c r="J67" s="225">
        <v>14099</v>
      </c>
      <c r="K67" s="225">
        <v>14099</v>
      </c>
      <c r="L67" s="226" t="s">
        <v>617</v>
      </c>
      <c r="M67" s="130" t="s">
        <v>21</v>
      </c>
    </row>
    <row r="68" spans="1:13" s="134" customFormat="1" ht="15" customHeight="1" x14ac:dyDescent="0.25">
      <c r="A68" s="252">
        <v>65</v>
      </c>
      <c r="B68" s="252">
        <v>53549</v>
      </c>
      <c r="C68" s="137" t="s">
        <v>2138</v>
      </c>
      <c r="D68" s="135" t="s">
        <v>545</v>
      </c>
      <c r="E68" s="172" t="s">
        <v>116</v>
      </c>
      <c r="F68" s="139" t="s">
        <v>594</v>
      </c>
      <c r="G68" s="177" t="s">
        <v>2135</v>
      </c>
      <c r="H68" s="136">
        <v>41520</v>
      </c>
      <c r="I68" s="135">
        <v>1</v>
      </c>
      <c r="J68" s="225">
        <v>5274</v>
      </c>
      <c r="K68" s="225">
        <v>5274</v>
      </c>
      <c r="L68" s="226" t="s">
        <v>617</v>
      </c>
      <c r="M68" s="130" t="s">
        <v>21</v>
      </c>
    </row>
    <row r="69" spans="1:13" s="134" customFormat="1" ht="15" customHeight="1" x14ac:dyDescent="0.25">
      <c r="A69" s="252">
        <v>66</v>
      </c>
      <c r="B69" s="252">
        <v>50853</v>
      </c>
      <c r="C69" s="137" t="s">
        <v>2139</v>
      </c>
      <c r="D69" s="135" t="s">
        <v>724</v>
      </c>
      <c r="E69" s="172" t="s">
        <v>217</v>
      </c>
      <c r="F69" s="139" t="s">
        <v>371</v>
      </c>
      <c r="G69" s="177" t="s">
        <v>2067</v>
      </c>
      <c r="H69" s="136">
        <v>41514</v>
      </c>
      <c r="I69" s="135">
        <v>1</v>
      </c>
      <c r="J69" s="225">
        <v>44597</v>
      </c>
      <c r="K69" s="225">
        <v>44597</v>
      </c>
      <c r="L69" s="226" t="s">
        <v>617</v>
      </c>
      <c r="M69" s="130" t="s">
        <v>21</v>
      </c>
    </row>
    <row r="70" spans="1:13" s="134" customFormat="1" ht="15" customHeight="1" x14ac:dyDescent="0.25">
      <c r="A70" s="252">
        <v>67</v>
      </c>
      <c r="B70" s="252">
        <v>52470</v>
      </c>
      <c r="C70" s="137" t="s">
        <v>2140</v>
      </c>
      <c r="D70" s="135" t="s">
        <v>724</v>
      </c>
      <c r="E70" s="172" t="s">
        <v>537</v>
      </c>
      <c r="F70" s="139" t="s">
        <v>527</v>
      </c>
      <c r="G70" s="177" t="s">
        <v>2141</v>
      </c>
      <c r="H70" s="136">
        <v>41515</v>
      </c>
      <c r="I70" s="135">
        <v>1</v>
      </c>
      <c r="J70" s="225">
        <v>30429</v>
      </c>
      <c r="K70" s="225">
        <v>30429</v>
      </c>
      <c r="L70" s="226" t="s">
        <v>617</v>
      </c>
      <c r="M70" s="130" t="s">
        <v>21</v>
      </c>
    </row>
    <row r="71" spans="1:13" s="134" customFormat="1" ht="15" customHeight="1" x14ac:dyDescent="0.25">
      <c r="A71" s="252">
        <v>68</v>
      </c>
      <c r="B71" s="252">
        <v>50944</v>
      </c>
      <c r="C71" s="137" t="s">
        <v>2142</v>
      </c>
      <c r="D71" s="135" t="s">
        <v>724</v>
      </c>
      <c r="E71" s="172" t="s">
        <v>537</v>
      </c>
      <c r="F71" s="139" t="s">
        <v>527</v>
      </c>
      <c r="G71" s="177" t="s">
        <v>2143</v>
      </c>
      <c r="H71" s="136">
        <v>41512</v>
      </c>
      <c r="I71" s="135">
        <v>1</v>
      </c>
      <c r="J71" s="225">
        <v>30429</v>
      </c>
      <c r="K71" s="225">
        <v>30429</v>
      </c>
      <c r="L71" s="226" t="s">
        <v>617</v>
      </c>
      <c r="M71" s="130" t="s">
        <v>21</v>
      </c>
    </row>
    <row r="72" spans="1:13" s="134" customFormat="1" ht="15" customHeight="1" x14ac:dyDescent="0.25">
      <c r="A72" s="252">
        <v>69</v>
      </c>
      <c r="B72" s="252">
        <v>59030</v>
      </c>
      <c r="C72" s="137" t="s">
        <v>2144</v>
      </c>
      <c r="D72" s="135" t="s">
        <v>545</v>
      </c>
      <c r="E72" s="172" t="s">
        <v>116</v>
      </c>
      <c r="F72" s="139" t="s">
        <v>1004</v>
      </c>
      <c r="G72" s="177" t="s">
        <v>2135</v>
      </c>
      <c r="H72" s="136">
        <v>41547</v>
      </c>
      <c r="I72" s="135">
        <v>4</v>
      </c>
      <c r="J72" s="225">
        <v>5274</v>
      </c>
      <c r="K72" s="225">
        <v>21096</v>
      </c>
      <c r="L72" s="226" t="s">
        <v>617</v>
      </c>
      <c r="M72" s="130" t="s">
        <v>21</v>
      </c>
    </row>
    <row r="73" spans="1:13" s="134" customFormat="1" ht="15" customHeight="1" x14ac:dyDescent="0.25">
      <c r="A73" s="252">
        <v>70</v>
      </c>
      <c r="B73" s="252">
        <v>51078</v>
      </c>
      <c r="C73" s="137" t="s">
        <v>2145</v>
      </c>
      <c r="D73" s="135" t="s">
        <v>724</v>
      </c>
      <c r="E73" s="172" t="s">
        <v>116</v>
      </c>
      <c r="F73" s="139" t="s">
        <v>417</v>
      </c>
      <c r="G73" s="177" t="s">
        <v>2067</v>
      </c>
      <c r="H73" s="136">
        <v>41513</v>
      </c>
      <c r="I73" s="135">
        <v>1</v>
      </c>
      <c r="J73" s="225">
        <v>5274</v>
      </c>
      <c r="K73" s="225">
        <v>5274</v>
      </c>
      <c r="L73" s="226" t="s">
        <v>617</v>
      </c>
      <c r="M73" s="130" t="s">
        <v>21</v>
      </c>
    </row>
    <row r="74" spans="1:13" s="134" customFormat="1" ht="15" customHeight="1" x14ac:dyDescent="0.25">
      <c r="A74" s="252">
        <v>71</v>
      </c>
      <c r="B74" s="252">
        <v>38040</v>
      </c>
      <c r="C74" s="137" t="s">
        <v>2062</v>
      </c>
      <c r="D74" s="135" t="s">
        <v>724</v>
      </c>
      <c r="E74" s="172" t="s">
        <v>192</v>
      </c>
      <c r="F74" s="139" t="s">
        <v>392</v>
      </c>
      <c r="G74" s="177" t="s">
        <v>2146</v>
      </c>
      <c r="H74" s="136">
        <v>41457</v>
      </c>
      <c r="I74" s="135">
        <v>1</v>
      </c>
      <c r="J74" s="225">
        <v>57960</v>
      </c>
      <c r="K74" s="225">
        <v>57960</v>
      </c>
      <c r="L74" s="226" t="s">
        <v>617</v>
      </c>
      <c r="M74" s="130" t="s">
        <v>21</v>
      </c>
    </row>
    <row r="75" spans="1:13" s="134" customFormat="1" ht="15" customHeight="1" x14ac:dyDescent="0.25">
      <c r="A75" s="252">
        <v>72</v>
      </c>
      <c r="B75" s="252">
        <v>51624</v>
      </c>
      <c r="C75" s="137" t="s">
        <v>2147</v>
      </c>
      <c r="D75" s="135" t="s">
        <v>724</v>
      </c>
      <c r="E75" s="172" t="s">
        <v>116</v>
      </c>
      <c r="F75" s="139" t="s">
        <v>431</v>
      </c>
      <c r="G75" s="177" t="s">
        <v>2107</v>
      </c>
      <c r="H75" s="136">
        <v>41516</v>
      </c>
      <c r="I75" s="135">
        <v>1</v>
      </c>
      <c r="J75" s="225">
        <v>5274</v>
      </c>
      <c r="K75" s="225">
        <v>5274</v>
      </c>
      <c r="L75" s="226" t="s">
        <v>617</v>
      </c>
      <c r="M75" s="130" t="s">
        <v>21</v>
      </c>
    </row>
    <row r="76" spans="1:13" s="134" customFormat="1" ht="15" customHeight="1" x14ac:dyDescent="0.25">
      <c r="A76" s="252">
        <v>73</v>
      </c>
      <c r="B76" s="252">
        <v>58098</v>
      </c>
      <c r="C76" s="137" t="s">
        <v>2148</v>
      </c>
      <c r="D76" s="135" t="s">
        <v>724</v>
      </c>
      <c r="E76" s="172" t="s">
        <v>115</v>
      </c>
      <c r="F76" s="139" t="s">
        <v>431</v>
      </c>
      <c r="G76" s="177" t="s">
        <v>560</v>
      </c>
      <c r="H76" s="136">
        <v>41542</v>
      </c>
      <c r="I76" s="135">
        <v>1</v>
      </c>
      <c r="J76" s="225">
        <v>33370</v>
      </c>
      <c r="K76" s="225">
        <v>33370</v>
      </c>
      <c r="L76" s="226" t="s">
        <v>617</v>
      </c>
      <c r="M76" s="130" t="s">
        <v>21</v>
      </c>
    </row>
    <row r="77" spans="1:13" s="134" customFormat="1" ht="15" customHeight="1" x14ac:dyDescent="0.25">
      <c r="A77" s="252">
        <v>74</v>
      </c>
      <c r="B77" s="252">
        <v>56740</v>
      </c>
      <c r="C77" s="137" t="s">
        <v>2149</v>
      </c>
      <c r="D77" s="135" t="s">
        <v>724</v>
      </c>
      <c r="E77" s="172" t="s">
        <v>237</v>
      </c>
      <c r="F77" s="139" t="s">
        <v>369</v>
      </c>
      <c r="G77" s="177"/>
      <c r="H77" s="136">
        <v>41530</v>
      </c>
      <c r="I77" s="135">
        <v>1</v>
      </c>
      <c r="J77" s="225">
        <v>10401</v>
      </c>
      <c r="K77" s="225">
        <v>10401</v>
      </c>
      <c r="L77" s="226" t="s">
        <v>617</v>
      </c>
      <c r="M77" s="130" t="s">
        <v>21</v>
      </c>
    </row>
    <row r="78" spans="1:13" s="134" customFormat="1" ht="15" customHeight="1" x14ac:dyDescent="0.25">
      <c r="A78" s="252">
        <v>75</v>
      </c>
      <c r="B78" s="252">
        <v>57573</v>
      </c>
      <c r="C78" s="137" t="s">
        <v>2150</v>
      </c>
      <c r="D78" s="135" t="s">
        <v>724</v>
      </c>
      <c r="E78" s="172" t="s">
        <v>115</v>
      </c>
      <c r="F78" s="139" t="s">
        <v>527</v>
      </c>
      <c r="G78" s="177" t="s">
        <v>2151</v>
      </c>
      <c r="H78" s="136">
        <v>41541</v>
      </c>
      <c r="I78" s="135">
        <v>1</v>
      </c>
      <c r="J78" s="225">
        <v>33370</v>
      </c>
      <c r="K78" s="225">
        <v>33370</v>
      </c>
      <c r="L78" s="226" t="s">
        <v>617</v>
      </c>
      <c r="M78" s="130" t="s">
        <v>21</v>
      </c>
    </row>
    <row r="79" spans="1:13" s="134" customFormat="1" ht="15" customHeight="1" x14ac:dyDescent="0.25">
      <c r="A79" s="252">
        <v>76</v>
      </c>
      <c r="B79" s="252">
        <v>56146</v>
      </c>
      <c r="C79" s="137" t="s">
        <v>723</v>
      </c>
      <c r="D79" s="135" t="s">
        <v>724</v>
      </c>
      <c r="E79" s="172" t="s">
        <v>1011</v>
      </c>
      <c r="F79" s="139" t="s">
        <v>387</v>
      </c>
      <c r="G79" s="177"/>
      <c r="H79" s="136">
        <v>41529</v>
      </c>
      <c r="I79" s="135">
        <v>2</v>
      </c>
      <c r="J79" s="225">
        <v>9129</v>
      </c>
      <c r="K79" s="225">
        <v>18258</v>
      </c>
      <c r="L79" s="226" t="s">
        <v>617</v>
      </c>
      <c r="M79" s="130" t="s">
        <v>21</v>
      </c>
    </row>
    <row r="80" spans="1:13" s="134" customFormat="1" ht="15" customHeight="1" x14ac:dyDescent="0.25">
      <c r="A80" s="252">
        <v>77</v>
      </c>
      <c r="B80" s="252">
        <v>53286</v>
      </c>
      <c r="C80" s="137" t="s">
        <v>2152</v>
      </c>
      <c r="D80" s="135" t="s">
        <v>724</v>
      </c>
      <c r="E80" s="172" t="s">
        <v>577</v>
      </c>
      <c r="F80" s="139" t="s">
        <v>527</v>
      </c>
      <c r="G80" s="177" t="s">
        <v>560</v>
      </c>
      <c r="H80" s="136">
        <v>41520</v>
      </c>
      <c r="I80" s="135">
        <v>1</v>
      </c>
      <c r="J80" s="225">
        <v>49701</v>
      </c>
      <c r="K80" s="225">
        <v>49701</v>
      </c>
      <c r="L80" s="226" t="s">
        <v>617</v>
      </c>
      <c r="M80" s="130" t="s">
        <v>21</v>
      </c>
    </row>
    <row r="81" spans="1:13" s="134" customFormat="1" ht="15" customHeight="1" x14ac:dyDescent="0.25">
      <c r="A81" s="252">
        <v>78</v>
      </c>
      <c r="B81" s="252">
        <v>54553</v>
      </c>
      <c r="C81" s="137" t="s">
        <v>2153</v>
      </c>
      <c r="D81" s="135" t="s">
        <v>545</v>
      </c>
      <c r="E81" s="172" t="s">
        <v>537</v>
      </c>
      <c r="F81" s="139" t="s">
        <v>568</v>
      </c>
      <c r="G81" s="177" t="s">
        <v>563</v>
      </c>
      <c r="H81" s="136">
        <v>41523</v>
      </c>
      <c r="I81" s="135">
        <v>1</v>
      </c>
      <c r="J81" s="225">
        <v>30429</v>
      </c>
      <c r="K81" s="225">
        <v>30429</v>
      </c>
      <c r="L81" s="226" t="s">
        <v>617</v>
      </c>
      <c r="M81" s="130" t="s">
        <v>21</v>
      </c>
    </row>
    <row r="82" spans="1:13" s="134" customFormat="1" ht="15" customHeight="1" x14ac:dyDescent="0.25">
      <c r="A82" s="252">
        <v>79</v>
      </c>
      <c r="B82" s="252">
        <v>55187</v>
      </c>
      <c r="C82" s="137" t="s">
        <v>2154</v>
      </c>
      <c r="D82" s="135" t="s">
        <v>545</v>
      </c>
      <c r="E82" s="172" t="s">
        <v>116</v>
      </c>
      <c r="F82" s="139" t="s">
        <v>2155</v>
      </c>
      <c r="G82" s="177" t="s">
        <v>1250</v>
      </c>
      <c r="H82" s="136">
        <v>41529</v>
      </c>
      <c r="I82" s="135">
        <v>5</v>
      </c>
      <c r="J82" s="225">
        <v>5274</v>
      </c>
      <c r="K82" s="225">
        <v>26370</v>
      </c>
      <c r="L82" s="226" t="s">
        <v>617</v>
      </c>
      <c r="M82" s="130" t="s">
        <v>21</v>
      </c>
    </row>
    <row r="83" spans="1:13" s="134" customFormat="1" ht="15" customHeight="1" x14ac:dyDescent="0.25">
      <c r="A83" s="252">
        <v>80</v>
      </c>
      <c r="B83" s="252">
        <v>54616</v>
      </c>
      <c r="C83" s="137" t="s">
        <v>2156</v>
      </c>
      <c r="D83" s="135" t="s">
        <v>545</v>
      </c>
      <c r="E83" s="172" t="s">
        <v>537</v>
      </c>
      <c r="F83" s="139" t="s">
        <v>419</v>
      </c>
      <c r="G83" s="177" t="s">
        <v>583</v>
      </c>
      <c r="H83" s="136">
        <v>41523</v>
      </c>
      <c r="I83" s="135">
        <v>1</v>
      </c>
      <c r="J83" s="225">
        <v>30429</v>
      </c>
      <c r="K83" s="225">
        <v>30429</v>
      </c>
      <c r="L83" s="226" t="s">
        <v>617</v>
      </c>
      <c r="M83" s="130" t="s">
        <v>21</v>
      </c>
    </row>
    <row r="84" spans="1:13" s="134" customFormat="1" ht="15" customHeight="1" x14ac:dyDescent="0.25">
      <c r="A84" s="252">
        <v>81</v>
      </c>
      <c r="B84" s="252">
        <v>53688</v>
      </c>
      <c r="C84" s="137" t="s">
        <v>2157</v>
      </c>
      <c r="D84" s="135" t="s">
        <v>545</v>
      </c>
      <c r="E84" s="172" t="s">
        <v>537</v>
      </c>
      <c r="F84" s="139" t="s">
        <v>527</v>
      </c>
      <c r="G84" s="177" t="s">
        <v>563</v>
      </c>
      <c r="H84" s="136">
        <v>41520</v>
      </c>
      <c r="I84" s="135">
        <v>1</v>
      </c>
      <c r="J84" s="225">
        <v>30429</v>
      </c>
      <c r="K84" s="225">
        <v>30429</v>
      </c>
      <c r="L84" s="226" t="s">
        <v>617</v>
      </c>
      <c r="M84" s="130" t="s">
        <v>21</v>
      </c>
    </row>
    <row r="85" spans="1:13" s="134" customFormat="1" ht="15" customHeight="1" x14ac:dyDescent="0.25">
      <c r="A85" s="252">
        <v>82</v>
      </c>
      <c r="B85" s="252">
        <v>51099</v>
      </c>
      <c r="C85" s="137" t="s">
        <v>2158</v>
      </c>
      <c r="D85" s="135" t="s">
        <v>478</v>
      </c>
      <c r="E85" s="172" t="s">
        <v>116</v>
      </c>
      <c r="F85" s="139" t="s">
        <v>410</v>
      </c>
      <c r="G85" s="177" t="s">
        <v>2067</v>
      </c>
      <c r="H85" s="136">
        <v>41513</v>
      </c>
      <c r="I85" s="135">
        <v>1</v>
      </c>
      <c r="J85" s="225">
        <v>5274</v>
      </c>
      <c r="K85" s="225">
        <v>5274</v>
      </c>
      <c r="L85" s="226" t="s">
        <v>617</v>
      </c>
      <c r="M85" s="130" t="s">
        <v>21</v>
      </c>
    </row>
    <row r="86" spans="1:13" s="134" customFormat="1" ht="15" customHeight="1" x14ac:dyDescent="0.25">
      <c r="A86" s="252">
        <v>83</v>
      </c>
      <c r="B86" s="252">
        <v>57076</v>
      </c>
      <c r="C86" s="137" t="s">
        <v>2159</v>
      </c>
      <c r="D86" s="135" t="s">
        <v>545</v>
      </c>
      <c r="E86" s="172" t="s">
        <v>537</v>
      </c>
      <c r="F86" s="139" t="s">
        <v>472</v>
      </c>
      <c r="G86" s="177" t="s">
        <v>583</v>
      </c>
      <c r="H86" s="136">
        <v>41533</v>
      </c>
      <c r="I86" s="135">
        <v>1</v>
      </c>
      <c r="J86" s="225">
        <v>30429</v>
      </c>
      <c r="K86" s="225">
        <v>30429</v>
      </c>
      <c r="L86" s="226" t="s">
        <v>617</v>
      </c>
      <c r="M86" s="130" t="s">
        <v>21</v>
      </c>
    </row>
    <row r="87" spans="1:13" s="134" customFormat="1" ht="15" customHeight="1" x14ac:dyDescent="0.25">
      <c r="A87" s="252">
        <v>84</v>
      </c>
      <c r="B87" s="252">
        <v>57689</v>
      </c>
      <c r="C87" s="137" t="s">
        <v>2086</v>
      </c>
      <c r="D87" s="135" t="s">
        <v>724</v>
      </c>
      <c r="E87" s="172" t="s">
        <v>115</v>
      </c>
      <c r="F87" s="139" t="s">
        <v>2160</v>
      </c>
      <c r="G87" s="177" t="s">
        <v>2094</v>
      </c>
      <c r="H87" s="136">
        <v>41541</v>
      </c>
      <c r="I87" s="135">
        <v>8</v>
      </c>
      <c r="J87" s="225">
        <v>33370</v>
      </c>
      <c r="K87" s="225">
        <v>266960</v>
      </c>
      <c r="L87" s="226" t="s">
        <v>617</v>
      </c>
      <c r="M87" s="130" t="s">
        <v>21</v>
      </c>
    </row>
    <row r="88" spans="1:13" s="134" customFormat="1" ht="15" customHeight="1" x14ac:dyDescent="0.25">
      <c r="A88" s="252">
        <v>85</v>
      </c>
      <c r="B88" s="252">
        <v>56821</v>
      </c>
      <c r="C88" s="137" t="s">
        <v>2161</v>
      </c>
      <c r="D88" s="135" t="s">
        <v>545</v>
      </c>
      <c r="E88" s="172" t="s">
        <v>537</v>
      </c>
      <c r="F88" s="139" t="s">
        <v>594</v>
      </c>
      <c r="G88" s="177" t="s">
        <v>563</v>
      </c>
      <c r="H88" s="136">
        <v>41533</v>
      </c>
      <c r="I88" s="135">
        <v>1</v>
      </c>
      <c r="J88" s="225">
        <v>30429</v>
      </c>
      <c r="K88" s="225">
        <v>30429</v>
      </c>
      <c r="L88" s="226" t="s">
        <v>617</v>
      </c>
      <c r="M88" s="130" t="s">
        <v>21</v>
      </c>
    </row>
    <row r="89" spans="1:13" s="134" customFormat="1" ht="15" customHeight="1" x14ac:dyDescent="0.25">
      <c r="A89" s="252">
        <v>86</v>
      </c>
      <c r="B89" s="252">
        <v>59072</v>
      </c>
      <c r="C89" s="137" t="s">
        <v>2161</v>
      </c>
      <c r="D89" s="135" t="s">
        <v>545</v>
      </c>
      <c r="E89" s="172" t="s">
        <v>537</v>
      </c>
      <c r="F89" s="139" t="s">
        <v>415</v>
      </c>
      <c r="G89" s="177" t="s">
        <v>629</v>
      </c>
      <c r="H89" s="136">
        <v>41547</v>
      </c>
      <c r="I89" s="135">
        <v>1</v>
      </c>
      <c r="J89" s="225">
        <v>30429</v>
      </c>
      <c r="K89" s="225">
        <v>30429</v>
      </c>
      <c r="L89" s="226" t="s">
        <v>617</v>
      </c>
      <c r="M89" s="130" t="s">
        <v>21</v>
      </c>
    </row>
    <row r="90" spans="1:13" s="134" customFormat="1" ht="15" customHeight="1" x14ac:dyDescent="0.25">
      <c r="A90" s="252">
        <v>87</v>
      </c>
      <c r="B90" s="252">
        <v>57940</v>
      </c>
      <c r="C90" s="137" t="s">
        <v>2162</v>
      </c>
      <c r="D90" s="135" t="s">
        <v>389</v>
      </c>
      <c r="E90" s="172" t="s">
        <v>537</v>
      </c>
      <c r="F90" s="139" t="s">
        <v>431</v>
      </c>
      <c r="G90" s="177" t="s">
        <v>2084</v>
      </c>
      <c r="H90" s="136">
        <v>41541</v>
      </c>
      <c r="I90" s="135">
        <v>1</v>
      </c>
      <c r="J90" s="225">
        <v>30429</v>
      </c>
      <c r="K90" s="225">
        <v>30429</v>
      </c>
      <c r="L90" s="226" t="s">
        <v>617</v>
      </c>
      <c r="M90" s="130" t="s">
        <v>21</v>
      </c>
    </row>
    <row r="91" spans="1:13" s="134" customFormat="1" ht="15" customHeight="1" x14ac:dyDescent="0.25">
      <c r="A91" s="252">
        <v>88</v>
      </c>
      <c r="B91" s="252">
        <v>52692</v>
      </c>
      <c r="C91" s="137" t="s">
        <v>2163</v>
      </c>
      <c r="D91" s="135" t="s">
        <v>545</v>
      </c>
      <c r="E91" s="172" t="s">
        <v>537</v>
      </c>
      <c r="F91" s="139" t="s">
        <v>419</v>
      </c>
      <c r="G91" s="177" t="s">
        <v>642</v>
      </c>
      <c r="H91" s="136">
        <v>41516</v>
      </c>
      <c r="I91" s="135">
        <v>1</v>
      </c>
      <c r="J91" s="225">
        <v>30429</v>
      </c>
      <c r="K91" s="225">
        <v>30429</v>
      </c>
      <c r="L91" s="226" t="s">
        <v>617</v>
      </c>
      <c r="M91" s="130" t="s">
        <v>21</v>
      </c>
    </row>
    <row r="92" spans="1:13" s="134" customFormat="1" ht="15" customHeight="1" x14ac:dyDescent="0.25">
      <c r="A92" s="252">
        <v>89</v>
      </c>
      <c r="B92" s="252">
        <v>52710</v>
      </c>
      <c r="C92" s="137" t="s">
        <v>2164</v>
      </c>
      <c r="D92" s="135" t="s">
        <v>545</v>
      </c>
      <c r="E92" s="172" t="s">
        <v>537</v>
      </c>
      <c r="F92" s="139" t="s">
        <v>527</v>
      </c>
      <c r="G92" s="177" t="s">
        <v>642</v>
      </c>
      <c r="H92" s="136">
        <v>41516</v>
      </c>
      <c r="I92" s="135">
        <v>1</v>
      </c>
      <c r="J92" s="225">
        <v>30429</v>
      </c>
      <c r="K92" s="225">
        <v>30429</v>
      </c>
      <c r="L92" s="226" t="s">
        <v>617</v>
      </c>
      <c r="M92" s="130" t="s">
        <v>21</v>
      </c>
    </row>
    <row r="93" spans="1:13" s="134" customFormat="1" ht="15" customHeight="1" x14ac:dyDescent="0.25">
      <c r="A93" s="252">
        <v>90</v>
      </c>
      <c r="B93" s="252">
        <v>54808</v>
      </c>
      <c r="C93" s="137" t="s">
        <v>2089</v>
      </c>
      <c r="D93" s="135" t="s">
        <v>724</v>
      </c>
      <c r="E93" s="172" t="s">
        <v>192</v>
      </c>
      <c r="F93" s="139" t="s">
        <v>1066</v>
      </c>
      <c r="G93" s="177" t="s">
        <v>1340</v>
      </c>
      <c r="H93" s="136">
        <v>41523</v>
      </c>
      <c r="I93" s="135">
        <v>3</v>
      </c>
      <c r="J93" s="225">
        <v>57960</v>
      </c>
      <c r="K93" s="225">
        <v>173880</v>
      </c>
      <c r="L93" s="226" t="s">
        <v>617</v>
      </c>
      <c r="M93" s="130" t="s">
        <v>21</v>
      </c>
    </row>
    <row r="94" spans="1:13" s="134" customFormat="1" ht="15" customHeight="1" thickBot="1" x14ac:dyDescent="0.3">
      <c r="A94" s="252">
        <v>91</v>
      </c>
      <c r="B94" s="253">
        <v>54808</v>
      </c>
      <c r="C94" s="254" t="s">
        <v>2089</v>
      </c>
      <c r="D94" s="255" t="s">
        <v>724</v>
      </c>
      <c r="E94" s="256" t="s">
        <v>115</v>
      </c>
      <c r="F94" s="257" t="s">
        <v>419</v>
      </c>
      <c r="G94" s="258" t="s">
        <v>2165</v>
      </c>
      <c r="H94" s="259">
        <v>41523</v>
      </c>
      <c r="I94" s="255">
        <v>1</v>
      </c>
      <c r="J94" s="260">
        <v>33370</v>
      </c>
      <c r="K94" s="260">
        <v>33370</v>
      </c>
      <c r="L94" s="261" t="s">
        <v>617</v>
      </c>
      <c r="M94" s="130" t="s">
        <v>21</v>
      </c>
    </row>
    <row r="95" spans="1:13" s="134" customFormat="1" ht="15" customHeight="1" thickTop="1" x14ac:dyDescent="0.25">
      <c r="A95" s="122">
        <v>92</v>
      </c>
      <c r="B95" s="262">
        <v>65454</v>
      </c>
      <c r="C95" s="263" t="s">
        <v>2166</v>
      </c>
      <c r="D95" s="262" t="s">
        <v>545</v>
      </c>
      <c r="E95" s="264" t="s">
        <v>217</v>
      </c>
      <c r="F95" s="265" t="s">
        <v>371</v>
      </c>
      <c r="G95" s="266" t="s">
        <v>489</v>
      </c>
      <c r="H95" s="267">
        <v>41569</v>
      </c>
      <c r="I95" s="262">
        <v>1</v>
      </c>
      <c r="J95" s="268">
        <v>44597</v>
      </c>
      <c r="K95" s="269">
        <v>44597</v>
      </c>
      <c r="L95" s="270" t="s">
        <v>620</v>
      </c>
      <c r="M95" s="130" t="s">
        <v>21</v>
      </c>
    </row>
    <row r="96" spans="1:13" s="134" customFormat="1" ht="15" customHeight="1" x14ac:dyDescent="0.25">
      <c r="A96" s="122">
        <v>93</v>
      </c>
      <c r="B96" s="122">
        <v>66830</v>
      </c>
      <c r="C96" s="124" t="s">
        <v>2167</v>
      </c>
      <c r="D96" s="122" t="s">
        <v>376</v>
      </c>
      <c r="E96" s="150" t="s">
        <v>217</v>
      </c>
      <c r="F96" s="126" t="s">
        <v>371</v>
      </c>
      <c r="G96" s="271" t="s">
        <v>1236</v>
      </c>
      <c r="H96" s="123">
        <v>41572</v>
      </c>
      <c r="I96" s="122">
        <v>1</v>
      </c>
      <c r="J96" s="272">
        <v>44597</v>
      </c>
      <c r="K96" s="273">
        <v>44597</v>
      </c>
      <c r="L96" s="270" t="s">
        <v>620</v>
      </c>
      <c r="M96" s="130" t="s">
        <v>21</v>
      </c>
    </row>
    <row r="97" spans="1:13" s="134" customFormat="1" ht="15" customHeight="1" x14ac:dyDescent="0.25">
      <c r="A97" s="122">
        <v>94</v>
      </c>
      <c r="B97" s="122">
        <v>67187</v>
      </c>
      <c r="C97" s="124" t="s">
        <v>2168</v>
      </c>
      <c r="D97" s="122" t="s">
        <v>665</v>
      </c>
      <c r="E97" s="150" t="s">
        <v>197</v>
      </c>
      <c r="F97" s="126" t="s">
        <v>1004</v>
      </c>
      <c r="G97" s="271"/>
      <c r="H97" s="123">
        <v>41575</v>
      </c>
      <c r="I97" s="122">
        <v>4</v>
      </c>
      <c r="J97" s="272">
        <v>2739</v>
      </c>
      <c r="K97" s="273">
        <v>10956</v>
      </c>
      <c r="L97" s="270" t="s">
        <v>620</v>
      </c>
      <c r="M97" s="130" t="s">
        <v>21</v>
      </c>
    </row>
    <row r="98" spans="1:13" s="134" customFormat="1" ht="15" customHeight="1" x14ac:dyDescent="0.25">
      <c r="A98" s="122">
        <v>95</v>
      </c>
      <c r="B98" s="122">
        <v>65051</v>
      </c>
      <c r="C98" s="124" t="s">
        <v>2169</v>
      </c>
      <c r="D98" s="122" t="s">
        <v>545</v>
      </c>
      <c r="E98" s="150" t="s">
        <v>116</v>
      </c>
      <c r="F98" s="126" t="s">
        <v>812</v>
      </c>
      <c r="G98" s="271"/>
      <c r="H98" s="123">
        <v>41568</v>
      </c>
      <c r="I98" s="122">
        <v>3</v>
      </c>
      <c r="J98" s="272">
        <v>5274</v>
      </c>
      <c r="K98" s="273">
        <v>15822</v>
      </c>
      <c r="L98" s="270" t="s">
        <v>620</v>
      </c>
      <c r="M98" s="130" t="s">
        <v>21</v>
      </c>
    </row>
    <row r="99" spans="1:13" s="134" customFormat="1" ht="15" customHeight="1" x14ac:dyDescent="0.25">
      <c r="A99" s="122">
        <v>96</v>
      </c>
      <c r="B99" s="122">
        <v>60225</v>
      </c>
      <c r="C99" s="124" t="s">
        <v>2170</v>
      </c>
      <c r="D99" s="122" t="s">
        <v>724</v>
      </c>
      <c r="E99" s="150" t="s">
        <v>580</v>
      </c>
      <c r="F99" s="126" t="s">
        <v>371</v>
      </c>
      <c r="G99" s="271" t="s">
        <v>2171</v>
      </c>
      <c r="H99" s="123">
        <v>41551</v>
      </c>
      <c r="I99" s="122">
        <v>1</v>
      </c>
      <c r="J99" s="272">
        <v>25800</v>
      </c>
      <c r="K99" s="273">
        <v>25800</v>
      </c>
      <c r="L99" s="270" t="s">
        <v>620</v>
      </c>
      <c r="M99" s="130" t="s">
        <v>21</v>
      </c>
    </row>
    <row r="100" spans="1:13" s="134" customFormat="1" ht="15" customHeight="1" x14ac:dyDescent="0.25">
      <c r="A100" s="122">
        <v>97</v>
      </c>
      <c r="B100" s="122">
        <v>63930</v>
      </c>
      <c r="C100" s="124" t="s">
        <v>2172</v>
      </c>
      <c r="D100" s="122" t="s">
        <v>545</v>
      </c>
      <c r="E100" s="150" t="s">
        <v>537</v>
      </c>
      <c r="F100" s="126" t="s">
        <v>392</v>
      </c>
      <c r="G100" s="271" t="s">
        <v>629</v>
      </c>
      <c r="H100" s="123">
        <v>41563</v>
      </c>
      <c r="I100" s="122">
        <v>1</v>
      </c>
      <c r="J100" s="272">
        <v>30429</v>
      </c>
      <c r="K100" s="273">
        <v>30429</v>
      </c>
      <c r="L100" s="270" t="s">
        <v>620</v>
      </c>
      <c r="M100" s="130" t="s">
        <v>21</v>
      </c>
    </row>
    <row r="101" spans="1:13" s="134" customFormat="1" ht="15" customHeight="1" x14ac:dyDescent="0.25">
      <c r="A101" s="122">
        <v>98</v>
      </c>
      <c r="B101" s="122">
        <v>63878</v>
      </c>
      <c r="C101" s="124" t="s">
        <v>633</v>
      </c>
      <c r="D101" s="122" t="s">
        <v>724</v>
      </c>
      <c r="E101" s="150" t="s">
        <v>115</v>
      </c>
      <c r="F101" s="126" t="s">
        <v>442</v>
      </c>
      <c r="G101" s="271" t="s">
        <v>2173</v>
      </c>
      <c r="H101" s="123">
        <v>41563</v>
      </c>
      <c r="I101" s="122">
        <v>1</v>
      </c>
      <c r="J101" s="272">
        <v>33370</v>
      </c>
      <c r="K101" s="273">
        <v>33370</v>
      </c>
      <c r="L101" s="270" t="s">
        <v>620</v>
      </c>
      <c r="M101" s="130" t="s">
        <v>21</v>
      </c>
    </row>
    <row r="102" spans="1:13" s="134" customFormat="1" ht="15" customHeight="1" x14ac:dyDescent="0.25">
      <c r="A102" s="122">
        <v>99</v>
      </c>
      <c r="B102" s="274">
        <v>63553</v>
      </c>
      <c r="C102" s="275" t="s">
        <v>2174</v>
      </c>
      <c r="D102" s="274" t="s">
        <v>545</v>
      </c>
      <c r="E102" s="276" t="s">
        <v>682</v>
      </c>
      <c r="F102" s="277" t="s">
        <v>387</v>
      </c>
      <c r="G102" s="278" t="s">
        <v>2067</v>
      </c>
      <c r="H102" s="279">
        <v>41562</v>
      </c>
      <c r="I102" s="274">
        <v>2</v>
      </c>
      <c r="J102" s="280">
        <v>55058</v>
      </c>
      <c r="K102" s="281">
        <v>110116</v>
      </c>
      <c r="L102" s="270" t="s">
        <v>620</v>
      </c>
      <c r="M102" s="130" t="s">
        <v>21</v>
      </c>
    </row>
    <row r="103" spans="1:13" s="134" customFormat="1" ht="15" customHeight="1" x14ac:dyDescent="0.25">
      <c r="A103" s="122">
        <v>100</v>
      </c>
      <c r="B103" s="274">
        <v>61495</v>
      </c>
      <c r="C103" s="275" t="s">
        <v>2137</v>
      </c>
      <c r="D103" s="274" t="s">
        <v>545</v>
      </c>
      <c r="E103" s="276" t="s">
        <v>115</v>
      </c>
      <c r="F103" s="277" t="s">
        <v>472</v>
      </c>
      <c r="G103" s="278" t="s">
        <v>629</v>
      </c>
      <c r="H103" s="279">
        <v>41555</v>
      </c>
      <c r="I103" s="274">
        <v>1</v>
      </c>
      <c r="J103" s="280">
        <v>33370</v>
      </c>
      <c r="K103" s="281">
        <v>33370</v>
      </c>
      <c r="L103" s="270" t="s">
        <v>620</v>
      </c>
      <c r="M103" s="130" t="s">
        <v>21</v>
      </c>
    </row>
    <row r="104" spans="1:13" s="134" customFormat="1" ht="15" customHeight="1" x14ac:dyDescent="0.25">
      <c r="A104" s="122">
        <v>101</v>
      </c>
      <c r="B104" s="274">
        <v>60526</v>
      </c>
      <c r="C104" s="275" t="s">
        <v>2175</v>
      </c>
      <c r="D104" s="274" t="s">
        <v>545</v>
      </c>
      <c r="E104" s="276" t="s">
        <v>116</v>
      </c>
      <c r="F104" s="277" t="s">
        <v>511</v>
      </c>
      <c r="G104" s="278" t="s">
        <v>2067</v>
      </c>
      <c r="H104" s="279">
        <v>41554</v>
      </c>
      <c r="I104" s="274">
        <v>1</v>
      </c>
      <c r="J104" s="280">
        <v>5274</v>
      </c>
      <c r="K104" s="281">
        <v>5274</v>
      </c>
      <c r="L104" s="270" t="s">
        <v>620</v>
      </c>
      <c r="M104" s="130" t="s">
        <v>21</v>
      </c>
    </row>
    <row r="105" spans="1:13" s="134" customFormat="1" ht="15" customHeight="1" x14ac:dyDescent="0.25">
      <c r="A105" s="122">
        <v>102</v>
      </c>
      <c r="B105" s="274">
        <v>60526</v>
      </c>
      <c r="C105" s="275" t="s">
        <v>2175</v>
      </c>
      <c r="D105" s="274" t="s">
        <v>545</v>
      </c>
      <c r="E105" s="276" t="s">
        <v>210</v>
      </c>
      <c r="F105" s="277" t="s">
        <v>511</v>
      </c>
      <c r="G105" s="278"/>
      <c r="H105" s="279">
        <v>41554</v>
      </c>
      <c r="I105" s="274">
        <v>1</v>
      </c>
      <c r="J105" s="280">
        <v>14099</v>
      </c>
      <c r="K105" s="281">
        <v>14099</v>
      </c>
      <c r="L105" s="270" t="s">
        <v>620</v>
      </c>
      <c r="M105" s="130" t="s">
        <v>21</v>
      </c>
    </row>
    <row r="106" spans="1:13" s="134" customFormat="1" ht="15" customHeight="1" x14ac:dyDescent="0.25">
      <c r="A106" s="122">
        <v>103</v>
      </c>
      <c r="B106" s="274">
        <v>53549</v>
      </c>
      <c r="C106" s="275" t="s">
        <v>2138</v>
      </c>
      <c r="D106" s="274" t="s">
        <v>545</v>
      </c>
      <c r="E106" s="276" t="s">
        <v>210</v>
      </c>
      <c r="F106" s="277" t="s">
        <v>594</v>
      </c>
      <c r="G106" s="278"/>
      <c r="H106" s="279">
        <v>41520</v>
      </c>
      <c r="I106" s="274">
        <v>1</v>
      </c>
      <c r="J106" s="280">
        <v>14099</v>
      </c>
      <c r="K106" s="281">
        <v>14099</v>
      </c>
      <c r="L106" s="270" t="s">
        <v>620</v>
      </c>
      <c r="M106" s="130" t="s">
        <v>21</v>
      </c>
    </row>
    <row r="107" spans="1:13" s="134" customFormat="1" ht="15" customHeight="1" x14ac:dyDescent="0.25">
      <c r="A107" s="122">
        <v>104</v>
      </c>
      <c r="B107" s="274">
        <v>58099</v>
      </c>
      <c r="C107" s="275" t="s">
        <v>2138</v>
      </c>
      <c r="D107" s="274" t="s">
        <v>545</v>
      </c>
      <c r="E107" s="276" t="s">
        <v>115</v>
      </c>
      <c r="F107" s="277" t="s">
        <v>594</v>
      </c>
      <c r="G107" s="278" t="s">
        <v>563</v>
      </c>
      <c r="H107" s="279">
        <v>41542</v>
      </c>
      <c r="I107" s="274">
        <v>1</v>
      </c>
      <c r="J107" s="280">
        <v>33370</v>
      </c>
      <c r="K107" s="281">
        <v>33370</v>
      </c>
      <c r="L107" s="270" t="s">
        <v>620</v>
      </c>
      <c r="M107" s="130" t="s">
        <v>21</v>
      </c>
    </row>
    <row r="108" spans="1:13" s="134" customFormat="1" ht="15" customHeight="1" x14ac:dyDescent="0.25">
      <c r="A108" s="122">
        <v>105</v>
      </c>
      <c r="B108" s="274">
        <v>57491</v>
      </c>
      <c r="C108" s="275" t="s">
        <v>2176</v>
      </c>
      <c r="D108" s="274" t="s">
        <v>545</v>
      </c>
      <c r="E108" s="276" t="s">
        <v>217</v>
      </c>
      <c r="F108" s="277" t="s">
        <v>371</v>
      </c>
      <c r="G108" s="278" t="s">
        <v>2067</v>
      </c>
      <c r="H108" s="279">
        <v>41540</v>
      </c>
      <c r="I108" s="274">
        <v>1</v>
      </c>
      <c r="J108" s="280">
        <v>44597</v>
      </c>
      <c r="K108" s="281">
        <v>44597</v>
      </c>
      <c r="L108" s="270" t="s">
        <v>620</v>
      </c>
      <c r="M108" s="130" t="s">
        <v>21</v>
      </c>
    </row>
    <row r="109" spans="1:13" s="134" customFormat="1" ht="15" customHeight="1" x14ac:dyDescent="0.25">
      <c r="A109" s="122">
        <v>106</v>
      </c>
      <c r="B109" s="274">
        <v>61060</v>
      </c>
      <c r="C109" s="275" t="s">
        <v>2177</v>
      </c>
      <c r="D109" s="274" t="s">
        <v>724</v>
      </c>
      <c r="E109" s="276" t="s">
        <v>217</v>
      </c>
      <c r="F109" s="277" t="s">
        <v>387</v>
      </c>
      <c r="G109" s="278" t="s">
        <v>2067</v>
      </c>
      <c r="H109" s="279">
        <v>41554</v>
      </c>
      <c r="I109" s="274">
        <v>2</v>
      </c>
      <c r="J109" s="280">
        <v>44597</v>
      </c>
      <c r="K109" s="281">
        <v>89194</v>
      </c>
      <c r="L109" s="270" t="s">
        <v>620</v>
      </c>
      <c r="M109" s="130" t="s">
        <v>21</v>
      </c>
    </row>
    <row r="110" spans="1:13" s="134" customFormat="1" ht="15" customHeight="1" x14ac:dyDescent="0.25">
      <c r="A110" s="122">
        <v>107</v>
      </c>
      <c r="B110" s="274">
        <v>60126</v>
      </c>
      <c r="C110" s="275" t="s">
        <v>2178</v>
      </c>
      <c r="D110" s="274" t="s">
        <v>724</v>
      </c>
      <c r="E110" s="276" t="s">
        <v>217</v>
      </c>
      <c r="F110" s="277" t="s">
        <v>387</v>
      </c>
      <c r="G110" s="278" t="s">
        <v>2067</v>
      </c>
      <c r="H110" s="279">
        <v>41549</v>
      </c>
      <c r="I110" s="274">
        <v>2</v>
      </c>
      <c r="J110" s="280">
        <v>44597</v>
      </c>
      <c r="K110" s="281">
        <v>89194</v>
      </c>
      <c r="L110" s="270" t="s">
        <v>620</v>
      </c>
      <c r="M110" s="130" t="s">
        <v>21</v>
      </c>
    </row>
    <row r="111" spans="1:13" s="134" customFormat="1" ht="15" customHeight="1" x14ac:dyDescent="0.25">
      <c r="A111" s="122">
        <v>108</v>
      </c>
      <c r="B111" s="274">
        <v>58812</v>
      </c>
      <c r="C111" s="275" t="s">
        <v>2179</v>
      </c>
      <c r="D111" s="274" t="s">
        <v>724</v>
      </c>
      <c r="E111" s="276" t="s">
        <v>116</v>
      </c>
      <c r="F111" s="277" t="s">
        <v>431</v>
      </c>
      <c r="G111" s="278" t="s">
        <v>2135</v>
      </c>
      <c r="H111" s="279">
        <v>41547</v>
      </c>
      <c r="I111" s="274">
        <v>1</v>
      </c>
      <c r="J111" s="280">
        <v>5274</v>
      </c>
      <c r="K111" s="281">
        <v>5274</v>
      </c>
      <c r="L111" s="270" t="s">
        <v>620</v>
      </c>
      <c r="M111" s="130" t="s">
        <v>21</v>
      </c>
    </row>
    <row r="112" spans="1:13" s="134" customFormat="1" ht="15" customHeight="1" x14ac:dyDescent="0.25">
      <c r="A112" s="122">
        <v>109</v>
      </c>
      <c r="B112" s="274">
        <v>53263</v>
      </c>
      <c r="C112" s="275" t="s">
        <v>2106</v>
      </c>
      <c r="D112" s="274" t="s">
        <v>724</v>
      </c>
      <c r="E112" s="276" t="s">
        <v>537</v>
      </c>
      <c r="F112" s="277" t="s">
        <v>527</v>
      </c>
      <c r="G112" s="278" t="s">
        <v>729</v>
      </c>
      <c r="H112" s="279">
        <v>41530</v>
      </c>
      <c r="I112" s="274">
        <v>1</v>
      </c>
      <c r="J112" s="280">
        <v>30429</v>
      </c>
      <c r="K112" s="281">
        <v>30429</v>
      </c>
      <c r="L112" s="270" t="s">
        <v>620</v>
      </c>
      <c r="M112" s="130" t="s">
        <v>21</v>
      </c>
    </row>
    <row r="113" spans="1:13" s="134" customFormat="1" ht="15" customHeight="1" x14ac:dyDescent="0.25">
      <c r="A113" s="122">
        <v>110</v>
      </c>
      <c r="B113" s="274">
        <v>53263</v>
      </c>
      <c r="C113" s="275" t="s">
        <v>2106</v>
      </c>
      <c r="D113" s="274" t="s">
        <v>724</v>
      </c>
      <c r="E113" s="276" t="s">
        <v>116</v>
      </c>
      <c r="F113" s="277" t="s">
        <v>442</v>
      </c>
      <c r="G113" s="278" t="s">
        <v>729</v>
      </c>
      <c r="H113" s="279">
        <v>41530</v>
      </c>
      <c r="I113" s="274">
        <v>1</v>
      </c>
      <c r="J113" s="280">
        <v>5274</v>
      </c>
      <c r="K113" s="281">
        <v>5274</v>
      </c>
      <c r="L113" s="270" t="s">
        <v>620</v>
      </c>
      <c r="M113" s="130" t="s">
        <v>21</v>
      </c>
    </row>
    <row r="114" spans="1:13" s="134" customFormat="1" ht="15" customHeight="1" x14ac:dyDescent="0.25">
      <c r="A114" s="122">
        <v>111</v>
      </c>
      <c r="B114" s="274">
        <v>59503</v>
      </c>
      <c r="C114" s="275" t="s">
        <v>2180</v>
      </c>
      <c r="D114" s="274" t="s">
        <v>545</v>
      </c>
      <c r="E114" s="276" t="s">
        <v>537</v>
      </c>
      <c r="F114" s="277" t="s">
        <v>442</v>
      </c>
      <c r="G114" s="278" t="s">
        <v>563</v>
      </c>
      <c r="H114" s="279">
        <v>41548</v>
      </c>
      <c r="I114" s="274">
        <v>1</v>
      </c>
      <c r="J114" s="280">
        <v>30429</v>
      </c>
      <c r="K114" s="281">
        <v>30429</v>
      </c>
      <c r="L114" s="270" t="s">
        <v>620</v>
      </c>
      <c r="M114" s="130" t="s">
        <v>21</v>
      </c>
    </row>
    <row r="115" spans="1:13" s="134" customFormat="1" ht="15" customHeight="1" x14ac:dyDescent="0.25">
      <c r="A115" s="122">
        <v>112</v>
      </c>
      <c r="B115" s="274">
        <v>66016</v>
      </c>
      <c r="C115" s="275" t="s">
        <v>2144</v>
      </c>
      <c r="D115" s="274" t="s">
        <v>545</v>
      </c>
      <c r="E115" s="276" t="s">
        <v>1053</v>
      </c>
      <c r="F115" s="277" t="s">
        <v>1004</v>
      </c>
      <c r="G115" s="278" t="s">
        <v>489</v>
      </c>
      <c r="H115" s="279">
        <v>41570</v>
      </c>
      <c r="I115" s="274">
        <v>4</v>
      </c>
      <c r="J115" s="280">
        <v>57960</v>
      </c>
      <c r="K115" s="281">
        <v>231840</v>
      </c>
      <c r="L115" s="270" t="s">
        <v>620</v>
      </c>
      <c r="M115" s="130" t="s">
        <v>21</v>
      </c>
    </row>
    <row r="116" spans="1:13" s="134" customFormat="1" ht="15" customHeight="1" x14ac:dyDescent="0.25">
      <c r="A116" s="122">
        <v>113</v>
      </c>
      <c r="B116" s="274">
        <v>65288</v>
      </c>
      <c r="C116" s="275" t="s">
        <v>2181</v>
      </c>
      <c r="D116" s="274" t="s">
        <v>545</v>
      </c>
      <c r="E116" s="276" t="s">
        <v>537</v>
      </c>
      <c r="F116" s="277" t="s">
        <v>431</v>
      </c>
      <c r="G116" s="278" t="s">
        <v>554</v>
      </c>
      <c r="H116" s="279">
        <v>41570</v>
      </c>
      <c r="I116" s="274">
        <v>1</v>
      </c>
      <c r="J116" s="280">
        <v>30429</v>
      </c>
      <c r="K116" s="281">
        <v>30429</v>
      </c>
      <c r="L116" s="270" t="s">
        <v>620</v>
      </c>
      <c r="M116" s="130" t="s">
        <v>21</v>
      </c>
    </row>
    <row r="117" spans="1:13" s="134" customFormat="1" ht="15" customHeight="1" x14ac:dyDescent="0.25">
      <c r="A117" s="122">
        <v>114</v>
      </c>
      <c r="B117" s="274">
        <v>65515</v>
      </c>
      <c r="C117" s="275" t="s">
        <v>2182</v>
      </c>
      <c r="D117" s="274" t="s">
        <v>545</v>
      </c>
      <c r="E117" s="276" t="s">
        <v>116</v>
      </c>
      <c r="F117" s="277" t="s">
        <v>410</v>
      </c>
      <c r="G117" s="278" t="s">
        <v>486</v>
      </c>
      <c r="H117" s="279">
        <v>41570</v>
      </c>
      <c r="I117" s="274">
        <v>1</v>
      </c>
      <c r="J117" s="280">
        <v>5274</v>
      </c>
      <c r="K117" s="281">
        <v>5274</v>
      </c>
      <c r="L117" s="270" t="s">
        <v>620</v>
      </c>
      <c r="M117" s="130" t="s">
        <v>21</v>
      </c>
    </row>
    <row r="118" spans="1:13" s="134" customFormat="1" ht="15" customHeight="1" x14ac:dyDescent="0.25">
      <c r="A118" s="122">
        <v>115</v>
      </c>
      <c r="B118" s="274">
        <v>59071</v>
      </c>
      <c r="C118" s="275" t="s">
        <v>2150</v>
      </c>
      <c r="D118" s="274" t="s">
        <v>724</v>
      </c>
      <c r="E118" s="276" t="s">
        <v>537</v>
      </c>
      <c r="F118" s="277" t="s">
        <v>431</v>
      </c>
      <c r="G118" s="278" t="s">
        <v>2079</v>
      </c>
      <c r="H118" s="279">
        <v>41547</v>
      </c>
      <c r="I118" s="274">
        <v>1</v>
      </c>
      <c r="J118" s="280">
        <v>30429</v>
      </c>
      <c r="K118" s="281">
        <v>30429</v>
      </c>
      <c r="L118" s="270" t="s">
        <v>620</v>
      </c>
      <c r="M118" s="130" t="s">
        <v>21</v>
      </c>
    </row>
    <row r="119" spans="1:13" s="134" customFormat="1" ht="15" customHeight="1" x14ac:dyDescent="0.25">
      <c r="A119" s="122">
        <v>116</v>
      </c>
      <c r="B119" s="274">
        <v>64219</v>
      </c>
      <c r="C119" s="275" t="s">
        <v>2183</v>
      </c>
      <c r="D119" s="274" t="s">
        <v>389</v>
      </c>
      <c r="E119" s="276" t="s">
        <v>537</v>
      </c>
      <c r="F119" s="277" t="s">
        <v>562</v>
      </c>
      <c r="G119" s="278" t="s">
        <v>2184</v>
      </c>
      <c r="H119" s="279">
        <v>41564</v>
      </c>
      <c r="I119" s="274">
        <v>1</v>
      </c>
      <c r="J119" s="280">
        <v>30429</v>
      </c>
      <c r="K119" s="281">
        <v>30429</v>
      </c>
      <c r="L119" s="270" t="s">
        <v>620</v>
      </c>
      <c r="M119" s="130" t="s">
        <v>21</v>
      </c>
    </row>
    <row r="120" spans="1:13" s="134" customFormat="1" ht="15" customHeight="1" x14ac:dyDescent="0.25">
      <c r="A120" s="122">
        <v>117</v>
      </c>
      <c r="B120" s="274">
        <v>61747</v>
      </c>
      <c r="C120" s="275" t="s">
        <v>2154</v>
      </c>
      <c r="D120" s="274" t="s">
        <v>545</v>
      </c>
      <c r="E120" s="276" t="s">
        <v>2185</v>
      </c>
      <c r="F120" s="277" t="s">
        <v>2155</v>
      </c>
      <c r="G120" s="278" t="s">
        <v>629</v>
      </c>
      <c r="H120" s="279">
        <v>41555</v>
      </c>
      <c r="I120" s="274">
        <v>5</v>
      </c>
      <c r="J120" s="280">
        <v>57959.999999999993</v>
      </c>
      <c r="K120" s="281">
        <v>289799.99999999994</v>
      </c>
      <c r="L120" s="270" t="s">
        <v>620</v>
      </c>
      <c r="M120" s="130" t="s">
        <v>21</v>
      </c>
    </row>
    <row r="121" spans="1:13" s="134" customFormat="1" ht="15" customHeight="1" x14ac:dyDescent="0.25">
      <c r="A121" s="122">
        <v>118</v>
      </c>
      <c r="B121" s="274">
        <v>67653</v>
      </c>
      <c r="C121" s="275" t="s">
        <v>2186</v>
      </c>
      <c r="D121" s="274" t="s">
        <v>545</v>
      </c>
      <c r="E121" s="276" t="s">
        <v>116</v>
      </c>
      <c r="F121" s="277" t="s">
        <v>1851</v>
      </c>
      <c r="G121" s="278" t="s">
        <v>573</v>
      </c>
      <c r="H121" s="279">
        <v>41576</v>
      </c>
      <c r="I121" s="274">
        <v>2</v>
      </c>
      <c r="J121" s="280">
        <v>5274</v>
      </c>
      <c r="K121" s="281">
        <v>10548</v>
      </c>
      <c r="L121" s="270" t="s">
        <v>620</v>
      </c>
      <c r="M121" s="130" t="s">
        <v>21</v>
      </c>
    </row>
    <row r="122" spans="1:13" s="134" customFormat="1" ht="15" customHeight="1" x14ac:dyDescent="0.25">
      <c r="A122" s="122">
        <v>119</v>
      </c>
      <c r="B122" s="274">
        <v>65126</v>
      </c>
      <c r="C122" s="275" t="s">
        <v>2187</v>
      </c>
      <c r="D122" s="274" t="s">
        <v>376</v>
      </c>
      <c r="E122" s="276" t="s">
        <v>116</v>
      </c>
      <c r="F122" s="277" t="s">
        <v>472</v>
      </c>
      <c r="G122" s="278" t="s">
        <v>718</v>
      </c>
      <c r="H122" s="279">
        <v>41569</v>
      </c>
      <c r="I122" s="274">
        <v>1</v>
      </c>
      <c r="J122" s="280">
        <v>5274</v>
      </c>
      <c r="K122" s="281">
        <v>5274</v>
      </c>
      <c r="L122" s="270" t="s">
        <v>620</v>
      </c>
      <c r="M122" s="130" t="s">
        <v>21</v>
      </c>
    </row>
    <row r="123" spans="1:13" s="134" customFormat="1" ht="15" customHeight="1" x14ac:dyDescent="0.25">
      <c r="A123" s="122">
        <v>120</v>
      </c>
      <c r="B123" s="274">
        <v>67219</v>
      </c>
      <c r="C123" s="275" t="s">
        <v>2188</v>
      </c>
      <c r="D123" s="274" t="s">
        <v>2189</v>
      </c>
      <c r="E123" s="276" t="s">
        <v>580</v>
      </c>
      <c r="F123" s="277" t="s">
        <v>371</v>
      </c>
      <c r="G123" s="278"/>
      <c r="H123" s="279">
        <v>41575</v>
      </c>
      <c r="I123" s="274">
        <v>1</v>
      </c>
      <c r="J123" s="280">
        <v>25800</v>
      </c>
      <c r="K123" s="281">
        <v>25800</v>
      </c>
      <c r="L123" s="270" t="s">
        <v>620</v>
      </c>
      <c r="M123" s="130" t="s">
        <v>21</v>
      </c>
    </row>
    <row r="124" spans="1:13" s="134" customFormat="1" ht="15" customHeight="1" x14ac:dyDescent="0.25">
      <c r="A124" s="122">
        <v>121</v>
      </c>
      <c r="B124" s="274">
        <v>61915</v>
      </c>
      <c r="C124" s="275" t="s">
        <v>2190</v>
      </c>
      <c r="D124" s="274" t="s">
        <v>545</v>
      </c>
      <c r="E124" s="276" t="s">
        <v>197</v>
      </c>
      <c r="F124" s="277" t="s">
        <v>2191</v>
      </c>
      <c r="G124" s="278"/>
      <c r="H124" s="279">
        <v>41556</v>
      </c>
      <c r="I124" s="274">
        <v>7</v>
      </c>
      <c r="J124" s="280">
        <v>2739</v>
      </c>
      <c r="K124" s="281">
        <v>19173</v>
      </c>
      <c r="L124" s="270" t="s">
        <v>620</v>
      </c>
      <c r="M124" s="130" t="s">
        <v>21</v>
      </c>
    </row>
    <row r="125" spans="1:13" s="134" customFormat="1" ht="15" customHeight="1" x14ac:dyDescent="0.25">
      <c r="A125" s="122">
        <v>122</v>
      </c>
      <c r="B125" s="274">
        <v>65477</v>
      </c>
      <c r="C125" s="275" t="s">
        <v>2192</v>
      </c>
      <c r="D125" s="274" t="s">
        <v>376</v>
      </c>
      <c r="E125" s="276" t="s">
        <v>537</v>
      </c>
      <c r="F125" s="277" t="s">
        <v>431</v>
      </c>
      <c r="G125" s="278" t="s">
        <v>566</v>
      </c>
      <c r="H125" s="279">
        <v>41569</v>
      </c>
      <c r="I125" s="274">
        <v>1</v>
      </c>
      <c r="J125" s="280">
        <v>30429</v>
      </c>
      <c r="K125" s="281">
        <v>30429</v>
      </c>
      <c r="L125" s="270" t="s">
        <v>620</v>
      </c>
      <c r="M125" s="130" t="s">
        <v>21</v>
      </c>
    </row>
    <row r="126" spans="1:13" s="134" customFormat="1" ht="15" customHeight="1" x14ac:dyDescent="0.25">
      <c r="A126" s="122">
        <v>123</v>
      </c>
      <c r="B126" s="274">
        <v>58236</v>
      </c>
      <c r="C126" s="275" t="s">
        <v>2193</v>
      </c>
      <c r="D126" s="274" t="s">
        <v>724</v>
      </c>
      <c r="E126" s="276" t="s">
        <v>577</v>
      </c>
      <c r="F126" s="277" t="s">
        <v>527</v>
      </c>
      <c r="G126" s="278" t="s">
        <v>2127</v>
      </c>
      <c r="H126" s="279">
        <v>41542</v>
      </c>
      <c r="I126" s="274">
        <v>1</v>
      </c>
      <c r="J126" s="280">
        <v>49701</v>
      </c>
      <c r="K126" s="281">
        <v>49701</v>
      </c>
      <c r="L126" s="270" t="s">
        <v>620</v>
      </c>
      <c r="M126" s="130" t="s">
        <v>21</v>
      </c>
    </row>
    <row r="127" spans="1:13" s="134" customFormat="1" ht="15" customHeight="1" x14ac:dyDescent="0.25">
      <c r="A127" s="122">
        <v>124</v>
      </c>
      <c r="B127" s="274">
        <v>62738</v>
      </c>
      <c r="C127" s="275" t="s">
        <v>2194</v>
      </c>
      <c r="D127" s="274" t="s">
        <v>545</v>
      </c>
      <c r="E127" s="276" t="s">
        <v>217</v>
      </c>
      <c r="F127" s="277" t="s">
        <v>371</v>
      </c>
      <c r="G127" s="278" t="s">
        <v>1064</v>
      </c>
      <c r="H127" s="279">
        <v>41561</v>
      </c>
      <c r="I127" s="274">
        <v>1</v>
      </c>
      <c r="J127" s="280">
        <v>44597</v>
      </c>
      <c r="K127" s="281">
        <v>44597</v>
      </c>
      <c r="L127" s="270" t="s">
        <v>620</v>
      </c>
      <c r="M127" s="130" t="s">
        <v>21</v>
      </c>
    </row>
    <row r="128" spans="1:13" s="134" customFormat="1" ht="15" customHeight="1" x14ac:dyDescent="0.25">
      <c r="A128" s="122">
        <v>125</v>
      </c>
      <c r="B128" s="274">
        <v>63931</v>
      </c>
      <c r="C128" s="275" t="s">
        <v>2195</v>
      </c>
      <c r="D128" s="274" t="s">
        <v>545</v>
      </c>
      <c r="E128" s="276" t="s">
        <v>537</v>
      </c>
      <c r="F128" s="277" t="s">
        <v>527</v>
      </c>
      <c r="G128" s="278" t="s">
        <v>563</v>
      </c>
      <c r="H128" s="279">
        <v>41563</v>
      </c>
      <c r="I128" s="274">
        <v>1</v>
      </c>
      <c r="J128" s="280">
        <v>30429</v>
      </c>
      <c r="K128" s="281">
        <v>30429</v>
      </c>
      <c r="L128" s="270" t="s">
        <v>620</v>
      </c>
      <c r="M128" s="130" t="s">
        <v>21</v>
      </c>
    </row>
    <row r="129" spans="1:13" s="134" customFormat="1" ht="15" customHeight="1" x14ac:dyDescent="0.25">
      <c r="A129" s="122">
        <v>126</v>
      </c>
      <c r="B129" s="274">
        <v>62868</v>
      </c>
      <c r="C129" s="275" t="s">
        <v>2161</v>
      </c>
      <c r="D129" s="274" t="s">
        <v>545</v>
      </c>
      <c r="E129" s="276" t="s">
        <v>537</v>
      </c>
      <c r="F129" s="277" t="s">
        <v>645</v>
      </c>
      <c r="G129" s="278" t="s">
        <v>629</v>
      </c>
      <c r="H129" s="279">
        <v>41558</v>
      </c>
      <c r="I129" s="274">
        <v>1</v>
      </c>
      <c r="J129" s="280">
        <v>30429</v>
      </c>
      <c r="K129" s="281">
        <v>30429</v>
      </c>
      <c r="L129" s="270" t="s">
        <v>620</v>
      </c>
      <c r="M129" s="130" t="s">
        <v>21</v>
      </c>
    </row>
    <row r="130" spans="1:13" s="134" customFormat="1" ht="15" customHeight="1" x14ac:dyDescent="0.25">
      <c r="A130" s="122">
        <v>127</v>
      </c>
      <c r="B130" s="274">
        <v>67564</v>
      </c>
      <c r="C130" s="275" t="s">
        <v>2196</v>
      </c>
      <c r="D130" s="274" t="s">
        <v>545</v>
      </c>
      <c r="E130" s="276" t="s">
        <v>217</v>
      </c>
      <c r="F130" s="277" t="s">
        <v>387</v>
      </c>
      <c r="G130" s="278" t="s">
        <v>489</v>
      </c>
      <c r="H130" s="279">
        <v>41576</v>
      </c>
      <c r="I130" s="274">
        <v>2</v>
      </c>
      <c r="J130" s="280">
        <v>44597</v>
      </c>
      <c r="K130" s="281">
        <v>89194</v>
      </c>
      <c r="L130" s="270" t="s">
        <v>620</v>
      </c>
      <c r="M130" s="130" t="s">
        <v>21</v>
      </c>
    </row>
    <row r="131" spans="1:13" s="134" customFormat="1" ht="15" customHeight="1" x14ac:dyDescent="0.25">
      <c r="A131" s="122">
        <v>128</v>
      </c>
      <c r="B131" s="274">
        <v>67263</v>
      </c>
      <c r="C131" s="275" t="s">
        <v>2197</v>
      </c>
      <c r="D131" s="274" t="s">
        <v>665</v>
      </c>
      <c r="E131" s="276" t="s">
        <v>537</v>
      </c>
      <c r="F131" s="277" t="s">
        <v>431</v>
      </c>
      <c r="G131" s="278" t="s">
        <v>2198</v>
      </c>
      <c r="H131" s="279">
        <v>41575</v>
      </c>
      <c r="I131" s="274">
        <v>1</v>
      </c>
      <c r="J131" s="280">
        <v>30429</v>
      </c>
      <c r="K131" s="281">
        <v>30429</v>
      </c>
      <c r="L131" s="270" t="s">
        <v>620</v>
      </c>
      <c r="M131" s="130" t="s">
        <v>21</v>
      </c>
    </row>
    <row r="132" spans="1:13" s="134" customFormat="1" ht="15" customHeight="1" x14ac:dyDescent="0.25">
      <c r="A132" s="122">
        <v>129</v>
      </c>
      <c r="B132" s="274">
        <v>63513</v>
      </c>
      <c r="C132" s="275" t="s">
        <v>2199</v>
      </c>
      <c r="D132" s="274" t="s">
        <v>545</v>
      </c>
      <c r="E132" s="276" t="s">
        <v>537</v>
      </c>
      <c r="F132" s="277" t="s">
        <v>415</v>
      </c>
      <c r="G132" s="278" t="s">
        <v>658</v>
      </c>
      <c r="H132" s="279">
        <v>41562</v>
      </c>
      <c r="I132" s="274">
        <v>1</v>
      </c>
      <c r="J132" s="280">
        <v>30429</v>
      </c>
      <c r="K132" s="281">
        <v>30429</v>
      </c>
      <c r="L132" s="270" t="s">
        <v>620</v>
      </c>
      <c r="M132" s="130" t="s">
        <v>21</v>
      </c>
    </row>
    <row r="133" spans="1:13" s="134" customFormat="1" ht="14.25" customHeight="1" x14ac:dyDescent="0.25">
      <c r="A133" s="122">
        <v>130</v>
      </c>
      <c r="B133" s="274">
        <v>59652</v>
      </c>
      <c r="C133" s="275" t="s">
        <v>2200</v>
      </c>
      <c r="D133" s="274" t="s">
        <v>724</v>
      </c>
      <c r="E133" s="276" t="s">
        <v>580</v>
      </c>
      <c r="F133" s="277" t="s">
        <v>371</v>
      </c>
      <c r="G133" s="278"/>
      <c r="H133" s="279">
        <v>41549</v>
      </c>
      <c r="I133" s="274">
        <v>1</v>
      </c>
      <c r="J133" s="280">
        <v>25800</v>
      </c>
      <c r="K133" s="281">
        <v>25800</v>
      </c>
      <c r="L133" s="270" t="s">
        <v>620</v>
      </c>
      <c r="M133" s="130" t="s">
        <v>21</v>
      </c>
    </row>
    <row r="134" spans="1:13" s="134" customFormat="1" ht="15" customHeight="1" x14ac:dyDescent="0.25">
      <c r="A134" s="122">
        <v>131</v>
      </c>
      <c r="B134" s="282">
        <v>65943</v>
      </c>
      <c r="C134" s="283" t="s">
        <v>2201</v>
      </c>
      <c r="D134" s="282" t="s">
        <v>545</v>
      </c>
      <c r="E134" s="284" t="s">
        <v>217</v>
      </c>
      <c r="F134" s="285" t="s">
        <v>371</v>
      </c>
      <c r="G134" s="286" t="s">
        <v>489</v>
      </c>
      <c r="H134" s="287">
        <v>41570</v>
      </c>
      <c r="I134" s="282">
        <v>1</v>
      </c>
      <c r="J134" s="288">
        <v>44597</v>
      </c>
      <c r="K134" s="289">
        <v>44597</v>
      </c>
      <c r="L134" s="270" t="s">
        <v>620</v>
      </c>
      <c r="M134" s="130" t="s">
        <v>21</v>
      </c>
    </row>
    <row r="135" spans="1:13" s="134" customFormat="1" ht="15" customHeight="1" x14ac:dyDescent="0.25">
      <c r="A135" s="122">
        <v>132</v>
      </c>
      <c r="B135" s="274">
        <v>71235</v>
      </c>
      <c r="C135" s="124" t="s">
        <v>2202</v>
      </c>
      <c r="D135" s="122" t="s">
        <v>545</v>
      </c>
      <c r="E135" s="150" t="s">
        <v>537</v>
      </c>
      <c r="F135" s="126" t="s">
        <v>527</v>
      </c>
      <c r="G135" s="271" t="s">
        <v>583</v>
      </c>
      <c r="H135" s="123">
        <v>41592</v>
      </c>
      <c r="I135" s="122">
        <v>1</v>
      </c>
      <c r="J135" s="272">
        <v>30429</v>
      </c>
      <c r="K135" s="273">
        <v>30429</v>
      </c>
      <c r="L135" s="270" t="s">
        <v>960</v>
      </c>
      <c r="M135" s="130" t="s">
        <v>21</v>
      </c>
    </row>
    <row r="136" spans="1:13" s="134" customFormat="1" ht="15" customHeight="1" x14ac:dyDescent="0.25">
      <c r="A136" s="122">
        <v>133</v>
      </c>
      <c r="B136" s="122">
        <v>71136</v>
      </c>
      <c r="C136" s="124" t="s">
        <v>2203</v>
      </c>
      <c r="D136" s="122" t="s">
        <v>376</v>
      </c>
      <c r="E136" s="150" t="s">
        <v>537</v>
      </c>
      <c r="F136" s="126" t="s">
        <v>511</v>
      </c>
      <c r="G136" s="271" t="s">
        <v>554</v>
      </c>
      <c r="H136" s="123">
        <v>41592</v>
      </c>
      <c r="I136" s="122">
        <v>1</v>
      </c>
      <c r="J136" s="272">
        <v>30429</v>
      </c>
      <c r="K136" s="273">
        <v>30429</v>
      </c>
      <c r="L136" s="270" t="s">
        <v>960</v>
      </c>
      <c r="M136" s="130" t="s">
        <v>21</v>
      </c>
    </row>
    <row r="137" spans="1:13" s="134" customFormat="1" ht="15" customHeight="1" x14ac:dyDescent="0.25">
      <c r="A137" s="122">
        <v>134</v>
      </c>
      <c r="B137" s="122">
        <v>75303</v>
      </c>
      <c r="C137" s="124" t="s">
        <v>2204</v>
      </c>
      <c r="D137" s="122" t="s">
        <v>389</v>
      </c>
      <c r="E137" s="150" t="s">
        <v>537</v>
      </c>
      <c r="F137" s="126" t="s">
        <v>568</v>
      </c>
      <c r="G137" s="271" t="s">
        <v>642</v>
      </c>
      <c r="H137" s="123">
        <v>41605</v>
      </c>
      <c r="I137" s="122">
        <v>1</v>
      </c>
      <c r="J137" s="272">
        <v>30429</v>
      </c>
      <c r="K137" s="273">
        <v>30429</v>
      </c>
      <c r="L137" s="270" t="s">
        <v>960</v>
      </c>
      <c r="M137" s="130" t="s">
        <v>21</v>
      </c>
    </row>
    <row r="138" spans="1:13" s="134" customFormat="1" ht="15" customHeight="1" x14ac:dyDescent="0.25">
      <c r="A138" s="122">
        <v>135</v>
      </c>
      <c r="B138" s="274">
        <v>68711</v>
      </c>
      <c r="C138" s="275" t="s">
        <v>2205</v>
      </c>
      <c r="D138" s="274" t="s">
        <v>376</v>
      </c>
      <c r="E138" s="276" t="s">
        <v>537</v>
      </c>
      <c r="F138" s="277" t="s">
        <v>562</v>
      </c>
      <c r="G138" s="278" t="s">
        <v>554</v>
      </c>
      <c r="H138" s="279">
        <v>41583</v>
      </c>
      <c r="I138" s="274">
        <v>1</v>
      </c>
      <c r="J138" s="280">
        <v>30429</v>
      </c>
      <c r="K138" s="281">
        <v>30429</v>
      </c>
      <c r="L138" s="270" t="s">
        <v>960</v>
      </c>
      <c r="M138" s="130" t="s">
        <v>21</v>
      </c>
    </row>
    <row r="139" spans="1:13" s="134" customFormat="1" ht="15" customHeight="1" x14ac:dyDescent="0.25">
      <c r="A139" s="122">
        <v>136</v>
      </c>
      <c r="B139" s="274">
        <v>75953</v>
      </c>
      <c r="C139" s="275" t="s">
        <v>2206</v>
      </c>
      <c r="D139" s="274" t="s">
        <v>545</v>
      </c>
      <c r="E139" s="276" t="s">
        <v>537</v>
      </c>
      <c r="F139" s="277" t="s">
        <v>527</v>
      </c>
      <c r="G139" s="278" t="s">
        <v>629</v>
      </c>
      <c r="H139" s="279">
        <v>41610</v>
      </c>
      <c r="I139" s="274">
        <v>1</v>
      </c>
      <c r="J139" s="280">
        <v>30429</v>
      </c>
      <c r="K139" s="281">
        <v>30429</v>
      </c>
      <c r="L139" s="270" t="s">
        <v>960</v>
      </c>
      <c r="M139" s="130" t="s">
        <v>21</v>
      </c>
    </row>
    <row r="140" spans="1:13" s="134" customFormat="1" ht="15" customHeight="1" x14ac:dyDescent="0.25">
      <c r="A140" s="122">
        <v>137</v>
      </c>
      <c r="B140" s="274">
        <v>67674</v>
      </c>
      <c r="C140" s="275" t="s">
        <v>2124</v>
      </c>
      <c r="D140" s="274" t="s">
        <v>545</v>
      </c>
      <c r="E140" s="276" t="s">
        <v>580</v>
      </c>
      <c r="F140" s="277" t="s">
        <v>371</v>
      </c>
      <c r="G140" s="278"/>
      <c r="H140" s="279">
        <v>41570</v>
      </c>
      <c r="I140" s="274">
        <v>1</v>
      </c>
      <c r="J140" s="280">
        <v>25800</v>
      </c>
      <c r="K140" s="281">
        <v>25800</v>
      </c>
      <c r="L140" s="270" t="s">
        <v>960</v>
      </c>
      <c r="M140" s="130" t="s">
        <v>21</v>
      </c>
    </row>
    <row r="141" spans="1:13" s="134" customFormat="1" ht="15" customHeight="1" x14ac:dyDescent="0.25">
      <c r="A141" s="122">
        <v>138</v>
      </c>
      <c r="B141" s="274">
        <v>69030</v>
      </c>
      <c r="C141" s="275" t="s">
        <v>2207</v>
      </c>
      <c r="D141" s="274" t="s">
        <v>545</v>
      </c>
      <c r="E141" s="276" t="s">
        <v>204</v>
      </c>
      <c r="F141" s="277" t="s">
        <v>1540</v>
      </c>
      <c r="G141" s="278"/>
      <c r="H141" s="279">
        <v>41584</v>
      </c>
      <c r="I141" s="274">
        <v>2</v>
      </c>
      <c r="J141" s="280">
        <v>17244</v>
      </c>
      <c r="K141" s="281">
        <v>34488</v>
      </c>
      <c r="L141" s="270" t="s">
        <v>960</v>
      </c>
      <c r="M141" s="130" t="s">
        <v>21</v>
      </c>
    </row>
    <row r="142" spans="1:13" s="134" customFormat="1" ht="15" customHeight="1" x14ac:dyDescent="0.25">
      <c r="A142" s="122">
        <v>139</v>
      </c>
      <c r="B142" s="274">
        <v>70679</v>
      </c>
      <c r="C142" s="275" t="s">
        <v>2207</v>
      </c>
      <c r="D142" s="274" t="s">
        <v>545</v>
      </c>
      <c r="E142" s="276" t="s">
        <v>115</v>
      </c>
      <c r="F142" s="277" t="s">
        <v>472</v>
      </c>
      <c r="G142" s="278"/>
      <c r="H142" s="279">
        <v>41590</v>
      </c>
      <c r="I142" s="274">
        <v>1</v>
      </c>
      <c r="J142" s="280">
        <v>33370</v>
      </c>
      <c r="K142" s="281">
        <v>33370</v>
      </c>
      <c r="L142" s="270" t="s">
        <v>960</v>
      </c>
      <c r="M142" s="130" t="s">
        <v>21</v>
      </c>
    </row>
    <row r="143" spans="1:13" s="134" customFormat="1" ht="15" customHeight="1" x14ac:dyDescent="0.25">
      <c r="A143" s="122">
        <v>140</v>
      </c>
      <c r="B143" s="274">
        <v>66025</v>
      </c>
      <c r="C143" s="275" t="s">
        <v>2208</v>
      </c>
      <c r="D143" s="274" t="s">
        <v>478</v>
      </c>
      <c r="E143" s="276" t="s">
        <v>188</v>
      </c>
      <c r="F143" s="277" t="s">
        <v>431</v>
      </c>
      <c r="G143" s="278" t="s">
        <v>2136</v>
      </c>
      <c r="H143" s="279">
        <v>41570</v>
      </c>
      <c r="I143" s="274">
        <v>1</v>
      </c>
      <c r="J143" s="280">
        <v>42601</v>
      </c>
      <c r="K143" s="281">
        <v>42601</v>
      </c>
      <c r="L143" s="270" t="s">
        <v>960</v>
      </c>
      <c r="M143" s="130" t="s">
        <v>21</v>
      </c>
    </row>
    <row r="144" spans="1:13" s="134" customFormat="1" ht="15" customHeight="1" x14ac:dyDescent="0.25">
      <c r="A144" s="122">
        <v>141</v>
      </c>
      <c r="B144" s="274">
        <v>70841</v>
      </c>
      <c r="C144" s="275" t="s">
        <v>633</v>
      </c>
      <c r="D144" s="274" t="s">
        <v>724</v>
      </c>
      <c r="E144" s="276" t="s">
        <v>115</v>
      </c>
      <c r="F144" s="277" t="s">
        <v>410</v>
      </c>
      <c r="G144" s="278" t="s">
        <v>563</v>
      </c>
      <c r="H144" s="279">
        <v>41591</v>
      </c>
      <c r="I144" s="274">
        <v>1</v>
      </c>
      <c r="J144" s="280">
        <v>33370</v>
      </c>
      <c r="K144" s="281">
        <v>33370</v>
      </c>
      <c r="L144" s="270" t="s">
        <v>960</v>
      </c>
      <c r="M144" s="130" t="s">
        <v>21</v>
      </c>
    </row>
    <row r="145" spans="1:13" s="134" customFormat="1" ht="15" customHeight="1" x14ac:dyDescent="0.25">
      <c r="A145" s="122">
        <v>142</v>
      </c>
      <c r="B145" s="274">
        <v>71948</v>
      </c>
      <c r="C145" s="275" t="s">
        <v>2168</v>
      </c>
      <c r="D145" s="274" t="s">
        <v>665</v>
      </c>
      <c r="E145" s="276" t="s">
        <v>197</v>
      </c>
      <c r="F145" s="277" t="s">
        <v>2209</v>
      </c>
      <c r="G145" s="278"/>
      <c r="H145" s="279">
        <v>41596</v>
      </c>
      <c r="I145" s="274">
        <v>3</v>
      </c>
      <c r="J145" s="280">
        <v>2739</v>
      </c>
      <c r="K145" s="281">
        <v>8217</v>
      </c>
      <c r="L145" s="270" t="s">
        <v>960</v>
      </c>
      <c r="M145" s="130" t="s">
        <v>21</v>
      </c>
    </row>
    <row r="146" spans="1:13" s="134" customFormat="1" ht="15" customHeight="1" x14ac:dyDescent="0.25">
      <c r="A146" s="122">
        <v>143</v>
      </c>
      <c r="B146" s="274">
        <v>71041</v>
      </c>
      <c r="C146" s="275" t="s">
        <v>2169</v>
      </c>
      <c r="D146" s="274" t="s">
        <v>545</v>
      </c>
      <c r="E146" s="276" t="s">
        <v>192</v>
      </c>
      <c r="F146" s="277" t="s">
        <v>812</v>
      </c>
      <c r="G146" s="278" t="s">
        <v>563</v>
      </c>
      <c r="H146" s="279">
        <v>41591</v>
      </c>
      <c r="I146" s="274">
        <v>3</v>
      </c>
      <c r="J146" s="280">
        <v>57960</v>
      </c>
      <c r="K146" s="281">
        <v>173880</v>
      </c>
      <c r="L146" s="270" t="s">
        <v>960</v>
      </c>
      <c r="M146" s="130" t="s">
        <v>21</v>
      </c>
    </row>
    <row r="147" spans="1:13" s="134" customFormat="1" ht="15" customHeight="1" x14ac:dyDescent="0.25">
      <c r="A147" s="122">
        <v>144</v>
      </c>
      <c r="B147" s="274">
        <v>72172</v>
      </c>
      <c r="C147" s="275" t="s">
        <v>2210</v>
      </c>
      <c r="D147" s="274" t="s">
        <v>545</v>
      </c>
      <c r="E147" s="276" t="s">
        <v>537</v>
      </c>
      <c r="F147" s="277" t="s">
        <v>472</v>
      </c>
      <c r="G147" s="278" t="s">
        <v>563</v>
      </c>
      <c r="H147" s="279">
        <v>41596</v>
      </c>
      <c r="I147" s="274">
        <v>1</v>
      </c>
      <c r="J147" s="280">
        <v>30429</v>
      </c>
      <c r="K147" s="281">
        <v>30429</v>
      </c>
      <c r="L147" s="270" t="s">
        <v>960</v>
      </c>
      <c r="M147" s="130" t="s">
        <v>21</v>
      </c>
    </row>
    <row r="148" spans="1:13" s="134" customFormat="1" ht="15" customHeight="1" x14ac:dyDescent="0.25">
      <c r="A148" s="122">
        <v>145</v>
      </c>
      <c r="B148" s="274">
        <v>75521</v>
      </c>
      <c r="C148" s="275" t="s">
        <v>2211</v>
      </c>
      <c r="D148" s="274" t="s">
        <v>545</v>
      </c>
      <c r="E148" s="276" t="s">
        <v>217</v>
      </c>
      <c r="F148" s="277" t="s">
        <v>371</v>
      </c>
      <c r="G148" s="278" t="s">
        <v>703</v>
      </c>
      <c r="H148" s="279">
        <v>41605</v>
      </c>
      <c r="I148" s="274">
        <v>1</v>
      </c>
      <c r="J148" s="280">
        <v>44597</v>
      </c>
      <c r="K148" s="281">
        <v>44597</v>
      </c>
      <c r="L148" s="270" t="s">
        <v>960</v>
      </c>
      <c r="M148" s="130" t="s">
        <v>21</v>
      </c>
    </row>
    <row r="149" spans="1:13" s="134" customFormat="1" ht="15" customHeight="1" x14ac:dyDescent="0.25">
      <c r="A149" s="122">
        <v>146</v>
      </c>
      <c r="B149" s="274">
        <v>71064</v>
      </c>
      <c r="C149" s="275" t="s">
        <v>2212</v>
      </c>
      <c r="D149" s="274" t="s">
        <v>376</v>
      </c>
      <c r="E149" s="276" t="s">
        <v>210</v>
      </c>
      <c r="F149" s="277" t="s">
        <v>407</v>
      </c>
      <c r="G149" s="278"/>
      <c r="H149" s="279">
        <v>41592</v>
      </c>
      <c r="I149" s="274">
        <v>1</v>
      </c>
      <c r="J149" s="280">
        <v>14099</v>
      </c>
      <c r="K149" s="281">
        <v>14099</v>
      </c>
      <c r="L149" s="270" t="s">
        <v>960</v>
      </c>
      <c r="M149" s="130" t="s">
        <v>21</v>
      </c>
    </row>
    <row r="150" spans="1:13" s="134" customFormat="1" ht="15" customHeight="1" x14ac:dyDescent="0.25">
      <c r="A150" s="122">
        <v>147</v>
      </c>
      <c r="B150" s="274">
        <v>69259</v>
      </c>
      <c r="C150" s="275" t="s">
        <v>2213</v>
      </c>
      <c r="D150" s="274" t="s">
        <v>545</v>
      </c>
      <c r="E150" s="276" t="s">
        <v>116</v>
      </c>
      <c r="F150" s="277" t="s">
        <v>415</v>
      </c>
      <c r="G150" s="278" t="s">
        <v>573</v>
      </c>
      <c r="H150" s="279">
        <v>41589</v>
      </c>
      <c r="I150" s="274">
        <v>1</v>
      </c>
      <c r="J150" s="280">
        <v>5274</v>
      </c>
      <c r="K150" s="281">
        <v>5274</v>
      </c>
      <c r="L150" s="270" t="s">
        <v>960</v>
      </c>
      <c r="M150" s="130" t="s">
        <v>21</v>
      </c>
    </row>
    <row r="151" spans="1:13" s="134" customFormat="1" ht="15" customHeight="1" x14ac:dyDescent="0.25">
      <c r="A151" s="122">
        <v>148</v>
      </c>
      <c r="B151" s="274">
        <v>69259</v>
      </c>
      <c r="C151" s="275" t="s">
        <v>2213</v>
      </c>
      <c r="D151" s="274" t="s">
        <v>545</v>
      </c>
      <c r="E151" s="276" t="s">
        <v>210</v>
      </c>
      <c r="F151" s="277" t="s">
        <v>415</v>
      </c>
      <c r="G151" s="278"/>
      <c r="H151" s="279">
        <v>41589</v>
      </c>
      <c r="I151" s="274">
        <v>1</v>
      </c>
      <c r="J151" s="280">
        <v>14099</v>
      </c>
      <c r="K151" s="281">
        <v>14099</v>
      </c>
      <c r="L151" s="270" t="s">
        <v>960</v>
      </c>
      <c r="M151" s="130" t="s">
        <v>21</v>
      </c>
    </row>
    <row r="152" spans="1:13" s="134" customFormat="1" ht="15" customHeight="1" x14ac:dyDescent="0.25">
      <c r="A152" s="122">
        <v>149</v>
      </c>
      <c r="B152" s="274">
        <v>74130</v>
      </c>
      <c r="C152" s="275" t="s">
        <v>2214</v>
      </c>
      <c r="D152" s="274" t="s">
        <v>545</v>
      </c>
      <c r="E152" s="276" t="s">
        <v>115</v>
      </c>
      <c r="F152" s="277" t="s">
        <v>415</v>
      </c>
      <c r="G152" s="278" t="s">
        <v>563</v>
      </c>
      <c r="H152" s="279">
        <v>41603</v>
      </c>
      <c r="I152" s="274">
        <v>1</v>
      </c>
      <c r="J152" s="280">
        <v>33370</v>
      </c>
      <c r="K152" s="281">
        <v>33370</v>
      </c>
      <c r="L152" s="270" t="s">
        <v>960</v>
      </c>
      <c r="M152" s="130" t="s">
        <v>21</v>
      </c>
    </row>
    <row r="153" spans="1:13" s="134" customFormat="1" ht="15" customHeight="1" x14ac:dyDescent="0.25">
      <c r="A153" s="122">
        <v>150</v>
      </c>
      <c r="B153" s="274">
        <v>76196</v>
      </c>
      <c r="C153" s="275" t="s">
        <v>2215</v>
      </c>
      <c r="D153" s="274" t="s">
        <v>545</v>
      </c>
      <c r="E153" s="276" t="s">
        <v>116</v>
      </c>
      <c r="F153" s="277" t="s">
        <v>530</v>
      </c>
      <c r="G153" s="278" t="s">
        <v>489</v>
      </c>
      <c r="H153" s="279">
        <v>41610</v>
      </c>
      <c r="I153" s="274">
        <v>1</v>
      </c>
      <c r="J153" s="280">
        <v>5274</v>
      </c>
      <c r="K153" s="281">
        <v>5274</v>
      </c>
      <c r="L153" s="270" t="s">
        <v>960</v>
      </c>
      <c r="M153" s="130" t="s">
        <v>21</v>
      </c>
    </row>
    <row r="154" spans="1:13" s="134" customFormat="1" ht="15" customHeight="1" x14ac:dyDescent="0.25">
      <c r="A154" s="122">
        <v>151</v>
      </c>
      <c r="B154" s="274">
        <v>76196</v>
      </c>
      <c r="C154" s="275" t="s">
        <v>2215</v>
      </c>
      <c r="D154" s="274" t="s">
        <v>545</v>
      </c>
      <c r="E154" s="276" t="s">
        <v>197</v>
      </c>
      <c r="F154" s="277" t="s">
        <v>2216</v>
      </c>
      <c r="G154" s="278"/>
      <c r="H154" s="279">
        <v>41610</v>
      </c>
      <c r="I154" s="274">
        <v>6</v>
      </c>
      <c r="J154" s="280">
        <v>2739</v>
      </c>
      <c r="K154" s="281">
        <v>16434</v>
      </c>
      <c r="L154" s="270" t="s">
        <v>960</v>
      </c>
      <c r="M154" s="130" t="s">
        <v>21</v>
      </c>
    </row>
    <row r="155" spans="1:13" s="134" customFormat="1" ht="15" customHeight="1" x14ac:dyDescent="0.25">
      <c r="A155" s="122">
        <v>152</v>
      </c>
      <c r="B155" s="274">
        <v>68391</v>
      </c>
      <c r="C155" s="275" t="s">
        <v>2175</v>
      </c>
      <c r="D155" s="274" t="s">
        <v>545</v>
      </c>
      <c r="E155" s="276" t="s">
        <v>115</v>
      </c>
      <c r="F155" s="277" t="s">
        <v>415</v>
      </c>
      <c r="G155" s="278" t="s">
        <v>563</v>
      </c>
      <c r="H155" s="279">
        <v>41582</v>
      </c>
      <c r="I155" s="274">
        <v>1</v>
      </c>
      <c r="J155" s="280">
        <v>33370</v>
      </c>
      <c r="K155" s="281">
        <v>33370</v>
      </c>
      <c r="L155" s="270" t="s">
        <v>960</v>
      </c>
      <c r="M155" s="130" t="s">
        <v>21</v>
      </c>
    </row>
    <row r="156" spans="1:13" s="134" customFormat="1" ht="15" customHeight="1" x14ac:dyDescent="0.25">
      <c r="A156" s="122">
        <v>153</v>
      </c>
      <c r="B156" s="274">
        <v>70459</v>
      </c>
      <c r="C156" s="275" t="s">
        <v>2217</v>
      </c>
      <c r="D156" s="274" t="s">
        <v>545</v>
      </c>
      <c r="E156" s="276" t="s">
        <v>217</v>
      </c>
      <c r="F156" s="277" t="s">
        <v>371</v>
      </c>
      <c r="G156" s="278" t="s">
        <v>489</v>
      </c>
      <c r="H156" s="279">
        <v>41590</v>
      </c>
      <c r="I156" s="274">
        <v>1</v>
      </c>
      <c r="J156" s="280">
        <v>44597</v>
      </c>
      <c r="K156" s="281">
        <v>44597</v>
      </c>
      <c r="L156" s="270" t="s">
        <v>960</v>
      </c>
      <c r="M156" s="130" t="s">
        <v>21</v>
      </c>
    </row>
    <row r="157" spans="1:13" s="134" customFormat="1" ht="15" customHeight="1" x14ac:dyDescent="0.25">
      <c r="A157" s="122">
        <v>154</v>
      </c>
      <c r="B157" s="274">
        <v>74004</v>
      </c>
      <c r="C157" s="275" t="s">
        <v>2218</v>
      </c>
      <c r="D157" s="274" t="s">
        <v>545</v>
      </c>
      <c r="E157" s="276" t="s">
        <v>537</v>
      </c>
      <c r="F157" s="277" t="s">
        <v>562</v>
      </c>
      <c r="G157" s="278" t="s">
        <v>629</v>
      </c>
      <c r="H157" s="279">
        <v>41603</v>
      </c>
      <c r="I157" s="274">
        <v>1</v>
      </c>
      <c r="J157" s="280">
        <v>30429</v>
      </c>
      <c r="K157" s="281">
        <v>30429</v>
      </c>
      <c r="L157" s="270" t="s">
        <v>960</v>
      </c>
      <c r="M157" s="130" t="s">
        <v>21</v>
      </c>
    </row>
    <row r="158" spans="1:13" s="134" customFormat="1" ht="15" customHeight="1" x14ac:dyDescent="0.25">
      <c r="A158" s="122">
        <v>155</v>
      </c>
      <c r="B158" s="274">
        <v>72741</v>
      </c>
      <c r="C158" s="275" t="s">
        <v>2219</v>
      </c>
      <c r="D158" s="274" t="s">
        <v>665</v>
      </c>
      <c r="E158" s="276" t="s">
        <v>537</v>
      </c>
      <c r="F158" s="277" t="s">
        <v>511</v>
      </c>
      <c r="G158" s="278" t="s">
        <v>583</v>
      </c>
      <c r="H158" s="279">
        <v>41597</v>
      </c>
      <c r="I158" s="274">
        <v>1</v>
      </c>
      <c r="J158" s="280">
        <v>30429</v>
      </c>
      <c r="K158" s="281">
        <v>30429</v>
      </c>
      <c r="L158" s="270" t="s">
        <v>960</v>
      </c>
      <c r="M158" s="130" t="s">
        <v>21</v>
      </c>
    </row>
    <row r="159" spans="1:13" s="134" customFormat="1" ht="15" customHeight="1" x14ac:dyDescent="0.25">
      <c r="A159" s="122">
        <v>156</v>
      </c>
      <c r="B159" s="274">
        <v>65644</v>
      </c>
      <c r="C159" s="275" t="s">
        <v>2220</v>
      </c>
      <c r="D159" s="274" t="s">
        <v>478</v>
      </c>
      <c r="E159" s="276" t="s">
        <v>115</v>
      </c>
      <c r="F159" s="277" t="s">
        <v>407</v>
      </c>
      <c r="G159" s="278" t="s">
        <v>2221</v>
      </c>
      <c r="H159" s="279">
        <v>41569</v>
      </c>
      <c r="I159" s="274">
        <v>1</v>
      </c>
      <c r="J159" s="280">
        <v>33370</v>
      </c>
      <c r="K159" s="281">
        <v>33370</v>
      </c>
      <c r="L159" s="270" t="s">
        <v>960</v>
      </c>
      <c r="M159" s="130" t="s">
        <v>21</v>
      </c>
    </row>
    <row r="160" spans="1:13" s="134" customFormat="1" ht="15" customHeight="1" x14ac:dyDescent="0.25">
      <c r="A160" s="122">
        <v>157</v>
      </c>
      <c r="B160" s="274">
        <v>65644</v>
      </c>
      <c r="C160" s="275" t="s">
        <v>2220</v>
      </c>
      <c r="D160" s="274" t="s">
        <v>478</v>
      </c>
      <c r="E160" s="276" t="s">
        <v>188</v>
      </c>
      <c r="F160" s="277" t="s">
        <v>410</v>
      </c>
      <c r="G160" s="278" t="s">
        <v>2221</v>
      </c>
      <c r="H160" s="279">
        <v>41569</v>
      </c>
      <c r="I160" s="274">
        <v>1</v>
      </c>
      <c r="J160" s="280">
        <v>42601</v>
      </c>
      <c r="K160" s="281">
        <v>42601</v>
      </c>
      <c r="L160" s="270" t="s">
        <v>960</v>
      </c>
      <c r="M160" s="130" t="s">
        <v>21</v>
      </c>
    </row>
    <row r="161" spans="1:13" s="134" customFormat="1" ht="15" customHeight="1" x14ac:dyDescent="0.25">
      <c r="A161" s="122">
        <v>158</v>
      </c>
      <c r="B161" s="274">
        <v>69986</v>
      </c>
      <c r="C161" s="275" t="s">
        <v>2222</v>
      </c>
      <c r="D161" s="274" t="s">
        <v>665</v>
      </c>
      <c r="E161" s="276" t="s">
        <v>537</v>
      </c>
      <c r="F161" s="277" t="s">
        <v>530</v>
      </c>
      <c r="G161" s="278" t="s">
        <v>678</v>
      </c>
      <c r="H161" s="279">
        <v>41589</v>
      </c>
      <c r="I161" s="274">
        <v>1</v>
      </c>
      <c r="J161" s="280">
        <v>30429</v>
      </c>
      <c r="K161" s="281">
        <v>30429</v>
      </c>
      <c r="L161" s="270" t="s">
        <v>960</v>
      </c>
      <c r="M161" s="130" t="s">
        <v>21</v>
      </c>
    </row>
    <row r="162" spans="1:13" s="134" customFormat="1" ht="15" customHeight="1" x14ac:dyDescent="0.25">
      <c r="A162" s="122">
        <v>159</v>
      </c>
      <c r="B162" s="274">
        <v>70563</v>
      </c>
      <c r="C162" s="275" t="s">
        <v>2223</v>
      </c>
      <c r="D162" s="274" t="s">
        <v>545</v>
      </c>
      <c r="E162" s="276" t="s">
        <v>116</v>
      </c>
      <c r="F162" s="277" t="s">
        <v>445</v>
      </c>
      <c r="G162" s="278" t="s">
        <v>573</v>
      </c>
      <c r="H162" s="279">
        <v>41591</v>
      </c>
      <c r="I162" s="274">
        <v>1</v>
      </c>
      <c r="J162" s="280">
        <v>5274</v>
      </c>
      <c r="K162" s="281">
        <v>5274</v>
      </c>
      <c r="L162" s="270" t="s">
        <v>960</v>
      </c>
      <c r="M162" s="130" t="s">
        <v>21</v>
      </c>
    </row>
    <row r="163" spans="1:13" s="134" customFormat="1" ht="15" customHeight="1" x14ac:dyDescent="0.25">
      <c r="A163" s="122">
        <v>160</v>
      </c>
      <c r="B163" s="274">
        <v>73011</v>
      </c>
      <c r="C163" s="275" t="s">
        <v>2223</v>
      </c>
      <c r="D163" s="274" t="s">
        <v>545</v>
      </c>
      <c r="E163" s="276" t="s">
        <v>192</v>
      </c>
      <c r="F163" s="277" t="s">
        <v>445</v>
      </c>
      <c r="G163" s="278" t="s">
        <v>583</v>
      </c>
      <c r="H163" s="279">
        <v>41598</v>
      </c>
      <c r="I163" s="274">
        <v>1</v>
      </c>
      <c r="J163" s="280">
        <v>57960</v>
      </c>
      <c r="K163" s="281">
        <v>57960</v>
      </c>
      <c r="L163" s="270" t="s">
        <v>960</v>
      </c>
      <c r="M163" s="130" t="s">
        <v>21</v>
      </c>
    </row>
    <row r="164" spans="1:13" s="134" customFormat="1" ht="15" customHeight="1" x14ac:dyDescent="0.25">
      <c r="A164" s="122">
        <v>161</v>
      </c>
      <c r="B164" s="274">
        <v>72738</v>
      </c>
      <c r="C164" s="275" t="s">
        <v>2224</v>
      </c>
      <c r="D164" s="274" t="s">
        <v>665</v>
      </c>
      <c r="E164" s="276" t="s">
        <v>217</v>
      </c>
      <c r="F164" s="277" t="s">
        <v>371</v>
      </c>
      <c r="G164" s="278" t="s">
        <v>718</v>
      </c>
      <c r="H164" s="279">
        <v>41597</v>
      </c>
      <c r="I164" s="274">
        <v>1</v>
      </c>
      <c r="J164" s="280">
        <v>44597</v>
      </c>
      <c r="K164" s="281">
        <v>44597</v>
      </c>
      <c r="L164" s="270" t="s">
        <v>960</v>
      </c>
      <c r="M164" s="130" t="s">
        <v>21</v>
      </c>
    </row>
    <row r="165" spans="1:13" s="134" customFormat="1" ht="15" customHeight="1" x14ac:dyDescent="0.25">
      <c r="A165" s="122">
        <v>162</v>
      </c>
      <c r="B165" s="274">
        <v>70856</v>
      </c>
      <c r="C165" s="275" t="s">
        <v>2145</v>
      </c>
      <c r="D165" s="274" t="s">
        <v>545</v>
      </c>
      <c r="E165" s="276" t="s">
        <v>115</v>
      </c>
      <c r="F165" s="277" t="s">
        <v>417</v>
      </c>
      <c r="G165" s="278" t="s">
        <v>563</v>
      </c>
      <c r="H165" s="279">
        <v>41591</v>
      </c>
      <c r="I165" s="274">
        <v>1</v>
      </c>
      <c r="J165" s="280">
        <v>33370</v>
      </c>
      <c r="K165" s="281">
        <v>33370</v>
      </c>
      <c r="L165" s="270" t="s">
        <v>960</v>
      </c>
      <c r="M165" s="130" t="s">
        <v>21</v>
      </c>
    </row>
    <row r="166" spans="1:13" s="134" customFormat="1" ht="15" customHeight="1" x14ac:dyDescent="0.25">
      <c r="A166" s="122">
        <v>163</v>
      </c>
      <c r="B166" s="274">
        <v>57685</v>
      </c>
      <c r="C166" s="275" t="s">
        <v>2062</v>
      </c>
      <c r="D166" s="274" t="s">
        <v>724</v>
      </c>
      <c r="E166" s="276" t="s">
        <v>580</v>
      </c>
      <c r="F166" s="277" t="s">
        <v>371</v>
      </c>
      <c r="G166" s="278"/>
      <c r="H166" s="279">
        <v>41541</v>
      </c>
      <c r="I166" s="274">
        <v>1</v>
      </c>
      <c r="J166" s="280">
        <v>25800</v>
      </c>
      <c r="K166" s="281">
        <v>25800</v>
      </c>
      <c r="L166" s="270" t="s">
        <v>960</v>
      </c>
      <c r="M166" s="130" t="s">
        <v>21</v>
      </c>
    </row>
    <row r="167" spans="1:13" s="134" customFormat="1" ht="15.75" customHeight="1" x14ac:dyDescent="0.25">
      <c r="A167" s="122">
        <v>164</v>
      </c>
      <c r="B167" s="274">
        <v>74580</v>
      </c>
      <c r="C167" s="275" t="s">
        <v>2225</v>
      </c>
      <c r="D167" s="274" t="s">
        <v>545</v>
      </c>
      <c r="E167" s="276" t="s">
        <v>682</v>
      </c>
      <c r="F167" s="277" t="s">
        <v>371</v>
      </c>
      <c r="G167" s="278" t="s">
        <v>489</v>
      </c>
      <c r="H167" s="279">
        <v>41604</v>
      </c>
      <c r="I167" s="274">
        <v>1</v>
      </c>
      <c r="J167" s="280">
        <v>55058</v>
      </c>
      <c r="K167" s="281">
        <v>55058</v>
      </c>
      <c r="L167" s="270" t="s">
        <v>960</v>
      </c>
      <c r="M167" s="130" t="s">
        <v>21</v>
      </c>
    </row>
    <row r="168" spans="1:13" s="134" customFormat="1" ht="15" customHeight="1" x14ac:dyDescent="0.25">
      <c r="A168" s="122">
        <v>165</v>
      </c>
      <c r="B168" s="274">
        <v>69117</v>
      </c>
      <c r="C168" s="275" t="s">
        <v>2148</v>
      </c>
      <c r="D168" s="274" t="s">
        <v>545</v>
      </c>
      <c r="E168" s="276" t="s">
        <v>537</v>
      </c>
      <c r="F168" s="277" t="s">
        <v>645</v>
      </c>
      <c r="G168" s="278" t="s">
        <v>563</v>
      </c>
      <c r="H168" s="279">
        <v>41554</v>
      </c>
      <c r="I168" s="274">
        <v>1</v>
      </c>
      <c r="J168" s="280">
        <v>30429</v>
      </c>
      <c r="K168" s="281">
        <v>30429</v>
      </c>
      <c r="L168" s="270" t="s">
        <v>960</v>
      </c>
      <c r="M168" s="130" t="s">
        <v>21</v>
      </c>
    </row>
    <row r="169" spans="1:13" s="134" customFormat="1" ht="15" customHeight="1" x14ac:dyDescent="0.25">
      <c r="A169" s="122">
        <v>166</v>
      </c>
      <c r="B169" s="274">
        <v>75048</v>
      </c>
      <c r="C169" s="275" t="s">
        <v>2226</v>
      </c>
      <c r="D169" s="274" t="s">
        <v>478</v>
      </c>
      <c r="E169" s="276" t="s">
        <v>188</v>
      </c>
      <c r="F169" s="277" t="s">
        <v>594</v>
      </c>
      <c r="G169" s="278" t="s">
        <v>583</v>
      </c>
      <c r="H169" s="279">
        <v>41606</v>
      </c>
      <c r="I169" s="274">
        <v>1</v>
      </c>
      <c r="J169" s="280">
        <v>42601</v>
      </c>
      <c r="K169" s="281">
        <v>42601</v>
      </c>
      <c r="L169" s="270" t="s">
        <v>960</v>
      </c>
      <c r="M169" s="130" t="s">
        <v>21</v>
      </c>
    </row>
    <row r="170" spans="1:13" s="134" customFormat="1" ht="15" customHeight="1" x14ac:dyDescent="0.25">
      <c r="A170" s="122">
        <v>167</v>
      </c>
      <c r="B170" s="274">
        <v>70988</v>
      </c>
      <c r="C170" s="275" t="s">
        <v>2182</v>
      </c>
      <c r="D170" s="274" t="s">
        <v>545</v>
      </c>
      <c r="E170" s="276" t="s">
        <v>192</v>
      </c>
      <c r="F170" s="277" t="s">
        <v>410</v>
      </c>
      <c r="G170" s="278" t="s">
        <v>563</v>
      </c>
      <c r="H170" s="279">
        <v>41592</v>
      </c>
      <c r="I170" s="274">
        <v>1</v>
      </c>
      <c r="J170" s="280">
        <v>57960</v>
      </c>
      <c r="K170" s="281">
        <v>57960</v>
      </c>
      <c r="L170" s="270" t="s">
        <v>960</v>
      </c>
      <c r="M170" s="130" t="s">
        <v>21</v>
      </c>
    </row>
    <row r="171" spans="1:13" s="134" customFormat="1" ht="15" customHeight="1" x14ac:dyDescent="0.25">
      <c r="A171" s="122">
        <v>168</v>
      </c>
      <c r="B171" s="274">
        <v>75659</v>
      </c>
      <c r="C171" s="275" t="s">
        <v>2227</v>
      </c>
      <c r="D171" s="274" t="s">
        <v>545</v>
      </c>
      <c r="E171" s="276" t="s">
        <v>116</v>
      </c>
      <c r="F171" s="277" t="s">
        <v>407</v>
      </c>
      <c r="G171" s="278" t="s">
        <v>703</v>
      </c>
      <c r="H171" s="279">
        <v>41606</v>
      </c>
      <c r="I171" s="274">
        <v>1</v>
      </c>
      <c r="J171" s="280">
        <v>5274</v>
      </c>
      <c r="K171" s="281">
        <v>5274</v>
      </c>
      <c r="L171" s="270" t="s">
        <v>960</v>
      </c>
      <c r="M171" s="130" t="s">
        <v>21</v>
      </c>
    </row>
    <row r="172" spans="1:13" s="134" customFormat="1" ht="15" customHeight="1" x14ac:dyDescent="0.25">
      <c r="A172" s="122">
        <v>169</v>
      </c>
      <c r="B172" s="274">
        <v>75659</v>
      </c>
      <c r="C172" s="275" t="s">
        <v>2227</v>
      </c>
      <c r="D172" s="274" t="s">
        <v>545</v>
      </c>
      <c r="E172" s="276" t="s">
        <v>210</v>
      </c>
      <c r="F172" s="277" t="s">
        <v>407</v>
      </c>
      <c r="G172" s="278"/>
      <c r="H172" s="279">
        <v>41606</v>
      </c>
      <c r="I172" s="274">
        <v>1</v>
      </c>
      <c r="J172" s="280">
        <v>14099</v>
      </c>
      <c r="K172" s="281">
        <v>14099</v>
      </c>
      <c r="L172" s="270" t="s">
        <v>960</v>
      </c>
      <c r="M172" s="130" t="s">
        <v>21</v>
      </c>
    </row>
    <row r="173" spans="1:13" s="134" customFormat="1" ht="15" customHeight="1" x14ac:dyDescent="0.25">
      <c r="A173" s="122">
        <v>170</v>
      </c>
      <c r="B173" s="274">
        <v>65124</v>
      </c>
      <c r="C173" s="275" t="s">
        <v>2228</v>
      </c>
      <c r="D173" s="274" t="s">
        <v>545</v>
      </c>
      <c r="E173" s="276" t="s">
        <v>116</v>
      </c>
      <c r="F173" s="277" t="s">
        <v>417</v>
      </c>
      <c r="G173" s="278" t="s">
        <v>489</v>
      </c>
      <c r="H173" s="279">
        <v>41570</v>
      </c>
      <c r="I173" s="274">
        <v>1</v>
      </c>
      <c r="J173" s="280">
        <v>5274</v>
      </c>
      <c r="K173" s="281">
        <v>5274</v>
      </c>
      <c r="L173" s="270" t="s">
        <v>960</v>
      </c>
      <c r="M173" s="130" t="s">
        <v>21</v>
      </c>
    </row>
    <row r="174" spans="1:13" s="134" customFormat="1" ht="15" customHeight="1" x14ac:dyDescent="0.25">
      <c r="A174" s="122">
        <v>171</v>
      </c>
      <c r="B174" s="274">
        <v>65124</v>
      </c>
      <c r="C174" s="275" t="s">
        <v>2228</v>
      </c>
      <c r="D174" s="274" t="s">
        <v>545</v>
      </c>
      <c r="E174" s="276" t="s">
        <v>210</v>
      </c>
      <c r="F174" s="277" t="s">
        <v>417</v>
      </c>
      <c r="G174" s="278" t="s">
        <v>489</v>
      </c>
      <c r="H174" s="279">
        <v>41570</v>
      </c>
      <c r="I174" s="274">
        <v>1</v>
      </c>
      <c r="J174" s="280">
        <v>14099</v>
      </c>
      <c r="K174" s="281">
        <v>14099</v>
      </c>
      <c r="L174" s="270" t="s">
        <v>960</v>
      </c>
      <c r="M174" s="130" t="s">
        <v>21</v>
      </c>
    </row>
    <row r="175" spans="1:13" s="134" customFormat="1" ht="13.5" customHeight="1" x14ac:dyDescent="0.25">
      <c r="A175" s="122">
        <v>172</v>
      </c>
      <c r="B175" s="274">
        <v>67884</v>
      </c>
      <c r="C175" s="275" t="s">
        <v>2229</v>
      </c>
      <c r="D175" s="274" t="s">
        <v>724</v>
      </c>
      <c r="E175" s="276" t="s">
        <v>682</v>
      </c>
      <c r="F175" s="277" t="s">
        <v>387</v>
      </c>
      <c r="G175" s="278" t="s">
        <v>693</v>
      </c>
      <c r="H175" s="279">
        <v>41578</v>
      </c>
      <c r="I175" s="274">
        <v>2</v>
      </c>
      <c r="J175" s="280">
        <v>55058</v>
      </c>
      <c r="K175" s="281">
        <v>110116</v>
      </c>
      <c r="L175" s="270" t="s">
        <v>960</v>
      </c>
      <c r="M175" s="130" t="s">
        <v>21</v>
      </c>
    </row>
    <row r="176" spans="1:13" s="134" customFormat="1" ht="15" customHeight="1" x14ac:dyDescent="0.25">
      <c r="A176" s="122">
        <v>173</v>
      </c>
      <c r="B176" s="274">
        <v>76334</v>
      </c>
      <c r="C176" s="275" t="s">
        <v>2230</v>
      </c>
      <c r="D176" s="274" t="s">
        <v>665</v>
      </c>
      <c r="E176" s="276" t="s">
        <v>210</v>
      </c>
      <c r="F176" s="277" t="s">
        <v>445</v>
      </c>
      <c r="G176" s="278"/>
      <c r="H176" s="279">
        <v>41610</v>
      </c>
      <c r="I176" s="274">
        <v>1</v>
      </c>
      <c r="J176" s="280">
        <v>14099</v>
      </c>
      <c r="K176" s="281">
        <v>14099</v>
      </c>
      <c r="L176" s="270" t="s">
        <v>960</v>
      </c>
      <c r="M176" s="130" t="s">
        <v>21</v>
      </c>
    </row>
    <row r="177" spans="1:13" s="134" customFormat="1" ht="15" customHeight="1" x14ac:dyDescent="0.25">
      <c r="A177" s="122">
        <v>174</v>
      </c>
      <c r="B177" s="274">
        <v>58788</v>
      </c>
      <c r="C177" s="275" t="s">
        <v>1847</v>
      </c>
      <c r="D177" s="274" t="s">
        <v>724</v>
      </c>
      <c r="E177" s="276" t="s">
        <v>116</v>
      </c>
      <c r="F177" s="277" t="s">
        <v>527</v>
      </c>
      <c r="G177" s="278" t="s">
        <v>2135</v>
      </c>
      <c r="H177" s="279">
        <v>41547</v>
      </c>
      <c r="I177" s="274">
        <v>1</v>
      </c>
      <c r="J177" s="280">
        <v>5274</v>
      </c>
      <c r="K177" s="281">
        <v>5274</v>
      </c>
      <c r="L177" s="270" t="s">
        <v>960</v>
      </c>
      <c r="M177" s="130" t="s">
        <v>21</v>
      </c>
    </row>
    <row r="178" spans="1:13" s="134" customFormat="1" ht="15" customHeight="1" x14ac:dyDescent="0.25">
      <c r="A178" s="122">
        <v>175</v>
      </c>
      <c r="B178" s="274">
        <v>68379</v>
      </c>
      <c r="C178" s="275" t="s">
        <v>2231</v>
      </c>
      <c r="D178" s="274" t="s">
        <v>545</v>
      </c>
      <c r="E178" s="276" t="s">
        <v>116</v>
      </c>
      <c r="F178" s="277" t="s">
        <v>392</v>
      </c>
      <c r="G178" s="278" t="s">
        <v>489</v>
      </c>
      <c r="H178" s="279">
        <v>41582</v>
      </c>
      <c r="I178" s="274">
        <v>1</v>
      </c>
      <c r="J178" s="280">
        <v>5274</v>
      </c>
      <c r="K178" s="281">
        <v>5274</v>
      </c>
      <c r="L178" s="270" t="s">
        <v>960</v>
      </c>
      <c r="M178" s="130" t="s">
        <v>21</v>
      </c>
    </row>
    <row r="179" spans="1:13" s="134" customFormat="1" ht="15" customHeight="1" x14ac:dyDescent="0.25">
      <c r="A179" s="122">
        <v>176</v>
      </c>
      <c r="B179" s="274">
        <v>68379</v>
      </c>
      <c r="C179" s="275" t="s">
        <v>2231</v>
      </c>
      <c r="D179" s="274" t="s">
        <v>545</v>
      </c>
      <c r="E179" s="276" t="s">
        <v>210</v>
      </c>
      <c r="F179" s="277" t="s">
        <v>392</v>
      </c>
      <c r="G179" s="278"/>
      <c r="H179" s="279">
        <v>41582</v>
      </c>
      <c r="I179" s="274">
        <v>1</v>
      </c>
      <c r="J179" s="280">
        <v>14099</v>
      </c>
      <c r="K179" s="281">
        <v>14099</v>
      </c>
      <c r="L179" s="270" t="s">
        <v>960</v>
      </c>
      <c r="M179" s="130" t="s">
        <v>21</v>
      </c>
    </row>
    <row r="180" spans="1:13" s="134" customFormat="1" ht="15" customHeight="1" x14ac:dyDescent="0.25">
      <c r="A180" s="122">
        <v>177</v>
      </c>
      <c r="B180" s="274">
        <v>71988</v>
      </c>
      <c r="C180" s="275" t="s">
        <v>2232</v>
      </c>
      <c r="D180" s="274" t="s">
        <v>545</v>
      </c>
      <c r="E180" s="276" t="s">
        <v>115</v>
      </c>
      <c r="F180" s="277" t="s">
        <v>392</v>
      </c>
      <c r="G180" s="278" t="s">
        <v>2233</v>
      </c>
      <c r="H180" s="279">
        <v>41596</v>
      </c>
      <c r="I180" s="274">
        <v>1</v>
      </c>
      <c r="J180" s="280">
        <v>33370</v>
      </c>
      <c r="K180" s="281">
        <v>33370</v>
      </c>
      <c r="L180" s="270" t="s">
        <v>960</v>
      </c>
      <c r="M180" s="130" t="s">
        <v>21</v>
      </c>
    </row>
    <row r="181" spans="1:13" s="134" customFormat="1" ht="15" customHeight="1" x14ac:dyDescent="0.25">
      <c r="A181" s="122">
        <v>178</v>
      </c>
      <c r="B181" s="274">
        <v>73670</v>
      </c>
      <c r="C181" s="275" t="s">
        <v>2234</v>
      </c>
      <c r="D181" s="274" t="s">
        <v>376</v>
      </c>
      <c r="E181" s="276" t="s">
        <v>537</v>
      </c>
      <c r="F181" s="277" t="s">
        <v>442</v>
      </c>
      <c r="G181" s="278" t="s">
        <v>554</v>
      </c>
      <c r="H181" s="279">
        <v>41600</v>
      </c>
      <c r="I181" s="274">
        <v>1</v>
      </c>
      <c r="J181" s="280">
        <v>30429</v>
      </c>
      <c r="K181" s="281">
        <v>30429</v>
      </c>
      <c r="L181" s="270" t="s">
        <v>960</v>
      </c>
      <c r="M181" s="130" t="s">
        <v>21</v>
      </c>
    </row>
    <row r="182" spans="1:13" s="134" customFormat="1" ht="15" customHeight="1" x14ac:dyDescent="0.25">
      <c r="A182" s="122">
        <v>179</v>
      </c>
      <c r="B182" s="274">
        <v>72081</v>
      </c>
      <c r="C182" s="275" t="s">
        <v>2235</v>
      </c>
      <c r="D182" s="274" t="s">
        <v>478</v>
      </c>
      <c r="E182" s="276" t="s">
        <v>217</v>
      </c>
      <c r="F182" s="277" t="s">
        <v>371</v>
      </c>
      <c r="G182" s="278" t="s">
        <v>718</v>
      </c>
      <c r="H182" s="279">
        <v>41596</v>
      </c>
      <c r="I182" s="274">
        <v>1</v>
      </c>
      <c r="J182" s="280">
        <v>44597</v>
      </c>
      <c r="K182" s="281">
        <v>44597</v>
      </c>
      <c r="L182" s="270" t="s">
        <v>960</v>
      </c>
      <c r="M182" s="130" t="s">
        <v>21</v>
      </c>
    </row>
    <row r="183" spans="1:13" s="134" customFormat="1" ht="15" customHeight="1" x14ac:dyDescent="0.25">
      <c r="A183" s="122">
        <v>180</v>
      </c>
      <c r="B183" s="274">
        <v>64029</v>
      </c>
      <c r="C183" s="275" t="s">
        <v>2236</v>
      </c>
      <c r="D183" s="274" t="s">
        <v>545</v>
      </c>
      <c r="E183" s="276" t="s">
        <v>116</v>
      </c>
      <c r="F183" s="277" t="s">
        <v>417</v>
      </c>
      <c r="G183" s="278" t="s">
        <v>2101</v>
      </c>
      <c r="H183" s="279">
        <v>41563</v>
      </c>
      <c r="I183" s="274">
        <v>1</v>
      </c>
      <c r="J183" s="280">
        <v>5274</v>
      </c>
      <c r="K183" s="281">
        <v>5274</v>
      </c>
      <c r="L183" s="270" t="s">
        <v>960</v>
      </c>
      <c r="M183" s="130" t="s">
        <v>21</v>
      </c>
    </row>
    <row r="184" spans="1:13" s="134" customFormat="1" ht="15" customHeight="1" x14ac:dyDescent="0.25">
      <c r="A184" s="122">
        <v>181</v>
      </c>
      <c r="B184" s="274">
        <v>73328</v>
      </c>
      <c r="C184" s="275" t="s">
        <v>2237</v>
      </c>
      <c r="D184" s="274" t="s">
        <v>376</v>
      </c>
      <c r="E184" s="276" t="s">
        <v>116</v>
      </c>
      <c r="F184" s="277" t="s">
        <v>538</v>
      </c>
      <c r="G184" s="278" t="s">
        <v>489</v>
      </c>
      <c r="H184" s="279">
        <v>41599</v>
      </c>
      <c r="I184" s="274">
        <v>1</v>
      </c>
      <c r="J184" s="280">
        <v>5274</v>
      </c>
      <c r="K184" s="281">
        <v>5274</v>
      </c>
      <c r="L184" s="270" t="s">
        <v>960</v>
      </c>
      <c r="M184" s="130" t="s">
        <v>21</v>
      </c>
    </row>
    <row r="185" spans="1:13" s="134" customFormat="1" ht="15" customHeight="1" x14ac:dyDescent="0.25">
      <c r="A185" s="122">
        <v>182</v>
      </c>
      <c r="B185" s="274">
        <v>70976</v>
      </c>
      <c r="C185" s="275" t="s">
        <v>2186</v>
      </c>
      <c r="D185" s="274" t="s">
        <v>545</v>
      </c>
      <c r="E185" s="276" t="s">
        <v>115</v>
      </c>
      <c r="F185" s="277" t="s">
        <v>1851</v>
      </c>
      <c r="G185" s="278" t="s">
        <v>563</v>
      </c>
      <c r="H185" s="279">
        <v>41591</v>
      </c>
      <c r="I185" s="274">
        <v>2</v>
      </c>
      <c r="J185" s="280">
        <v>33370</v>
      </c>
      <c r="K185" s="281">
        <v>66740</v>
      </c>
      <c r="L185" s="270" t="s">
        <v>960</v>
      </c>
      <c r="M185" s="130" t="s">
        <v>21</v>
      </c>
    </row>
    <row r="186" spans="1:13" s="134" customFormat="1" ht="15" customHeight="1" x14ac:dyDescent="0.25">
      <c r="A186" s="122">
        <v>183</v>
      </c>
      <c r="B186" s="274">
        <v>67948</v>
      </c>
      <c r="C186" s="275" t="s">
        <v>2187</v>
      </c>
      <c r="D186" s="274" t="s">
        <v>376</v>
      </c>
      <c r="E186" s="276" t="s">
        <v>210</v>
      </c>
      <c r="F186" s="277" t="s">
        <v>472</v>
      </c>
      <c r="G186" s="278"/>
      <c r="H186" s="279">
        <v>41577</v>
      </c>
      <c r="I186" s="274">
        <v>1</v>
      </c>
      <c r="J186" s="280">
        <v>14099</v>
      </c>
      <c r="K186" s="281">
        <v>14099</v>
      </c>
      <c r="L186" s="270" t="s">
        <v>960</v>
      </c>
      <c r="M186" s="130" t="s">
        <v>21</v>
      </c>
    </row>
    <row r="187" spans="1:13" s="134" customFormat="1" ht="15" customHeight="1" x14ac:dyDescent="0.25">
      <c r="A187" s="122">
        <v>184</v>
      </c>
      <c r="B187" s="274">
        <v>65062</v>
      </c>
      <c r="C187" s="275" t="s">
        <v>2238</v>
      </c>
      <c r="D187" s="274" t="s">
        <v>545</v>
      </c>
      <c r="E187" s="276" t="s">
        <v>537</v>
      </c>
      <c r="F187" s="277" t="s">
        <v>562</v>
      </c>
      <c r="G187" s="278" t="s">
        <v>629</v>
      </c>
      <c r="H187" s="279">
        <v>41568</v>
      </c>
      <c r="I187" s="274">
        <v>1</v>
      </c>
      <c r="J187" s="280">
        <v>30429</v>
      </c>
      <c r="K187" s="281">
        <v>30429</v>
      </c>
      <c r="L187" s="270" t="s">
        <v>960</v>
      </c>
      <c r="M187" s="130" t="s">
        <v>21</v>
      </c>
    </row>
    <row r="188" spans="1:13" s="134" customFormat="1" ht="15" customHeight="1" x14ac:dyDescent="0.25">
      <c r="A188" s="122">
        <v>185</v>
      </c>
      <c r="B188" s="274">
        <v>68666</v>
      </c>
      <c r="C188" s="275" t="s">
        <v>2239</v>
      </c>
      <c r="D188" s="274" t="s">
        <v>545</v>
      </c>
      <c r="E188" s="276" t="s">
        <v>116</v>
      </c>
      <c r="F188" s="277" t="s">
        <v>417</v>
      </c>
      <c r="G188" s="278" t="s">
        <v>1236</v>
      </c>
      <c r="H188" s="279">
        <v>41584</v>
      </c>
      <c r="I188" s="274">
        <v>1</v>
      </c>
      <c r="J188" s="280">
        <v>5274</v>
      </c>
      <c r="K188" s="281">
        <v>5274</v>
      </c>
      <c r="L188" s="270" t="s">
        <v>960</v>
      </c>
      <c r="M188" s="130" t="s">
        <v>21</v>
      </c>
    </row>
    <row r="189" spans="1:13" s="134" customFormat="1" ht="15" customHeight="1" x14ac:dyDescent="0.25">
      <c r="A189" s="122">
        <v>186</v>
      </c>
      <c r="B189" s="274">
        <v>68666</v>
      </c>
      <c r="C189" s="275" t="s">
        <v>2239</v>
      </c>
      <c r="D189" s="274" t="s">
        <v>545</v>
      </c>
      <c r="E189" s="276" t="s">
        <v>210</v>
      </c>
      <c r="F189" s="277" t="s">
        <v>417</v>
      </c>
      <c r="G189" s="278"/>
      <c r="H189" s="279">
        <v>41584</v>
      </c>
      <c r="I189" s="274">
        <v>1</v>
      </c>
      <c r="J189" s="280">
        <v>14099</v>
      </c>
      <c r="K189" s="281">
        <v>14099</v>
      </c>
      <c r="L189" s="270" t="s">
        <v>960</v>
      </c>
      <c r="M189" s="130" t="s">
        <v>21</v>
      </c>
    </row>
    <row r="190" spans="1:13" s="134" customFormat="1" ht="15" customHeight="1" x14ac:dyDescent="0.25">
      <c r="A190" s="122">
        <v>187</v>
      </c>
      <c r="B190" s="274">
        <v>72127</v>
      </c>
      <c r="C190" s="275" t="s">
        <v>2239</v>
      </c>
      <c r="D190" s="274" t="s">
        <v>545</v>
      </c>
      <c r="E190" s="276" t="s">
        <v>115</v>
      </c>
      <c r="F190" s="277" t="s">
        <v>417</v>
      </c>
      <c r="G190" s="278" t="s">
        <v>629</v>
      </c>
      <c r="H190" s="279">
        <v>41596</v>
      </c>
      <c r="I190" s="274">
        <v>1</v>
      </c>
      <c r="J190" s="280">
        <v>33370</v>
      </c>
      <c r="K190" s="281">
        <v>33370</v>
      </c>
      <c r="L190" s="270" t="s">
        <v>960</v>
      </c>
      <c r="M190" s="130" t="s">
        <v>21</v>
      </c>
    </row>
    <row r="191" spans="1:13" s="134" customFormat="1" ht="15" customHeight="1" x14ac:dyDescent="0.25">
      <c r="A191" s="122">
        <v>188</v>
      </c>
      <c r="B191" s="274">
        <v>59394</v>
      </c>
      <c r="C191" s="275" t="s">
        <v>2240</v>
      </c>
      <c r="D191" s="274" t="s">
        <v>478</v>
      </c>
      <c r="E191" s="276" t="s">
        <v>116</v>
      </c>
      <c r="F191" s="277" t="s">
        <v>442</v>
      </c>
      <c r="G191" s="278" t="s">
        <v>2067</v>
      </c>
      <c r="H191" s="279">
        <v>41548</v>
      </c>
      <c r="I191" s="274">
        <v>1</v>
      </c>
      <c r="J191" s="280">
        <v>5274</v>
      </c>
      <c r="K191" s="281">
        <v>5274</v>
      </c>
      <c r="L191" s="270" t="s">
        <v>960</v>
      </c>
      <c r="M191" s="130" t="s">
        <v>21</v>
      </c>
    </row>
    <row r="192" spans="1:13" s="134" customFormat="1" ht="15" customHeight="1" x14ac:dyDescent="0.25">
      <c r="A192" s="122">
        <v>189</v>
      </c>
      <c r="B192" s="274">
        <v>74768</v>
      </c>
      <c r="C192" s="275" t="s">
        <v>2241</v>
      </c>
      <c r="D192" s="274" t="s">
        <v>478</v>
      </c>
      <c r="E192" s="276" t="s">
        <v>116</v>
      </c>
      <c r="F192" s="277" t="s">
        <v>534</v>
      </c>
      <c r="G192" s="278" t="s">
        <v>489</v>
      </c>
      <c r="H192" s="279">
        <v>41606</v>
      </c>
      <c r="I192" s="274">
        <v>1</v>
      </c>
      <c r="J192" s="280">
        <v>5274</v>
      </c>
      <c r="K192" s="281">
        <v>5274</v>
      </c>
      <c r="L192" s="270" t="s">
        <v>960</v>
      </c>
      <c r="M192" s="130" t="s">
        <v>21</v>
      </c>
    </row>
    <row r="193" spans="1:13" s="134" customFormat="1" ht="15" customHeight="1" x14ac:dyDescent="0.25">
      <c r="A193" s="122">
        <v>190</v>
      </c>
      <c r="B193" s="274">
        <v>62843</v>
      </c>
      <c r="C193" s="275" t="s">
        <v>2242</v>
      </c>
      <c r="D193" s="274" t="s">
        <v>545</v>
      </c>
      <c r="E193" s="276" t="s">
        <v>537</v>
      </c>
      <c r="F193" s="277" t="s">
        <v>431</v>
      </c>
      <c r="G193" s="278" t="s">
        <v>563</v>
      </c>
      <c r="H193" s="279">
        <v>41558</v>
      </c>
      <c r="I193" s="274">
        <v>1</v>
      </c>
      <c r="J193" s="280">
        <v>30429</v>
      </c>
      <c r="K193" s="281">
        <v>30429</v>
      </c>
      <c r="L193" s="270" t="s">
        <v>960</v>
      </c>
      <c r="M193" s="130" t="s">
        <v>21</v>
      </c>
    </row>
    <row r="194" spans="1:13" s="134" customFormat="1" ht="15" customHeight="1" x14ac:dyDescent="0.25">
      <c r="A194" s="122">
        <v>191</v>
      </c>
      <c r="B194" s="274">
        <v>75120</v>
      </c>
      <c r="C194" s="275" t="s">
        <v>2243</v>
      </c>
      <c r="D194" s="274" t="s">
        <v>545</v>
      </c>
      <c r="E194" s="276" t="s">
        <v>237</v>
      </c>
      <c r="F194" s="277" t="s">
        <v>371</v>
      </c>
      <c r="G194" s="278"/>
      <c r="H194" s="279">
        <v>41605</v>
      </c>
      <c r="I194" s="274">
        <v>1</v>
      </c>
      <c r="J194" s="280">
        <v>10401</v>
      </c>
      <c r="K194" s="281">
        <v>10401</v>
      </c>
      <c r="L194" s="270" t="s">
        <v>960</v>
      </c>
      <c r="M194" s="130" t="s">
        <v>21</v>
      </c>
    </row>
    <row r="195" spans="1:13" s="134" customFormat="1" ht="15" customHeight="1" x14ac:dyDescent="0.25">
      <c r="A195" s="122">
        <v>192</v>
      </c>
      <c r="B195" s="274">
        <v>70623</v>
      </c>
      <c r="C195" s="275" t="s">
        <v>2244</v>
      </c>
      <c r="D195" s="274" t="s">
        <v>545</v>
      </c>
      <c r="E195" s="276" t="s">
        <v>537</v>
      </c>
      <c r="F195" s="277" t="s">
        <v>2245</v>
      </c>
      <c r="G195" s="278" t="s">
        <v>563</v>
      </c>
      <c r="H195" s="279">
        <v>41590</v>
      </c>
      <c r="I195" s="274">
        <v>3</v>
      </c>
      <c r="J195" s="280">
        <v>30429</v>
      </c>
      <c r="K195" s="281">
        <v>91287</v>
      </c>
      <c r="L195" s="270" t="s">
        <v>960</v>
      </c>
      <c r="M195" s="130" t="s">
        <v>21</v>
      </c>
    </row>
    <row r="196" spans="1:13" s="134" customFormat="1" ht="15" customHeight="1" x14ac:dyDescent="0.25">
      <c r="A196" s="122">
        <v>193</v>
      </c>
      <c r="B196" s="274">
        <v>72464</v>
      </c>
      <c r="C196" s="275" t="s">
        <v>2246</v>
      </c>
      <c r="D196" s="274" t="s">
        <v>478</v>
      </c>
      <c r="E196" s="276" t="s">
        <v>217</v>
      </c>
      <c r="F196" s="277" t="s">
        <v>371</v>
      </c>
      <c r="G196" s="278" t="s">
        <v>489</v>
      </c>
      <c r="H196" s="279">
        <v>41597</v>
      </c>
      <c r="I196" s="274">
        <v>1</v>
      </c>
      <c r="J196" s="280">
        <v>44597</v>
      </c>
      <c r="K196" s="281">
        <v>44597</v>
      </c>
      <c r="L196" s="270" t="s">
        <v>960</v>
      </c>
      <c r="M196" s="130" t="s">
        <v>21</v>
      </c>
    </row>
    <row r="197" spans="1:13" s="134" customFormat="1" ht="15" customHeight="1" x14ac:dyDescent="0.25">
      <c r="A197" s="122">
        <v>194</v>
      </c>
      <c r="B197" s="274">
        <v>71239</v>
      </c>
      <c r="C197" s="275" t="s">
        <v>2247</v>
      </c>
      <c r="D197" s="274" t="s">
        <v>376</v>
      </c>
      <c r="E197" s="276" t="s">
        <v>537</v>
      </c>
      <c r="F197" s="277" t="s">
        <v>562</v>
      </c>
      <c r="G197" s="278" t="s">
        <v>554</v>
      </c>
      <c r="H197" s="279">
        <v>41592</v>
      </c>
      <c r="I197" s="274">
        <v>1</v>
      </c>
      <c r="J197" s="280">
        <v>30429</v>
      </c>
      <c r="K197" s="281">
        <v>30429</v>
      </c>
      <c r="L197" s="270" t="s">
        <v>960</v>
      </c>
      <c r="M197" s="130" t="s">
        <v>21</v>
      </c>
    </row>
    <row r="198" spans="1:13" s="134" customFormat="1" ht="15" customHeight="1" x14ac:dyDescent="0.25">
      <c r="A198" s="122">
        <v>195</v>
      </c>
      <c r="B198" s="274">
        <v>69745</v>
      </c>
      <c r="C198" s="275" t="s">
        <v>2248</v>
      </c>
      <c r="D198" s="274" t="s">
        <v>545</v>
      </c>
      <c r="E198" s="276" t="s">
        <v>217</v>
      </c>
      <c r="F198" s="277" t="s">
        <v>369</v>
      </c>
      <c r="G198" s="278" t="s">
        <v>489</v>
      </c>
      <c r="H198" s="279">
        <v>41589</v>
      </c>
      <c r="I198" s="274">
        <v>1</v>
      </c>
      <c r="J198" s="280">
        <v>44597</v>
      </c>
      <c r="K198" s="281">
        <v>44597</v>
      </c>
      <c r="L198" s="270" t="s">
        <v>960</v>
      </c>
      <c r="M198" s="130" t="s">
        <v>21</v>
      </c>
    </row>
    <row r="199" spans="1:13" s="134" customFormat="1" ht="15" customHeight="1" x14ac:dyDescent="0.25">
      <c r="A199" s="122">
        <v>196</v>
      </c>
      <c r="B199" s="274">
        <v>72118</v>
      </c>
      <c r="C199" s="275" t="s">
        <v>2249</v>
      </c>
      <c r="D199" s="274" t="s">
        <v>545</v>
      </c>
      <c r="E199" s="276" t="s">
        <v>217</v>
      </c>
      <c r="F199" s="277" t="s">
        <v>371</v>
      </c>
      <c r="G199" s="278" t="s">
        <v>489</v>
      </c>
      <c r="H199" s="279">
        <v>41596</v>
      </c>
      <c r="I199" s="274">
        <v>1</v>
      </c>
      <c r="J199" s="280">
        <v>44597</v>
      </c>
      <c r="K199" s="281">
        <v>44597</v>
      </c>
      <c r="L199" s="270" t="s">
        <v>960</v>
      </c>
      <c r="M199" s="130" t="s">
        <v>21</v>
      </c>
    </row>
    <row r="200" spans="1:13" s="134" customFormat="1" ht="15" customHeight="1" x14ac:dyDescent="0.25">
      <c r="A200" s="122">
        <v>197</v>
      </c>
      <c r="B200" s="274">
        <v>71654</v>
      </c>
      <c r="C200" s="275" t="s">
        <v>2250</v>
      </c>
      <c r="D200" s="274" t="s">
        <v>545</v>
      </c>
      <c r="E200" s="276" t="s">
        <v>116</v>
      </c>
      <c r="F200" s="277" t="s">
        <v>2251</v>
      </c>
      <c r="G200" s="278" t="s">
        <v>489</v>
      </c>
      <c r="H200" s="279">
        <v>41596</v>
      </c>
      <c r="I200" s="274">
        <v>5</v>
      </c>
      <c r="J200" s="280">
        <v>5274</v>
      </c>
      <c r="K200" s="281">
        <v>26370</v>
      </c>
      <c r="L200" s="270" t="s">
        <v>960</v>
      </c>
      <c r="M200" s="130" t="s">
        <v>21</v>
      </c>
    </row>
    <row r="201" spans="1:13" s="134" customFormat="1" ht="15" customHeight="1" x14ac:dyDescent="0.25">
      <c r="A201" s="122">
        <v>198</v>
      </c>
      <c r="B201" s="274">
        <v>71234</v>
      </c>
      <c r="C201" s="275" t="s">
        <v>1159</v>
      </c>
      <c r="D201" s="274" t="s">
        <v>545</v>
      </c>
      <c r="E201" s="276" t="s">
        <v>537</v>
      </c>
      <c r="F201" s="277" t="s">
        <v>527</v>
      </c>
      <c r="G201" s="278" t="s">
        <v>629</v>
      </c>
      <c r="H201" s="279">
        <v>41592</v>
      </c>
      <c r="I201" s="274">
        <v>1</v>
      </c>
      <c r="J201" s="280">
        <v>30429</v>
      </c>
      <c r="K201" s="281">
        <v>30429</v>
      </c>
      <c r="L201" s="270" t="s">
        <v>960</v>
      </c>
      <c r="M201" s="130" t="s">
        <v>21</v>
      </c>
    </row>
    <row r="202" spans="1:13" s="134" customFormat="1" ht="15" customHeight="1" x14ac:dyDescent="0.25">
      <c r="A202" s="122">
        <v>199</v>
      </c>
      <c r="B202" s="274">
        <v>63340</v>
      </c>
      <c r="C202" s="275" t="s">
        <v>2252</v>
      </c>
      <c r="D202" s="274" t="s">
        <v>545</v>
      </c>
      <c r="E202" s="276" t="s">
        <v>116</v>
      </c>
      <c r="F202" s="277" t="s">
        <v>442</v>
      </c>
      <c r="G202" s="278" t="s">
        <v>2067</v>
      </c>
      <c r="H202" s="279">
        <v>41562</v>
      </c>
      <c r="I202" s="274">
        <v>1</v>
      </c>
      <c r="J202" s="280">
        <v>5274</v>
      </c>
      <c r="K202" s="281">
        <v>5274</v>
      </c>
      <c r="L202" s="270" t="s">
        <v>960</v>
      </c>
      <c r="M202" s="130" t="s">
        <v>21</v>
      </c>
    </row>
    <row r="203" spans="1:13" s="134" customFormat="1" ht="15" customHeight="1" x14ac:dyDescent="0.25">
      <c r="A203" s="122">
        <v>200</v>
      </c>
      <c r="B203" s="274">
        <v>63340</v>
      </c>
      <c r="C203" s="275" t="s">
        <v>2252</v>
      </c>
      <c r="D203" s="274" t="s">
        <v>545</v>
      </c>
      <c r="E203" s="276" t="s">
        <v>210</v>
      </c>
      <c r="F203" s="277" t="s">
        <v>442</v>
      </c>
      <c r="G203" s="278"/>
      <c r="H203" s="279">
        <v>41562</v>
      </c>
      <c r="I203" s="274">
        <v>1</v>
      </c>
      <c r="J203" s="280">
        <v>14099</v>
      </c>
      <c r="K203" s="281">
        <v>14099</v>
      </c>
      <c r="L203" s="270" t="s">
        <v>960</v>
      </c>
      <c r="M203" s="130" t="s">
        <v>21</v>
      </c>
    </row>
    <row r="204" spans="1:13" s="134" customFormat="1" ht="15" customHeight="1" x14ac:dyDescent="0.25">
      <c r="A204" s="122">
        <v>201</v>
      </c>
      <c r="B204" s="274">
        <v>67873</v>
      </c>
      <c r="C204" s="275" t="s">
        <v>2252</v>
      </c>
      <c r="D204" s="274" t="s">
        <v>545</v>
      </c>
      <c r="E204" s="276" t="s">
        <v>115</v>
      </c>
      <c r="F204" s="277" t="s">
        <v>442</v>
      </c>
      <c r="G204" s="278" t="s">
        <v>658</v>
      </c>
      <c r="H204" s="279">
        <v>41577</v>
      </c>
      <c r="I204" s="274">
        <v>1</v>
      </c>
      <c r="J204" s="280">
        <v>33370</v>
      </c>
      <c r="K204" s="281">
        <v>33370</v>
      </c>
      <c r="L204" s="270" t="s">
        <v>960</v>
      </c>
      <c r="M204" s="130" t="s">
        <v>21</v>
      </c>
    </row>
    <row r="205" spans="1:13" s="134" customFormat="1" ht="15" customHeight="1" x14ac:dyDescent="0.25">
      <c r="A205" s="122">
        <v>202</v>
      </c>
      <c r="B205" s="274">
        <v>73990</v>
      </c>
      <c r="C205" s="275" t="s">
        <v>2253</v>
      </c>
      <c r="D205" s="274" t="s">
        <v>545</v>
      </c>
      <c r="E205" s="276" t="s">
        <v>537</v>
      </c>
      <c r="F205" s="277" t="s">
        <v>511</v>
      </c>
      <c r="G205" s="278" t="s">
        <v>629</v>
      </c>
      <c r="H205" s="279">
        <v>41603</v>
      </c>
      <c r="I205" s="274">
        <v>1</v>
      </c>
      <c r="J205" s="280">
        <v>30429</v>
      </c>
      <c r="K205" s="281">
        <v>30429</v>
      </c>
      <c r="L205" s="270" t="s">
        <v>960</v>
      </c>
      <c r="M205" s="130" t="s">
        <v>21</v>
      </c>
    </row>
    <row r="206" spans="1:13" s="134" customFormat="1" ht="15" customHeight="1" x14ac:dyDescent="0.25">
      <c r="A206" s="122">
        <v>203</v>
      </c>
      <c r="B206" s="274">
        <v>70704</v>
      </c>
      <c r="C206" s="275" t="s">
        <v>2254</v>
      </c>
      <c r="D206" s="274" t="s">
        <v>545</v>
      </c>
      <c r="E206" s="276" t="s">
        <v>116</v>
      </c>
      <c r="F206" s="277" t="s">
        <v>392</v>
      </c>
      <c r="G206" s="278" t="s">
        <v>489</v>
      </c>
      <c r="H206" s="279">
        <v>41591</v>
      </c>
      <c r="I206" s="274">
        <v>1</v>
      </c>
      <c r="J206" s="280">
        <v>5274</v>
      </c>
      <c r="K206" s="281">
        <v>5274</v>
      </c>
      <c r="L206" s="270" t="s">
        <v>960</v>
      </c>
      <c r="M206" s="130" t="s">
        <v>21</v>
      </c>
    </row>
    <row r="207" spans="1:13" s="134" customFormat="1" ht="15" customHeight="1" x14ac:dyDescent="0.25">
      <c r="A207" s="122">
        <v>204</v>
      </c>
      <c r="B207" s="274">
        <v>63154</v>
      </c>
      <c r="C207" s="275" t="s">
        <v>2255</v>
      </c>
      <c r="D207" s="274" t="s">
        <v>724</v>
      </c>
      <c r="E207" s="276" t="s">
        <v>580</v>
      </c>
      <c r="F207" s="277" t="s">
        <v>371</v>
      </c>
      <c r="G207" s="278"/>
      <c r="H207" s="279">
        <v>41561</v>
      </c>
      <c r="I207" s="274">
        <v>1</v>
      </c>
      <c r="J207" s="280">
        <v>25800</v>
      </c>
      <c r="K207" s="281">
        <v>25800</v>
      </c>
      <c r="L207" s="270" t="s">
        <v>960</v>
      </c>
      <c r="M207" s="130" t="s">
        <v>21</v>
      </c>
    </row>
    <row r="208" spans="1:13" s="134" customFormat="1" ht="15" customHeight="1" x14ac:dyDescent="0.25">
      <c r="A208" s="122">
        <v>205</v>
      </c>
      <c r="B208" s="274">
        <v>72015</v>
      </c>
      <c r="C208" s="275" t="s">
        <v>2255</v>
      </c>
      <c r="D208" s="274" t="s">
        <v>665</v>
      </c>
      <c r="E208" s="276" t="s">
        <v>580</v>
      </c>
      <c r="F208" s="277" t="s">
        <v>369</v>
      </c>
      <c r="G208" s="278"/>
      <c r="H208" s="279">
        <v>41596</v>
      </c>
      <c r="I208" s="274">
        <v>1</v>
      </c>
      <c r="J208" s="280">
        <v>25800</v>
      </c>
      <c r="K208" s="281">
        <v>25800</v>
      </c>
      <c r="L208" s="270" t="s">
        <v>960</v>
      </c>
      <c r="M208" s="130" t="s">
        <v>21</v>
      </c>
    </row>
    <row r="209" spans="1:13" s="134" customFormat="1" ht="15" customHeight="1" thickBot="1" x14ac:dyDescent="0.3">
      <c r="A209" s="290">
        <v>206</v>
      </c>
      <c r="B209" s="291">
        <v>75489</v>
      </c>
      <c r="C209" s="292" t="s">
        <v>2256</v>
      </c>
      <c r="D209" s="291" t="s">
        <v>545</v>
      </c>
      <c r="E209" s="293" t="s">
        <v>537</v>
      </c>
      <c r="F209" s="294" t="s">
        <v>404</v>
      </c>
      <c r="G209" s="295" t="s">
        <v>629</v>
      </c>
      <c r="H209" s="296">
        <v>41605</v>
      </c>
      <c r="I209" s="291">
        <v>1</v>
      </c>
      <c r="J209" s="297">
        <v>30429</v>
      </c>
      <c r="K209" s="298">
        <v>30429</v>
      </c>
      <c r="L209" s="299" t="s">
        <v>960</v>
      </c>
      <c r="M209" s="130" t="s">
        <v>21</v>
      </c>
    </row>
    <row r="210" spans="1:13" s="134" customFormat="1" ht="15" customHeight="1" x14ac:dyDescent="0.25">
      <c r="A210" s="274">
        <v>208</v>
      </c>
      <c r="B210" s="274">
        <v>70432</v>
      </c>
      <c r="C210" s="275" t="s">
        <v>2257</v>
      </c>
      <c r="D210" s="274" t="s">
        <v>376</v>
      </c>
      <c r="E210" s="276" t="s">
        <v>116</v>
      </c>
      <c r="F210" s="277" t="s">
        <v>527</v>
      </c>
      <c r="G210" s="278" t="s">
        <v>489</v>
      </c>
      <c r="H210" s="279">
        <v>41590</v>
      </c>
      <c r="I210" s="300">
        <v>1</v>
      </c>
      <c r="J210" s="280">
        <v>5274</v>
      </c>
      <c r="K210" s="281">
        <v>5274</v>
      </c>
      <c r="L210" s="301" t="s">
        <v>623</v>
      </c>
      <c r="M210" s="130" t="s">
        <v>21</v>
      </c>
    </row>
    <row r="211" spans="1:13" s="134" customFormat="1" ht="15" customHeight="1" x14ac:dyDescent="0.25">
      <c r="A211" s="122">
        <v>209</v>
      </c>
      <c r="B211" s="122">
        <v>73094</v>
      </c>
      <c r="C211" s="124" t="s">
        <v>712</v>
      </c>
      <c r="D211" s="122" t="s">
        <v>376</v>
      </c>
      <c r="E211" s="150" t="s">
        <v>116</v>
      </c>
      <c r="F211" s="126" t="s">
        <v>419</v>
      </c>
      <c r="G211" s="271" t="s">
        <v>489</v>
      </c>
      <c r="H211" s="123">
        <v>41599</v>
      </c>
      <c r="I211" s="128">
        <v>1</v>
      </c>
      <c r="J211" s="272">
        <v>5274</v>
      </c>
      <c r="K211" s="273">
        <v>5274</v>
      </c>
      <c r="L211" s="270" t="s">
        <v>623</v>
      </c>
      <c r="M211" s="130" t="s">
        <v>21</v>
      </c>
    </row>
    <row r="212" spans="1:13" s="134" customFormat="1" ht="15" customHeight="1" x14ac:dyDescent="0.25">
      <c r="A212" s="122">
        <v>210</v>
      </c>
      <c r="B212" s="122">
        <v>76427</v>
      </c>
      <c r="C212" s="124" t="s">
        <v>2258</v>
      </c>
      <c r="D212" s="122" t="s">
        <v>545</v>
      </c>
      <c r="E212" s="150" t="s">
        <v>116</v>
      </c>
      <c r="F212" s="126" t="s">
        <v>511</v>
      </c>
      <c r="G212" s="271"/>
      <c r="H212" s="123">
        <v>41610</v>
      </c>
      <c r="I212" s="128">
        <v>1</v>
      </c>
      <c r="J212" s="272">
        <v>5274</v>
      </c>
      <c r="K212" s="273">
        <v>5274</v>
      </c>
      <c r="L212" s="270" t="s">
        <v>623</v>
      </c>
      <c r="M212" s="130" t="s">
        <v>21</v>
      </c>
    </row>
    <row r="213" spans="1:13" s="134" customFormat="1" ht="15" customHeight="1" x14ac:dyDescent="0.25">
      <c r="A213" s="122">
        <v>211</v>
      </c>
      <c r="B213" s="122">
        <v>76570</v>
      </c>
      <c r="C213" s="124" t="s">
        <v>2259</v>
      </c>
      <c r="D213" s="122" t="s">
        <v>545</v>
      </c>
      <c r="E213" s="150" t="s">
        <v>116</v>
      </c>
      <c r="F213" s="126" t="s">
        <v>472</v>
      </c>
      <c r="G213" s="271" t="s">
        <v>573</v>
      </c>
      <c r="H213" s="123">
        <v>41611</v>
      </c>
      <c r="I213" s="128">
        <v>1</v>
      </c>
      <c r="J213" s="272">
        <v>5274</v>
      </c>
      <c r="K213" s="273">
        <v>5274</v>
      </c>
      <c r="L213" s="270" t="s">
        <v>623</v>
      </c>
      <c r="M213" s="130" t="s">
        <v>21</v>
      </c>
    </row>
    <row r="214" spans="1:13" s="134" customFormat="1" ht="15" customHeight="1" x14ac:dyDescent="0.25">
      <c r="A214" s="122">
        <v>212</v>
      </c>
      <c r="B214" s="122">
        <v>77431</v>
      </c>
      <c r="C214" s="124" t="s">
        <v>707</v>
      </c>
      <c r="D214" s="122" t="s">
        <v>545</v>
      </c>
      <c r="E214" s="150" t="s">
        <v>116</v>
      </c>
      <c r="F214" s="126" t="s">
        <v>392</v>
      </c>
      <c r="G214" s="271" t="s">
        <v>573</v>
      </c>
      <c r="H214" s="123">
        <v>41611</v>
      </c>
      <c r="I214" s="128">
        <v>1</v>
      </c>
      <c r="J214" s="272">
        <v>5274</v>
      </c>
      <c r="K214" s="273">
        <v>5274</v>
      </c>
      <c r="L214" s="270" t="s">
        <v>623</v>
      </c>
      <c r="M214" s="130" t="s">
        <v>21</v>
      </c>
    </row>
    <row r="215" spans="1:13" s="134" customFormat="1" ht="15" customHeight="1" x14ac:dyDescent="0.25">
      <c r="A215" s="122">
        <v>213</v>
      </c>
      <c r="B215" s="122">
        <v>77433</v>
      </c>
      <c r="C215" s="124" t="s">
        <v>2260</v>
      </c>
      <c r="D215" s="122" t="s">
        <v>545</v>
      </c>
      <c r="E215" s="150" t="s">
        <v>116</v>
      </c>
      <c r="F215" s="126" t="s">
        <v>442</v>
      </c>
      <c r="G215" s="271" t="s">
        <v>554</v>
      </c>
      <c r="H215" s="123">
        <v>41611</v>
      </c>
      <c r="I215" s="128">
        <v>1</v>
      </c>
      <c r="J215" s="272">
        <v>5274</v>
      </c>
      <c r="K215" s="273">
        <v>5274</v>
      </c>
      <c r="L215" s="270" t="s">
        <v>623</v>
      </c>
      <c r="M215" s="130" t="s">
        <v>21</v>
      </c>
    </row>
    <row r="216" spans="1:13" s="134" customFormat="1" ht="15" customHeight="1" x14ac:dyDescent="0.25">
      <c r="A216" s="122">
        <v>214</v>
      </c>
      <c r="B216" s="122">
        <v>80283</v>
      </c>
      <c r="C216" s="124" t="s">
        <v>2261</v>
      </c>
      <c r="D216" s="122" t="s">
        <v>545</v>
      </c>
      <c r="E216" s="150" t="s">
        <v>116</v>
      </c>
      <c r="F216" s="126" t="s">
        <v>404</v>
      </c>
      <c r="G216" s="271" t="s">
        <v>486</v>
      </c>
      <c r="H216" s="123">
        <v>41620</v>
      </c>
      <c r="I216" s="128">
        <v>1</v>
      </c>
      <c r="J216" s="272">
        <v>5274</v>
      </c>
      <c r="K216" s="273">
        <v>5274</v>
      </c>
      <c r="L216" s="270" t="s">
        <v>623</v>
      </c>
      <c r="M216" s="130" t="s">
        <v>21</v>
      </c>
    </row>
    <row r="217" spans="1:13" s="134" customFormat="1" ht="15" customHeight="1" x14ac:dyDescent="0.25">
      <c r="A217" s="122">
        <v>215</v>
      </c>
      <c r="B217" s="122">
        <v>80070</v>
      </c>
      <c r="C217" s="124" t="s">
        <v>2262</v>
      </c>
      <c r="D217" s="122" t="s">
        <v>376</v>
      </c>
      <c r="E217" s="150" t="s">
        <v>116</v>
      </c>
      <c r="F217" s="126" t="s">
        <v>404</v>
      </c>
      <c r="G217" s="271" t="s">
        <v>1236</v>
      </c>
      <c r="H217" s="123">
        <v>41619</v>
      </c>
      <c r="I217" s="128">
        <v>1</v>
      </c>
      <c r="J217" s="272">
        <v>5274</v>
      </c>
      <c r="K217" s="273">
        <v>5274</v>
      </c>
      <c r="L217" s="270" t="s">
        <v>623</v>
      </c>
      <c r="M217" s="130" t="s">
        <v>21</v>
      </c>
    </row>
    <row r="218" spans="1:13" s="134" customFormat="1" ht="15" customHeight="1" x14ac:dyDescent="0.25">
      <c r="A218" s="122">
        <v>216</v>
      </c>
      <c r="B218" s="122">
        <v>80056</v>
      </c>
      <c r="C218" s="124" t="s">
        <v>2263</v>
      </c>
      <c r="D218" s="122" t="s">
        <v>376</v>
      </c>
      <c r="E218" s="150" t="s">
        <v>116</v>
      </c>
      <c r="F218" s="126" t="s">
        <v>419</v>
      </c>
      <c r="G218" s="271" t="s">
        <v>489</v>
      </c>
      <c r="H218" s="123">
        <v>41619</v>
      </c>
      <c r="I218" s="128">
        <v>1</v>
      </c>
      <c r="J218" s="272">
        <v>5274</v>
      </c>
      <c r="K218" s="273">
        <v>5274</v>
      </c>
      <c r="L218" s="270" t="s">
        <v>623</v>
      </c>
      <c r="M218" s="130" t="s">
        <v>21</v>
      </c>
    </row>
    <row r="219" spans="1:13" s="134" customFormat="1" ht="15" customHeight="1" x14ac:dyDescent="0.25">
      <c r="A219" s="122">
        <v>217</v>
      </c>
      <c r="B219" s="122">
        <v>79603</v>
      </c>
      <c r="C219" s="124" t="s">
        <v>2264</v>
      </c>
      <c r="D219" s="122" t="s">
        <v>545</v>
      </c>
      <c r="E219" s="150" t="s">
        <v>116</v>
      </c>
      <c r="F219" s="126" t="s">
        <v>392</v>
      </c>
      <c r="G219" s="271" t="s">
        <v>489</v>
      </c>
      <c r="H219" s="123">
        <v>41618</v>
      </c>
      <c r="I219" s="128">
        <v>1</v>
      </c>
      <c r="J219" s="272">
        <v>5274</v>
      </c>
      <c r="K219" s="273">
        <v>5274</v>
      </c>
      <c r="L219" s="270" t="s">
        <v>623</v>
      </c>
      <c r="M219" s="130" t="s">
        <v>21</v>
      </c>
    </row>
    <row r="220" spans="1:13" s="134" customFormat="1" ht="15" customHeight="1" x14ac:dyDescent="0.25">
      <c r="A220" s="122">
        <v>218</v>
      </c>
      <c r="B220" s="122">
        <v>79389</v>
      </c>
      <c r="C220" s="124" t="s">
        <v>653</v>
      </c>
      <c r="D220" s="122" t="s">
        <v>545</v>
      </c>
      <c r="E220" s="150" t="s">
        <v>116</v>
      </c>
      <c r="F220" s="126" t="s">
        <v>392</v>
      </c>
      <c r="G220" s="271" t="s">
        <v>489</v>
      </c>
      <c r="H220" s="123">
        <v>41620</v>
      </c>
      <c r="I220" s="128">
        <v>1</v>
      </c>
      <c r="J220" s="272">
        <v>5274</v>
      </c>
      <c r="K220" s="273">
        <v>5274</v>
      </c>
      <c r="L220" s="270" t="s">
        <v>623</v>
      </c>
      <c r="M220" s="130" t="s">
        <v>21</v>
      </c>
    </row>
    <row r="221" spans="1:13" s="134" customFormat="1" ht="15" customHeight="1" x14ac:dyDescent="0.25">
      <c r="A221" s="122">
        <v>219</v>
      </c>
      <c r="B221" s="122">
        <v>79236</v>
      </c>
      <c r="C221" s="124" t="s">
        <v>2265</v>
      </c>
      <c r="D221" s="122" t="s">
        <v>376</v>
      </c>
      <c r="E221" s="150" t="s">
        <v>116</v>
      </c>
      <c r="F221" s="126" t="s">
        <v>511</v>
      </c>
      <c r="G221" s="271" t="s">
        <v>489</v>
      </c>
      <c r="H221" s="123">
        <v>41618</v>
      </c>
      <c r="I221" s="128">
        <v>1</v>
      </c>
      <c r="J221" s="272">
        <v>5274</v>
      </c>
      <c r="K221" s="273">
        <v>5274</v>
      </c>
      <c r="L221" s="270" t="s">
        <v>623</v>
      </c>
      <c r="M221" s="130" t="s">
        <v>21</v>
      </c>
    </row>
    <row r="222" spans="1:13" s="134" customFormat="1" ht="15" customHeight="1" x14ac:dyDescent="0.25">
      <c r="A222" s="122">
        <v>220</v>
      </c>
      <c r="B222" s="122">
        <v>79076</v>
      </c>
      <c r="C222" s="124" t="s">
        <v>707</v>
      </c>
      <c r="D222" s="122" t="s">
        <v>545</v>
      </c>
      <c r="E222" s="150" t="s">
        <v>116</v>
      </c>
      <c r="F222" s="126" t="s">
        <v>534</v>
      </c>
      <c r="G222" s="271" t="s">
        <v>573</v>
      </c>
      <c r="H222" s="123">
        <v>41618</v>
      </c>
      <c r="I222" s="128">
        <v>1</v>
      </c>
      <c r="J222" s="272">
        <v>5274</v>
      </c>
      <c r="K222" s="273">
        <v>5274</v>
      </c>
      <c r="L222" s="270" t="s">
        <v>623</v>
      </c>
      <c r="M222" s="130" t="s">
        <v>21</v>
      </c>
    </row>
    <row r="223" spans="1:13" s="134" customFormat="1" ht="15" customHeight="1" x14ac:dyDescent="0.25">
      <c r="A223" s="122">
        <v>221</v>
      </c>
      <c r="B223" s="122">
        <v>78577</v>
      </c>
      <c r="C223" s="124" t="s">
        <v>2266</v>
      </c>
      <c r="D223" s="122" t="s">
        <v>376</v>
      </c>
      <c r="E223" s="150" t="s">
        <v>116</v>
      </c>
      <c r="F223" s="126" t="s">
        <v>419</v>
      </c>
      <c r="G223" s="271" t="s">
        <v>489</v>
      </c>
      <c r="H223" s="123">
        <v>41615</v>
      </c>
      <c r="I223" s="128">
        <v>1</v>
      </c>
      <c r="J223" s="272">
        <v>5274</v>
      </c>
      <c r="K223" s="273">
        <v>5274</v>
      </c>
      <c r="L223" s="270" t="s">
        <v>623</v>
      </c>
      <c r="M223" s="130" t="s">
        <v>21</v>
      </c>
    </row>
    <row r="224" spans="1:13" s="134" customFormat="1" ht="15" customHeight="1" x14ac:dyDescent="0.25">
      <c r="A224" s="122">
        <v>222</v>
      </c>
      <c r="B224" s="122">
        <v>81541</v>
      </c>
      <c r="C224" s="124" t="s">
        <v>2267</v>
      </c>
      <c r="D224" s="122" t="s">
        <v>545</v>
      </c>
      <c r="E224" s="150" t="s">
        <v>116</v>
      </c>
      <c r="F224" s="126" t="s">
        <v>417</v>
      </c>
      <c r="G224" s="271" t="s">
        <v>573</v>
      </c>
      <c r="H224" s="123">
        <v>41626</v>
      </c>
      <c r="I224" s="128">
        <v>1</v>
      </c>
      <c r="J224" s="272">
        <v>5274</v>
      </c>
      <c r="K224" s="273">
        <v>5274</v>
      </c>
      <c r="L224" s="270" t="s">
        <v>623</v>
      </c>
      <c r="M224" s="130" t="s">
        <v>21</v>
      </c>
    </row>
    <row r="225" spans="1:13" s="134" customFormat="1" ht="15" customHeight="1" x14ac:dyDescent="0.25">
      <c r="A225" s="122">
        <v>223</v>
      </c>
      <c r="B225" s="122">
        <v>81304</v>
      </c>
      <c r="C225" s="124" t="s">
        <v>2268</v>
      </c>
      <c r="D225" s="122" t="s">
        <v>665</v>
      </c>
      <c r="E225" s="150" t="s">
        <v>116</v>
      </c>
      <c r="F225" s="126" t="s">
        <v>472</v>
      </c>
      <c r="G225" s="271" t="s">
        <v>489</v>
      </c>
      <c r="H225" s="123">
        <v>41624</v>
      </c>
      <c r="I225" s="128">
        <v>1</v>
      </c>
      <c r="J225" s="272">
        <v>5274</v>
      </c>
      <c r="K225" s="273">
        <v>5274</v>
      </c>
      <c r="L225" s="270" t="s">
        <v>623</v>
      </c>
      <c r="M225" s="130" t="s">
        <v>21</v>
      </c>
    </row>
    <row r="226" spans="1:13" s="134" customFormat="1" ht="15" customHeight="1" x14ac:dyDescent="0.25">
      <c r="A226" s="122">
        <v>224</v>
      </c>
      <c r="B226" s="122">
        <v>81307</v>
      </c>
      <c r="C226" s="124" t="s">
        <v>2269</v>
      </c>
      <c r="D226" s="122" t="s">
        <v>665</v>
      </c>
      <c r="E226" s="150" t="s">
        <v>116</v>
      </c>
      <c r="F226" s="126" t="s">
        <v>415</v>
      </c>
      <c r="G226" s="271" t="s">
        <v>560</v>
      </c>
      <c r="H226" s="123">
        <v>41624</v>
      </c>
      <c r="I226" s="128">
        <v>1</v>
      </c>
      <c r="J226" s="272">
        <v>5274</v>
      </c>
      <c r="K226" s="273">
        <v>5274</v>
      </c>
      <c r="L226" s="270" t="s">
        <v>623</v>
      </c>
      <c r="M226" s="130" t="s">
        <v>21</v>
      </c>
    </row>
    <row r="227" spans="1:13" s="134" customFormat="1" ht="15" customHeight="1" x14ac:dyDescent="0.25">
      <c r="A227" s="122">
        <v>225</v>
      </c>
      <c r="B227" s="122">
        <v>85165</v>
      </c>
      <c r="C227" s="124" t="s">
        <v>643</v>
      </c>
      <c r="D227" s="122" t="s">
        <v>545</v>
      </c>
      <c r="E227" s="150" t="s">
        <v>116</v>
      </c>
      <c r="F227" s="126" t="s">
        <v>645</v>
      </c>
      <c r="G227" s="271" t="s">
        <v>573</v>
      </c>
      <c r="H227" s="123">
        <v>41638</v>
      </c>
      <c r="I227" s="128">
        <v>1</v>
      </c>
      <c r="J227" s="272">
        <v>5274</v>
      </c>
      <c r="K227" s="273">
        <v>5274</v>
      </c>
      <c r="L227" s="270" t="s">
        <v>623</v>
      </c>
      <c r="M227" s="130" t="s">
        <v>21</v>
      </c>
    </row>
    <row r="228" spans="1:13" s="134" customFormat="1" ht="15" customHeight="1" x14ac:dyDescent="0.25">
      <c r="A228" s="122">
        <v>226</v>
      </c>
      <c r="B228" s="122">
        <v>85183</v>
      </c>
      <c r="C228" s="124" t="s">
        <v>2270</v>
      </c>
      <c r="D228" s="122" t="s">
        <v>545</v>
      </c>
      <c r="E228" s="150" t="s">
        <v>116</v>
      </c>
      <c r="F228" s="126" t="s">
        <v>419</v>
      </c>
      <c r="G228" s="271" t="s">
        <v>573</v>
      </c>
      <c r="H228" s="123">
        <v>41641</v>
      </c>
      <c r="I228" s="128">
        <v>1</v>
      </c>
      <c r="J228" s="272">
        <v>5274</v>
      </c>
      <c r="K228" s="273">
        <v>5274</v>
      </c>
      <c r="L228" s="270" t="s">
        <v>623</v>
      </c>
      <c r="M228" s="130" t="s">
        <v>21</v>
      </c>
    </row>
    <row r="229" spans="1:13" s="134" customFormat="1" ht="15" customHeight="1" x14ac:dyDescent="0.25">
      <c r="A229" s="122">
        <v>227</v>
      </c>
      <c r="B229" s="122">
        <v>85310</v>
      </c>
      <c r="C229" s="124" t="s">
        <v>2271</v>
      </c>
      <c r="D229" s="122" t="s">
        <v>545</v>
      </c>
      <c r="E229" s="150" t="s">
        <v>116</v>
      </c>
      <c r="F229" s="126" t="s">
        <v>562</v>
      </c>
      <c r="G229" s="271" t="s">
        <v>573</v>
      </c>
      <c r="H229" s="123">
        <v>41645</v>
      </c>
      <c r="I229" s="128">
        <v>1</v>
      </c>
      <c r="J229" s="272">
        <v>5274</v>
      </c>
      <c r="K229" s="273">
        <v>5274</v>
      </c>
      <c r="L229" s="270" t="s">
        <v>623</v>
      </c>
      <c r="M229" s="130" t="s">
        <v>21</v>
      </c>
    </row>
    <row r="230" spans="1:13" s="134" customFormat="1" ht="15" customHeight="1" x14ac:dyDescent="0.25">
      <c r="A230" s="122">
        <v>228</v>
      </c>
      <c r="B230" s="122">
        <v>82959</v>
      </c>
      <c r="C230" s="124" t="s">
        <v>2272</v>
      </c>
      <c r="D230" s="122" t="s">
        <v>478</v>
      </c>
      <c r="E230" s="150" t="s">
        <v>237</v>
      </c>
      <c r="F230" s="126" t="s">
        <v>369</v>
      </c>
      <c r="G230" s="271"/>
      <c r="H230" s="123">
        <v>41628</v>
      </c>
      <c r="I230" s="128">
        <v>1</v>
      </c>
      <c r="J230" s="272">
        <v>10401</v>
      </c>
      <c r="K230" s="273">
        <v>10401</v>
      </c>
      <c r="L230" s="270" t="s">
        <v>623</v>
      </c>
      <c r="M230" s="130" t="s">
        <v>21</v>
      </c>
    </row>
    <row r="231" spans="1:13" s="134" customFormat="1" ht="15" customHeight="1" x14ac:dyDescent="0.25">
      <c r="A231" s="122">
        <v>229</v>
      </c>
      <c r="B231" s="122">
        <v>83228</v>
      </c>
      <c r="C231" s="124" t="s">
        <v>2273</v>
      </c>
      <c r="D231" s="122" t="s">
        <v>665</v>
      </c>
      <c r="E231" s="150" t="s">
        <v>116</v>
      </c>
      <c r="F231" s="126" t="s">
        <v>400</v>
      </c>
      <c r="G231" s="271" t="s">
        <v>2112</v>
      </c>
      <c r="H231" s="123">
        <v>41631</v>
      </c>
      <c r="I231" s="128">
        <v>2</v>
      </c>
      <c r="J231" s="272">
        <v>5274</v>
      </c>
      <c r="K231" s="273">
        <v>10548</v>
      </c>
      <c r="L231" s="270" t="s">
        <v>623</v>
      </c>
      <c r="M231" s="130" t="s">
        <v>21</v>
      </c>
    </row>
    <row r="232" spans="1:13" s="134" customFormat="1" ht="15" customHeight="1" x14ac:dyDescent="0.25">
      <c r="A232" s="122">
        <v>230</v>
      </c>
      <c r="B232" s="122">
        <v>79603</v>
      </c>
      <c r="C232" s="124" t="s">
        <v>2264</v>
      </c>
      <c r="D232" s="122" t="s">
        <v>545</v>
      </c>
      <c r="E232" s="150" t="s">
        <v>210</v>
      </c>
      <c r="F232" s="126" t="s">
        <v>392</v>
      </c>
      <c r="G232" s="271"/>
      <c r="H232" s="123">
        <v>41618</v>
      </c>
      <c r="I232" s="128">
        <v>1</v>
      </c>
      <c r="J232" s="272">
        <v>14099</v>
      </c>
      <c r="K232" s="273">
        <v>14099</v>
      </c>
      <c r="L232" s="270" t="s">
        <v>623</v>
      </c>
      <c r="M232" s="130" t="s">
        <v>21</v>
      </c>
    </row>
    <row r="233" spans="1:13" s="134" customFormat="1" ht="15" customHeight="1" x14ac:dyDescent="0.25">
      <c r="A233" s="122">
        <v>231</v>
      </c>
      <c r="B233" s="122">
        <v>84082</v>
      </c>
      <c r="C233" s="124" t="s">
        <v>712</v>
      </c>
      <c r="D233" s="122" t="s">
        <v>376</v>
      </c>
      <c r="E233" s="150" t="s">
        <v>210</v>
      </c>
      <c r="F233" s="126" t="s">
        <v>419</v>
      </c>
      <c r="G233" s="271"/>
      <c r="H233" s="123">
        <v>41632</v>
      </c>
      <c r="I233" s="128">
        <v>1</v>
      </c>
      <c r="J233" s="272">
        <v>14099</v>
      </c>
      <c r="K233" s="273">
        <v>14099</v>
      </c>
      <c r="L233" s="270" t="s">
        <v>623</v>
      </c>
      <c r="M233" s="130" t="s">
        <v>21</v>
      </c>
    </row>
    <row r="234" spans="1:13" s="134" customFormat="1" ht="15" customHeight="1" x14ac:dyDescent="0.25">
      <c r="A234" s="122">
        <v>232</v>
      </c>
      <c r="B234" s="122">
        <v>85310</v>
      </c>
      <c r="C234" s="124" t="s">
        <v>2271</v>
      </c>
      <c r="D234" s="122" t="s">
        <v>545</v>
      </c>
      <c r="E234" s="150" t="s">
        <v>210</v>
      </c>
      <c r="F234" s="126" t="s">
        <v>562</v>
      </c>
      <c r="G234" s="271"/>
      <c r="H234" s="123">
        <v>41645</v>
      </c>
      <c r="I234" s="128">
        <v>1</v>
      </c>
      <c r="J234" s="272">
        <v>14099</v>
      </c>
      <c r="K234" s="273">
        <v>14099</v>
      </c>
      <c r="L234" s="270" t="s">
        <v>623</v>
      </c>
      <c r="M234" s="130" t="s">
        <v>21</v>
      </c>
    </row>
    <row r="235" spans="1:13" s="134" customFormat="1" ht="15" customHeight="1" x14ac:dyDescent="0.25">
      <c r="A235" s="122">
        <v>233</v>
      </c>
      <c r="B235" s="122">
        <v>77770</v>
      </c>
      <c r="C235" s="124" t="s">
        <v>633</v>
      </c>
      <c r="D235" s="122" t="s">
        <v>545</v>
      </c>
      <c r="E235" s="150" t="s">
        <v>204</v>
      </c>
      <c r="F235" s="126" t="s">
        <v>568</v>
      </c>
      <c r="G235" s="271"/>
      <c r="H235" s="123">
        <v>41612</v>
      </c>
      <c r="I235" s="128">
        <v>1</v>
      </c>
      <c r="J235" s="272">
        <v>17244</v>
      </c>
      <c r="K235" s="273">
        <v>17244</v>
      </c>
      <c r="L235" s="270" t="s">
        <v>623</v>
      </c>
      <c r="M235" s="130" t="s">
        <v>21</v>
      </c>
    </row>
    <row r="236" spans="1:13" s="134" customFormat="1" ht="15" customHeight="1" x14ac:dyDescent="0.25">
      <c r="A236" s="122">
        <v>234</v>
      </c>
      <c r="B236" s="122">
        <v>79075</v>
      </c>
      <c r="C236" s="124" t="s">
        <v>630</v>
      </c>
      <c r="D236" s="122" t="s">
        <v>665</v>
      </c>
      <c r="E236" s="150" t="s">
        <v>116</v>
      </c>
      <c r="F236" s="126" t="s">
        <v>2274</v>
      </c>
      <c r="G236" s="271" t="s">
        <v>554</v>
      </c>
      <c r="H236" s="123">
        <v>41618</v>
      </c>
      <c r="I236" s="128">
        <v>4</v>
      </c>
      <c r="J236" s="272">
        <v>5274</v>
      </c>
      <c r="K236" s="273">
        <v>21096</v>
      </c>
      <c r="L236" s="270" t="s">
        <v>623</v>
      </c>
      <c r="M236" s="130" t="s">
        <v>21</v>
      </c>
    </row>
    <row r="237" spans="1:13" s="134" customFormat="1" ht="15" customHeight="1" x14ac:dyDescent="0.25">
      <c r="A237" s="122">
        <v>235</v>
      </c>
      <c r="B237" s="122">
        <v>83450</v>
      </c>
      <c r="C237" s="124" t="s">
        <v>715</v>
      </c>
      <c r="D237" s="122" t="s">
        <v>665</v>
      </c>
      <c r="E237" s="150" t="s">
        <v>116</v>
      </c>
      <c r="F237" s="126" t="s">
        <v>994</v>
      </c>
      <c r="G237" s="271" t="s">
        <v>560</v>
      </c>
      <c r="H237" s="123">
        <v>41634</v>
      </c>
      <c r="I237" s="128">
        <v>4</v>
      </c>
      <c r="J237" s="272">
        <v>5274</v>
      </c>
      <c r="K237" s="273">
        <v>21096</v>
      </c>
      <c r="L237" s="270" t="s">
        <v>623</v>
      </c>
      <c r="M237" s="130" t="s">
        <v>21</v>
      </c>
    </row>
    <row r="238" spans="1:13" s="134" customFormat="1" ht="15" customHeight="1" x14ac:dyDescent="0.25">
      <c r="A238" s="122">
        <v>236</v>
      </c>
      <c r="B238" s="122">
        <v>68240</v>
      </c>
      <c r="C238" s="124" t="s">
        <v>2275</v>
      </c>
      <c r="D238" s="122" t="s">
        <v>376</v>
      </c>
      <c r="E238" s="150" t="s">
        <v>537</v>
      </c>
      <c r="F238" s="126" t="s">
        <v>527</v>
      </c>
      <c r="G238" s="271" t="s">
        <v>573</v>
      </c>
      <c r="H238" s="123">
        <v>41582</v>
      </c>
      <c r="I238" s="128">
        <v>1</v>
      </c>
      <c r="J238" s="272">
        <v>30429</v>
      </c>
      <c r="K238" s="273">
        <v>30429</v>
      </c>
      <c r="L238" s="270" t="s">
        <v>623</v>
      </c>
      <c r="M238" s="130" t="s">
        <v>21</v>
      </c>
    </row>
    <row r="239" spans="1:13" s="134" customFormat="1" ht="15" customHeight="1" x14ac:dyDescent="0.25">
      <c r="A239" s="122">
        <v>237</v>
      </c>
      <c r="B239" s="122">
        <v>68786</v>
      </c>
      <c r="C239" s="124" t="s">
        <v>2276</v>
      </c>
      <c r="D239" s="122" t="s">
        <v>376</v>
      </c>
      <c r="E239" s="150" t="s">
        <v>537</v>
      </c>
      <c r="F239" s="126" t="s">
        <v>472</v>
      </c>
      <c r="G239" s="271" t="s">
        <v>569</v>
      </c>
      <c r="H239" s="123">
        <v>41583</v>
      </c>
      <c r="I239" s="128">
        <v>1</v>
      </c>
      <c r="J239" s="272">
        <v>30429</v>
      </c>
      <c r="K239" s="273">
        <v>30429</v>
      </c>
      <c r="L239" s="270" t="s">
        <v>623</v>
      </c>
      <c r="M239" s="130" t="s">
        <v>21</v>
      </c>
    </row>
    <row r="240" spans="1:13" s="134" customFormat="1" ht="15" customHeight="1" x14ac:dyDescent="0.25">
      <c r="A240" s="122">
        <v>238</v>
      </c>
      <c r="B240" s="122">
        <v>70056</v>
      </c>
      <c r="C240" s="124" t="s">
        <v>2277</v>
      </c>
      <c r="D240" s="122" t="s">
        <v>665</v>
      </c>
      <c r="E240" s="150" t="s">
        <v>537</v>
      </c>
      <c r="F240" s="126" t="s">
        <v>415</v>
      </c>
      <c r="G240" s="271" t="s">
        <v>583</v>
      </c>
      <c r="H240" s="123">
        <v>41587</v>
      </c>
      <c r="I240" s="128">
        <v>1</v>
      </c>
      <c r="J240" s="272">
        <v>30429</v>
      </c>
      <c r="K240" s="273">
        <v>30429</v>
      </c>
      <c r="L240" s="270" t="s">
        <v>623</v>
      </c>
      <c r="M240" s="130" t="s">
        <v>21</v>
      </c>
    </row>
    <row r="241" spans="1:13" s="134" customFormat="1" ht="15" customHeight="1" x14ac:dyDescent="0.25">
      <c r="A241" s="122">
        <v>239</v>
      </c>
      <c r="B241" s="122">
        <v>76775</v>
      </c>
      <c r="C241" s="124" t="s">
        <v>2278</v>
      </c>
      <c r="D241" s="122" t="s">
        <v>665</v>
      </c>
      <c r="E241" s="150" t="s">
        <v>537</v>
      </c>
      <c r="F241" s="126" t="s">
        <v>431</v>
      </c>
      <c r="G241" s="271" t="s">
        <v>560</v>
      </c>
      <c r="H241" s="123">
        <v>41610</v>
      </c>
      <c r="I241" s="128">
        <v>1</v>
      </c>
      <c r="J241" s="272">
        <v>30429</v>
      </c>
      <c r="K241" s="273">
        <v>30429</v>
      </c>
      <c r="L241" s="270" t="s">
        <v>623</v>
      </c>
      <c r="M241" s="130" t="s">
        <v>21</v>
      </c>
    </row>
    <row r="242" spans="1:13" s="134" customFormat="1" ht="15" customHeight="1" x14ac:dyDescent="0.25">
      <c r="A242" s="122">
        <v>240</v>
      </c>
      <c r="B242" s="122">
        <v>76779</v>
      </c>
      <c r="C242" s="124" t="s">
        <v>2279</v>
      </c>
      <c r="D242" s="122" t="s">
        <v>376</v>
      </c>
      <c r="E242" s="150" t="s">
        <v>537</v>
      </c>
      <c r="F242" s="126" t="s">
        <v>472</v>
      </c>
      <c r="G242" s="271" t="s">
        <v>650</v>
      </c>
      <c r="H242" s="123">
        <v>41610</v>
      </c>
      <c r="I242" s="128">
        <v>1</v>
      </c>
      <c r="J242" s="272">
        <v>30429</v>
      </c>
      <c r="K242" s="273">
        <v>30429</v>
      </c>
      <c r="L242" s="270" t="s">
        <v>623</v>
      </c>
      <c r="M242" s="130" t="s">
        <v>21</v>
      </c>
    </row>
    <row r="243" spans="1:13" s="134" customFormat="1" ht="15" customHeight="1" x14ac:dyDescent="0.25">
      <c r="A243" s="122">
        <v>241</v>
      </c>
      <c r="B243" s="122">
        <v>77790</v>
      </c>
      <c r="C243" s="124" t="s">
        <v>2280</v>
      </c>
      <c r="D243" s="122" t="s">
        <v>545</v>
      </c>
      <c r="E243" s="150" t="s">
        <v>537</v>
      </c>
      <c r="F243" s="126" t="s">
        <v>392</v>
      </c>
      <c r="G243" s="271" t="s">
        <v>629</v>
      </c>
      <c r="H243" s="123">
        <v>41612</v>
      </c>
      <c r="I243" s="128">
        <v>1</v>
      </c>
      <c r="J243" s="272">
        <v>30429</v>
      </c>
      <c r="K243" s="273">
        <v>30429</v>
      </c>
      <c r="L243" s="270" t="s">
        <v>623</v>
      </c>
      <c r="M243" s="130" t="s">
        <v>21</v>
      </c>
    </row>
    <row r="244" spans="1:13" s="134" customFormat="1" ht="15" customHeight="1" x14ac:dyDescent="0.25">
      <c r="A244" s="122">
        <v>243</v>
      </c>
      <c r="B244" s="122">
        <v>80765</v>
      </c>
      <c r="C244" s="124" t="s">
        <v>2281</v>
      </c>
      <c r="D244" s="122" t="s">
        <v>545</v>
      </c>
      <c r="E244" s="150" t="s">
        <v>537</v>
      </c>
      <c r="F244" s="126" t="s">
        <v>562</v>
      </c>
      <c r="G244" s="271" t="s">
        <v>629</v>
      </c>
      <c r="H244" s="123">
        <v>41621</v>
      </c>
      <c r="I244" s="128">
        <v>1</v>
      </c>
      <c r="J244" s="272">
        <v>30429</v>
      </c>
      <c r="K244" s="273">
        <v>30429</v>
      </c>
      <c r="L244" s="270" t="s">
        <v>623</v>
      </c>
      <c r="M244" s="130" t="s">
        <v>21</v>
      </c>
    </row>
    <row r="245" spans="1:13" s="134" customFormat="1" ht="15" customHeight="1" x14ac:dyDescent="0.25">
      <c r="A245" s="122">
        <v>244</v>
      </c>
      <c r="B245" s="122">
        <v>80750</v>
      </c>
      <c r="C245" s="124" t="s">
        <v>719</v>
      </c>
      <c r="D245" s="122" t="s">
        <v>545</v>
      </c>
      <c r="E245" s="150" t="s">
        <v>537</v>
      </c>
      <c r="F245" s="126" t="s">
        <v>527</v>
      </c>
      <c r="G245" s="271" t="s">
        <v>629</v>
      </c>
      <c r="H245" s="123">
        <v>41621</v>
      </c>
      <c r="I245" s="128">
        <v>1</v>
      </c>
      <c r="J245" s="272">
        <v>30429</v>
      </c>
      <c r="K245" s="273">
        <v>30429</v>
      </c>
      <c r="L245" s="270" t="s">
        <v>623</v>
      </c>
      <c r="M245" s="130" t="s">
        <v>21</v>
      </c>
    </row>
    <row r="246" spans="1:13" s="134" customFormat="1" ht="15" customHeight="1" x14ac:dyDescent="0.25">
      <c r="A246" s="122">
        <v>245</v>
      </c>
      <c r="B246" s="122">
        <v>79138</v>
      </c>
      <c r="C246" s="124" t="s">
        <v>2282</v>
      </c>
      <c r="D246" s="122" t="s">
        <v>665</v>
      </c>
      <c r="E246" s="150" t="s">
        <v>537</v>
      </c>
      <c r="F246" s="126" t="s">
        <v>392</v>
      </c>
      <c r="G246" s="271" t="s">
        <v>597</v>
      </c>
      <c r="H246" s="123">
        <v>41617</v>
      </c>
      <c r="I246" s="128">
        <v>1</v>
      </c>
      <c r="J246" s="272">
        <v>30429</v>
      </c>
      <c r="K246" s="273">
        <v>30429</v>
      </c>
      <c r="L246" s="270" t="s">
        <v>623</v>
      </c>
      <c r="M246" s="130" t="s">
        <v>21</v>
      </c>
    </row>
    <row r="247" spans="1:13" s="134" customFormat="1" ht="15" customHeight="1" x14ac:dyDescent="0.25">
      <c r="A247" s="122">
        <v>246</v>
      </c>
      <c r="B247" s="122">
        <v>79073</v>
      </c>
      <c r="C247" s="124" t="s">
        <v>2271</v>
      </c>
      <c r="D247" s="122" t="s">
        <v>545</v>
      </c>
      <c r="E247" s="150" t="s">
        <v>537</v>
      </c>
      <c r="F247" s="126" t="s">
        <v>431</v>
      </c>
      <c r="G247" s="271" t="s">
        <v>629</v>
      </c>
      <c r="H247" s="123">
        <v>41617</v>
      </c>
      <c r="I247" s="128">
        <v>1</v>
      </c>
      <c r="J247" s="272">
        <v>30429</v>
      </c>
      <c r="K247" s="273">
        <v>30429</v>
      </c>
      <c r="L247" s="270" t="s">
        <v>623</v>
      </c>
      <c r="M247" s="130" t="s">
        <v>21</v>
      </c>
    </row>
    <row r="248" spans="1:13" s="134" customFormat="1" ht="15" customHeight="1" x14ac:dyDescent="0.25">
      <c r="A248" s="122">
        <v>247</v>
      </c>
      <c r="B248" s="122">
        <v>78978</v>
      </c>
      <c r="C248" s="124" t="s">
        <v>2283</v>
      </c>
      <c r="D248" s="122" t="s">
        <v>545</v>
      </c>
      <c r="E248" s="150" t="s">
        <v>537</v>
      </c>
      <c r="F248" s="126" t="s">
        <v>511</v>
      </c>
      <c r="G248" s="271" t="s">
        <v>629</v>
      </c>
      <c r="H248" s="123">
        <v>41617</v>
      </c>
      <c r="I248" s="128">
        <v>1</v>
      </c>
      <c r="J248" s="272">
        <v>30429</v>
      </c>
      <c r="K248" s="273">
        <v>30429</v>
      </c>
      <c r="L248" s="270" t="s">
        <v>623</v>
      </c>
      <c r="M248" s="130" t="s">
        <v>21</v>
      </c>
    </row>
    <row r="249" spans="1:13" s="134" customFormat="1" ht="15" customHeight="1" x14ac:dyDescent="0.25">
      <c r="A249" s="122">
        <v>248</v>
      </c>
      <c r="B249" s="122">
        <v>81579</v>
      </c>
      <c r="C249" s="124" t="s">
        <v>2284</v>
      </c>
      <c r="D249" s="122" t="s">
        <v>376</v>
      </c>
      <c r="E249" s="150" t="s">
        <v>537</v>
      </c>
      <c r="F249" s="126" t="s">
        <v>511</v>
      </c>
      <c r="G249" s="271" t="s">
        <v>554</v>
      </c>
      <c r="H249" s="123">
        <v>41625</v>
      </c>
      <c r="I249" s="128">
        <v>1</v>
      </c>
      <c r="J249" s="272">
        <v>30429</v>
      </c>
      <c r="K249" s="273">
        <v>30429</v>
      </c>
      <c r="L249" s="270" t="s">
        <v>623</v>
      </c>
      <c r="M249" s="130" t="s">
        <v>21</v>
      </c>
    </row>
    <row r="250" spans="1:13" s="134" customFormat="1" ht="15" customHeight="1" x14ac:dyDescent="0.25">
      <c r="A250" s="122">
        <v>249</v>
      </c>
      <c r="B250" s="122">
        <v>81889</v>
      </c>
      <c r="C250" s="124" t="s">
        <v>2285</v>
      </c>
      <c r="D250" s="122" t="s">
        <v>545</v>
      </c>
      <c r="E250" s="150" t="s">
        <v>537</v>
      </c>
      <c r="F250" s="126" t="s">
        <v>392</v>
      </c>
      <c r="G250" s="271" t="s">
        <v>629</v>
      </c>
      <c r="H250" s="123">
        <v>41625</v>
      </c>
      <c r="I250" s="128">
        <v>1</v>
      </c>
      <c r="J250" s="272">
        <v>30429</v>
      </c>
      <c r="K250" s="273">
        <v>30429</v>
      </c>
      <c r="L250" s="270" t="s">
        <v>623</v>
      </c>
      <c r="M250" s="130" t="s">
        <v>21</v>
      </c>
    </row>
    <row r="251" spans="1:13" s="134" customFormat="1" ht="15" customHeight="1" x14ac:dyDescent="0.25">
      <c r="A251" s="122">
        <v>250</v>
      </c>
      <c r="B251" s="122">
        <v>82834</v>
      </c>
      <c r="C251" s="124" t="s">
        <v>2266</v>
      </c>
      <c r="D251" s="122" t="s">
        <v>376</v>
      </c>
      <c r="E251" s="150" t="s">
        <v>537</v>
      </c>
      <c r="F251" s="126" t="s">
        <v>419</v>
      </c>
      <c r="G251" s="271" t="s">
        <v>554</v>
      </c>
      <c r="H251" s="123">
        <v>41628</v>
      </c>
      <c r="I251" s="128">
        <v>1</v>
      </c>
      <c r="J251" s="272">
        <v>30429</v>
      </c>
      <c r="K251" s="273">
        <v>30429</v>
      </c>
      <c r="L251" s="270" t="s">
        <v>623</v>
      </c>
      <c r="M251" s="130" t="s">
        <v>21</v>
      </c>
    </row>
    <row r="252" spans="1:13" s="134" customFormat="1" ht="15" customHeight="1" x14ac:dyDescent="0.25">
      <c r="A252" s="122">
        <v>253</v>
      </c>
      <c r="B252" s="122">
        <v>83828</v>
      </c>
      <c r="C252" s="124" t="s">
        <v>2286</v>
      </c>
      <c r="D252" s="122" t="s">
        <v>376</v>
      </c>
      <c r="E252" s="150" t="s">
        <v>537</v>
      </c>
      <c r="F252" s="126" t="s">
        <v>431</v>
      </c>
      <c r="G252" s="271" t="s">
        <v>650</v>
      </c>
      <c r="H252" s="123">
        <v>41632</v>
      </c>
      <c r="I252" s="128">
        <v>1</v>
      </c>
      <c r="J252" s="272">
        <v>30429</v>
      </c>
      <c r="K252" s="273">
        <v>30429</v>
      </c>
      <c r="L252" s="270" t="s">
        <v>623</v>
      </c>
      <c r="M252" s="130" t="s">
        <v>21</v>
      </c>
    </row>
    <row r="253" spans="1:13" s="134" customFormat="1" ht="15" customHeight="1" x14ac:dyDescent="0.25">
      <c r="A253" s="122">
        <v>254</v>
      </c>
      <c r="B253" s="122">
        <v>83730</v>
      </c>
      <c r="C253" s="124" t="s">
        <v>2287</v>
      </c>
      <c r="D253" s="122" t="s">
        <v>545</v>
      </c>
      <c r="E253" s="150" t="s">
        <v>537</v>
      </c>
      <c r="F253" s="126" t="s">
        <v>511</v>
      </c>
      <c r="G253" s="271" t="s">
        <v>658</v>
      </c>
      <c r="H253" s="123">
        <v>41631</v>
      </c>
      <c r="I253" s="128">
        <v>1</v>
      </c>
      <c r="J253" s="272">
        <v>30429</v>
      </c>
      <c r="K253" s="273">
        <v>30429</v>
      </c>
      <c r="L253" s="270" t="s">
        <v>623</v>
      </c>
      <c r="M253" s="130" t="s">
        <v>21</v>
      </c>
    </row>
    <row r="254" spans="1:13" s="134" customFormat="1" ht="15" customHeight="1" x14ac:dyDescent="0.25">
      <c r="A254" s="122">
        <v>255</v>
      </c>
      <c r="B254" s="122">
        <v>85139</v>
      </c>
      <c r="C254" s="124" t="s">
        <v>2288</v>
      </c>
      <c r="D254" s="122" t="s">
        <v>545</v>
      </c>
      <c r="E254" s="150" t="s">
        <v>537</v>
      </c>
      <c r="F254" s="126" t="s">
        <v>527</v>
      </c>
      <c r="G254" s="271" t="s">
        <v>629</v>
      </c>
      <c r="H254" s="123">
        <v>41638</v>
      </c>
      <c r="I254" s="128">
        <v>1</v>
      </c>
      <c r="J254" s="272">
        <v>30429</v>
      </c>
      <c r="K254" s="273">
        <v>30429</v>
      </c>
      <c r="L254" s="270" t="s">
        <v>623</v>
      </c>
      <c r="M254" s="130" t="s">
        <v>21</v>
      </c>
    </row>
    <row r="255" spans="1:13" s="134" customFormat="1" ht="15" customHeight="1" x14ac:dyDescent="0.25">
      <c r="A255" s="122">
        <v>256</v>
      </c>
      <c r="B255" s="122">
        <v>76659</v>
      </c>
      <c r="C255" s="124" t="s">
        <v>2289</v>
      </c>
      <c r="D255" s="122" t="s">
        <v>376</v>
      </c>
      <c r="E255" s="150" t="s">
        <v>115</v>
      </c>
      <c r="F255" s="126" t="s">
        <v>472</v>
      </c>
      <c r="G255" s="271" t="s">
        <v>2221</v>
      </c>
      <c r="H255" s="123">
        <v>41610</v>
      </c>
      <c r="I255" s="128">
        <v>1</v>
      </c>
      <c r="J255" s="272">
        <v>33370</v>
      </c>
      <c r="K255" s="273">
        <v>33370</v>
      </c>
      <c r="L255" s="270" t="s">
        <v>623</v>
      </c>
      <c r="M255" s="130" t="s">
        <v>21</v>
      </c>
    </row>
    <row r="256" spans="1:13" s="134" customFormat="1" ht="15" customHeight="1" x14ac:dyDescent="0.25">
      <c r="A256" s="122">
        <v>257</v>
      </c>
      <c r="B256" s="122">
        <v>76740</v>
      </c>
      <c r="C256" s="124" t="s">
        <v>2290</v>
      </c>
      <c r="D256" s="122" t="s">
        <v>376</v>
      </c>
      <c r="E256" s="150" t="s">
        <v>115</v>
      </c>
      <c r="F256" s="126" t="s">
        <v>407</v>
      </c>
      <c r="G256" s="271" t="s">
        <v>563</v>
      </c>
      <c r="H256" s="123">
        <v>41610</v>
      </c>
      <c r="I256" s="128">
        <v>1</v>
      </c>
      <c r="J256" s="272">
        <v>33370</v>
      </c>
      <c r="K256" s="273">
        <v>33370</v>
      </c>
      <c r="L256" s="270" t="s">
        <v>623</v>
      </c>
      <c r="M256" s="130" t="s">
        <v>21</v>
      </c>
    </row>
    <row r="257" spans="1:13" s="134" customFormat="1" ht="15" customHeight="1" x14ac:dyDescent="0.25">
      <c r="A257" s="122">
        <v>258</v>
      </c>
      <c r="B257" s="122">
        <v>76778</v>
      </c>
      <c r="C257" s="124" t="s">
        <v>2102</v>
      </c>
      <c r="D257" s="122" t="s">
        <v>545</v>
      </c>
      <c r="E257" s="150" t="s">
        <v>115</v>
      </c>
      <c r="F257" s="126" t="s">
        <v>472</v>
      </c>
      <c r="G257" s="271"/>
      <c r="H257" s="123">
        <v>41610</v>
      </c>
      <c r="I257" s="128">
        <v>1</v>
      </c>
      <c r="J257" s="272">
        <v>33370</v>
      </c>
      <c r="K257" s="273">
        <v>33370</v>
      </c>
      <c r="L257" s="270" t="s">
        <v>623</v>
      </c>
      <c r="M257" s="130" t="s">
        <v>21</v>
      </c>
    </row>
    <row r="258" spans="1:13" s="134" customFormat="1" ht="15" customHeight="1" x14ac:dyDescent="0.25">
      <c r="A258" s="122">
        <v>259</v>
      </c>
      <c r="B258" s="122">
        <v>77746</v>
      </c>
      <c r="C258" s="124" t="s">
        <v>2253</v>
      </c>
      <c r="D258" s="122" t="s">
        <v>545</v>
      </c>
      <c r="E258" s="150" t="s">
        <v>115</v>
      </c>
      <c r="F258" s="126" t="s">
        <v>392</v>
      </c>
      <c r="G258" s="271" t="s">
        <v>629</v>
      </c>
      <c r="H258" s="123">
        <v>41612</v>
      </c>
      <c r="I258" s="128">
        <v>1</v>
      </c>
      <c r="J258" s="272">
        <v>33370</v>
      </c>
      <c r="K258" s="273">
        <v>33370</v>
      </c>
      <c r="L258" s="270" t="s">
        <v>623</v>
      </c>
      <c r="M258" s="130" t="s">
        <v>21</v>
      </c>
    </row>
    <row r="259" spans="1:13" s="134" customFormat="1" ht="15" customHeight="1" x14ac:dyDescent="0.25">
      <c r="A259" s="122">
        <v>260</v>
      </c>
      <c r="B259" s="122">
        <v>77868</v>
      </c>
      <c r="C259" s="124" t="s">
        <v>2227</v>
      </c>
      <c r="D259" s="122" t="s">
        <v>545</v>
      </c>
      <c r="E259" s="150" t="s">
        <v>115</v>
      </c>
      <c r="F259" s="126" t="s">
        <v>407</v>
      </c>
      <c r="G259" s="271" t="s">
        <v>658</v>
      </c>
      <c r="H259" s="123">
        <v>41612</v>
      </c>
      <c r="I259" s="128">
        <v>1</v>
      </c>
      <c r="J259" s="272">
        <v>33370</v>
      </c>
      <c r="K259" s="273">
        <v>33370</v>
      </c>
      <c r="L259" s="270" t="s">
        <v>623</v>
      </c>
      <c r="M259" s="130" t="s">
        <v>21</v>
      </c>
    </row>
    <row r="260" spans="1:13" s="134" customFormat="1" ht="15" customHeight="1" x14ac:dyDescent="0.25">
      <c r="A260" s="122">
        <v>261</v>
      </c>
      <c r="B260" s="122">
        <v>78524</v>
      </c>
      <c r="C260" s="124" t="s">
        <v>2291</v>
      </c>
      <c r="D260" s="122" t="s">
        <v>376</v>
      </c>
      <c r="E260" s="150" t="s">
        <v>217</v>
      </c>
      <c r="F260" s="126" t="s">
        <v>371</v>
      </c>
      <c r="G260" s="271" t="s">
        <v>703</v>
      </c>
      <c r="H260" s="123">
        <v>41614</v>
      </c>
      <c r="I260" s="128">
        <v>1</v>
      </c>
      <c r="J260" s="272">
        <v>33370</v>
      </c>
      <c r="K260" s="273">
        <v>33370</v>
      </c>
      <c r="L260" s="270" t="s">
        <v>623</v>
      </c>
      <c r="M260" s="130" t="s">
        <v>21</v>
      </c>
    </row>
    <row r="261" spans="1:13" s="134" customFormat="1" ht="15" customHeight="1" x14ac:dyDescent="0.25">
      <c r="A261" s="122">
        <v>262</v>
      </c>
      <c r="B261" s="122">
        <v>81104</v>
      </c>
      <c r="C261" s="124" t="s">
        <v>2258</v>
      </c>
      <c r="D261" s="122" t="s">
        <v>545</v>
      </c>
      <c r="E261" s="150" t="s">
        <v>115</v>
      </c>
      <c r="F261" s="126" t="s">
        <v>511</v>
      </c>
      <c r="G261" s="271" t="s">
        <v>629</v>
      </c>
      <c r="H261" s="123">
        <v>41624</v>
      </c>
      <c r="I261" s="128">
        <v>1</v>
      </c>
      <c r="J261" s="272">
        <v>33370</v>
      </c>
      <c r="K261" s="273">
        <v>33370</v>
      </c>
      <c r="L261" s="270" t="s">
        <v>623</v>
      </c>
      <c r="M261" s="130" t="s">
        <v>21</v>
      </c>
    </row>
    <row r="262" spans="1:13" s="134" customFormat="1" ht="15" customHeight="1" x14ac:dyDescent="0.25">
      <c r="A262" s="122">
        <v>263</v>
      </c>
      <c r="B262" s="122">
        <v>79212</v>
      </c>
      <c r="C262" s="124" t="s">
        <v>2259</v>
      </c>
      <c r="D262" s="122" t="s">
        <v>545</v>
      </c>
      <c r="E262" s="150" t="s">
        <v>115</v>
      </c>
      <c r="F262" s="126" t="s">
        <v>472</v>
      </c>
      <c r="G262" s="271" t="s">
        <v>629</v>
      </c>
      <c r="H262" s="123">
        <v>41617</v>
      </c>
      <c r="I262" s="128">
        <v>1</v>
      </c>
      <c r="J262" s="272">
        <v>33370</v>
      </c>
      <c r="K262" s="273">
        <v>33370</v>
      </c>
      <c r="L262" s="270" t="s">
        <v>623</v>
      </c>
      <c r="M262" s="130" t="s">
        <v>21</v>
      </c>
    </row>
    <row r="263" spans="1:13" s="134" customFormat="1" ht="15" customHeight="1" x14ac:dyDescent="0.25">
      <c r="A263" s="122">
        <v>264</v>
      </c>
      <c r="B263" s="122">
        <v>79074</v>
      </c>
      <c r="C263" s="124" t="s">
        <v>2292</v>
      </c>
      <c r="D263" s="122" t="s">
        <v>545</v>
      </c>
      <c r="E263" s="150" t="s">
        <v>115</v>
      </c>
      <c r="F263" s="126" t="s">
        <v>530</v>
      </c>
      <c r="G263" s="271" t="s">
        <v>629</v>
      </c>
      <c r="H263" s="123">
        <v>41617</v>
      </c>
      <c r="I263" s="128">
        <v>1</v>
      </c>
      <c r="J263" s="272">
        <v>33370</v>
      </c>
      <c r="K263" s="273">
        <v>33370</v>
      </c>
      <c r="L263" s="270" t="s">
        <v>623</v>
      </c>
      <c r="M263" s="130" t="s">
        <v>21</v>
      </c>
    </row>
    <row r="264" spans="1:13" s="134" customFormat="1" ht="15" customHeight="1" x14ac:dyDescent="0.25">
      <c r="A264" s="122">
        <v>265</v>
      </c>
      <c r="B264" s="122">
        <v>81525</v>
      </c>
      <c r="C264" s="124" t="s">
        <v>2230</v>
      </c>
      <c r="D264" s="122" t="s">
        <v>665</v>
      </c>
      <c r="E264" s="150" t="s">
        <v>115</v>
      </c>
      <c r="F264" s="126" t="s">
        <v>445</v>
      </c>
      <c r="G264" s="271" t="s">
        <v>658</v>
      </c>
      <c r="H264" s="123">
        <v>41625</v>
      </c>
      <c r="I264" s="128">
        <v>1</v>
      </c>
      <c r="J264" s="272">
        <v>33370</v>
      </c>
      <c r="K264" s="273">
        <v>33370</v>
      </c>
      <c r="L264" s="270" t="s">
        <v>623</v>
      </c>
      <c r="M264" s="130" t="s">
        <v>21</v>
      </c>
    </row>
    <row r="265" spans="1:13" s="134" customFormat="1" ht="15" customHeight="1" x14ac:dyDescent="0.25">
      <c r="A265" s="122">
        <v>266</v>
      </c>
      <c r="B265" s="122">
        <v>83398</v>
      </c>
      <c r="C265" s="124" t="s">
        <v>2267</v>
      </c>
      <c r="D265" s="122" t="s">
        <v>545</v>
      </c>
      <c r="E265" s="150" t="s">
        <v>115</v>
      </c>
      <c r="F265" s="126" t="s">
        <v>417</v>
      </c>
      <c r="G265" s="271" t="s">
        <v>563</v>
      </c>
      <c r="H265" s="123">
        <v>41628</v>
      </c>
      <c r="I265" s="128">
        <v>1</v>
      </c>
      <c r="J265" s="272">
        <v>33370</v>
      </c>
      <c r="K265" s="273">
        <v>33370</v>
      </c>
      <c r="L265" s="270" t="s">
        <v>623</v>
      </c>
      <c r="M265" s="130" t="s">
        <v>21</v>
      </c>
    </row>
    <row r="266" spans="1:13" s="134" customFormat="1" ht="15" customHeight="1" x14ac:dyDescent="0.25">
      <c r="A266" s="122">
        <v>267</v>
      </c>
      <c r="B266" s="122">
        <v>84369</v>
      </c>
      <c r="C266" s="124" t="s">
        <v>2264</v>
      </c>
      <c r="D266" s="122" t="s">
        <v>545</v>
      </c>
      <c r="E266" s="150" t="s">
        <v>115</v>
      </c>
      <c r="F266" s="126" t="s">
        <v>392</v>
      </c>
      <c r="G266" s="271" t="s">
        <v>629</v>
      </c>
      <c r="H266" s="123">
        <v>41634</v>
      </c>
      <c r="I266" s="128">
        <v>1</v>
      </c>
      <c r="J266" s="272">
        <v>33370</v>
      </c>
      <c r="K266" s="273">
        <v>33370</v>
      </c>
      <c r="L266" s="270" t="s">
        <v>623</v>
      </c>
      <c r="M266" s="130" t="s">
        <v>21</v>
      </c>
    </row>
    <row r="267" spans="1:13" s="134" customFormat="1" ht="15" customHeight="1" x14ac:dyDescent="0.25">
      <c r="A267" s="122">
        <v>268</v>
      </c>
      <c r="B267" s="122">
        <v>84385</v>
      </c>
      <c r="C267" s="124" t="s">
        <v>707</v>
      </c>
      <c r="D267" s="122" t="s">
        <v>545</v>
      </c>
      <c r="E267" s="150" t="s">
        <v>115</v>
      </c>
      <c r="F267" s="126" t="s">
        <v>392</v>
      </c>
      <c r="G267" s="271" t="s">
        <v>642</v>
      </c>
      <c r="H267" s="123">
        <v>41634</v>
      </c>
      <c r="I267" s="128">
        <v>1</v>
      </c>
      <c r="J267" s="272">
        <v>33370</v>
      </c>
      <c r="K267" s="273">
        <v>33370</v>
      </c>
      <c r="L267" s="270" t="s">
        <v>623</v>
      </c>
      <c r="M267" s="130" t="s">
        <v>21</v>
      </c>
    </row>
    <row r="268" spans="1:13" s="134" customFormat="1" ht="15" customHeight="1" x14ac:dyDescent="0.25">
      <c r="A268" s="122">
        <v>269</v>
      </c>
      <c r="B268" s="122">
        <v>84540</v>
      </c>
      <c r="C268" s="124" t="s">
        <v>2257</v>
      </c>
      <c r="D268" s="122" t="s">
        <v>376</v>
      </c>
      <c r="E268" s="150" t="s">
        <v>115</v>
      </c>
      <c r="F268" s="126" t="s">
        <v>527</v>
      </c>
      <c r="G268" s="271" t="s">
        <v>735</v>
      </c>
      <c r="H268" s="123">
        <v>41634</v>
      </c>
      <c r="I268" s="128">
        <v>1</v>
      </c>
      <c r="J268" s="272">
        <v>33370</v>
      </c>
      <c r="K268" s="273">
        <v>33370</v>
      </c>
      <c r="L268" s="270" t="s">
        <v>623</v>
      </c>
      <c r="M268" s="130" t="s">
        <v>21</v>
      </c>
    </row>
    <row r="269" spans="1:13" s="134" customFormat="1" ht="15" customHeight="1" x14ac:dyDescent="0.25">
      <c r="A269" s="122">
        <v>270</v>
      </c>
      <c r="B269" s="122">
        <v>77999</v>
      </c>
      <c r="C269" s="124" t="s">
        <v>2113</v>
      </c>
      <c r="D269" s="122" t="s">
        <v>724</v>
      </c>
      <c r="E269" s="150" t="s">
        <v>217</v>
      </c>
      <c r="F269" s="126" t="s">
        <v>371</v>
      </c>
      <c r="G269" s="271" t="s">
        <v>1903</v>
      </c>
      <c r="H269" s="123">
        <v>41613</v>
      </c>
      <c r="I269" s="128">
        <v>1</v>
      </c>
      <c r="J269" s="272">
        <v>44597</v>
      </c>
      <c r="K269" s="273">
        <v>44597</v>
      </c>
      <c r="L269" s="270" t="s">
        <v>623</v>
      </c>
      <c r="M269" s="130" t="s">
        <v>21</v>
      </c>
    </row>
    <row r="270" spans="1:13" s="134" customFormat="1" ht="15" customHeight="1" x14ac:dyDescent="0.25">
      <c r="A270" s="122">
        <v>271</v>
      </c>
      <c r="B270" s="122">
        <v>79707</v>
      </c>
      <c r="C270" s="124" t="s">
        <v>671</v>
      </c>
      <c r="D270" s="122" t="s">
        <v>478</v>
      </c>
      <c r="E270" s="150" t="s">
        <v>217</v>
      </c>
      <c r="F270" s="126" t="s">
        <v>371</v>
      </c>
      <c r="G270" s="271" t="s">
        <v>489</v>
      </c>
      <c r="H270" s="123">
        <v>41618</v>
      </c>
      <c r="I270" s="128">
        <v>1</v>
      </c>
      <c r="J270" s="272">
        <v>44597</v>
      </c>
      <c r="K270" s="273">
        <v>44597</v>
      </c>
      <c r="L270" s="270" t="s">
        <v>623</v>
      </c>
      <c r="M270" s="130" t="s">
        <v>21</v>
      </c>
    </row>
    <row r="271" spans="1:13" s="134" customFormat="1" ht="15" customHeight="1" x14ac:dyDescent="0.25">
      <c r="A271" s="122">
        <v>272</v>
      </c>
      <c r="B271" s="122">
        <v>78877</v>
      </c>
      <c r="C271" s="124" t="s">
        <v>2293</v>
      </c>
      <c r="D271" s="122" t="s">
        <v>665</v>
      </c>
      <c r="E271" s="150" t="s">
        <v>217</v>
      </c>
      <c r="F271" s="126" t="s">
        <v>371</v>
      </c>
      <c r="G271" s="271" t="s">
        <v>489</v>
      </c>
      <c r="H271" s="123">
        <v>41617</v>
      </c>
      <c r="I271" s="128">
        <v>1</v>
      </c>
      <c r="J271" s="272">
        <v>44597</v>
      </c>
      <c r="K271" s="273">
        <v>44597</v>
      </c>
      <c r="L271" s="270" t="s">
        <v>623</v>
      </c>
      <c r="M271" s="130" t="s">
        <v>21</v>
      </c>
    </row>
    <row r="272" spans="1:13" s="134" customFormat="1" ht="15" customHeight="1" x14ac:dyDescent="0.25">
      <c r="A272" s="122">
        <v>273</v>
      </c>
      <c r="B272" s="122">
        <v>78771</v>
      </c>
      <c r="C272" s="124" t="s">
        <v>2294</v>
      </c>
      <c r="D272" s="122" t="s">
        <v>665</v>
      </c>
      <c r="E272" s="150" t="s">
        <v>217</v>
      </c>
      <c r="F272" s="126" t="s">
        <v>371</v>
      </c>
      <c r="G272" s="271" t="s">
        <v>489</v>
      </c>
      <c r="H272" s="123">
        <v>41618</v>
      </c>
      <c r="I272" s="128">
        <v>1</v>
      </c>
      <c r="J272" s="272">
        <v>44597</v>
      </c>
      <c r="K272" s="273">
        <v>44597</v>
      </c>
      <c r="L272" s="270" t="s">
        <v>623</v>
      </c>
      <c r="M272" s="130" t="s">
        <v>21</v>
      </c>
    </row>
    <row r="273" spans="1:13" s="134" customFormat="1" ht="15" customHeight="1" x14ac:dyDescent="0.25">
      <c r="A273" s="122">
        <v>274</v>
      </c>
      <c r="B273" s="122">
        <v>82403</v>
      </c>
      <c r="C273" s="124" t="s">
        <v>2295</v>
      </c>
      <c r="D273" s="122" t="s">
        <v>478</v>
      </c>
      <c r="E273" s="150" t="s">
        <v>217</v>
      </c>
      <c r="F273" s="126" t="s">
        <v>371</v>
      </c>
      <c r="G273" s="271" t="s">
        <v>489</v>
      </c>
      <c r="H273" s="123">
        <v>41627</v>
      </c>
      <c r="I273" s="128">
        <v>1</v>
      </c>
      <c r="J273" s="272">
        <v>44597</v>
      </c>
      <c r="K273" s="273">
        <v>44597</v>
      </c>
      <c r="L273" s="270" t="s">
        <v>623</v>
      </c>
      <c r="M273" s="130" t="s">
        <v>21</v>
      </c>
    </row>
    <row r="274" spans="1:13" s="134" customFormat="1" ht="15" customHeight="1" x14ac:dyDescent="0.25">
      <c r="A274" s="122">
        <v>275</v>
      </c>
      <c r="B274" s="122">
        <v>82056</v>
      </c>
      <c r="C274" s="124" t="s">
        <v>753</v>
      </c>
      <c r="D274" s="122" t="s">
        <v>478</v>
      </c>
      <c r="E274" s="150" t="s">
        <v>217</v>
      </c>
      <c r="F274" s="126" t="s">
        <v>369</v>
      </c>
      <c r="G274" s="271" t="s">
        <v>489</v>
      </c>
      <c r="H274" s="123">
        <v>41625</v>
      </c>
      <c r="I274" s="128">
        <v>1</v>
      </c>
      <c r="J274" s="272">
        <v>44597</v>
      </c>
      <c r="K274" s="273">
        <v>44597</v>
      </c>
      <c r="L274" s="270" t="s">
        <v>623</v>
      </c>
      <c r="M274" s="130" t="s">
        <v>21</v>
      </c>
    </row>
    <row r="275" spans="1:13" s="134" customFormat="1" ht="15" customHeight="1" x14ac:dyDescent="0.25">
      <c r="A275" s="122">
        <v>276</v>
      </c>
      <c r="B275" s="122">
        <v>84038</v>
      </c>
      <c r="C275" s="124" t="s">
        <v>2227</v>
      </c>
      <c r="D275" s="122" t="s">
        <v>545</v>
      </c>
      <c r="E275" s="150" t="s">
        <v>217</v>
      </c>
      <c r="F275" s="126" t="s">
        <v>369</v>
      </c>
      <c r="G275" s="271" t="s">
        <v>703</v>
      </c>
      <c r="H275" s="123">
        <v>41634</v>
      </c>
      <c r="I275" s="128">
        <v>1</v>
      </c>
      <c r="J275" s="272">
        <v>44597</v>
      </c>
      <c r="K275" s="273">
        <v>44597</v>
      </c>
      <c r="L275" s="270" t="s">
        <v>623</v>
      </c>
      <c r="M275" s="130" t="s">
        <v>21</v>
      </c>
    </row>
    <row r="276" spans="1:13" s="134" customFormat="1" ht="15" customHeight="1" x14ac:dyDescent="0.25">
      <c r="A276" s="122">
        <v>277</v>
      </c>
      <c r="B276" s="122">
        <v>77433</v>
      </c>
      <c r="C276" s="124" t="s">
        <v>2260</v>
      </c>
      <c r="D276" s="122" t="s">
        <v>545</v>
      </c>
      <c r="E276" s="150" t="s">
        <v>577</v>
      </c>
      <c r="F276" s="126" t="s">
        <v>415</v>
      </c>
      <c r="G276" s="271" t="s">
        <v>554</v>
      </c>
      <c r="H276" s="123">
        <v>41611</v>
      </c>
      <c r="I276" s="128">
        <v>1</v>
      </c>
      <c r="J276" s="272">
        <v>49701</v>
      </c>
      <c r="K276" s="273">
        <v>49701</v>
      </c>
      <c r="L276" s="270" t="s">
        <v>623</v>
      </c>
      <c r="M276" s="130" t="s">
        <v>21</v>
      </c>
    </row>
    <row r="277" spans="1:13" s="134" customFormat="1" ht="15" customHeight="1" x14ac:dyDescent="0.25">
      <c r="A277" s="122">
        <v>278</v>
      </c>
      <c r="B277" s="122">
        <v>81556</v>
      </c>
      <c r="C277" s="124" t="s">
        <v>2260</v>
      </c>
      <c r="D277" s="122" t="s">
        <v>545</v>
      </c>
      <c r="E277" s="150" t="s">
        <v>192</v>
      </c>
      <c r="F277" s="126" t="s">
        <v>442</v>
      </c>
      <c r="G277" s="271" t="s">
        <v>629</v>
      </c>
      <c r="H277" s="123">
        <v>41625</v>
      </c>
      <c r="I277" s="128">
        <v>1</v>
      </c>
      <c r="J277" s="272">
        <v>57960</v>
      </c>
      <c r="K277" s="273">
        <v>57960</v>
      </c>
      <c r="L277" s="270" t="s">
        <v>623</v>
      </c>
      <c r="M277" s="130" t="s">
        <v>21</v>
      </c>
    </row>
    <row r="278" spans="1:13" s="134" customFormat="1" ht="15" customHeight="1" x14ac:dyDescent="0.25">
      <c r="A278" s="122">
        <v>279</v>
      </c>
      <c r="B278" s="122">
        <v>84385</v>
      </c>
      <c r="C278" s="124" t="s">
        <v>707</v>
      </c>
      <c r="D278" s="122" t="s">
        <v>545</v>
      </c>
      <c r="E278" s="150" t="s">
        <v>192</v>
      </c>
      <c r="F278" s="126" t="s">
        <v>534</v>
      </c>
      <c r="G278" s="271" t="s">
        <v>737</v>
      </c>
      <c r="H278" s="123">
        <v>41634</v>
      </c>
      <c r="I278" s="128">
        <v>1</v>
      </c>
      <c r="J278" s="272">
        <v>57960</v>
      </c>
      <c r="K278" s="273">
        <v>57960</v>
      </c>
      <c r="L278" s="270" t="s">
        <v>623</v>
      </c>
      <c r="M278" s="130" t="s">
        <v>21</v>
      </c>
    </row>
    <row r="279" spans="1:13" s="134" customFormat="1" ht="15" customHeight="1" x14ac:dyDescent="0.25">
      <c r="A279" s="122">
        <v>280</v>
      </c>
      <c r="B279" s="122">
        <v>84057</v>
      </c>
      <c r="C279" s="124" t="s">
        <v>2261</v>
      </c>
      <c r="D279" s="122" t="s">
        <v>545</v>
      </c>
      <c r="E279" s="150" t="s">
        <v>192</v>
      </c>
      <c r="F279" s="126" t="s">
        <v>404</v>
      </c>
      <c r="G279" s="271" t="s">
        <v>563</v>
      </c>
      <c r="H279" s="123">
        <v>41634</v>
      </c>
      <c r="I279" s="128">
        <v>1</v>
      </c>
      <c r="J279" s="272">
        <v>57960</v>
      </c>
      <c r="K279" s="273">
        <v>57960</v>
      </c>
      <c r="L279" s="270" t="s">
        <v>623</v>
      </c>
      <c r="M279" s="130" t="s">
        <v>21</v>
      </c>
    </row>
    <row r="280" spans="1:13" s="134" customFormat="1" ht="15" customHeight="1" x14ac:dyDescent="0.25">
      <c r="A280" s="122">
        <v>281</v>
      </c>
      <c r="B280" s="122">
        <v>72932</v>
      </c>
      <c r="C280" s="124" t="s">
        <v>2296</v>
      </c>
      <c r="D280" s="122" t="s">
        <v>545</v>
      </c>
      <c r="E280" s="150" t="s">
        <v>537</v>
      </c>
      <c r="F280" s="126" t="s">
        <v>2297</v>
      </c>
      <c r="G280" s="271" t="s">
        <v>629</v>
      </c>
      <c r="H280" s="123">
        <v>41598</v>
      </c>
      <c r="I280" s="128">
        <v>2</v>
      </c>
      <c r="J280" s="272">
        <v>30429</v>
      </c>
      <c r="K280" s="273">
        <v>60858</v>
      </c>
      <c r="L280" s="270" t="s">
        <v>623</v>
      </c>
      <c r="M280" s="130" t="s">
        <v>21</v>
      </c>
    </row>
    <row r="281" spans="1:13" s="134" customFormat="1" ht="15" customHeight="1" x14ac:dyDescent="0.25">
      <c r="A281" s="122">
        <v>282</v>
      </c>
      <c r="B281" s="122">
        <v>77771</v>
      </c>
      <c r="C281" s="124" t="s">
        <v>2186</v>
      </c>
      <c r="D281" s="122" t="s">
        <v>545</v>
      </c>
      <c r="E281" s="150" t="s">
        <v>537</v>
      </c>
      <c r="F281" s="126" t="s">
        <v>2298</v>
      </c>
      <c r="G281" s="271" t="s">
        <v>563</v>
      </c>
      <c r="H281" s="123">
        <v>41612</v>
      </c>
      <c r="I281" s="128">
        <v>2</v>
      </c>
      <c r="J281" s="272">
        <v>30429</v>
      </c>
      <c r="K281" s="273">
        <v>60858</v>
      </c>
      <c r="L281" s="270" t="s">
        <v>623</v>
      </c>
      <c r="M281" s="130" t="s">
        <v>21</v>
      </c>
    </row>
    <row r="282" spans="1:13" s="134" customFormat="1" ht="15" customHeight="1" x14ac:dyDescent="0.25">
      <c r="A282" s="122">
        <v>284</v>
      </c>
      <c r="B282" s="122">
        <v>81813</v>
      </c>
      <c r="C282" s="124" t="s">
        <v>2299</v>
      </c>
      <c r="D282" s="122" t="s">
        <v>545</v>
      </c>
      <c r="E282" s="150" t="s">
        <v>217</v>
      </c>
      <c r="F282" s="126" t="s">
        <v>485</v>
      </c>
      <c r="G282" s="271" t="s">
        <v>743</v>
      </c>
      <c r="H282" s="123">
        <v>41625</v>
      </c>
      <c r="I282" s="128">
        <v>2</v>
      </c>
      <c r="J282" s="272">
        <v>44597</v>
      </c>
      <c r="K282" s="273">
        <v>89194</v>
      </c>
      <c r="L282" s="270" t="s">
        <v>623</v>
      </c>
      <c r="M282" s="130" t="s">
        <v>21</v>
      </c>
    </row>
    <row r="283" spans="1:13" s="134" customFormat="1" ht="15" customHeight="1" x14ac:dyDescent="0.25">
      <c r="A283" s="122">
        <v>285</v>
      </c>
      <c r="B283" s="122">
        <v>64980</v>
      </c>
      <c r="C283" s="124" t="s">
        <v>2113</v>
      </c>
      <c r="D283" s="122" t="s">
        <v>724</v>
      </c>
      <c r="E283" s="150" t="s">
        <v>115</v>
      </c>
      <c r="F283" s="126" t="s">
        <v>2114</v>
      </c>
      <c r="G283" s="271" t="s">
        <v>642</v>
      </c>
      <c r="H283" s="123">
        <v>41568</v>
      </c>
      <c r="I283" s="128">
        <v>5</v>
      </c>
      <c r="J283" s="272">
        <v>33370</v>
      </c>
      <c r="K283" s="273">
        <v>166850</v>
      </c>
      <c r="L283" s="270" t="s">
        <v>623</v>
      </c>
      <c r="M283" s="130" t="s">
        <v>21</v>
      </c>
    </row>
    <row r="284" spans="1:13" s="221" customFormat="1" x14ac:dyDescent="0.2">
      <c r="M284" s="302"/>
    </row>
    <row r="285" spans="1:13" x14ac:dyDescent="0.25">
      <c r="A285" s="303"/>
      <c r="B285" s="304"/>
      <c r="C285" s="305"/>
      <c r="D285" s="304"/>
      <c r="E285" s="306" t="s">
        <v>2300</v>
      </c>
      <c r="F285" s="307">
        <v>3624379</v>
      </c>
      <c r="G285" s="308"/>
      <c r="I285" s="654" t="s">
        <v>2060</v>
      </c>
      <c r="J285" s="654"/>
      <c r="K285" s="309">
        <v>9538010</v>
      </c>
      <c r="L285" s="310"/>
      <c r="M285" s="311" t="s">
        <v>2301</v>
      </c>
    </row>
    <row r="286" spans="1:13" x14ac:dyDescent="0.25">
      <c r="A286" s="303"/>
      <c r="B286" s="304"/>
      <c r="C286" s="305"/>
      <c r="D286" s="304"/>
      <c r="E286" s="306" t="s">
        <v>2302</v>
      </c>
      <c r="F286" s="312">
        <v>472981.4595</v>
      </c>
      <c r="G286" s="308"/>
      <c r="I286" s="655" t="s">
        <v>2303</v>
      </c>
      <c r="J286" s="655"/>
      <c r="K286" s="313">
        <v>2126155</v>
      </c>
      <c r="L286" s="314"/>
      <c r="M286" s="315"/>
    </row>
    <row r="287" spans="1:13" x14ac:dyDescent="0.25">
      <c r="L287" s="217"/>
    </row>
    <row r="288" spans="1:13" x14ac:dyDescent="0.25">
      <c r="L288" s="217"/>
    </row>
    <row r="289" spans="1:13" ht="39" customHeight="1" x14ac:dyDescent="0.25">
      <c r="A289" s="652" t="s">
        <v>2304</v>
      </c>
      <c r="B289" s="652"/>
      <c r="C289" s="652"/>
      <c r="D289" s="652"/>
      <c r="E289" s="652"/>
      <c r="F289" s="652"/>
      <c r="G289" s="652"/>
      <c r="H289" s="652"/>
      <c r="I289" s="652"/>
      <c r="J289" s="652"/>
      <c r="K289" s="652"/>
      <c r="L289" s="652"/>
      <c r="M289" s="652"/>
    </row>
    <row r="290" spans="1:13" ht="28.5" customHeight="1" x14ac:dyDescent="0.25">
      <c r="A290" s="317" t="s">
        <v>2051</v>
      </c>
      <c r="B290" s="317" t="s">
        <v>97</v>
      </c>
      <c r="C290" s="317" t="s">
        <v>2052</v>
      </c>
      <c r="D290" s="317" t="s">
        <v>2053</v>
      </c>
      <c r="E290" s="317" t="s">
        <v>2054</v>
      </c>
      <c r="F290" s="317" t="s">
        <v>2055</v>
      </c>
      <c r="G290" s="317" t="s">
        <v>2056</v>
      </c>
      <c r="H290" s="318" t="s">
        <v>2057</v>
      </c>
      <c r="I290" s="317" t="s">
        <v>2058</v>
      </c>
      <c r="J290" s="317" t="s">
        <v>2059</v>
      </c>
      <c r="K290" s="317" t="s">
        <v>2060</v>
      </c>
      <c r="L290" s="317" t="s">
        <v>2061</v>
      </c>
      <c r="M290" s="317" t="s">
        <v>2305</v>
      </c>
    </row>
    <row r="291" spans="1:13" ht="18.75" customHeight="1" x14ac:dyDescent="0.25">
      <c r="A291" s="319">
        <v>1</v>
      </c>
      <c r="B291" s="319">
        <v>55041</v>
      </c>
      <c r="C291" s="320" t="s">
        <v>2306</v>
      </c>
      <c r="D291" s="319" t="s">
        <v>2307</v>
      </c>
      <c r="E291" s="320" t="s">
        <v>580</v>
      </c>
      <c r="F291" s="321" t="s">
        <v>371</v>
      </c>
      <c r="G291" s="321"/>
      <c r="H291" s="322">
        <v>41526</v>
      </c>
      <c r="I291" s="319">
        <v>1</v>
      </c>
      <c r="J291" s="323">
        <v>25800</v>
      </c>
      <c r="K291" s="323" t="s">
        <v>2308</v>
      </c>
      <c r="L291" s="324"/>
      <c r="M291" s="325" t="s">
        <v>34</v>
      </c>
    </row>
    <row r="292" spans="1:13" s="227" customFormat="1" ht="20.100000000000001" customHeight="1" x14ac:dyDescent="0.25">
      <c r="A292" s="135">
        <v>2</v>
      </c>
      <c r="B292" s="135">
        <v>44355</v>
      </c>
      <c r="C292" s="137" t="s">
        <v>2309</v>
      </c>
      <c r="D292" s="135" t="s">
        <v>1056</v>
      </c>
      <c r="E292" s="172" t="s">
        <v>116</v>
      </c>
      <c r="F292" s="139" t="s">
        <v>527</v>
      </c>
      <c r="G292" s="326" t="s">
        <v>2067</v>
      </c>
      <c r="H292" s="136">
        <v>41486</v>
      </c>
      <c r="I292" s="135">
        <v>1</v>
      </c>
      <c r="J292" s="327">
        <v>5274</v>
      </c>
      <c r="K292" s="327">
        <v>5274</v>
      </c>
      <c r="L292" s="226" t="s">
        <v>788</v>
      </c>
      <c r="M292" s="325" t="s">
        <v>34</v>
      </c>
    </row>
    <row r="293" spans="1:13" s="227" customFormat="1" ht="20.100000000000001" customHeight="1" x14ac:dyDescent="0.25">
      <c r="A293" s="135">
        <v>3</v>
      </c>
      <c r="B293" s="135">
        <v>44988</v>
      </c>
      <c r="C293" s="137" t="s">
        <v>2310</v>
      </c>
      <c r="D293" s="135" t="s">
        <v>1014</v>
      </c>
      <c r="E293" s="172" t="s">
        <v>537</v>
      </c>
      <c r="F293" s="139" t="s">
        <v>431</v>
      </c>
      <c r="G293" s="326" t="s">
        <v>642</v>
      </c>
      <c r="H293" s="136">
        <v>41486</v>
      </c>
      <c r="I293" s="135">
        <v>1</v>
      </c>
      <c r="J293" s="327">
        <v>30429</v>
      </c>
      <c r="K293" s="327">
        <v>30429</v>
      </c>
      <c r="L293" s="226" t="s">
        <v>788</v>
      </c>
      <c r="M293" s="325" t="s">
        <v>34</v>
      </c>
    </row>
    <row r="294" spans="1:13" s="145" customFormat="1" ht="15" customHeight="1" x14ac:dyDescent="0.25">
      <c r="A294" s="135">
        <v>4</v>
      </c>
      <c r="B294" s="135">
        <v>44780</v>
      </c>
      <c r="C294" s="137" t="s">
        <v>2311</v>
      </c>
      <c r="D294" s="135" t="s">
        <v>414</v>
      </c>
      <c r="E294" s="172" t="s">
        <v>116</v>
      </c>
      <c r="F294" s="139" t="s">
        <v>527</v>
      </c>
      <c r="G294" s="326" t="s">
        <v>2097</v>
      </c>
      <c r="H294" s="136">
        <v>41399</v>
      </c>
      <c r="I294" s="135">
        <v>1</v>
      </c>
      <c r="J294" s="327">
        <v>5274</v>
      </c>
      <c r="K294" s="327">
        <v>5274</v>
      </c>
      <c r="L294" s="226" t="s">
        <v>788</v>
      </c>
      <c r="M294" s="325" t="s">
        <v>34</v>
      </c>
    </row>
    <row r="295" spans="1:13" s="145" customFormat="1" ht="15" customHeight="1" x14ac:dyDescent="0.25">
      <c r="A295" s="135">
        <v>5</v>
      </c>
      <c r="B295" s="135">
        <v>44690</v>
      </c>
      <c r="C295" s="137" t="s">
        <v>2312</v>
      </c>
      <c r="D295" s="135" t="s">
        <v>614</v>
      </c>
      <c r="E295" s="172" t="s">
        <v>175</v>
      </c>
      <c r="F295" s="139" t="s">
        <v>2313</v>
      </c>
      <c r="G295" s="326" t="s">
        <v>569</v>
      </c>
      <c r="H295" s="136">
        <v>41487</v>
      </c>
      <c r="I295" s="135">
        <v>4</v>
      </c>
      <c r="J295" s="327">
        <v>5274</v>
      </c>
      <c r="K295" s="327">
        <v>21096</v>
      </c>
      <c r="L295" s="226" t="s">
        <v>788</v>
      </c>
      <c r="M295" s="325" t="s">
        <v>34</v>
      </c>
    </row>
    <row r="296" spans="1:13" s="145" customFormat="1" ht="15" customHeight="1" x14ac:dyDescent="0.25">
      <c r="A296" s="135">
        <v>6</v>
      </c>
      <c r="B296" s="135">
        <v>44690</v>
      </c>
      <c r="C296" s="137" t="s">
        <v>2312</v>
      </c>
      <c r="D296" s="135" t="s">
        <v>614</v>
      </c>
      <c r="E296" s="172" t="s">
        <v>116</v>
      </c>
      <c r="F296" s="139" t="s">
        <v>1356</v>
      </c>
      <c r="G296" s="326" t="s">
        <v>2314</v>
      </c>
      <c r="H296" s="136">
        <v>41487</v>
      </c>
      <c r="I296" s="135">
        <v>2</v>
      </c>
      <c r="J296" s="327">
        <v>5274</v>
      </c>
      <c r="K296" s="327">
        <v>10548</v>
      </c>
      <c r="L296" s="226" t="s">
        <v>788</v>
      </c>
      <c r="M296" s="325" t="s">
        <v>34</v>
      </c>
    </row>
    <row r="297" spans="1:13" s="145" customFormat="1" ht="15" customHeight="1" x14ac:dyDescent="0.25">
      <c r="A297" s="135">
        <v>7</v>
      </c>
      <c r="B297" s="135">
        <v>45241</v>
      </c>
      <c r="C297" s="137" t="s">
        <v>2315</v>
      </c>
      <c r="D297" s="135" t="s">
        <v>2307</v>
      </c>
      <c r="E297" s="172" t="s">
        <v>116</v>
      </c>
      <c r="F297" s="139" t="s">
        <v>1004</v>
      </c>
      <c r="G297" s="326" t="s">
        <v>2107</v>
      </c>
      <c r="H297" s="136">
        <v>41488</v>
      </c>
      <c r="I297" s="135">
        <v>4</v>
      </c>
      <c r="J297" s="327">
        <v>5274</v>
      </c>
      <c r="K297" s="327">
        <v>21096</v>
      </c>
      <c r="L297" s="226" t="s">
        <v>788</v>
      </c>
      <c r="M297" s="325" t="s">
        <v>34</v>
      </c>
    </row>
    <row r="298" spans="1:13" s="145" customFormat="1" ht="15" customHeight="1" x14ac:dyDescent="0.25">
      <c r="A298" s="135">
        <v>8</v>
      </c>
      <c r="B298" s="135">
        <v>45378</v>
      </c>
      <c r="C298" s="137" t="s">
        <v>2316</v>
      </c>
      <c r="D298" s="135" t="s">
        <v>1056</v>
      </c>
      <c r="E298" s="172" t="s">
        <v>116</v>
      </c>
      <c r="F298" s="139" t="s">
        <v>1361</v>
      </c>
      <c r="G298" s="326" t="s">
        <v>2067</v>
      </c>
      <c r="H298" s="136">
        <v>41492</v>
      </c>
      <c r="I298" s="135">
        <v>1</v>
      </c>
      <c r="J298" s="327">
        <v>5274</v>
      </c>
      <c r="K298" s="327">
        <v>5274</v>
      </c>
      <c r="L298" s="226" t="s">
        <v>788</v>
      </c>
      <c r="M298" s="325" t="s">
        <v>34</v>
      </c>
    </row>
    <row r="299" spans="1:13" s="145" customFormat="1" ht="15" customHeight="1" x14ac:dyDescent="0.25">
      <c r="A299" s="135">
        <v>9</v>
      </c>
      <c r="B299" s="135">
        <v>45379</v>
      </c>
      <c r="C299" s="137" t="s">
        <v>2317</v>
      </c>
      <c r="D299" s="135" t="s">
        <v>1056</v>
      </c>
      <c r="E299" s="172" t="s">
        <v>116</v>
      </c>
      <c r="F299" s="139" t="s">
        <v>562</v>
      </c>
      <c r="G299" s="326" t="s">
        <v>1064</v>
      </c>
      <c r="H299" s="136">
        <v>41492</v>
      </c>
      <c r="I299" s="135">
        <v>1</v>
      </c>
      <c r="J299" s="327">
        <v>5274</v>
      </c>
      <c r="K299" s="327">
        <v>5274</v>
      </c>
      <c r="L299" s="226" t="s">
        <v>788</v>
      </c>
      <c r="M299" s="325" t="s">
        <v>34</v>
      </c>
    </row>
    <row r="300" spans="1:13" s="145" customFormat="1" ht="15" customHeight="1" x14ac:dyDescent="0.25">
      <c r="A300" s="135">
        <v>10</v>
      </c>
      <c r="B300" s="135">
        <v>46009</v>
      </c>
      <c r="C300" s="137" t="s">
        <v>2318</v>
      </c>
      <c r="D300" s="135" t="s">
        <v>614</v>
      </c>
      <c r="E300" s="172" t="s">
        <v>116</v>
      </c>
      <c r="F300" s="139" t="s">
        <v>2319</v>
      </c>
      <c r="G300" s="326" t="s">
        <v>554</v>
      </c>
      <c r="H300" s="136">
        <v>41492</v>
      </c>
      <c r="I300" s="135">
        <v>1</v>
      </c>
      <c r="J300" s="327">
        <v>5274</v>
      </c>
      <c r="K300" s="327">
        <v>5274</v>
      </c>
      <c r="L300" s="226" t="s">
        <v>788</v>
      </c>
      <c r="M300" s="325" t="s">
        <v>34</v>
      </c>
    </row>
    <row r="301" spans="1:13" s="145" customFormat="1" ht="15" customHeight="1" x14ac:dyDescent="0.25">
      <c r="A301" s="135">
        <v>11</v>
      </c>
      <c r="B301" s="135">
        <v>46775</v>
      </c>
      <c r="C301" s="137" t="s">
        <v>2320</v>
      </c>
      <c r="D301" s="135" t="s">
        <v>2321</v>
      </c>
      <c r="E301" s="172" t="s">
        <v>580</v>
      </c>
      <c r="F301" s="139" t="s">
        <v>371</v>
      </c>
      <c r="G301" s="326"/>
      <c r="H301" s="136">
        <v>41494</v>
      </c>
      <c r="I301" s="135">
        <v>1</v>
      </c>
      <c r="J301" s="327">
        <v>25800</v>
      </c>
      <c r="K301" s="327">
        <v>25800</v>
      </c>
      <c r="L301" s="226" t="s">
        <v>788</v>
      </c>
      <c r="M301" s="325" t="s">
        <v>34</v>
      </c>
    </row>
    <row r="302" spans="1:13" s="145" customFormat="1" ht="15" customHeight="1" x14ac:dyDescent="0.25">
      <c r="A302" s="135">
        <v>12</v>
      </c>
      <c r="B302" s="135">
        <v>46677</v>
      </c>
      <c r="C302" s="137" t="s">
        <v>2322</v>
      </c>
      <c r="D302" s="135" t="s">
        <v>2321</v>
      </c>
      <c r="E302" s="172" t="s">
        <v>580</v>
      </c>
      <c r="F302" s="139" t="s">
        <v>371</v>
      </c>
      <c r="G302" s="326"/>
      <c r="H302" s="136">
        <v>41495</v>
      </c>
      <c r="I302" s="135">
        <v>1</v>
      </c>
      <c r="J302" s="327">
        <v>25800</v>
      </c>
      <c r="K302" s="327">
        <v>25800</v>
      </c>
      <c r="L302" s="226" t="s">
        <v>788</v>
      </c>
      <c r="M302" s="325" t="s">
        <v>34</v>
      </c>
    </row>
    <row r="303" spans="1:13" s="145" customFormat="1" ht="15" customHeight="1" x14ac:dyDescent="0.25">
      <c r="A303" s="135">
        <v>13</v>
      </c>
      <c r="B303" s="135">
        <v>46558</v>
      </c>
      <c r="C303" s="137" t="s">
        <v>2323</v>
      </c>
      <c r="D303" s="135" t="s">
        <v>1056</v>
      </c>
      <c r="E303" s="172" t="s">
        <v>116</v>
      </c>
      <c r="F303" s="139" t="s">
        <v>445</v>
      </c>
      <c r="G303" s="326" t="s">
        <v>2107</v>
      </c>
      <c r="H303" s="136">
        <v>41495</v>
      </c>
      <c r="I303" s="135">
        <v>1</v>
      </c>
      <c r="J303" s="327">
        <v>5274</v>
      </c>
      <c r="K303" s="327">
        <v>5274</v>
      </c>
      <c r="L303" s="226" t="s">
        <v>788</v>
      </c>
      <c r="M303" s="325" t="s">
        <v>34</v>
      </c>
    </row>
    <row r="304" spans="1:13" s="145" customFormat="1" ht="15" customHeight="1" x14ac:dyDescent="0.25">
      <c r="A304" s="135">
        <v>14</v>
      </c>
      <c r="B304" s="135">
        <v>46344</v>
      </c>
      <c r="C304" s="137" t="s">
        <v>2312</v>
      </c>
      <c r="D304" s="135" t="s">
        <v>1056</v>
      </c>
      <c r="E304" s="172" t="s">
        <v>537</v>
      </c>
      <c r="F304" s="139" t="s">
        <v>431</v>
      </c>
      <c r="G304" s="326" t="s">
        <v>583</v>
      </c>
      <c r="H304" s="136">
        <v>41492</v>
      </c>
      <c r="I304" s="135">
        <v>1</v>
      </c>
      <c r="J304" s="327">
        <v>30429</v>
      </c>
      <c r="K304" s="327">
        <v>30429</v>
      </c>
      <c r="L304" s="226" t="s">
        <v>788</v>
      </c>
      <c r="M304" s="325" t="s">
        <v>34</v>
      </c>
    </row>
    <row r="305" spans="1:13" s="145" customFormat="1" ht="15" customHeight="1" x14ac:dyDescent="0.25">
      <c r="A305" s="135">
        <v>15</v>
      </c>
      <c r="B305" s="135">
        <v>46329</v>
      </c>
      <c r="C305" s="137" t="s">
        <v>2324</v>
      </c>
      <c r="D305" s="135" t="s">
        <v>1014</v>
      </c>
      <c r="E305" s="172" t="s">
        <v>116</v>
      </c>
      <c r="F305" s="139" t="s">
        <v>725</v>
      </c>
      <c r="G305" s="326" t="s">
        <v>2067</v>
      </c>
      <c r="H305" s="136">
        <v>41493</v>
      </c>
      <c r="I305" s="135">
        <v>3</v>
      </c>
      <c r="J305" s="327">
        <v>5274</v>
      </c>
      <c r="K305" s="327">
        <v>15822</v>
      </c>
      <c r="L305" s="226" t="s">
        <v>788</v>
      </c>
      <c r="M305" s="325" t="s">
        <v>34</v>
      </c>
    </row>
    <row r="306" spans="1:13" s="145" customFormat="1" ht="15" customHeight="1" x14ac:dyDescent="0.25">
      <c r="A306" s="135">
        <v>16</v>
      </c>
      <c r="B306" s="135">
        <v>46842</v>
      </c>
      <c r="C306" s="137" t="s">
        <v>1590</v>
      </c>
      <c r="D306" s="135" t="s">
        <v>1056</v>
      </c>
      <c r="E306" s="172" t="s">
        <v>228</v>
      </c>
      <c r="F306" s="139" t="s">
        <v>511</v>
      </c>
      <c r="G306" s="326"/>
      <c r="H306" s="136">
        <v>41494</v>
      </c>
      <c r="I306" s="135">
        <v>1</v>
      </c>
      <c r="J306" s="327">
        <v>5274</v>
      </c>
      <c r="K306" s="327">
        <v>5274</v>
      </c>
      <c r="L306" s="226" t="s">
        <v>788</v>
      </c>
      <c r="M306" s="325" t="s">
        <v>34</v>
      </c>
    </row>
    <row r="307" spans="1:13" s="145" customFormat="1" ht="15" customHeight="1" x14ac:dyDescent="0.25">
      <c r="A307" s="135">
        <v>17</v>
      </c>
      <c r="B307" s="135">
        <v>46852</v>
      </c>
      <c r="C307" s="137" t="s">
        <v>2325</v>
      </c>
      <c r="D307" s="135" t="s">
        <v>1056</v>
      </c>
      <c r="E307" s="172" t="s">
        <v>537</v>
      </c>
      <c r="F307" s="139" t="s">
        <v>431</v>
      </c>
      <c r="G307" s="326" t="s">
        <v>563</v>
      </c>
      <c r="H307" s="136">
        <v>41494</v>
      </c>
      <c r="I307" s="135">
        <v>1</v>
      </c>
      <c r="J307" s="327">
        <v>30429</v>
      </c>
      <c r="K307" s="327">
        <v>30429</v>
      </c>
      <c r="L307" s="226" t="s">
        <v>788</v>
      </c>
      <c r="M307" s="325" t="s">
        <v>34</v>
      </c>
    </row>
    <row r="308" spans="1:13" s="145" customFormat="1" ht="15" customHeight="1" x14ac:dyDescent="0.25">
      <c r="A308" s="135">
        <v>18</v>
      </c>
      <c r="B308" s="135">
        <v>47214</v>
      </c>
      <c r="C308" s="137" t="s">
        <v>2326</v>
      </c>
      <c r="D308" s="135" t="s">
        <v>2321</v>
      </c>
      <c r="E308" s="172" t="s">
        <v>580</v>
      </c>
      <c r="F308" s="139" t="s">
        <v>371</v>
      </c>
      <c r="G308" s="326"/>
      <c r="H308" s="136">
        <v>41495</v>
      </c>
      <c r="I308" s="135">
        <v>1</v>
      </c>
      <c r="J308" s="327">
        <v>25800</v>
      </c>
      <c r="K308" s="327">
        <v>25800</v>
      </c>
      <c r="L308" s="226" t="s">
        <v>788</v>
      </c>
      <c r="M308" s="325" t="s">
        <v>34</v>
      </c>
    </row>
    <row r="309" spans="1:13" s="145" customFormat="1" ht="15" customHeight="1" x14ac:dyDescent="0.25">
      <c r="A309" s="135">
        <v>19</v>
      </c>
      <c r="B309" s="135">
        <v>47274</v>
      </c>
      <c r="C309" s="137" t="s">
        <v>2327</v>
      </c>
      <c r="D309" s="135" t="s">
        <v>414</v>
      </c>
      <c r="E309" s="172" t="s">
        <v>115</v>
      </c>
      <c r="F309" s="139" t="s">
        <v>527</v>
      </c>
      <c r="G309" s="326" t="s">
        <v>2328</v>
      </c>
      <c r="H309" s="136">
        <v>41495</v>
      </c>
      <c r="I309" s="135">
        <v>1</v>
      </c>
      <c r="J309" s="327">
        <v>33370</v>
      </c>
      <c r="K309" s="327">
        <v>33370</v>
      </c>
      <c r="L309" s="226" t="s">
        <v>788</v>
      </c>
      <c r="M309" s="325" t="s">
        <v>34</v>
      </c>
    </row>
    <row r="310" spans="1:13" s="145" customFormat="1" ht="15" customHeight="1" x14ac:dyDescent="0.25">
      <c r="A310" s="135">
        <v>20</v>
      </c>
      <c r="B310" s="135">
        <v>47336</v>
      </c>
      <c r="C310" s="137" t="s">
        <v>2329</v>
      </c>
      <c r="D310" s="135" t="s">
        <v>1014</v>
      </c>
      <c r="E310" s="172" t="s">
        <v>116</v>
      </c>
      <c r="F310" s="139" t="s">
        <v>2330</v>
      </c>
      <c r="G310" s="326" t="s">
        <v>2107</v>
      </c>
      <c r="H310" s="136">
        <v>41495</v>
      </c>
      <c r="I310" s="135">
        <v>12</v>
      </c>
      <c r="J310" s="327">
        <v>5274</v>
      </c>
      <c r="K310" s="327">
        <v>63288</v>
      </c>
      <c r="L310" s="226" t="s">
        <v>788</v>
      </c>
      <c r="M310" s="325" t="s">
        <v>34</v>
      </c>
    </row>
    <row r="311" spans="1:13" s="145" customFormat="1" ht="15" customHeight="1" x14ac:dyDescent="0.25">
      <c r="A311" s="135">
        <v>21</v>
      </c>
      <c r="B311" s="135">
        <v>47590</v>
      </c>
      <c r="C311" s="137" t="s">
        <v>2331</v>
      </c>
      <c r="D311" s="135" t="s">
        <v>1014</v>
      </c>
      <c r="E311" s="172" t="s">
        <v>115</v>
      </c>
      <c r="F311" s="139" t="s">
        <v>442</v>
      </c>
      <c r="G311" s="326" t="s">
        <v>642</v>
      </c>
      <c r="H311" s="136">
        <v>41498</v>
      </c>
      <c r="I311" s="135">
        <v>1</v>
      </c>
      <c r="J311" s="327">
        <v>33370</v>
      </c>
      <c r="K311" s="327">
        <v>33370</v>
      </c>
      <c r="L311" s="226" t="s">
        <v>788</v>
      </c>
      <c r="M311" s="325" t="s">
        <v>34</v>
      </c>
    </row>
    <row r="312" spans="1:13" s="145" customFormat="1" ht="15" customHeight="1" x14ac:dyDescent="0.25">
      <c r="A312" s="135">
        <v>22</v>
      </c>
      <c r="B312" s="135">
        <v>47683</v>
      </c>
      <c r="C312" s="137" t="s">
        <v>2332</v>
      </c>
      <c r="D312" s="135" t="s">
        <v>1014</v>
      </c>
      <c r="E312" s="172" t="s">
        <v>537</v>
      </c>
      <c r="F312" s="139" t="s">
        <v>562</v>
      </c>
      <c r="G312" s="326" t="s">
        <v>2333</v>
      </c>
      <c r="H312" s="136">
        <v>41498</v>
      </c>
      <c r="I312" s="135">
        <v>1</v>
      </c>
      <c r="J312" s="327">
        <v>30429</v>
      </c>
      <c r="K312" s="327">
        <v>30429</v>
      </c>
      <c r="L312" s="226" t="s">
        <v>788</v>
      </c>
      <c r="M312" s="325" t="s">
        <v>34</v>
      </c>
    </row>
    <row r="313" spans="1:13" s="145" customFormat="1" ht="15" customHeight="1" x14ac:dyDescent="0.25">
      <c r="A313" s="135">
        <v>23</v>
      </c>
      <c r="B313" s="135">
        <v>47715</v>
      </c>
      <c r="C313" s="137" t="s">
        <v>2334</v>
      </c>
      <c r="D313" s="135" t="s">
        <v>1014</v>
      </c>
      <c r="E313" s="172" t="s">
        <v>116</v>
      </c>
      <c r="F313" s="139" t="s">
        <v>415</v>
      </c>
      <c r="G313" s="326" t="s">
        <v>2107</v>
      </c>
      <c r="H313" s="136">
        <v>41498</v>
      </c>
      <c r="I313" s="135">
        <v>1</v>
      </c>
      <c r="J313" s="327">
        <v>5274</v>
      </c>
      <c r="K313" s="327">
        <v>5274</v>
      </c>
      <c r="L313" s="226" t="s">
        <v>788</v>
      </c>
      <c r="M313" s="325" t="s">
        <v>34</v>
      </c>
    </row>
    <row r="314" spans="1:13" s="145" customFormat="1" ht="15" customHeight="1" x14ac:dyDescent="0.25">
      <c r="A314" s="135">
        <v>24</v>
      </c>
      <c r="B314" s="135">
        <v>47895</v>
      </c>
      <c r="C314" s="137" t="s">
        <v>2335</v>
      </c>
      <c r="D314" s="135" t="s">
        <v>1014</v>
      </c>
      <c r="E314" s="172" t="s">
        <v>537</v>
      </c>
      <c r="F314" s="139" t="s">
        <v>527</v>
      </c>
      <c r="G314" s="326" t="s">
        <v>583</v>
      </c>
      <c r="H314" s="136">
        <v>41498</v>
      </c>
      <c r="I314" s="135">
        <v>1</v>
      </c>
      <c r="J314" s="327">
        <v>30429</v>
      </c>
      <c r="K314" s="327">
        <v>30429</v>
      </c>
      <c r="L314" s="226" t="s">
        <v>788</v>
      </c>
      <c r="M314" s="325" t="s">
        <v>34</v>
      </c>
    </row>
    <row r="315" spans="1:13" s="145" customFormat="1" ht="15" customHeight="1" x14ac:dyDescent="0.25">
      <c r="A315" s="135">
        <v>25</v>
      </c>
      <c r="B315" s="135">
        <v>48216</v>
      </c>
      <c r="C315" s="137" t="s">
        <v>2336</v>
      </c>
      <c r="D315" s="135" t="s">
        <v>1056</v>
      </c>
      <c r="E315" s="172" t="s">
        <v>537</v>
      </c>
      <c r="F315" s="139" t="s">
        <v>2337</v>
      </c>
      <c r="G315" s="326" t="s">
        <v>2338</v>
      </c>
      <c r="H315" s="136">
        <v>41500</v>
      </c>
      <c r="I315" s="135">
        <v>2</v>
      </c>
      <c r="J315" s="327">
        <v>30429</v>
      </c>
      <c r="K315" s="327">
        <v>60858</v>
      </c>
      <c r="L315" s="226" t="s">
        <v>788</v>
      </c>
      <c r="M315" s="325" t="s">
        <v>34</v>
      </c>
    </row>
    <row r="316" spans="1:13" s="145" customFormat="1" ht="15" customHeight="1" x14ac:dyDescent="0.25">
      <c r="A316" s="135">
        <v>26</v>
      </c>
      <c r="B316" s="135">
        <v>48401</v>
      </c>
      <c r="C316" s="137" t="s">
        <v>2339</v>
      </c>
      <c r="D316" s="135" t="s">
        <v>1014</v>
      </c>
      <c r="E316" s="172" t="s">
        <v>192</v>
      </c>
      <c r="F316" s="139" t="s">
        <v>534</v>
      </c>
      <c r="G316" s="326" t="s">
        <v>2151</v>
      </c>
      <c r="H316" s="136">
        <v>41500</v>
      </c>
      <c r="I316" s="135">
        <v>1</v>
      </c>
      <c r="J316" s="327">
        <v>57960</v>
      </c>
      <c r="K316" s="327">
        <v>57960</v>
      </c>
      <c r="L316" s="226" t="s">
        <v>788</v>
      </c>
      <c r="M316" s="325" t="s">
        <v>34</v>
      </c>
    </row>
    <row r="317" spans="1:13" s="145" customFormat="1" ht="15" customHeight="1" x14ac:dyDescent="0.25">
      <c r="A317" s="135">
        <v>27</v>
      </c>
      <c r="B317" s="135">
        <v>48584</v>
      </c>
      <c r="C317" s="137" t="s">
        <v>2340</v>
      </c>
      <c r="D317" s="135" t="s">
        <v>414</v>
      </c>
      <c r="E317" s="172" t="s">
        <v>115</v>
      </c>
      <c r="F317" s="139" t="s">
        <v>645</v>
      </c>
      <c r="G317" s="326" t="s">
        <v>2341</v>
      </c>
      <c r="H317" s="136">
        <v>41502</v>
      </c>
      <c r="I317" s="135">
        <v>1</v>
      </c>
      <c r="J317" s="327">
        <v>33370</v>
      </c>
      <c r="K317" s="327">
        <v>33370</v>
      </c>
      <c r="L317" s="226" t="s">
        <v>788</v>
      </c>
      <c r="M317" s="325" t="s">
        <v>34</v>
      </c>
    </row>
    <row r="318" spans="1:13" s="145" customFormat="1" ht="15" customHeight="1" x14ac:dyDescent="0.25">
      <c r="A318" s="135">
        <v>28</v>
      </c>
      <c r="B318" s="135">
        <v>48425</v>
      </c>
      <c r="C318" s="137" t="s">
        <v>2342</v>
      </c>
      <c r="D318" s="135" t="s">
        <v>1056</v>
      </c>
      <c r="E318" s="172" t="s">
        <v>537</v>
      </c>
      <c r="F318" s="139" t="s">
        <v>527</v>
      </c>
      <c r="G318" s="326" t="s">
        <v>583</v>
      </c>
      <c r="H318" s="136">
        <v>41500</v>
      </c>
      <c r="I318" s="135">
        <v>1</v>
      </c>
      <c r="J318" s="327">
        <v>30429</v>
      </c>
      <c r="K318" s="327">
        <v>30429</v>
      </c>
      <c r="L318" s="226" t="s">
        <v>788</v>
      </c>
      <c r="M318" s="325" t="s">
        <v>34</v>
      </c>
    </row>
    <row r="319" spans="1:13" s="145" customFormat="1" ht="15" customHeight="1" x14ac:dyDescent="0.25">
      <c r="A319" s="135">
        <v>29</v>
      </c>
      <c r="B319" s="135">
        <v>49005</v>
      </c>
      <c r="C319" s="137" t="s">
        <v>2343</v>
      </c>
      <c r="D319" s="135" t="s">
        <v>1014</v>
      </c>
      <c r="E319" s="172" t="s">
        <v>116</v>
      </c>
      <c r="F319" s="139" t="s">
        <v>1098</v>
      </c>
      <c r="G319" s="326" t="s">
        <v>2101</v>
      </c>
      <c r="H319" s="136">
        <v>41506</v>
      </c>
      <c r="I319" s="135">
        <v>2</v>
      </c>
      <c r="J319" s="327">
        <v>5274</v>
      </c>
      <c r="K319" s="327">
        <v>10548</v>
      </c>
      <c r="L319" s="226" t="s">
        <v>788</v>
      </c>
      <c r="M319" s="325" t="s">
        <v>34</v>
      </c>
    </row>
    <row r="320" spans="1:13" s="145" customFormat="1" ht="15" customHeight="1" x14ac:dyDescent="0.25">
      <c r="A320" s="135">
        <v>30</v>
      </c>
      <c r="B320" s="135">
        <v>49246</v>
      </c>
      <c r="C320" s="137" t="s">
        <v>2344</v>
      </c>
      <c r="D320" s="135" t="s">
        <v>1056</v>
      </c>
      <c r="E320" s="172" t="s">
        <v>188</v>
      </c>
      <c r="F320" s="139" t="s">
        <v>419</v>
      </c>
      <c r="G320" s="326" t="s">
        <v>2345</v>
      </c>
      <c r="H320" s="136">
        <v>41505</v>
      </c>
      <c r="I320" s="135">
        <v>1</v>
      </c>
      <c r="J320" s="327">
        <v>42601</v>
      </c>
      <c r="K320" s="327">
        <v>42601</v>
      </c>
      <c r="L320" s="226" t="s">
        <v>788</v>
      </c>
      <c r="M320" s="325" t="s">
        <v>34</v>
      </c>
    </row>
    <row r="321" spans="1:13" s="145" customFormat="1" ht="15" customHeight="1" x14ac:dyDescent="0.25">
      <c r="A321" s="135">
        <v>31</v>
      </c>
      <c r="B321" s="135">
        <v>49282</v>
      </c>
      <c r="C321" s="137" t="s">
        <v>2346</v>
      </c>
      <c r="D321" s="135" t="s">
        <v>414</v>
      </c>
      <c r="E321" s="172" t="s">
        <v>537</v>
      </c>
      <c r="F321" s="139" t="s">
        <v>568</v>
      </c>
      <c r="G321" s="326" t="s">
        <v>2136</v>
      </c>
      <c r="H321" s="136">
        <v>41505</v>
      </c>
      <c r="I321" s="135">
        <v>1</v>
      </c>
      <c r="J321" s="327">
        <v>30429</v>
      </c>
      <c r="K321" s="327">
        <v>30429</v>
      </c>
      <c r="L321" s="226" t="s">
        <v>788</v>
      </c>
      <c r="M321" s="325" t="s">
        <v>34</v>
      </c>
    </row>
    <row r="322" spans="1:13" s="145" customFormat="1" ht="15" customHeight="1" x14ac:dyDescent="0.25">
      <c r="A322" s="135">
        <v>32</v>
      </c>
      <c r="B322" s="135">
        <v>49500</v>
      </c>
      <c r="C322" s="137" t="s">
        <v>2347</v>
      </c>
      <c r="D322" s="135" t="s">
        <v>2307</v>
      </c>
      <c r="E322" s="172" t="s">
        <v>580</v>
      </c>
      <c r="F322" s="139" t="s">
        <v>371</v>
      </c>
      <c r="G322" s="326"/>
      <c r="H322" s="136">
        <v>41505</v>
      </c>
      <c r="I322" s="135">
        <v>1</v>
      </c>
      <c r="J322" s="327">
        <v>25800</v>
      </c>
      <c r="K322" s="327">
        <v>25800</v>
      </c>
      <c r="L322" s="226" t="s">
        <v>788</v>
      </c>
      <c r="M322" s="325" t="s">
        <v>34</v>
      </c>
    </row>
    <row r="323" spans="1:13" s="145" customFormat="1" ht="15" customHeight="1" x14ac:dyDescent="0.25">
      <c r="A323" s="135">
        <v>33</v>
      </c>
      <c r="B323" s="135">
        <v>49872</v>
      </c>
      <c r="C323" s="137" t="s">
        <v>2348</v>
      </c>
      <c r="D323" s="135" t="s">
        <v>1056</v>
      </c>
      <c r="E323" s="172" t="s">
        <v>116</v>
      </c>
      <c r="F323" s="139" t="s">
        <v>645</v>
      </c>
      <c r="G323" s="326" t="s">
        <v>1064</v>
      </c>
      <c r="H323" s="136">
        <v>41508</v>
      </c>
      <c r="I323" s="135">
        <v>1</v>
      </c>
      <c r="J323" s="327">
        <v>5274</v>
      </c>
      <c r="K323" s="327">
        <v>5274</v>
      </c>
      <c r="L323" s="226" t="s">
        <v>788</v>
      </c>
      <c r="M323" s="325" t="s">
        <v>34</v>
      </c>
    </row>
    <row r="324" spans="1:13" s="145" customFormat="1" ht="15" customHeight="1" x14ac:dyDescent="0.25">
      <c r="A324" s="135">
        <v>34</v>
      </c>
      <c r="B324" s="135">
        <v>50202</v>
      </c>
      <c r="C324" s="137" t="s">
        <v>2349</v>
      </c>
      <c r="D324" s="135" t="s">
        <v>2350</v>
      </c>
      <c r="E324" s="172" t="s">
        <v>580</v>
      </c>
      <c r="F324" s="139" t="s">
        <v>371</v>
      </c>
      <c r="G324" s="326"/>
      <c r="H324" s="136">
        <v>41509</v>
      </c>
      <c r="I324" s="135">
        <v>1</v>
      </c>
      <c r="J324" s="327">
        <v>25800</v>
      </c>
      <c r="K324" s="327">
        <v>25800</v>
      </c>
      <c r="L324" s="226" t="s">
        <v>788</v>
      </c>
      <c r="M324" s="325" t="s">
        <v>34</v>
      </c>
    </row>
    <row r="325" spans="1:13" s="145" customFormat="1" ht="15" customHeight="1" x14ac:dyDescent="0.25">
      <c r="A325" s="135">
        <v>35</v>
      </c>
      <c r="B325" s="135">
        <v>50176</v>
      </c>
      <c r="C325" s="137" t="s">
        <v>2351</v>
      </c>
      <c r="D325" s="135" t="s">
        <v>1014</v>
      </c>
      <c r="E325" s="172" t="s">
        <v>537</v>
      </c>
      <c r="F325" s="139" t="s">
        <v>442</v>
      </c>
      <c r="G325" s="326" t="s">
        <v>583</v>
      </c>
      <c r="H325" s="136">
        <v>41508</v>
      </c>
      <c r="I325" s="135">
        <v>1</v>
      </c>
      <c r="J325" s="327">
        <v>30429</v>
      </c>
      <c r="K325" s="327">
        <v>30429</v>
      </c>
      <c r="L325" s="226" t="s">
        <v>788</v>
      </c>
      <c r="M325" s="325" t="s">
        <v>34</v>
      </c>
    </row>
    <row r="326" spans="1:13" s="145" customFormat="1" ht="15" customHeight="1" x14ac:dyDescent="0.25">
      <c r="A326" s="135">
        <v>36</v>
      </c>
      <c r="B326" s="135">
        <v>50104</v>
      </c>
      <c r="C326" s="137" t="s">
        <v>2352</v>
      </c>
      <c r="D326" s="135" t="s">
        <v>1056</v>
      </c>
      <c r="E326" s="172" t="s">
        <v>537</v>
      </c>
      <c r="F326" s="139" t="s">
        <v>645</v>
      </c>
      <c r="G326" s="326" t="s">
        <v>642</v>
      </c>
      <c r="H326" s="136">
        <v>41508</v>
      </c>
      <c r="I326" s="135">
        <v>1</v>
      </c>
      <c r="J326" s="327">
        <v>30429</v>
      </c>
      <c r="K326" s="327">
        <v>30429</v>
      </c>
      <c r="L326" s="226" t="s">
        <v>788</v>
      </c>
      <c r="M326" s="325" t="s">
        <v>34</v>
      </c>
    </row>
    <row r="327" spans="1:13" s="145" customFormat="1" ht="15" customHeight="1" x14ac:dyDescent="0.25">
      <c r="A327" s="135">
        <v>37</v>
      </c>
      <c r="B327" s="135">
        <v>50021</v>
      </c>
      <c r="C327" s="137" t="s">
        <v>2353</v>
      </c>
      <c r="D327" s="135" t="s">
        <v>414</v>
      </c>
      <c r="E327" s="172" t="s">
        <v>115</v>
      </c>
      <c r="F327" s="139" t="s">
        <v>417</v>
      </c>
      <c r="G327" s="326" t="s">
        <v>2341</v>
      </c>
      <c r="H327" s="136">
        <v>41508</v>
      </c>
      <c r="I327" s="135">
        <v>1</v>
      </c>
      <c r="J327" s="327">
        <v>33370</v>
      </c>
      <c r="K327" s="327">
        <v>33370</v>
      </c>
      <c r="L327" s="226" t="s">
        <v>788</v>
      </c>
      <c r="M327" s="325" t="s">
        <v>34</v>
      </c>
    </row>
    <row r="328" spans="1:13" s="145" customFormat="1" ht="15" customHeight="1" x14ac:dyDescent="0.25">
      <c r="A328" s="135">
        <v>38</v>
      </c>
      <c r="B328" s="135">
        <v>50379</v>
      </c>
      <c r="C328" s="137" t="s">
        <v>2354</v>
      </c>
      <c r="D328" s="135" t="s">
        <v>414</v>
      </c>
      <c r="E328" s="172" t="s">
        <v>537</v>
      </c>
      <c r="F328" s="139" t="s">
        <v>415</v>
      </c>
      <c r="G328" s="326" t="s">
        <v>554</v>
      </c>
      <c r="H328" s="136">
        <v>41508</v>
      </c>
      <c r="I328" s="135">
        <v>1</v>
      </c>
      <c r="J328" s="327">
        <v>30429</v>
      </c>
      <c r="K328" s="327">
        <v>30429</v>
      </c>
      <c r="L328" s="226" t="s">
        <v>788</v>
      </c>
      <c r="M328" s="325" t="s">
        <v>34</v>
      </c>
    </row>
    <row r="329" spans="1:13" s="145" customFormat="1" ht="15" customHeight="1" x14ac:dyDescent="0.25">
      <c r="A329" s="135">
        <v>39</v>
      </c>
      <c r="B329" s="135">
        <v>50519</v>
      </c>
      <c r="C329" s="137" t="s">
        <v>2355</v>
      </c>
      <c r="D329" s="135" t="s">
        <v>1056</v>
      </c>
      <c r="E329" s="172" t="s">
        <v>537</v>
      </c>
      <c r="F329" s="139" t="s">
        <v>419</v>
      </c>
      <c r="G329" s="326" t="s">
        <v>583</v>
      </c>
      <c r="H329" s="136">
        <v>41509</v>
      </c>
      <c r="I329" s="135">
        <v>1</v>
      </c>
      <c r="J329" s="327">
        <v>30429</v>
      </c>
      <c r="K329" s="327">
        <v>30429</v>
      </c>
      <c r="L329" s="226" t="s">
        <v>788</v>
      </c>
      <c r="M329" s="325" t="s">
        <v>34</v>
      </c>
    </row>
    <row r="330" spans="1:13" s="145" customFormat="1" ht="15" customHeight="1" x14ac:dyDescent="0.25">
      <c r="A330" s="135">
        <v>40</v>
      </c>
      <c r="B330" s="135">
        <v>50503</v>
      </c>
      <c r="C330" s="137" t="s">
        <v>2356</v>
      </c>
      <c r="D330" s="135" t="s">
        <v>1014</v>
      </c>
      <c r="E330" s="172" t="s">
        <v>116</v>
      </c>
      <c r="F330" s="139" t="s">
        <v>2191</v>
      </c>
      <c r="G330" s="326" t="s">
        <v>2117</v>
      </c>
      <c r="H330" s="136">
        <v>41508</v>
      </c>
      <c r="I330" s="135">
        <v>7</v>
      </c>
      <c r="J330" s="327">
        <v>5274</v>
      </c>
      <c r="K330" s="327">
        <v>36918</v>
      </c>
      <c r="L330" s="226" t="s">
        <v>788</v>
      </c>
      <c r="M330" s="325" t="s">
        <v>34</v>
      </c>
    </row>
    <row r="331" spans="1:13" s="145" customFormat="1" ht="15" customHeight="1" x14ac:dyDescent="0.25">
      <c r="A331" s="135">
        <v>41</v>
      </c>
      <c r="B331" s="135">
        <v>50660</v>
      </c>
      <c r="C331" s="137" t="s">
        <v>2357</v>
      </c>
      <c r="D331" s="135" t="s">
        <v>414</v>
      </c>
      <c r="E331" s="172" t="s">
        <v>580</v>
      </c>
      <c r="F331" s="139" t="s">
        <v>371</v>
      </c>
      <c r="G331" s="326"/>
      <c r="H331" s="136">
        <v>41509</v>
      </c>
      <c r="I331" s="135">
        <v>1</v>
      </c>
      <c r="J331" s="327">
        <v>25800</v>
      </c>
      <c r="K331" s="327">
        <v>25800</v>
      </c>
      <c r="L331" s="226" t="s">
        <v>788</v>
      </c>
      <c r="M331" s="325" t="s">
        <v>34</v>
      </c>
    </row>
    <row r="332" spans="1:13" s="145" customFormat="1" ht="15" customHeight="1" x14ac:dyDescent="0.25">
      <c r="A332" s="135">
        <v>42</v>
      </c>
      <c r="B332" s="135">
        <v>50746</v>
      </c>
      <c r="C332" s="137" t="s">
        <v>2358</v>
      </c>
      <c r="D332" s="135" t="s">
        <v>414</v>
      </c>
      <c r="E332" s="172" t="s">
        <v>537</v>
      </c>
      <c r="F332" s="139" t="s">
        <v>568</v>
      </c>
      <c r="G332" s="326" t="s">
        <v>563</v>
      </c>
      <c r="H332" s="136">
        <v>41509</v>
      </c>
      <c r="I332" s="135">
        <v>1</v>
      </c>
      <c r="J332" s="327">
        <v>30429</v>
      </c>
      <c r="K332" s="327">
        <v>30429</v>
      </c>
      <c r="L332" s="226" t="s">
        <v>788</v>
      </c>
      <c r="M332" s="325" t="s">
        <v>34</v>
      </c>
    </row>
    <row r="333" spans="1:13" s="145" customFormat="1" ht="15" customHeight="1" x14ac:dyDescent="0.25">
      <c r="A333" s="135">
        <v>43</v>
      </c>
      <c r="B333" s="135">
        <v>50540</v>
      </c>
      <c r="C333" s="137" t="s">
        <v>2311</v>
      </c>
      <c r="D333" s="135" t="s">
        <v>414</v>
      </c>
      <c r="E333" s="172" t="s">
        <v>115</v>
      </c>
      <c r="F333" s="139" t="s">
        <v>527</v>
      </c>
      <c r="G333" s="326" t="s">
        <v>554</v>
      </c>
      <c r="H333" s="136">
        <v>41509</v>
      </c>
      <c r="I333" s="135">
        <v>1</v>
      </c>
      <c r="J333" s="327">
        <v>33370</v>
      </c>
      <c r="K333" s="327">
        <v>33370</v>
      </c>
      <c r="L333" s="226" t="s">
        <v>788</v>
      </c>
      <c r="M333" s="325" t="s">
        <v>34</v>
      </c>
    </row>
    <row r="334" spans="1:13" s="145" customFormat="1" ht="15" customHeight="1" x14ac:dyDescent="0.25">
      <c r="A334" s="135">
        <v>44</v>
      </c>
      <c r="B334" s="135">
        <v>50925</v>
      </c>
      <c r="C334" s="137" t="s">
        <v>2359</v>
      </c>
      <c r="D334" s="135" t="s">
        <v>1025</v>
      </c>
      <c r="E334" s="172" t="s">
        <v>580</v>
      </c>
      <c r="F334" s="139" t="s">
        <v>371</v>
      </c>
      <c r="G334" s="326"/>
      <c r="H334" s="136">
        <v>41509</v>
      </c>
      <c r="I334" s="135">
        <v>1</v>
      </c>
      <c r="J334" s="327">
        <v>25800</v>
      </c>
      <c r="K334" s="327">
        <v>25800</v>
      </c>
      <c r="L334" s="226" t="s">
        <v>788</v>
      </c>
      <c r="M334" s="325" t="s">
        <v>34</v>
      </c>
    </row>
    <row r="335" spans="1:13" s="145" customFormat="1" ht="15" customHeight="1" x14ac:dyDescent="0.25">
      <c r="A335" s="135">
        <v>45</v>
      </c>
      <c r="B335" s="135">
        <v>51179</v>
      </c>
      <c r="C335" s="137" t="s">
        <v>2360</v>
      </c>
      <c r="D335" s="135" t="s">
        <v>1030</v>
      </c>
      <c r="E335" s="172" t="s">
        <v>580</v>
      </c>
      <c r="F335" s="139" t="s">
        <v>371</v>
      </c>
      <c r="G335" s="326"/>
      <c r="H335" s="136">
        <v>41512</v>
      </c>
      <c r="I335" s="135">
        <v>1</v>
      </c>
      <c r="J335" s="327">
        <v>25800</v>
      </c>
      <c r="K335" s="327">
        <v>25800</v>
      </c>
      <c r="L335" s="226" t="s">
        <v>788</v>
      </c>
      <c r="M335" s="325" t="s">
        <v>34</v>
      </c>
    </row>
    <row r="336" spans="1:13" s="145" customFormat="1" ht="15" customHeight="1" x14ac:dyDescent="0.25">
      <c r="A336" s="135">
        <v>46</v>
      </c>
      <c r="B336" s="135">
        <v>51126</v>
      </c>
      <c r="C336" s="137" t="s">
        <v>2361</v>
      </c>
      <c r="D336" s="135" t="s">
        <v>414</v>
      </c>
      <c r="E336" s="172" t="s">
        <v>577</v>
      </c>
      <c r="F336" s="139" t="s">
        <v>472</v>
      </c>
      <c r="G336" s="326" t="s">
        <v>2136</v>
      </c>
      <c r="H336" s="136">
        <v>41512</v>
      </c>
      <c r="I336" s="135">
        <v>1</v>
      </c>
      <c r="J336" s="327">
        <v>49701</v>
      </c>
      <c r="K336" s="327">
        <v>49701</v>
      </c>
      <c r="L336" s="226" t="s">
        <v>788</v>
      </c>
      <c r="M336" s="325" t="s">
        <v>34</v>
      </c>
    </row>
    <row r="337" spans="1:13" s="145" customFormat="1" ht="15" customHeight="1" x14ac:dyDescent="0.25">
      <c r="A337" s="135">
        <v>47</v>
      </c>
      <c r="B337" s="135">
        <v>51129</v>
      </c>
      <c r="C337" s="137" t="s">
        <v>2362</v>
      </c>
      <c r="D337" s="135" t="s">
        <v>1056</v>
      </c>
      <c r="E337" s="172" t="s">
        <v>116</v>
      </c>
      <c r="F337" s="139" t="s">
        <v>562</v>
      </c>
      <c r="G337" s="326" t="s">
        <v>1064</v>
      </c>
      <c r="H337" s="136">
        <v>41513</v>
      </c>
      <c r="I337" s="135">
        <v>1</v>
      </c>
      <c r="J337" s="327">
        <v>5274</v>
      </c>
      <c r="K337" s="327">
        <v>5274</v>
      </c>
      <c r="L337" s="226" t="s">
        <v>788</v>
      </c>
      <c r="M337" s="325" t="s">
        <v>34</v>
      </c>
    </row>
    <row r="338" spans="1:13" s="145" customFormat="1" ht="15" customHeight="1" x14ac:dyDescent="0.25">
      <c r="A338" s="135">
        <v>48</v>
      </c>
      <c r="B338" s="135">
        <v>51501</v>
      </c>
      <c r="C338" s="137" t="s">
        <v>2363</v>
      </c>
      <c r="D338" s="135" t="s">
        <v>2321</v>
      </c>
      <c r="E338" s="172" t="s">
        <v>580</v>
      </c>
      <c r="F338" s="139" t="s">
        <v>371</v>
      </c>
      <c r="G338" s="326"/>
      <c r="H338" s="136">
        <v>41513</v>
      </c>
      <c r="I338" s="135">
        <v>1</v>
      </c>
      <c r="J338" s="327">
        <v>25800</v>
      </c>
      <c r="K338" s="327">
        <v>25800</v>
      </c>
      <c r="L338" s="226" t="s">
        <v>788</v>
      </c>
      <c r="M338" s="325" t="s">
        <v>34</v>
      </c>
    </row>
    <row r="339" spans="1:13" s="145" customFormat="1" ht="15" customHeight="1" x14ac:dyDescent="0.25">
      <c r="A339" s="135">
        <v>49</v>
      </c>
      <c r="B339" s="135">
        <v>51419</v>
      </c>
      <c r="C339" s="137" t="s">
        <v>2364</v>
      </c>
      <c r="D339" s="135" t="s">
        <v>1030</v>
      </c>
      <c r="E339" s="172" t="s">
        <v>1011</v>
      </c>
      <c r="F339" s="139" t="s">
        <v>387</v>
      </c>
      <c r="G339" s="326"/>
      <c r="H339" s="136">
        <v>41512</v>
      </c>
      <c r="I339" s="135">
        <v>2</v>
      </c>
      <c r="J339" s="327">
        <v>9129</v>
      </c>
      <c r="K339" s="327">
        <v>18258</v>
      </c>
      <c r="L339" s="226" t="s">
        <v>788</v>
      </c>
      <c r="M339" s="325" t="s">
        <v>34</v>
      </c>
    </row>
    <row r="340" spans="1:13" s="145" customFormat="1" ht="15" customHeight="1" x14ac:dyDescent="0.25">
      <c r="A340" s="135">
        <v>50</v>
      </c>
      <c r="B340" s="135">
        <v>51591</v>
      </c>
      <c r="C340" s="137" t="s">
        <v>2365</v>
      </c>
      <c r="D340" s="135">
        <v>10</v>
      </c>
      <c r="E340" s="172" t="s">
        <v>116</v>
      </c>
      <c r="F340" s="139" t="s">
        <v>407</v>
      </c>
      <c r="G340" s="326" t="s">
        <v>2117</v>
      </c>
      <c r="H340" s="136">
        <v>41514</v>
      </c>
      <c r="I340" s="135">
        <v>1</v>
      </c>
      <c r="J340" s="327">
        <v>5274</v>
      </c>
      <c r="K340" s="327">
        <v>5274</v>
      </c>
      <c r="L340" s="226" t="s">
        <v>788</v>
      </c>
      <c r="M340" s="325" t="s">
        <v>34</v>
      </c>
    </row>
    <row r="341" spans="1:13" s="145" customFormat="1" ht="15" customHeight="1" x14ac:dyDescent="0.25">
      <c r="A341" s="135">
        <v>51</v>
      </c>
      <c r="B341" s="135">
        <v>51836</v>
      </c>
      <c r="C341" s="137" t="s">
        <v>2366</v>
      </c>
      <c r="D341" s="135" t="s">
        <v>1056</v>
      </c>
      <c r="E341" s="172" t="s">
        <v>115</v>
      </c>
      <c r="F341" s="139" t="s">
        <v>431</v>
      </c>
      <c r="G341" s="326" t="s">
        <v>2367</v>
      </c>
      <c r="H341" s="136">
        <v>41514</v>
      </c>
      <c r="I341" s="135">
        <v>1</v>
      </c>
      <c r="J341" s="327">
        <v>33370</v>
      </c>
      <c r="K341" s="327">
        <v>33370</v>
      </c>
      <c r="L341" s="226" t="s">
        <v>788</v>
      </c>
      <c r="M341" s="325" t="s">
        <v>34</v>
      </c>
    </row>
    <row r="342" spans="1:13" s="145" customFormat="1" ht="15" customHeight="1" x14ac:dyDescent="0.25">
      <c r="A342" s="135">
        <v>52</v>
      </c>
      <c r="B342" s="135">
        <v>51832</v>
      </c>
      <c r="C342" s="137" t="s">
        <v>2368</v>
      </c>
      <c r="D342" s="135" t="s">
        <v>1056</v>
      </c>
      <c r="E342" s="172" t="s">
        <v>188</v>
      </c>
      <c r="F342" s="139" t="s">
        <v>431</v>
      </c>
      <c r="G342" s="326" t="s">
        <v>563</v>
      </c>
      <c r="H342" s="136">
        <v>41514</v>
      </c>
      <c r="I342" s="135">
        <v>1</v>
      </c>
      <c r="J342" s="327">
        <v>42601</v>
      </c>
      <c r="K342" s="327">
        <v>42601</v>
      </c>
      <c r="L342" s="226" t="s">
        <v>788</v>
      </c>
      <c r="M342" s="325" t="s">
        <v>34</v>
      </c>
    </row>
    <row r="343" spans="1:13" s="145" customFormat="1" ht="15" customHeight="1" x14ac:dyDescent="0.25">
      <c r="A343" s="135">
        <v>53</v>
      </c>
      <c r="B343" s="135">
        <v>51960</v>
      </c>
      <c r="C343" s="137" t="s">
        <v>2369</v>
      </c>
      <c r="D343" s="135" t="s">
        <v>414</v>
      </c>
      <c r="E343" s="172" t="s">
        <v>116</v>
      </c>
      <c r="F343" s="139" t="s">
        <v>527</v>
      </c>
      <c r="G343" s="326" t="s">
        <v>1059</v>
      </c>
      <c r="H343" s="136">
        <v>41516</v>
      </c>
      <c r="I343" s="135">
        <v>1</v>
      </c>
      <c r="J343" s="327">
        <v>5274</v>
      </c>
      <c r="K343" s="327">
        <v>5274</v>
      </c>
      <c r="L343" s="226" t="s">
        <v>788</v>
      </c>
      <c r="M343" s="325" t="s">
        <v>34</v>
      </c>
    </row>
    <row r="344" spans="1:13" s="145" customFormat="1" ht="15" customHeight="1" x14ac:dyDescent="0.25">
      <c r="A344" s="135">
        <v>54</v>
      </c>
      <c r="B344" s="135">
        <v>52466</v>
      </c>
      <c r="C344" s="137" t="s">
        <v>2358</v>
      </c>
      <c r="D344" s="135" t="s">
        <v>414</v>
      </c>
      <c r="E344" s="172" t="s">
        <v>115</v>
      </c>
      <c r="F344" s="139" t="s">
        <v>511</v>
      </c>
      <c r="G344" s="326" t="s">
        <v>2136</v>
      </c>
      <c r="H344" s="136">
        <v>41516</v>
      </c>
      <c r="I344" s="135">
        <v>1</v>
      </c>
      <c r="J344" s="327">
        <v>33370</v>
      </c>
      <c r="K344" s="327">
        <v>33370</v>
      </c>
      <c r="L344" s="226" t="s">
        <v>788</v>
      </c>
      <c r="M344" s="325" t="s">
        <v>34</v>
      </c>
    </row>
    <row r="345" spans="1:13" s="145" customFormat="1" ht="15" customHeight="1" x14ac:dyDescent="0.25">
      <c r="A345" s="135">
        <v>55</v>
      </c>
      <c r="B345" s="135">
        <v>52272</v>
      </c>
      <c r="C345" s="137" t="s">
        <v>2370</v>
      </c>
      <c r="D345" s="135" t="s">
        <v>1056</v>
      </c>
      <c r="E345" s="172" t="s">
        <v>537</v>
      </c>
      <c r="F345" s="139" t="s">
        <v>442</v>
      </c>
      <c r="G345" s="326" t="s">
        <v>563</v>
      </c>
      <c r="H345" s="136">
        <v>41515</v>
      </c>
      <c r="I345" s="135">
        <v>1</v>
      </c>
      <c r="J345" s="327">
        <v>30429</v>
      </c>
      <c r="K345" s="327">
        <v>30429</v>
      </c>
      <c r="L345" s="226" t="s">
        <v>788</v>
      </c>
      <c r="M345" s="325" t="s">
        <v>34</v>
      </c>
    </row>
    <row r="346" spans="1:13" s="145" customFormat="1" ht="15" customHeight="1" x14ac:dyDescent="0.25">
      <c r="A346" s="135">
        <v>56</v>
      </c>
      <c r="B346" s="135">
        <v>52621</v>
      </c>
      <c r="C346" s="137" t="s">
        <v>2371</v>
      </c>
      <c r="D346" s="135" t="s">
        <v>414</v>
      </c>
      <c r="E346" s="172" t="s">
        <v>577</v>
      </c>
      <c r="F346" s="139" t="s">
        <v>527</v>
      </c>
      <c r="G346" s="326" t="s">
        <v>2151</v>
      </c>
      <c r="H346" s="136">
        <v>41516</v>
      </c>
      <c r="I346" s="135">
        <v>1</v>
      </c>
      <c r="J346" s="327">
        <v>49701</v>
      </c>
      <c r="K346" s="327">
        <v>49701</v>
      </c>
      <c r="L346" s="226" t="s">
        <v>788</v>
      </c>
      <c r="M346" s="325" t="s">
        <v>34</v>
      </c>
    </row>
    <row r="347" spans="1:13" s="145" customFormat="1" ht="15" customHeight="1" x14ac:dyDescent="0.25">
      <c r="A347" s="135">
        <v>57</v>
      </c>
      <c r="B347" s="135">
        <v>52676</v>
      </c>
      <c r="C347" s="137" t="s">
        <v>2372</v>
      </c>
      <c r="D347" s="135" t="s">
        <v>414</v>
      </c>
      <c r="E347" s="172" t="s">
        <v>188</v>
      </c>
      <c r="F347" s="139" t="s">
        <v>417</v>
      </c>
      <c r="G347" s="326" t="s">
        <v>2373</v>
      </c>
      <c r="H347" s="136">
        <v>41516</v>
      </c>
      <c r="I347" s="135">
        <v>1</v>
      </c>
      <c r="J347" s="327">
        <v>42601</v>
      </c>
      <c r="K347" s="327">
        <v>42601</v>
      </c>
      <c r="L347" s="226" t="s">
        <v>788</v>
      </c>
      <c r="M347" s="325" t="s">
        <v>34</v>
      </c>
    </row>
    <row r="348" spans="1:13" s="145" customFormat="1" ht="15" customHeight="1" thickBot="1" x14ac:dyDescent="0.3">
      <c r="A348" s="328">
        <v>58</v>
      </c>
      <c r="B348" s="328">
        <v>52905</v>
      </c>
      <c r="C348" s="329" t="s">
        <v>2374</v>
      </c>
      <c r="D348" s="245" t="s">
        <v>1056</v>
      </c>
      <c r="E348" s="247" t="s">
        <v>116</v>
      </c>
      <c r="F348" s="248" t="s">
        <v>594</v>
      </c>
      <c r="G348" s="330" t="s">
        <v>2067</v>
      </c>
      <c r="H348" s="250">
        <v>41516</v>
      </c>
      <c r="I348" s="245">
        <v>1</v>
      </c>
      <c r="J348" s="331">
        <v>5274</v>
      </c>
      <c r="K348" s="331">
        <v>5274</v>
      </c>
      <c r="L348" s="226" t="s">
        <v>788</v>
      </c>
      <c r="M348" s="325" t="s">
        <v>34</v>
      </c>
    </row>
    <row r="349" spans="1:13" s="145" customFormat="1" ht="15" customHeight="1" x14ac:dyDescent="0.25">
      <c r="A349" s="332">
        <v>59</v>
      </c>
      <c r="B349" s="333">
        <v>52449</v>
      </c>
      <c r="C349" s="334" t="s">
        <v>2352</v>
      </c>
      <c r="D349" s="332" t="s">
        <v>1056</v>
      </c>
      <c r="E349" s="335" t="s">
        <v>115</v>
      </c>
      <c r="F349" s="336" t="s">
        <v>568</v>
      </c>
      <c r="G349" s="337" t="s">
        <v>583</v>
      </c>
      <c r="H349" s="338">
        <v>41516</v>
      </c>
      <c r="I349" s="332">
        <v>1</v>
      </c>
      <c r="J349" s="327">
        <v>33370</v>
      </c>
      <c r="K349" s="327">
        <v>33370</v>
      </c>
      <c r="L349" s="339" t="s">
        <v>617</v>
      </c>
      <c r="M349" s="325" t="s">
        <v>34</v>
      </c>
    </row>
    <row r="350" spans="1:13" s="145" customFormat="1" ht="15" customHeight="1" x14ac:dyDescent="0.25">
      <c r="A350" s="333">
        <v>60</v>
      </c>
      <c r="B350" s="333">
        <v>53029</v>
      </c>
      <c r="C350" s="340" t="s">
        <v>2375</v>
      </c>
      <c r="D350" s="333" t="s">
        <v>1025</v>
      </c>
      <c r="E350" s="341" t="s">
        <v>580</v>
      </c>
      <c r="F350" s="342" t="s">
        <v>371</v>
      </c>
      <c r="G350" s="343"/>
      <c r="H350" s="344">
        <v>41517</v>
      </c>
      <c r="I350" s="333">
        <v>1</v>
      </c>
      <c r="J350" s="345">
        <v>25800</v>
      </c>
      <c r="K350" s="345">
        <v>25800</v>
      </c>
      <c r="L350" s="339" t="s">
        <v>617</v>
      </c>
      <c r="M350" s="325" t="s">
        <v>34</v>
      </c>
    </row>
    <row r="351" spans="1:13" s="145" customFormat="1" ht="15" customHeight="1" x14ac:dyDescent="0.25">
      <c r="A351" s="333">
        <v>61</v>
      </c>
      <c r="B351" s="333">
        <v>53648</v>
      </c>
      <c r="C351" s="340" t="s">
        <v>2376</v>
      </c>
      <c r="D351" s="333" t="s">
        <v>2321</v>
      </c>
      <c r="E351" s="341" t="s">
        <v>580</v>
      </c>
      <c r="F351" s="342" t="s">
        <v>371</v>
      </c>
      <c r="G351" s="343"/>
      <c r="H351" s="344">
        <v>41521</v>
      </c>
      <c r="I351" s="333">
        <v>1</v>
      </c>
      <c r="J351" s="345">
        <v>25800</v>
      </c>
      <c r="K351" s="345">
        <v>25800</v>
      </c>
      <c r="L351" s="339" t="s">
        <v>617</v>
      </c>
      <c r="M351" s="325" t="s">
        <v>34</v>
      </c>
    </row>
    <row r="352" spans="1:13" s="145" customFormat="1" ht="15" customHeight="1" x14ac:dyDescent="0.25">
      <c r="A352" s="333">
        <v>62</v>
      </c>
      <c r="B352" s="333">
        <v>53094</v>
      </c>
      <c r="C352" s="340" t="s">
        <v>2377</v>
      </c>
      <c r="D352" s="333" t="s">
        <v>1056</v>
      </c>
      <c r="E352" s="341" t="s">
        <v>116</v>
      </c>
      <c r="F352" s="342" t="s">
        <v>419</v>
      </c>
      <c r="G352" s="343" t="s">
        <v>489</v>
      </c>
      <c r="H352" s="344">
        <v>41520</v>
      </c>
      <c r="I352" s="333">
        <v>1</v>
      </c>
      <c r="J352" s="345">
        <v>5274</v>
      </c>
      <c r="K352" s="345">
        <v>5274</v>
      </c>
      <c r="L352" s="339" t="s">
        <v>617</v>
      </c>
      <c r="M352" s="325" t="s">
        <v>34</v>
      </c>
    </row>
    <row r="353" spans="1:13" s="145" customFormat="1" ht="15" customHeight="1" x14ac:dyDescent="0.25">
      <c r="A353" s="333">
        <v>63</v>
      </c>
      <c r="B353" s="333">
        <v>54054</v>
      </c>
      <c r="C353" s="340" t="s">
        <v>2324</v>
      </c>
      <c r="D353" s="333" t="s">
        <v>1014</v>
      </c>
      <c r="E353" s="341" t="s">
        <v>577</v>
      </c>
      <c r="F353" s="342" t="s">
        <v>2378</v>
      </c>
      <c r="G353" s="343" t="s">
        <v>1285</v>
      </c>
      <c r="H353" s="344">
        <v>41522</v>
      </c>
      <c r="I353" s="333">
        <v>1</v>
      </c>
      <c r="J353" s="345">
        <v>49701</v>
      </c>
      <c r="K353" s="345">
        <v>49701</v>
      </c>
      <c r="L353" s="339" t="s">
        <v>617</v>
      </c>
      <c r="M353" s="325" t="s">
        <v>34</v>
      </c>
    </row>
    <row r="354" spans="1:13" s="145" customFormat="1" ht="15" customHeight="1" x14ac:dyDescent="0.25">
      <c r="A354" s="333">
        <v>64</v>
      </c>
      <c r="B354" s="333">
        <v>57285</v>
      </c>
      <c r="C354" s="340" t="s">
        <v>2379</v>
      </c>
      <c r="D354" s="333" t="s">
        <v>2350</v>
      </c>
      <c r="E354" s="341" t="s">
        <v>580</v>
      </c>
      <c r="F354" s="342" t="s">
        <v>371</v>
      </c>
      <c r="G354" s="343"/>
      <c r="H354" s="344">
        <v>41534</v>
      </c>
      <c r="I354" s="333">
        <v>1</v>
      </c>
      <c r="J354" s="345">
        <v>25800</v>
      </c>
      <c r="K354" s="345">
        <v>25800</v>
      </c>
      <c r="L354" s="339" t="s">
        <v>617</v>
      </c>
      <c r="M354" s="325" t="s">
        <v>34</v>
      </c>
    </row>
    <row r="355" spans="1:13" s="145" customFormat="1" ht="15" customHeight="1" x14ac:dyDescent="0.25">
      <c r="A355" s="333">
        <v>65</v>
      </c>
      <c r="B355" s="333">
        <v>56751</v>
      </c>
      <c r="C355" s="340" t="s">
        <v>2380</v>
      </c>
      <c r="D355" s="333" t="s">
        <v>1030</v>
      </c>
      <c r="E355" s="341" t="s">
        <v>580</v>
      </c>
      <c r="F355" s="342" t="s">
        <v>371</v>
      </c>
      <c r="G355" s="343"/>
      <c r="H355" s="344">
        <v>41533</v>
      </c>
      <c r="I355" s="333">
        <v>1</v>
      </c>
      <c r="J355" s="345">
        <v>25800</v>
      </c>
      <c r="K355" s="345">
        <v>25800</v>
      </c>
      <c r="L355" s="339" t="s">
        <v>617</v>
      </c>
      <c r="M355" s="325" t="s">
        <v>34</v>
      </c>
    </row>
    <row r="356" spans="1:13" s="145" customFormat="1" ht="15" customHeight="1" x14ac:dyDescent="0.25">
      <c r="A356" s="333">
        <v>66</v>
      </c>
      <c r="B356" s="333">
        <v>56251</v>
      </c>
      <c r="C356" s="340" t="s">
        <v>2381</v>
      </c>
      <c r="D356" s="333" t="s">
        <v>2307</v>
      </c>
      <c r="E356" s="341" t="s">
        <v>580</v>
      </c>
      <c r="F356" s="342" t="s">
        <v>371</v>
      </c>
      <c r="G356" s="343"/>
      <c r="H356" s="344">
        <v>41529</v>
      </c>
      <c r="I356" s="333">
        <v>1</v>
      </c>
      <c r="J356" s="345">
        <v>25800</v>
      </c>
      <c r="K356" s="345">
        <v>25800</v>
      </c>
      <c r="L356" s="339" t="s">
        <v>617</v>
      </c>
      <c r="M356" s="325" t="s">
        <v>34</v>
      </c>
    </row>
    <row r="357" spans="1:13" s="145" customFormat="1" ht="15" customHeight="1" x14ac:dyDescent="0.25">
      <c r="A357" s="333">
        <v>67</v>
      </c>
      <c r="B357" s="333">
        <v>54589</v>
      </c>
      <c r="C357" s="340" t="s">
        <v>2382</v>
      </c>
      <c r="D357" s="333" t="s">
        <v>2321</v>
      </c>
      <c r="E357" s="341" t="s">
        <v>580</v>
      </c>
      <c r="F357" s="342" t="s">
        <v>371</v>
      </c>
      <c r="G357" s="343"/>
      <c r="H357" s="344">
        <v>41523</v>
      </c>
      <c r="I357" s="333">
        <v>1</v>
      </c>
      <c r="J357" s="345">
        <v>25800</v>
      </c>
      <c r="K357" s="345">
        <v>25800</v>
      </c>
      <c r="L357" s="339" t="s">
        <v>617</v>
      </c>
      <c r="M357" s="325" t="s">
        <v>34</v>
      </c>
    </row>
    <row r="358" spans="1:13" s="145" customFormat="1" ht="15" customHeight="1" x14ac:dyDescent="0.25">
      <c r="A358" s="333">
        <v>68</v>
      </c>
      <c r="B358" s="333">
        <v>53881</v>
      </c>
      <c r="C358" s="340" t="s">
        <v>2383</v>
      </c>
      <c r="D358" s="333" t="s">
        <v>2321</v>
      </c>
      <c r="E358" s="341" t="s">
        <v>580</v>
      </c>
      <c r="F358" s="342" t="s">
        <v>371</v>
      </c>
      <c r="G358" s="343"/>
      <c r="H358" s="344">
        <v>41521</v>
      </c>
      <c r="I358" s="333">
        <v>1</v>
      </c>
      <c r="J358" s="345">
        <v>25800</v>
      </c>
      <c r="K358" s="345">
        <v>25800</v>
      </c>
      <c r="L358" s="339" t="s">
        <v>617</v>
      </c>
      <c r="M358" s="325" t="s">
        <v>34</v>
      </c>
    </row>
    <row r="359" spans="1:13" s="145" customFormat="1" ht="15" customHeight="1" x14ac:dyDescent="0.25">
      <c r="A359" s="333">
        <v>69</v>
      </c>
      <c r="B359" s="333">
        <v>55399</v>
      </c>
      <c r="C359" s="340" t="s">
        <v>2384</v>
      </c>
      <c r="D359" s="333" t="s">
        <v>414</v>
      </c>
      <c r="E359" s="341" t="s">
        <v>580</v>
      </c>
      <c r="F359" s="342" t="s">
        <v>371</v>
      </c>
      <c r="G359" s="343"/>
      <c r="H359" s="344">
        <v>41527</v>
      </c>
      <c r="I359" s="333">
        <v>1</v>
      </c>
      <c r="J359" s="345">
        <v>25800</v>
      </c>
      <c r="K359" s="345">
        <v>25800</v>
      </c>
      <c r="L359" s="339" t="s">
        <v>617</v>
      </c>
      <c r="M359" s="325" t="s">
        <v>34</v>
      </c>
    </row>
    <row r="360" spans="1:13" s="134" customFormat="1" ht="15" customHeight="1" x14ac:dyDescent="0.25">
      <c r="A360" s="333">
        <v>70</v>
      </c>
      <c r="B360" s="333">
        <v>55904</v>
      </c>
      <c r="C360" s="340" t="s">
        <v>2385</v>
      </c>
      <c r="D360" s="333" t="s">
        <v>414</v>
      </c>
      <c r="E360" s="341" t="s">
        <v>217</v>
      </c>
      <c r="F360" s="342" t="s">
        <v>371</v>
      </c>
      <c r="G360" s="343"/>
      <c r="H360" s="344">
        <v>41530</v>
      </c>
      <c r="I360" s="333">
        <v>1</v>
      </c>
      <c r="J360" s="345">
        <v>44597</v>
      </c>
      <c r="K360" s="345">
        <v>44597</v>
      </c>
      <c r="L360" s="339" t="s">
        <v>617</v>
      </c>
      <c r="M360" s="325" t="s">
        <v>34</v>
      </c>
    </row>
    <row r="361" spans="1:13" s="134" customFormat="1" ht="15" customHeight="1" x14ac:dyDescent="0.25">
      <c r="A361" s="333">
        <v>71</v>
      </c>
      <c r="B361" s="333">
        <v>57115</v>
      </c>
      <c r="C361" s="340" t="s">
        <v>2386</v>
      </c>
      <c r="D361" s="333" t="s">
        <v>1014</v>
      </c>
      <c r="E361" s="341" t="s">
        <v>188</v>
      </c>
      <c r="F361" s="342" t="s">
        <v>1563</v>
      </c>
      <c r="G361" s="343"/>
      <c r="H361" s="344">
        <v>41533</v>
      </c>
      <c r="I361" s="333">
        <v>3</v>
      </c>
      <c r="J361" s="345">
        <v>42601</v>
      </c>
      <c r="K361" s="345">
        <v>127803</v>
      </c>
      <c r="L361" s="339" t="s">
        <v>617</v>
      </c>
      <c r="M361" s="325" t="s">
        <v>34</v>
      </c>
    </row>
    <row r="362" spans="1:13" s="134" customFormat="1" ht="15" customHeight="1" x14ac:dyDescent="0.25">
      <c r="A362" s="333">
        <v>72</v>
      </c>
      <c r="B362" s="333">
        <v>54055</v>
      </c>
      <c r="C362" s="340" t="s">
        <v>2387</v>
      </c>
      <c r="D362" s="333" t="s">
        <v>1014</v>
      </c>
      <c r="E362" s="341" t="s">
        <v>192</v>
      </c>
      <c r="F362" s="342" t="s">
        <v>1004</v>
      </c>
      <c r="G362" s="343" t="s">
        <v>583</v>
      </c>
      <c r="H362" s="344">
        <v>41522</v>
      </c>
      <c r="I362" s="333">
        <v>4</v>
      </c>
      <c r="J362" s="345">
        <v>57960</v>
      </c>
      <c r="K362" s="345">
        <v>231840</v>
      </c>
      <c r="L362" s="339" t="s">
        <v>617</v>
      </c>
      <c r="M362" s="325" t="s">
        <v>34</v>
      </c>
    </row>
    <row r="363" spans="1:13" s="134" customFormat="1" ht="15" customHeight="1" x14ac:dyDescent="0.25">
      <c r="A363" s="333">
        <v>73</v>
      </c>
      <c r="B363" s="333">
        <v>55667</v>
      </c>
      <c r="C363" s="340" t="s">
        <v>2356</v>
      </c>
      <c r="D363" s="333" t="s">
        <v>1014</v>
      </c>
      <c r="E363" s="341" t="s">
        <v>115</v>
      </c>
      <c r="F363" s="342" t="s">
        <v>2388</v>
      </c>
      <c r="G363" s="343"/>
      <c r="H363" s="344">
        <v>41528</v>
      </c>
      <c r="I363" s="333">
        <v>7</v>
      </c>
      <c r="J363" s="345">
        <v>33370</v>
      </c>
      <c r="K363" s="345">
        <v>233590</v>
      </c>
      <c r="L363" s="339" t="s">
        <v>617</v>
      </c>
      <c r="M363" s="325" t="s">
        <v>34</v>
      </c>
    </row>
    <row r="364" spans="1:13" s="134" customFormat="1" ht="15" customHeight="1" x14ac:dyDescent="0.25">
      <c r="A364" s="333">
        <v>74</v>
      </c>
      <c r="B364" s="333">
        <v>54851</v>
      </c>
      <c r="C364" s="340" t="s">
        <v>2389</v>
      </c>
      <c r="D364" s="333" t="s">
        <v>1056</v>
      </c>
      <c r="E364" s="341" t="s">
        <v>115</v>
      </c>
      <c r="F364" s="342" t="s">
        <v>562</v>
      </c>
      <c r="G364" s="343" t="s">
        <v>583</v>
      </c>
      <c r="H364" s="344">
        <v>41527</v>
      </c>
      <c r="I364" s="333">
        <v>1</v>
      </c>
      <c r="J364" s="345">
        <v>33370</v>
      </c>
      <c r="K364" s="345">
        <v>33370</v>
      </c>
      <c r="L364" s="339" t="s">
        <v>617</v>
      </c>
      <c r="M364" s="325" t="s">
        <v>34</v>
      </c>
    </row>
    <row r="365" spans="1:13" s="134" customFormat="1" ht="15" customHeight="1" x14ac:dyDescent="0.25">
      <c r="A365" s="333">
        <v>75</v>
      </c>
      <c r="B365" s="333">
        <v>54758</v>
      </c>
      <c r="C365" s="340" t="s">
        <v>2390</v>
      </c>
      <c r="D365" s="333" t="s">
        <v>414</v>
      </c>
      <c r="E365" s="341" t="s">
        <v>188</v>
      </c>
      <c r="F365" s="342" t="s">
        <v>431</v>
      </c>
      <c r="G365" s="343" t="s">
        <v>1285</v>
      </c>
      <c r="H365" s="344">
        <v>41523</v>
      </c>
      <c r="I365" s="333">
        <v>1</v>
      </c>
      <c r="J365" s="345">
        <v>42601</v>
      </c>
      <c r="K365" s="345">
        <v>42601</v>
      </c>
      <c r="L365" s="339" t="s">
        <v>617</v>
      </c>
      <c r="M365" s="325" t="s">
        <v>34</v>
      </c>
    </row>
    <row r="366" spans="1:13" s="134" customFormat="1" ht="15" customHeight="1" x14ac:dyDescent="0.25">
      <c r="A366" s="333">
        <v>76</v>
      </c>
      <c r="B366" s="333">
        <v>56887</v>
      </c>
      <c r="C366" s="340" t="s">
        <v>2391</v>
      </c>
      <c r="D366" s="333" t="s">
        <v>1014</v>
      </c>
      <c r="E366" s="341" t="s">
        <v>184</v>
      </c>
      <c r="F366" s="342" t="s">
        <v>2392</v>
      </c>
      <c r="G366" s="343" t="s">
        <v>583</v>
      </c>
      <c r="H366" s="344">
        <v>41533</v>
      </c>
      <c r="I366" s="333">
        <v>13</v>
      </c>
      <c r="J366" s="345">
        <v>45644</v>
      </c>
      <c r="K366" s="345">
        <v>593372</v>
      </c>
      <c r="L366" s="339" t="s">
        <v>617</v>
      </c>
      <c r="M366" s="325" t="s">
        <v>34</v>
      </c>
    </row>
    <row r="367" spans="1:13" s="134" customFormat="1" ht="15" customHeight="1" x14ac:dyDescent="0.25">
      <c r="A367" s="333">
        <v>77</v>
      </c>
      <c r="B367" s="333">
        <v>58489</v>
      </c>
      <c r="C367" s="340" t="s">
        <v>2340</v>
      </c>
      <c r="D367" s="333" t="s">
        <v>414</v>
      </c>
      <c r="E367" s="341" t="s">
        <v>580</v>
      </c>
      <c r="F367" s="342" t="s">
        <v>371</v>
      </c>
      <c r="G367" s="343"/>
      <c r="H367" s="344">
        <v>41544</v>
      </c>
      <c r="I367" s="333">
        <v>1</v>
      </c>
      <c r="J367" s="345">
        <v>25800</v>
      </c>
      <c r="K367" s="345">
        <v>25800</v>
      </c>
      <c r="L367" s="339" t="s">
        <v>617</v>
      </c>
      <c r="M367" s="325" t="s">
        <v>34</v>
      </c>
    </row>
    <row r="368" spans="1:13" s="134" customFormat="1" ht="15" customHeight="1" x14ac:dyDescent="0.25">
      <c r="A368" s="333">
        <v>78</v>
      </c>
      <c r="B368" s="333">
        <v>57679</v>
      </c>
      <c r="C368" s="340" t="s">
        <v>2393</v>
      </c>
      <c r="D368" s="333" t="s">
        <v>2321</v>
      </c>
      <c r="E368" s="341" t="s">
        <v>580</v>
      </c>
      <c r="F368" s="342" t="s">
        <v>371</v>
      </c>
      <c r="G368" s="343"/>
      <c r="H368" s="344">
        <v>41540</v>
      </c>
      <c r="I368" s="333">
        <v>1</v>
      </c>
      <c r="J368" s="345">
        <v>25800</v>
      </c>
      <c r="K368" s="345">
        <v>25800</v>
      </c>
      <c r="L368" s="339" t="s">
        <v>617</v>
      </c>
      <c r="M368" s="325" t="s">
        <v>34</v>
      </c>
    </row>
    <row r="369" spans="1:13" s="134" customFormat="1" ht="15" customHeight="1" x14ac:dyDescent="0.25">
      <c r="A369" s="333">
        <v>79</v>
      </c>
      <c r="B369" s="333">
        <v>58125</v>
      </c>
      <c r="C369" s="340" t="s">
        <v>2394</v>
      </c>
      <c r="D369" s="333" t="s">
        <v>2321</v>
      </c>
      <c r="E369" s="341" t="s">
        <v>580</v>
      </c>
      <c r="F369" s="342" t="s">
        <v>371</v>
      </c>
      <c r="G369" s="343"/>
      <c r="H369" s="344">
        <v>41542</v>
      </c>
      <c r="I369" s="333">
        <v>1</v>
      </c>
      <c r="J369" s="345">
        <v>25800</v>
      </c>
      <c r="K369" s="345">
        <v>25800</v>
      </c>
      <c r="L369" s="339" t="s">
        <v>617</v>
      </c>
      <c r="M369" s="325" t="s">
        <v>34</v>
      </c>
    </row>
    <row r="370" spans="1:13" s="134" customFormat="1" ht="15" customHeight="1" x14ac:dyDescent="0.25">
      <c r="A370" s="333">
        <v>80</v>
      </c>
      <c r="B370" s="333">
        <v>58036</v>
      </c>
      <c r="C370" s="340" t="s">
        <v>2395</v>
      </c>
      <c r="D370" s="333" t="s">
        <v>2321</v>
      </c>
      <c r="E370" s="341" t="s">
        <v>580</v>
      </c>
      <c r="F370" s="342" t="s">
        <v>371</v>
      </c>
      <c r="G370" s="343"/>
      <c r="H370" s="344">
        <v>41542</v>
      </c>
      <c r="I370" s="333">
        <v>1</v>
      </c>
      <c r="J370" s="345">
        <v>25800</v>
      </c>
      <c r="K370" s="345">
        <v>25800</v>
      </c>
      <c r="L370" s="339" t="s">
        <v>617</v>
      </c>
      <c r="M370" s="325" t="s">
        <v>34</v>
      </c>
    </row>
    <row r="371" spans="1:13" s="134" customFormat="1" ht="15" customHeight="1" x14ac:dyDescent="0.25">
      <c r="A371" s="333">
        <v>81</v>
      </c>
      <c r="B371" s="333">
        <v>57932</v>
      </c>
      <c r="C371" s="340" t="s">
        <v>2396</v>
      </c>
      <c r="D371" s="333" t="s">
        <v>2321</v>
      </c>
      <c r="E371" s="341" t="s">
        <v>580</v>
      </c>
      <c r="F371" s="342" t="s">
        <v>371</v>
      </c>
      <c r="G371" s="343"/>
      <c r="H371" s="344">
        <v>41541</v>
      </c>
      <c r="I371" s="333">
        <v>1</v>
      </c>
      <c r="J371" s="345">
        <v>25800</v>
      </c>
      <c r="K371" s="345">
        <v>25800</v>
      </c>
      <c r="L371" s="339" t="s">
        <v>617</v>
      </c>
      <c r="M371" s="325" t="s">
        <v>34</v>
      </c>
    </row>
    <row r="372" spans="1:13" s="134" customFormat="1" ht="15" customHeight="1" x14ac:dyDescent="0.25">
      <c r="A372" s="333">
        <v>82</v>
      </c>
      <c r="B372" s="333">
        <v>58649</v>
      </c>
      <c r="C372" s="340" t="s">
        <v>2397</v>
      </c>
      <c r="D372" s="333" t="s">
        <v>2321</v>
      </c>
      <c r="E372" s="341" t="s">
        <v>580</v>
      </c>
      <c r="F372" s="342" t="s">
        <v>371</v>
      </c>
      <c r="G372" s="343"/>
      <c r="H372" s="344">
        <v>41544</v>
      </c>
      <c r="I372" s="333">
        <v>1</v>
      </c>
      <c r="J372" s="345">
        <v>25800</v>
      </c>
      <c r="K372" s="345">
        <v>25800</v>
      </c>
      <c r="L372" s="339" t="s">
        <v>617</v>
      </c>
      <c r="M372" s="325" t="s">
        <v>34</v>
      </c>
    </row>
    <row r="373" spans="1:13" s="134" customFormat="1" ht="15" customHeight="1" x14ac:dyDescent="0.25">
      <c r="A373" s="333">
        <v>83</v>
      </c>
      <c r="B373" s="333">
        <v>59110</v>
      </c>
      <c r="C373" s="340" t="s">
        <v>2398</v>
      </c>
      <c r="D373" s="333" t="s">
        <v>1025</v>
      </c>
      <c r="E373" s="341" t="s">
        <v>580</v>
      </c>
      <c r="F373" s="342" t="s">
        <v>371</v>
      </c>
      <c r="G373" s="343"/>
      <c r="H373" s="344">
        <v>41547</v>
      </c>
      <c r="I373" s="333">
        <v>1</v>
      </c>
      <c r="J373" s="345">
        <v>25800</v>
      </c>
      <c r="K373" s="345">
        <v>25800</v>
      </c>
      <c r="L373" s="339" t="s">
        <v>617</v>
      </c>
      <c r="M373" s="325" t="s">
        <v>34</v>
      </c>
    </row>
    <row r="374" spans="1:13" s="134" customFormat="1" ht="15" customHeight="1" x14ac:dyDescent="0.25">
      <c r="A374" s="332">
        <v>84</v>
      </c>
      <c r="B374" s="332">
        <v>58729</v>
      </c>
      <c r="C374" s="334" t="s">
        <v>2399</v>
      </c>
      <c r="D374" s="332" t="s">
        <v>2321</v>
      </c>
      <c r="E374" s="335" t="s">
        <v>580</v>
      </c>
      <c r="F374" s="336" t="s">
        <v>371</v>
      </c>
      <c r="G374" s="337"/>
      <c r="H374" s="338">
        <v>41547</v>
      </c>
      <c r="I374" s="332">
        <v>1</v>
      </c>
      <c r="J374" s="327">
        <v>25800</v>
      </c>
      <c r="K374" s="327">
        <v>25800</v>
      </c>
      <c r="L374" s="339" t="s">
        <v>617</v>
      </c>
      <c r="M374" s="325" t="s">
        <v>34</v>
      </c>
    </row>
    <row r="375" spans="1:13" s="134" customFormat="1" ht="15" customHeight="1" x14ac:dyDescent="0.25">
      <c r="A375" s="333">
        <v>85</v>
      </c>
      <c r="B375" s="333">
        <v>58756</v>
      </c>
      <c r="C375" s="340" t="s">
        <v>2400</v>
      </c>
      <c r="D375" s="333" t="s">
        <v>414</v>
      </c>
      <c r="E375" s="341" t="s">
        <v>682</v>
      </c>
      <c r="F375" s="342" t="s">
        <v>371</v>
      </c>
      <c r="G375" s="343" t="s">
        <v>2135</v>
      </c>
      <c r="H375" s="344">
        <v>41545</v>
      </c>
      <c r="I375" s="333">
        <v>1</v>
      </c>
      <c r="J375" s="345">
        <v>55058</v>
      </c>
      <c r="K375" s="345">
        <v>55058</v>
      </c>
      <c r="L375" s="339" t="s">
        <v>617</v>
      </c>
      <c r="M375" s="325" t="s">
        <v>34</v>
      </c>
    </row>
    <row r="376" spans="1:13" s="134" customFormat="1" ht="15" customHeight="1" thickBot="1" x14ac:dyDescent="0.3">
      <c r="A376" s="346">
        <v>86</v>
      </c>
      <c r="B376" s="346">
        <v>59331</v>
      </c>
      <c r="C376" s="347" t="s">
        <v>2401</v>
      </c>
      <c r="D376" s="346" t="s">
        <v>2350</v>
      </c>
      <c r="E376" s="348" t="s">
        <v>580</v>
      </c>
      <c r="F376" s="349" t="s">
        <v>371</v>
      </c>
      <c r="G376" s="350"/>
      <c r="H376" s="351">
        <v>41547</v>
      </c>
      <c r="I376" s="346">
        <v>1</v>
      </c>
      <c r="J376" s="352">
        <v>25800</v>
      </c>
      <c r="K376" s="352">
        <v>25800</v>
      </c>
      <c r="L376" s="353" t="s">
        <v>617</v>
      </c>
      <c r="M376" s="325" t="s">
        <v>34</v>
      </c>
    </row>
    <row r="377" spans="1:13" s="134" customFormat="1" ht="15" customHeight="1" thickTop="1" x14ac:dyDescent="0.25">
      <c r="A377" s="274">
        <v>87</v>
      </c>
      <c r="B377" s="274">
        <v>59914</v>
      </c>
      <c r="C377" s="275" t="s">
        <v>2402</v>
      </c>
      <c r="D377" s="274" t="s">
        <v>2321</v>
      </c>
      <c r="E377" s="276" t="s">
        <v>580</v>
      </c>
      <c r="F377" s="277" t="s">
        <v>371</v>
      </c>
      <c r="G377" s="278"/>
      <c r="H377" s="279">
        <v>41549</v>
      </c>
      <c r="I377" s="274">
        <v>1</v>
      </c>
      <c r="J377" s="354">
        <v>25800</v>
      </c>
      <c r="K377" s="355">
        <v>25800</v>
      </c>
      <c r="L377" s="226" t="s">
        <v>620</v>
      </c>
      <c r="M377" s="325" t="s">
        <v>34</v>
      </c>
    </row>
    <row r="378" spans="1:13" s="134" customFormat="1" ht="15" customHeight="1" x14ac:dyDescent="0.25">
      <c r="A378" s="122">
        <v>88</v>
      </c>
      <c r="B378" s="274">
        <v>60390</v>
      </c>
      <c r="C378" s="275" t="s">
        <v>2403</v>
      </c>
      <c r="D378" s="274" t="s">
        <v>2404</v>
      </c>
      <c r="E378" s="276" t="s">
        <v>217</v>
      </c>
      <c r="F378" s="277" t="s">
        <v>371</v>
      </c>
      <c r="G378" s="278"/>
      <c r="H378" s="279">
        <v>41550</v>
      </c>
      <c r="I378" s="274">
        <v>1</v>
      </c>
      <c r="J378" s="354">
        <v>44597</v>
      </c>
      <c r="K378" s="355">
        <v>44597</v>
      </c>
      <c r="L378" s="226" t="s">
        <v>620</v>
      </c>
      <c r="M378" s="325" t="s">
        <v>34</v>
      </c>
    </row>
    <row r="379" spans="1:13" s="134" customFormat="1" ht="15" customHeight="1" x14ac:dyDescent="0.25">
      <c r="A379" s="122">
        <v>89</v>
      </c>
      <c r="B379" s="233">
        <v>60863</v>
      </c>
      <c r="C379" s="234" t="s">
        <v>2405</v>
      </c>
      <c r="D379" s="233" t="s">
        <v>1025</v>
      </c>
      <c r="E379" s="235" t="s">
        <v>580</v>
      </c>
      <c r="F379" s="236" t="s">
        <v>371</v>
      </c>
      <c r="G379" s="356"/>
      <c r="H379" s="238">
        <v>41551</v>
      </c>
      <c r="I379" s="233">
        <v>1</v>
      </c>
      <c r="J379" s="357">
        <v>25800</v>
      </c>
      <c r="K379" s="355">
        <v>25800</v>
      </c>
      <c r="L379" s="226" t="s">
        <v>620</v>
      </c>
      <c r="M379" s="325" t="s">
        <v>34</v>
      </c>
    </row>
    <row r="380" spans="1:13" s="134" customFormat="1" ht="15" customHeight="1" x14ac:dyDescent="0.25">
      <c r="A380" s="122">
        <v>90</v>
      </c>
      <c r="B380" s="233">
        <v>62160</v>
      </c>
      <c r="C380" s="234" t="s">
        <v>2406</v>
      </c>
      <c r="D380" s="233" t="s">
        <v>2350</v>
      </c>
      <c r="E380" s="235" t="s">
        <v>580</v>
      </c>
      <c r="F380" s="236" t="s">
        <v>371</v>
      </c>
      <c r="G380" s="356"/>
      <c r="H380" s="238">
        <v>41557</v>
      </c>
      <c r="I380" s="233">
        <v>1</v>
      </c>
      <c r="J380" s="357">
        <v>25800</v>
      </c>
      <c r="K380" s="355">
        <v>25800</v>
      </c>
      <c r="L380" s="226" t="s">
        <v>620</v>
      </c>
      <c r="M380" s="325" t="s">
        <v>34</v>
      </c>
    </row>
    <row r="381" spans="1:13" s="134" customFormat="1" ht="15" customHeight="1" x14ac:dyDescent="0.25">
      <c r="A381" s="122">
        <v>91</v>
      </c>
      <c r="B381" s="233">
        <v>61052</v>
      </c>
      <c r="C381" s="234" t="s">
        <v>2407</v>
      </c>
      <c r="D381" s="233" t="s">
        <v>2350</v>
      </c>
      <c r="E381" s="235" t="s">
        <v>580</v>
      </c>
      <c r="F381" s="236" t="s">
        <v>371</v>
      </c>
      <c r="G381" s="356"/>
      <c r="H381" s="238">
        <v>41554</v>
      </c>
      <c r="I381" s="233">
        <v>1</v>
      </c>
      <c r="J381" s="357">
        <v>25800</v>
      </c>
      <c r="K381" s="355">
        <v>25800</v>
      </c>
      <c r="L381" s="226" t="s">
        <v>620</v>
      </c>
      <c r="M381" s="325" t="s">
        <v>34</v>
      </c>
    </row>
    <row r="382" spans="1:13" s="134" customFormat="1" ht="15" customHeight="1" x14ac:dyDescent="0.25">
      <c r="A382" s="122">
        <v>92</v>
      </c>
      <c r="B382" s="233">
        <v>61256</v>
      </c>
      <c r="C382" s="234" t="s">
        <v>2408</v>
      </c>
      <c r="D382" s="233" t="s">
        <v>2350</v>
      </c>
      <c r="E382" s="235" t="s">
        <v>580</v>
      </c>
      <c r="F382" s="236" t="s">
        <v>371</v>
      </c>
      <c r="G382" s="356"/>
      <c r="H382" s="238">
        <v>41555</v>
      </c>
      <c r="I382" s="233">
        <v>1</v>
      </c>
      <c r="J382" s="357">
        <v>25800</v>
      </c>
      <c r="K382" s="355">
        <v>25800</v>
      </c>
      <c r="L382" s="226" t="s">
        <v>620</v>
      </c>
      <c r="M382" s="325" t="s">
        <v>34</v>
      </c>
    </row>
    <row r="383" spans="1:13" s="134" customFormat="1" ht="15" customHeight="1" x14ac:dyDescent="0.25">
      <c r="A383" s="122">
        <v>93</v>
      </c>
      <c r="B383" s="233">
        <v>61621</v>
      </c>
      <c r="C383" s="234" t="s">
        <v>2409</v>
      </c>
      <c r="D383" s="233" t="s">
        <v>414</v>
      </c>
      <c r="E383" s="235" t="s">
        <v>115</v>
      </c>
      <c r="F383" s="236" t="s">
        <v>2410</v>
      </c>
      <c r="G383" s="356" t="s">
        <v>2136</v>
      </c>
      <c r="H383" s="238">
        <v>41555</v>
      </c>
      <c r="I383" s="233">
        <v>2</v>
      </c>
      <c r="J383" s="357">
        <v>33370</v>
      </c>
      <c r="K383" s="355">
        <v>66740</v>
      </c>
      <c r="L383" s="226" t="s">
        <v>620</v>
      </c>
      <c r="M383" s="325" t="s">
        <v>34</v>
      </c>
    </row>
    <row r="384" spans="1:13" s="134" customFormat="1" ht="15" customHeight="1" x14ac:dyDescent="0.25">
      <c r="A384" s="122">
        <v>94</v>
      </c>
      <c r="B384" s="233">
        <v>62968</v>
      </c>
      <c r="C384" s="234" t="s">
        <v>2411</v>
      </c>
      <c r="D384" s="233" t="s">
        <v>2350</v>
      </c>
      <c r="E384" s="235" t="s">
        <v>580</v>
      </c>
      <c r="F384" s="236" t="s">
        <v>371</v>
      </c>
      <c r="G384" s="356"/>
      <c r="H384" s="238">
        <v>41561</v>
      </c>
      <c r="I384" s="233">
        <v>1</v>
      </c>
      <c r="J384" s="357">
        <v>25800</v>
      </c>
      <c r="K384" s="355">
        <v>25800</v>
      </c>
      <c r="L384" s="226" t="s">
        <v>620</v>
      </c>
      <c r="M384" s="325" t="s">
        <v>34</v>
      </c>
    </row>
    <row r="385" spans="1:13" s="134" customFormat="1" ht="15" customHeight="1" x14ac:dyDescent="0.25">
      <c r="A385" s="122">
        <v>95</v>
      </c>
      <c r="B385" s="233">
        <v>63216</v>
      </c>
      <c r="C385" s="234" t="s">
        <v>2412</v>
      </c>
      <c r="D385" s="233" t="s">
        <v>1020</v>
      </c>
      <c r="E385" s="235" t="s">
        <v>1011</v>
      </c>
      <c r="F385" s="236" t="s">
        <v>387</v>
      </c>
      <c r="G385" s="356"/>
      <c r="H385" s="238">
        <v>41562</v>
      </c>
      <c r="I385" s="233">
        <v>2</v>
      </c>
      <c r="J385" s="357">
        <v>9129</v>
      </c>
      <c r="K385" s="355">
        <v>18258</v>
      </c>
      <c r="L385" s="226" t="s">
        <v>620</v>
      </c>
      <c r="M385" s="325" t="s">
        <v>34</v>
      </c>
    </row>
    <row r="386" spans="1:13" s="134" customFormat="1" ht="15" customHeight="1" x14ac:dyDescent="0.25">
      <c r="A386" s="122">
        <v>96</v>
      </c>
      <c r="B386" s="233">
        <v>63087</v>
      </c>
      <c r="C386" s="234" t="s">
        <v>2349</v>
      </c>
      <c r="D386" s="233" t="s">
        <v>2350</v>
      </c>
      <c r="E386" s="235" t="s">
        <v>580</v>
      </c>
      <c r="F386" s="236" t="s">
        <v>371</v>
      </c>
      <c r="G386" s="356"/>
      <c r="H386" s="238">
        <v>41561</v>
      </c>
      <c r="I386" s="233">
        <v>1</v>
      </c>
      <c r="J386" s="357">
        <v>25800</v>
      </c>
      <c r="K386" s="355">
        <v>25800</v>
      </c>
      <c r="L386" s="226" t="s">
        <v>620</v>
      </c>
      <c r="M386" s="325" t="s">
        <v>34</v>
      </c>
    </row>
    <row r="387" spans="1:13" s="134" customFormat="1" ht="15" customHeight="1" x14ac:dyDescent="0.25">
      <c r="A387" s="122">
        <v>97</v>
      </c>
      <c r="B387" s="233">
        <v>64056</v>
      </c>
      <c r="C387" s="234" t="s">
        <v>2413</v>
      </c>
      <c r="D387" s="233" t="s">
        <v>2414</v>
      </c>
      <c r="E387" s="235" t="s">
        <v>580</v>
      </c>
      <c r="F387" s="236" t="s">
        <v>371</v>
      </c>
      <c r="G387" s="356"/>
      <c r="H387" s="238">
        <v>41564</v>
      </c>
      <c r="I387" s="233">
        <v>1</v>
      </c>
      <c r="J387" s="357">
        <v>25800</v>
      </c>
      <c r="K387" s="355">
        <v>25800</v>
      </c>
      <c r="L387" s="226" t="s">
        <v>620</v>
      </c>
      <c r="M387" s="325" t="s">
        <v>34</v>
      </c>
    </row>
    <row r="388" spans="1:13" s="134" customFormat="1" ht="15" customHeight="1" x14ac:dyDescent="0.25">
      <c r="A388" s="122">
        <v>98</v>
      </c>
      <c r="B388" s="233">
        <v>64648</v>
      </c>
      <c r="C388" s="234" t="s">
        <v>2415</v>
      </c>
      <c r="D388" s="233" t="s">
        <v>1025</v>
      </c>
      <c r="E388" s="235" t="s">
        <v>580</v>
      </c>
      <c r="F388" s="236" t="s">
        <v>371</v>
      </c>
      <c r="G388" s="356"/>
      <c r="H388" s="238">
        <v>41565</v>
      </c>
      <c r="I388" s="233">
        <v>1</v>
      </c>
      <c r="J388" s="357">
        <v>25800</v>
      </c>
      <c r="K388" s="355">
        <v>25800</v>
      </c>
      <c r="L388" s="226" t="s">
        <v>620</v>
      </c>
      <c r="M388" s="325" t="s">
        <v>34</v>
      </c>
    </row>
    <row r="389" spans="1:13" s="134" customFormat="1" ht="15" customHeight="1" x14ac:dyDescent="0.25">
      <c r="A389" s="122">
        <v>99</v>
      </c>
      <c r="B389" s="233">
        <v>65081</v>
      </c>
      <c r="C389" s="234" t="s">
        <v>2416</v>
      </c>
      <c r="D389" s="233" t="s">
        <v>1020</v>
      </c>
      <c r="E389" s="235" t="s">
        <v>580</v>
      </c>
      <c r="F389" s="236" t="s">
        <v>371</v>
      </c>
      <c r="G389" s="356"/>
      <c r="H389" s="238">
        <v>41569</v>
      </c>
      <c r="I389" s="233">
        <v>1</v>
      </c>
      <c r="J389" s="357">
        <v>25800</v>
      </c>
      <c r="K389" s="355">
        <v>25800</v>
      </c>
      <c r="L389" s="226" t="s">
        <v>620</v>
      </c>
      <c r="M389" s="325" t="s">
        <v>34</v>
      </c>
    </row>
    <row r="390" spans="1:13" s="134" customFormat="1" ht="15" customHeight="1" x14ac:dyDescent="0.25">
      <c r="A390" s="122">
        <v>100</v>
      </c>
      <c r="B390" s="233">
        <v>65377</v>
      </c>
      <c r="C390" s="234" t="s">
        <v>2417</v>
      </c>
      <c r="D390" s="233" t="s">
        <v>2321</v>
      </c>
      <c r="E390" s="235" t="s">
        <v>1011</v>
      </c>
      <c r="F390" s="236" t="s">
        <v>2418</v>
      </c>
      <c r="G390" s="356"/>
      <c r="H390" s="238">
        <v>41569</v>
      </c>
      <c r="I390" s="233">
        <v>2</v>
      </c>
      <c r="J390" s="357">
        <v>9129</v>
      </c>
      <c r="K390" s="355">
        <v>18258</v>
      </c>
      <c r="L390" s="226" t="s">
        <v>620</v>
      </c>
      <c r="M390" s="325" t="s">
        <v>34</v>
      </c>
    </row>
    <row r="391" spans="1:13" s="134" customFormat="1" ht="15" customHeight="1" x14ac:dyDescent="0.25">
      <c r="A391" s="122">
        <v>103</v>
      </c>
      <c r="B391" s="274">
        <v>80315</v>
      </c>
      <c r="C391" s="275" t="s">
        <v>2329</v>
      </c>
      <c r="D391" s="274" t="s">
        <v>1014</v>
      </c>
      <c r="E391" s="276" t="s">
        <v>188</v>
      </c>
      <c r="F391" s="277" t="s">
        <v>2419</v>
      </c>
      <c r="G391" s="278"/>
      <c r="H391" s="279">
        <v>41620</v>
      </c>
      <c r="I391" s="274">
        <v>4</v>
      </c>
      <c r="J391" s="354">
        <v>42601</v>
      </c>
      <c r="K391" s="358" t="s">
        <v>1018</v>
      </c>
      <c r="L391" s="359" t="s">
        <v>623</v>
      </c>
      <c r="M391" s="325" t="s">
        <v>34</v>
      </c>
    </row>
    <row r="392" spans="1:13" s="134" customFormat="1" ht="15" customHeight="1" x14ac:dyDescent="0.25">
      <c r="A392" s="303"/>
      <c r="B392" s="304"/>
      <c r="C392" s="305"/>
      <c r="D392" s="304"/>
      <c r="E392" s="304"/>
      <c r="F392" s="308"/>
      <c r="G392" s="308"/>
      <c r="H392" s="217"/>
      <c r="I392" s="304"/>
      <c r="J392" s="304"/>
      <c r="K392" s="217"/>
      <c r="L392" s="217"/>
      <c r="M392" s="316"/>
    </row>
    <row r="393" spans="1:13" s="134" customFormat="1" ht="15" customHeight="1" x14ac:dyDescent="0.25">
      <c r="A393" s="303"/>
      <c r="B393" s="304"/>
      <c r="C393" s="305"/>
      <c r="D393" s="304"/>
      <c r="E393" s="306" t="s">
        <v>2300</v>
      </c>
      <c r="F393" s="307">
        <v>3624379</v>
      </c>
      <c r="G393" s="308"/>
      <c r="H393" s="217"/>
      <c r="I393" s="304"/>
      <c r="J393" s="360" t="s">
        <v>2060</v>
      </c>
      <c r="K393" s="309">
        <v>3768555</v>
      </c>
      <c r="L393" s="310"/>
      <c r="M393" s="311" t="s">
        <v>2301</v>
      </c>
    </row>
    <row r="394" spans="1:13" s="134" customFormat="1" ht="15" customHeight="1" x14ac:dyDescent="0.25">
      <c r="A394" s="303"/>
      <c r="B394" s="304"/>
      <c r="C394" s="305"/>
      <c r="D394" s="304"/>
      <c r="E394" s="306" t="s">
        <v>2302</v>
      </c>
      <c r="F394" s="312">
        <v>472981.4595</v>
      </c>
      <c r="G394" s="308"/>
      <c r="H394" s="217"/>
      <c r="I394" s="304"/>
      <c r="J394" s="361" t="s">
        <v>2303</v>
      </c>
      <c r="K394" s="313">
        <v>0</v>
      </c>
      <c r="L394" s="314"/>
      <c r="M394" s="315"/>
    </row>
    <row r="395" spans="1:13" s="134" customFormat="1" ht="15" customHeight="1" x14ac:dyDescent="0.25">
      <c r="A395" s="303"/>
      <c r="B395" s="304"/>
      <c r="C395" s="305"/>
      <c r="D395" s="304"/>
      <c r="E395" s="217"/>
      <c r="F395" s="217"/>
      <c r="G395" s="308"/>
      <c r="H395" s="217"/>
      <c r="I395" s="304"/>
      <c r="J395" s="362"/>
      <c r="K395" s="362"/>
      <c r="L395" s="362"/>
      <c r="M395" s="315"/>
    </row>
    <row r="396" spans="1:13" s="134" customFormat="1" ht="36.75" customHeight="1" x14ac:dyDescent="0.25">
      <c r="A396" s="652" t="s">
        <v>2420</v>
      </c>
      <c r="B396" s="652"/>
      <c r="C396" s="652"/>
      <c r="D396" s="652"/>
      <c r="E396" s="652"/>
      <c r="F396" s="652"/>
      <c r="G396" s="652"/>
      <c r="H396" s="652"/>
      <c r="I396" s="652"/>
      <c r="J396" s="652"/>
      <c r="K396" s="652"/>
      <c r="L396" s="652"/>
      <c r="M396" s="652"/>
    </row>
    <row r="397" spans="1:13" s="134" customFormat="1" ht="15" customHeight="1" x14ac:dyDescent="0.25">
      <c r="A397" s="223" t="s">
        <v>2051</v>
      </c>
      <c r="B397" s="223" t="s">
        <v>97</v>
      </c>
      <c r="C397" s="223" t="s">
        <v>2052</v>
      </c>
      <c r="D397" s="223" t="s">
        <v>2053</v>
      </c>
      <c r="E397" s="223" t="s">
        <v>2054</v>
      </c>
      <c r="F397" s="223" t="s">
        <v>2055</v>
      </c>
      <c r="G397" s="223" t="s">
        <v>2056</v>
      </c>
      <c r="H397" s="224" t="s">
        <v>2057</v>
      </c>
      <c r="I397" s="223" t="s">
        <v>2058</v>
      </c>
      <c r="J397" s="223" t="s">
        <v>2059</v>
      </c>
      <c r="K397" s="223" t="s">
        <v>2060</v>
      </c>
      <c r="L397" s="223" t="s">
        <v>2061</v>
      </c>
      <c r="M397" s="223" t="s">
        <v>2305</v>
      </c>
    </row>
    <row r="398" spans="1:13" s="134" customFormat="1" ht="15" customHeight="1" x14ac:dyDescent="0.25">
      <c r="A398" s="174">
        <v>1</v>
      </c>
      <c r="B398" s="174">
        <v>36395</v>
      </c>
      <c r="C398" s="172" t="s">
        <v>2421</v>
      </c>
      <c r="D398" s="174" t="s">
        <v>476</v>
      </c>
      <c r="E398" s="172" t="s">
        <v>116</v>
      </c>
      <c r="F398" s="177" t="s">
        <v>410</v>
      </c>
      <c r="G398" s="177" t="s">
        <v>2067</v>
      </c>
      <c r="H398" s="175">
        <v>41450</v>
      </c>
      <c r="I398" s="174">
        <v>1</v>
      </c>
      <c r="J398" s="363">
        <v>5274</v>
      </c>
      <c r="K398" s="363">
        <v>5274</v>
      </c>
      <c r="L398" s="226" t="s">
        <v>608</v>
      </c>
      <c r="M398" s="130" t="s">
        <v>36</v>
      </c>
    </row>
    <row r="399" spans="1:13" s="134" customFormat="1" ht="15" customHeight="1" thickBot="1" x14ac:dyDescent="0.3">
      <c r="A399" s="228">
        <v>2</v>
      </c>
      <c r="B399" s="228">
        <v>36906</v>
      </c>
      <c r="C399" s="229" t="s">
        <v>2242</v>
      </c>
      <c r="D399" s="228" t="s">
        <v>476</v>
      </c>
      <c r="E399" s="229" t="s">
        <v>537</v>
      </c>
      <c r="F399" s="230" t="s">
        <v>419</v>
      </c>
      <c r="G399" s="230" t="s">
        <v>554</v>
      </c>
      <c r="H399" s="231">
        <v>41451</v>
      </c>
      <c r="I399" s="228">
        <v>1</v>
      </c>
      <c r="J399" s="364">
        <v>30429</v>
      </c>
      <c r="K399" s="364">
        <v>30429</v>
      </c>
      <c r="L399" s="226" t="s">
        <v>608</v>
      </c>
      <c r="M399" s="130" t="s">
        <v>36</v>
      </c>
    </row>
    <row r="400" spans="1:13" s="134" customFormat="1" ht="15" customHeight="1" thickTop="1" x14ac:dyDescent="0.25">
      <c r="A400" s="365">
        <v>3</v>
      </c>
      <c r="B400" s="333">
        <v>39555</v>
      </c>
      <c r="C400" s="340" t="s">
        <v>2422</v>
      </c>
      <c r="D400" s="333" t="s">
        <v>476</v>
      </c>
      <c r="E400" s="341" t="s">
        <v>116</v>
      </c>
      <c r="F400" s="342" t="s">
        <v>2423</v>
      </c>
      <c r="G400" s="343"/>
      <c r="H400" s="344">
        <v>41464</v>
      </c>
      <c r="I400" s="333">
        <v>2</v>
      </c>
      <c r="J400" s="345">
        <v>5274</v>
      </c>
      <c r="K400" s="345">
        <v>10548</v>
      </c>
      <c r="L400" s="226" t="s">
        <v>760</v>
      </c>
      <c r="M400" s="130" t="s">
        <v>36</v>
      </c>
    </row>
    <row r="401" spans="1:13" s="134" customFormat="1" ht="15" customHeight="1" x14ac:dyDescent="0.25">
      <c r="A401" s="366">
        <v>4</v>
      </c>
      <c r="B401" s="332">
        <v>38133</v>
      </c>
      <c r="C401" s="334" t="s">
        <v>2424</v>
      </c>
      <c r="D401" s="332" t="s">
        <v>476</v>
      </c>
      <c r="E401" s="335" t="s">
        <v>577</v>
      </c>
      <c r="F401" s="336" t="s">
        <v>527</v>
      </c>
      <c r="G401" s="337" t="s">
        <v>554</v>
      </c>
      <c r="H401" s="338">
        <v>41457</v>
      </c>
      <c r="I401" s="332">
        <v>1</v>
      </c>
      <c r="J401" s="327">
        <v>49701</v>
      </c>
      <c r="K401" s="327">
        <v>49701</v>
      </c>
      <c r="L401" s="226" t="s">
        <v>760</v>
      </c>
      <c r="M401" s="130" t="s">
        <v>36</v>
      </c>
    </row>
    <row r="402" spans="1:13" s="134" customFormat="1" ht="15" customHeight="1" x14ac:dyDescent="0.25">
      <c r="A402" s="366">
        <v>5</v>
      </c>
      <c r="B402" s="332">
        <v>39801</v>
      </c>
      <c r="C402" s="334" t="s">
        <v>2425</v>
      </c>
      <c r="D402" s="332" t="s">
        <v>476</v>
      </c>
      <c r="E402" s="335" t="s">
        <v>580</v>
      </c>
      <c r="F402" s="336" t="s">
        <v>371</v>
      </c>
      <c r="G402" s="337"/>
      <c r="H402" s="338">
        <v>41464</v>
      </c>
      <c r="I402" s="332">
        <v>1</v>
      </c>
      <c r="J402" s="327">
        <v>25800</v>
      </c>
      <c r="K402" s="327">
        <v>25800</v>
      </c>
      <c r="L402" s="226" t="s">
        <v>760</v>
      </c>
      <c r="M402" s="130" t="s">
        <v>36</v>
      </c>
    </row>
    <row r="403" spans="1:13" s="134" customFormat="1" ht="15" customHeight="1" x14ac:dyDescent="0.25">
      <c r="A403" s="366">
        <v>6</v>
      </c>
      <c r="B403" s="332">
        <v>42243</v>
      </c>
      <c r="C403" s="334" t="s">
        <v>2426</v>
      </c>
      <c r="D403" s="332" t="s">
        <v>476</v>
      </c>
      <c r="E403" s="335" t="s">
        <v>115</v>
      </c>
      <c r="F403" s="336" t="s">
        <v>472</v>
      </c>
      <c r="G403" s="337" t="s">
        <v>2427</v>
      </c>
      <c r="H403" s="338">
        <v>41477</v>
      </c>
      <c r="I403" s="332">
        <v>1</v>
      </c>
      <c r="J403" s="327">
        <v>33370</v>
      </c>
      <c r="K403" s="327">
        <v>33370</v>
      </c>
      <c r="L403" s="226" t="s">
        <v>760</v>
      </c>
      <c r="M403" s="130" t="s">
        <v>36</v>
      </c>
    </row>
    <row r="404" spans="1:13" s="134" customFormat="1" ht="15" customHeight="1" x14ac:dyDescent="0.25">
      <c r="A404" s="366">
        <v>7</v>
      </c>
      <c r="B404" s="332">
        <v>42265</v>
      </c>
      <c r="C404" s="334" t="s">
        <v>2428</v>
      </c>
      <c r="D404" s="332" t="s">
        <v>476</v>
      </c>
      <c r="E404" s="335" t="s">
        <v>115</v>
      </c>
      <c r="F404" s="336" t="s">
        <v>419</v>
      </c>
      <c r="G404" s="337" t="s">
        <v>1966</v>
      </c>
      <c r="H404" s="338">
        <v>41474</v>
      </c>
      <c r="I404" s="332">
        <v>1</v>
      </c>
      <c r="J404" s="327">
        <v>33370</v>
      </c>
      <c r="K404" s="327">
        <v>33370</v>
      </c>
      <c r="L404" s="226" t="s">
        <v>760</v>
      </c>
      <c r="M404" s="130" t="s">
        <v>36</v>
      </c>
    </row>
    <row r="405" spans="1:13" s="134" customFormat="1" ht="15" customHeight="1" x14ac:dyDescent="0.25">
      <c r="A405" s="366">
        <v>8</v>
      </c>
      <c r="B405" s="332">
        <v>38169</v>
      </c>
      <c r="C405" s="334" t="s">
        <v>2429</v>
      </c>
      <c r="D405" s="332" t="s">
        <v>476</v>
      </c>
      <c r="E405" s="335" t="s">
        <v>116</v>
      </c>
      <c r="F405" s="336" t="s">
        <v>419</v>
      </c>
      <c r="G405" s="337" t="s">
        <v>2067</v>
      </c>
      <c r="H405" s="338">
        <v>41457</v>
      </c>
      <c r="I405" s="332">
        <v>1</v>
      </c>
      <c r="J405" s="327">
        <v>5274</v>
      </c>
      <c r="K405" s="327">
        <v>5274</v>
      </c>
      <c r="L405" s="226" t="s">
        <v>760</v>
      </c>
      <c r="M405" s="130" t="s">
        <v>36</v>
      </c>
    </row>
    <row r="406" spans="1:13" s="134" customFormat="1" ht="15" customHeight="1" x14ac:dyDescent="0.25">
      <c r="A406" s="366">
        <v>9</v>
      </c>
      <c r="B406" s="332">
        <v>38169</v>
      </c>
      <c r="C406" s="334" t="s">
        <v>2429</v>
      </c>
      <c r="D406" s="332" t="s">
        <v>476</v>
      </c>
      <c r="E406" s="335" t="s">
        <v>537</v>
      </c>
      <c r="F406" s="336" t="s">
        <v>562</v>
      </c>
      <c r="G406" s="337" t="s">
        <v>554</v>
      </c>
      <c r="H406" s="338">
        <v>41457</v>
      </c>
      <c r="I406" s="332">
        <v>1</v>
      </c>
      <c r="J406" s="327">
        <v>30429</v>
      </c>
      <c r="K406" s="327">
        <v>30429</v>
      </c>
      <c r="L406" s="226" t="s">
        <v>760</v>
      </c>
      <c r="M406" s="130" t="s">
        <v>36</v>
      </c>
    </row>
    <row r="407" spans="1:13" s="134" customFormat="1" ht="15" customHeight="1" x14ac:dyDescent="0.25">
      <c r="A407" s="366">
        <v>10</v>
      </c>
      <c r="B407" s="332">
        <v>37925</v>
      </c>
      <c r="C407" s="334" t="s">
        <v>2430</v>
      </c>
      <c r="D407" s="332" t="s">
        <v>484</v>
      </c>
      <c r="E407" s="335" t="s">
        <v>116</v>
      </c>
      <c r="F407" s="336" t="s">
        <v>415</v>
      </c>
      <c r="G407" s="337" t="s">
        <v>2067</v>
      </c>
      <c r="H407" s="338">
        <v>41457</v>
      </c>
      <c r="I407" s="332">
        <v>1</v>
      </c>
      <c r="J407" s="327">
        <v>5274</v>
      </c>
      <c r="K407" s="327">
        <v>5274</v>
      </c>
      <c r="L407" s="226" t="s">
        <v>760</v>
      </c>
      <c r="M407" s="130" t="s">
        <v>36</v>
      </c>
    </row>
    <row r="408" spans="1:13" s="134" customFormat="1" ht="15" customHeight="1" x14ac:dyDescent="0.25">
      <c r="A408" s="366">
        <v>11</v>
      </c>
      <c r="B408" s="332">
        <v>40616</v>
      </c>
      <c r="C408" s="334" t="s">
        <v>2431</v>
      </c>
      <c r="D408" s="332" t="s">
        <v>476</v>
      </c>
      <c r="E408" s="335" t="s">
        <v>577</v>
      </c>
      <c r="F408" s="336" t="s">
        <v>431</v>
      </c>
      <c r="G408" s="337" t="s">
        <v>554</v>
      </c>
      <c r="H408" s="338">
        <v>41467</v>
      </c>
      <c r="I408" s="332">
        <v>1</v>
      </c>
      <c r="J408" s="327">
        <v>49701</v>
      </c>
      <c r="K408" s="327">
        <v>49701</v>
      </c>
      <c r="L408" s="226" t="s">
        <v>760</v>
      </c>
      <c r="M408" s="130" t="s">
        <v>36</v>
      </c>
    </row>
    <row r="409" spans="1:13" s="134" customFormat="1" ht="15" customHeight="1" x14ac:dyDescent="0.25">
      <c r="A409" s="366">
        <v>12</v>
      </c>
      <c r="B409" s="332">
        <v>43450</v>
      </c>
      <c r="C409" s="334" t="s">
        <v>2432</v>
      </c>
      <c r="D409" s="332" t="s">
        <v>476</v>
      </c>
      <c r="E409" s="335" t="s">
        <v>116</v>
      </c>
      <c r="F409" s="336" t="s">
        <v>442</v>
      </c>
      <c r="G409" s="337" t="s">
        <v>2067</v>
      </c>
      <c r="H409" s="338">
        <v>41484</v>
      </c>
      <c r="I409" s="332">
        <v>1</v>
      </c>
      <c r="J409" s="327">
        <v>5274</v>
      </c>
      <c r="K409" s="327">
        <v>5274</v>
      </c>
      <c r="L409" s="226" t="s">
        <v>760</v>
      </c>
      <c r="M409" s="130" t="s">
        <v>36</v>
      </c>
    </row>
    <row r="410" spans="1:13" s="134" customFormat="1" ht="15" customHeight="1" x14ac:dyDescent="0.25">
      <c r="A410" s="366">
        <v>13</v>
      </c>
      <c r="B410" s="332">
        <v>40159</v>
      </c>
      <c r="C410" s="334" t="s">
        <v>2433</v>
      </c>
      <c r="D410" s="332" t="s">
        <v>484</v>
      </c>
      <c r="E410" s="335" t="s">
        <v>115</v>
      </c>
      <c r="F410" s="336" t="s">
        <v>527</v>
      </c>
      <c r="G410" s="337" t="s">
        <v>2097</v>
      </c>
      <c r="H410" s="338">
        <v>41465</v>
      </c>
      <c r="I410" s="332">
        <v>1</v>
      </c>
      <c r="J410" s="327">
        <v>33370</v>
      </c>
      <c r="K410" s="327">
        <v>33370</v>
      </c>
      <c r="L410" s="226" t="s">
        <v>760</v>
      </c>
      <c r="M410" s="130" t="s">
        <v>36</v>
      </c>
    </row>
    <row r="411" spans="1:13" s="134" customFormat="1" ht="15" customHeight="1" x14ac:dyDescent="0.25">
      <c r="A411" s="366">
        <v>14</v>
      </c>
      <c r="B411" s="332">
        <v>37680</v>
      </c>
      <c r="C411" s="334" t="s">
        <v>2434</v>
      </c>
      <c r="D411" s="332" t="s">
        <v>476</v>
      </c>
      <c r="E411" s="335" t="s">
        <v>577</v>
      </c>
      <c r="F411" s="336" t="s">
        <v>419</v>
      </c>
      <c r="G411" s="337" t="s">
        <v>554</v>
      </c>
      <c r="H411" s="338">
        <v>41456</v>
      </c>
      <c r="I411" s="332">
        <v>1</v>
      </c>
      <c r="J411" s="327">
        <v>49701</v>
      </c>
      <c r="K411" s="327">
        <v>49701</v>
      </c>
      <c r="L411" s="226" t="s">
        <v>760</v>
      </c>
      <c r="M411" s="130" t="s">
        <v>36</v>
      </c>
    </row>
    <row r="412" spans="1:13" s="134" customFormat="1" ht="15" customHeight="1" x14ac:dyDescent="0.25">
      <c r="A412" s="366">
        <v>15</v>
      </c>
      <c r="B412" s="332">
        <v>40455</v>
      </c>
      <c r="C412" s="334" t="s">
        <v>2435</v>
      </c>
      <c r="D412" s="332" t="s">
        <v>476</v>
      </c>
      <c r="E412" s="335" t="s">
        <v>577</v>
      </c>
      <c r="F412" s="336" t="s">
        <v>419</v>
      </c>
      <c r="G412" s="337" t="s">
        <v>554</v>
      </c>
      <c r="H412" s="338">
        <v>41467</v>
      </c>
      <c r="I412" s="332">
        <v>1</v>
      </c>
      <c r="J412" s="327">
        <v>49701</v>
      </c>
      <c r="K412" s="327">
        <v>49701</v>
      </c>
      <c r="L412" s="226" t="s">
        <v>760</v>
      </c>
      <c r="M412" s="130" t="s">
        <v>36</v>
      </c>
    </row>
    <row r="413" spans="1:13" s="134" customFormat="1" ht="15" customHeight="1" x14ac:dyDescent="0.25">
      <c r="A413" s="366">
        <v>16</v>
      </c>
      <c r="B413" s="332">
        <v>40288</v>
      </c>
      <c r="C413" s="334" t="s">
        <v>2436</v>
      </c>
      <c r="D413" s="332" t="s">
        <v>484</v>
      </c>
      <c r="E413" s="335" t="s">
        <v>116</v>
      </c>
      <c r="F413" s="336" t="s">
        <v>417</v>
      </c>
      <c r="G413" s="337" t="s">
        <v>2107</v>
      </c>
      <c r="H413" s="338">
        <v>41466</v>
      </c>
      <c r="I413" s="332">
        <v>1</v>
      </c>
      <c r="J413" s="327">
        <v>5274</v>
      </c>
      <c r="K413" s="327">
        <v>5274</v>
      </c>
      <c r="L413" s="226" t="s">
        <v>760</v>
      </c>
      <c r="M413" s="130" t="s">
        <v>36</v>
      </c>
    </row>
    <row r="414" spans="1:13" s="134" customFormat="1" ht="15" customHeight="1" x14ac:dyDescent="0.25">
      <c r="A414" s="366">
        <v>17</v>
      </c>
      <c r="B414" s="332">
        <v>40222</v>
      </c>
      <c r="C414" s="334" t="s">
        <v>2437</v>
      </c>
      <c r="D414" s="332" t="s">
        <v>476</v>
      </c>
      <c r="E414" s="335" t="s">
        <v>116</v>
      </c>
      <c r="F414" s="336" t="s">
        <v>419</v>
      </c>
      <c r="G414" s="337" t="s">
        <v>2067</v>
      </c>
      <c r="H414" s="338">
        <v>41467</v>
      </c>
      <c r="I414" s="332">
        <v>1</v>
      </c>
      <c r="J414" s="327">
        <v>5274</v>
      </c>
      <c r="K414" s="327">
        <v>5274</v>
      </c>
      <c r="L414" s="226" t="s">
        <v>760</v>
      </c>
      <c r="M414" s="130" t="s">
        <v>36</v>
      </c>
    </row>
    <row r="415" spans="1:13" s="134" customFormat="1" ht="15" customHeight="1" x14ac:dyDescent="0.25">
      <c r="A415" s="366">
        <v>18</v>
      </c>
      <c r="B415" s="332">
        <v>37678</v>
      </c>
      <c r="C415" s="334" t="s">
        <v>2438</v>
      </c>
      <c r="D415" s="332" t="s">
        <v>476</v>
      </c>
      <c r="E415" s="335" t="s">
        <v>204</v>
      </c>
      <c r="F415" s="336" t="s">
        <v>568</v>
      </c>
      <c r="G415" s="337"/>
      <c r="H415" s="338">
        <v>41456</v>
      </c>
      <c r="I415" s="332">
        <v>1</v>
      </c>
      <c r="J415" s="327">
        <v>17244</v>
      </c>
      <c r="K415" s="327">
        <v>17244</v>
      </c>
      <c r="L415" s="226" t="s">
        <v>760</v>
      </c>
      <c r="M415" s="130" t="s">
        <v>36</v>
      </c>
    </row>
    <row r="416" spans="1:13" s="134" customFormat="1" ht="15" customHeight="1" x14ac:dyDescent="0.25">
      <c r="A416" s="366">
        <v>19</v>
      </c>
      <c r="B416" s="332">
        <v>40294</v>
      </c>
      <c r="C416" s="334" t="s">
        <v>2438</v>
      </c>
      <c r="D416" s="332" t="s">
        <v>476</v>
      </c>
      <c r="E416" s="335" t="s">
        <v>116</v>
      </c>
      <c r="F416" s="336" t="s">
        <v>812</v>
      </c>
      <c r="G416" s="337" t="s">
        <v>2107</v>
      </c>
      <c r="H416" s="338">
        <v>41465</v>
      </c>
      <c r="I416" s="332">
        <v>3</v>
      </c>
      <c r="J416" s="327">
        <v>5274</v>
      </c>
      <c r="K416" s="327">
        <v>15822</v>
      </c>
      <c r="L416" s="226" t="s">
        <v>760</v>
      </c>
      <c r="M416" s="130" t="s">
        <v>36</v>
      </c>
    </row>
    <row r="417" spans="1:13" s="134" customFormat="1" ht="15" customHeight="1" x14ac:dyDescent="0.25">
      <c r="A417" s="366">
        <v>20</v>
      </c>
      <c r="B417" s="332">
        <v>39299</v>
      </c>
      <c r="C417" s="334" t="s">
        <v>2439</v>
      </c>
      <c r="D417" s="332" t="s">
        <v>484</v>
      </c>
      <c r="E417" s="335" t="s">
        <v>577</v>
      </c>
      <c r="F417" s="336" t="s">
        <v>472</v>
      </c>
      <c r="G417" s="337" t="s">
        <v>569</v>
      </c>
      <c r="H417" s="338">
        <v>41460</v>
      </c>
      <c r="I417" s="332">
        <v>1</v>
      </c>
      <c r="J417" s="327">
        <v>49701</v>
      </c>
      <c r="K417" s="327">
        <v>49701</v>
      </c>
      <c r="L417" s="226" t="s">
        <v>760</v>
      </c>
      <c r="M417" s="130" t="s">
        <v>36</v>
      </c>
    </row>
    <row r="418" spans="1:13" s="134" customFormat="1" ht="15" customHeight="1" x14ac:dyDescent="0.25">
      <c r="A418" s="366">
        <v>21</v>
      </c>
      <c r="B418" s="332">
        <v>42879</v>
      </c>
      <c r="C418" s="334" t="s">
        <v>2439</v>
      </c>
      <c r="D418" s="332" t="s">
        <v>484</v>
      </c>
      <c r="E418" s="335" t="s">
        <v>577</v>
      </c>
      <c r="F418" s="336" t="s">
        <v>442</v>
      </c>
      <c r="G418" s="337" t="s">
        <v>2097</v>
      </c>
      <c r="H418" s="338">
        <v>41479</v>
      </c>
      <c r="I418" s="332">
        <v>1</v>
      </c>
      <c r="J418" s="327">
        <v>49701</v>
      </c>
      <c r="K418" s="327">
        <v>49701</v>
      </c>
      <c r="L418" s="226" t="s">
        <v>760</v>
      </c>
      <c r="M418" s="130" t="s">
        <v>36</v>
      </c>
    </row>
    <row r="419" spans="1:13" s="134" customFormat="1" ht="15" customHeight="1" x14ac:dyDescent="0.25">
      <c r="A419" s="366">
        <v>22</v>
      </c>
      <c r="B419" s="332">
        <v>41520</v>
      </c>
      <c r="C419" s="334" t="s">
        <v>2440</v>
      </c>
      <c r="D419" s="332" t="s">
        <v>476</v>
      </c>
      <c r="E419" s="335" t="s">
        <v>577</v>
      </c>
      <c r="F419" s="336" t="s">
        <v>419</v>
      </c>
      <c r="G419" s="337" t="s">
        <v>569</v>
      </c>
      <c r="H419" s="338">
        <v>41472</v>
      </c>
      <c r="I419" s="332">
        <v>1</v>
      </c>
      <c r="J419" s="327">
        <v>49701</v>
      </c>
      <c r="K419" s="327">
        <v>49701</v>
      </c>
      <c r="L419" s="226" t="s">
        <v>760</v>
      </c>
      <c r="M419" s="130" t="s">
        <v>36</v>
      </c>
    </row>
    <row r="420" spans="1:13" s="134" customFormat="1" ht="15" customHeight="1" x14ac:dyDescent="0.25">
      <c r="A420" s="366">
        <v>23</v>
      </c>
      <c r="B420" s="332">
        <v>38490</v>
      </c>
      <c r="C420" s="334" t="s">
        <v>2441</v>
      </c>
      <c r="D420" s="332" t="s">
        <v>476</v>
      </c>
      <c r="E420" s="335" t="s">
        <v>577</v>
      </c>
      <c r="F420" s="336" t="s">
        <v>568</v>
      </c>
      <c r="G420" s="337" t="s">
        <v>569</v>
      </c>
      <c r="H420" s="338">
        <v>41458</v>
      </c>
      <c r="I420" s="332">
        <v>1</v>
      </c>
      <c r="J420" s="327">
        <v>49701</v>
      </c>
      <c r="K420" s="327">
        <v>49701</v>
      </c>
      <c r="L420" s="226" t="s">
        <v>760</v>
      </c>
      <c r="M420" s="130" t="s">
        <v>36</v>
      </c>
    </row>
    <row r="421" spans="1:13" s="134" customFormat="1" ht="15" customHeight="1" x14ac:dyDescent="0.25">
      <c r="A421" s="366">
        <v>24</v>
      </c>
      <c r="B421" s="332">
        <v>38333</v>
      </c>
      <c r="C421" s="334" t="s">
        <v>2442</v>
      </c>
      <c r="D421" s="332" t="s">
        <v>474</v>
      </c>
      <c r="E421" s="335" t="s">
        <v>577</v>
      </c>
      <c r="F421" s="336" t="s">
        <v>419</v>
      </c>
      <c r="G421" s="337" t="s">
        <v>563</v>
      </c>
      <c r="H421" s="338">
        <v>41457</v>
      </c>
      <c r="I421" s="332">
        <v>1</v>
      </c>
      <c r="J421" s="327">
        <v>49701</v>
      </c>
      <c r="K421" s="327">
        <v>49701</v>
      </c>
      <c r="L421" s="226" t="s">
        <v>760</v>
      </c>
      <c r="M421" s="130" t="s">
        <v>36</v>
      </c>
    </row>
    <row r="422" spans="1:13" s="134" customFormat="1" ht="15" customHeight="1" x14ac:dyDescent="0.25">
      <c r="A422" s="366">
        <v>25</v>
      </c>
      <c r="B422" s="332">
        <v>42551</v>
      </c>
      <c r="C422" s="334" t="s">
        <v>2443</v>
      </c>
      <c r="D422" s="332" t="s">
        <v>484</v>
      </c>
      <c r="E422" s="335" t="s">
        <v>537</v>
      </c>
      <c r="F422" s="336" t="s">
        <v>527</v>
      </c>
      <c r="G422" s="337" t="s">
        <v>554</v>
      </c>
      <c r="H422" s="338">
        <v>41478</v>
      </c>
      <c r="I422" s="332">
        <v>1</v>
      </c>
      <c r="J422" s="327">
        <v>30429</v>
      </c>
      <c r="K422" s="327">
        <v>30429</v>
      </c>
      <c r="L422" s="226" t="s">
        <v>760</v>
      </c>
      <c r="M422" s="130" t="s">
        <v>36</v>
      </c>
    </row>
    <row r="423" spans="1:13" s="134" customFormat="1" ht="15" customHeight="1" x14ac:dyDescent="0.25">
      <c r="A423" s="366">
        <v>26</v>
      </c>
      <c r="B423" s="332">
        <v>42330</v>
      </c>
      <c r="C423" s="334" t="s">
        <v>2444</v>
      </c>
      <c r="D423" s="332" t="s">
        <v>476</v>
      </c>
      <c r="E423" s="335" t="s">
        <v>577</v>
      </c>
      <c r="F423" s="336" t="s">
        <v>417</v>
      </c>
      <c r="G423" s="337" t="s">
        <v>554</v>
      </c>
      <c r="H423" s="338">
        <v>41474</v>
      </c>
      <c r="I423" s="332">
        <v>1</v>
      </c>
      <c r="J423" s="327">
        <v>49701</v>
      </c>
      <c r="K423" s="327">
        <v>49701</v>
      </c>
      <c r="L423" s="226" t="s">
        <v>760</v>
      </c>
      <c r="M423" s="130" t="s">
        <v>36</v>
      </c>
    </row>
    <row r="424" spans="1:13" s="134" customFormat="1" ht="15" customHeight="1" x14ac:dyDescent="0.25">
      <c r="A424" s="366">
        <v>27</v>
      </c>
      <c r="B424" s="332">
        <v>38491</v>
      </c>
      <c r="C424" s="334" t="s">
        <v>1400</v>
      </c>
      <c r="D424" s="332" t="s">
        <v>484</v>
      </c>
      <c r="E424" s="335" t="s">
        <v>577</v>
      </c>
      <c r="F424" s="336" t="s">
        <v>431</v>
      </c>
      <c r="G424" s="337" t="s">
        <v>569</v>
      </c>
      <c r="H424" s="338">
        <v>41458</v>
      </c>
      <c r="I424" s="332">
        <v>1</v>
      </c>
      <c r="J424" s="327">
        <v>49701</v>
      </c>
      <c r="K424" s="327">
        <v>49701</v>
      </c>
      <c r="L424" s="226" t="s">
        <v>760</v>
      </c>
      <c r="M424" s="130" t="s">
        <v>36</v>
      </c>
    </row>
    <row r="425" spans="1:13" s="134" customFormat="1" ht="15" customHeight="1" x14ac:dyDescent="0.25">
      <c r="A425" s="366">
        <v>28</v>
      </c>
      <c r="B425" s="332">
        <v>37080</v>
      </c>
      <c r="C425" s="334" t="s">
        <v>2445</v>
      </c>
      <c r="D425" s="332" t="s">
        <v>484</v>
      </c>
      <c r="E425" s="335" t="s">
        <v>116</v>
      </c>
      <c r="F425" s="336" t="s">
        <v>538</v>
      </c>
      <c r="G425" s="337" t="s">
        <v>1064</v>
      </c>
      <c r="H425" s="338">
        <v>41453</v>
      </c>
      <c r="I425" s="332">
        <v>1</v>
      </c>
      <c r="J425" s="327">
        <v>5274</v>
      </c>
      <c r="K425" s="327">
        <v>5274</v>
      </c>
      <c r="L425" s="226" t="s">
        <v>760</v>
      </c>
      <c r="M425" s="130" t="s">
        <v>36</v>
      </c>
    </row>
    <row r="426" spans="1:13" s="134" customFormat="1" ht="15" customHeight="1" x14ac:dyDescent="0.25">
      <c r="A426" s="366">
        <v>29</v>
      </c>
      <c r="B426" s="332">
        <v>42255</v>
      </c>
      <c r="C426" s="334" t="s">
        <v>2445</v>
      </c>
      <c r="D426" s="332" t="s">
        <v>484</v>
      </c>
      <c r="E426" s="335" t="s">
        <v>115</v>
      </c>
      <c r="F426" s="336" t="s">
        <v>538</v>
      </c>
      <c r="G426" s="337" t="s">
        <v>554</v>
      </c>
      <c r="H426" s="338">
        <v>41477</v>
      </c>
      <c r="I426" s="332">
        <v>1</v>
      </c>
      <c r="J426" s="327">
        <v>33370</v>
      </c>
      <c r="K426" s="327">
        <v>33370</v>
      </c>
      <c r="L426" s="226" t="s">
        <v>760</v>
      </c>
      <c r="M426" s="130" t="s">
        <v>36</v>
      </c>
    </row>
    <row r="427" spans="1:13" s="134" customFormat="1" ht="15" customHeight="1" x14ac:dyDescent="0.25">
      <c r="A427" s="366">
        <v>30</v>
      </c>
      <c r="B427" s="332">
        <v>43041</v>
      </c>
      <c r="C427" s="334" t="s">
        <v>2446</v>
      </c>
      <c r="D427" s="332" t="s">
        <v>476</v>
      </c>
      <c r="E427" s="335" t="s">
        <v>577</v>
      </c>
      <c r="F427" s="336" t="s">
        <v>1645</v>
      </c>
      <c r="G427" s="337" t="s">
        <v>2097</v>
      </c>
      <c r="H427" s="338">
        <v>41479</v>
      </c>
      <c r="I427" s="332">
        <v>2</v>
      </c>
      <c r="J427" s="327">
        <v>49701</v>
      </c>
      <c r="K427" s="327">
        <v>99402</v>
      </c>
      <c r="L427" s="226" t="s">
        <v>760</v>
      </c>
      <c r="M427" s="130" t="s">
        <v>36</v>
      </c>
    </row>
    <row r="428" spans="1:13" s="134" customFormat="1" ht="15" customHeight="1" x14ac:dyDescent="0.25">
      <c r="A428" s="366">
        <v>31</v>
      </c>
      <c r="B428" s="332">
        <v>39752</v>
      </c>
      <c r="C428" s="334" t="s">
        <v>2447</v>
      </c>
      <c r="D428" s="332" t="s">
        <v>484</v>
      </c>
      <c r="E428" s="335" t="s">
        <v>577</v>
      </c>
      <c r="F428" s="336" t="s">
        <v>527</v>
      </c>
      <c r="G428" s="337" t="s">
        <v>569</v>
      </c>
      <c r="H428" s="338">
        <v>41464</v>
      </c>
      <c r="I428" s="332">
        <v>1</v>
      </c>
      <c r="J428" s="327">
        <v>49701</v>
      </c>
      <c r="K428" s="327">
        <v>49701</v>
      </c>
      <c r="L428" s="226" t="s">
        <v>760</v>
      </c>
      <c r="M428" s="130" t="s">
        <v>36</v>
      </c>
    </row>
    <row r="429" spans="1:13" s="134" customFormat="1" ht="15" customHeight="1" x14ac:dyDescent="0.25">
      <c r="A429" s="366">
        <v>32</v>
      </c>
      <c r="B429" s="332">
        <v>42013</v>
      </c>
      <c r="C429" s="334" t="s">
        <v>2448</v>
      </c>
      <c r="D429" s="332" t="s">
        <v>484</v>
      </c>
      <c r="E429" s="335" t="s">
        <v>577</v>
      </c>
      <c r="F429" s="336" t="s">
        <v>527</v>
      </c>
      <c r="G429" s="337" t="s">
        <v>2449</v>
      </c>
      <c r="H429" s="338">
        <v>41473</v>
      </c>
      <c r="I429" s="332">
        <v>1</v>
      </c>
      <c r="J429" s="327">
        <v>49701</v>
      </c>
      <c r="K429" s="327">
        <v>49701</v>
      </c>
      <c r="L429" s="226" t="s">
        <v>760</v>
      </c>
      <c r="M429" s="130" t="s">
        <v>36</v>
      </c>
    </row>
    <row r="430" spans="1:13" s="134" customFormat="1" ht="15" customHeight="1" x14ac:dyDescent="0.25">
      <c r="A430" s="366">
        <v>33</v>
      </c>
      <c r="B430" s="332">
        <v>37573</v>
      </c>
      <c r="C430" s="334" t="s">
        <v>2450</v>
      </c>
      <c r="D430" s="332" t="s">
        <v>476</v>
      </c>
      <c r="E430" s="335" t="s">
        <v>537</v>
      </c>
      <c r="F430" s="336" t="s">
        <v>442</v>
      </c>
      <c r="G430" s="337" t="s">
        <v>554</v>
      </c>
      <c r="H430" s="338">
        <v>41456</v>
      </c>
      <c r="I430" s="332">
        <v>1</v>
      </c>
      <c r="J430" s="327">
        <v>30429</v>
      </c>
      <c r="K430" s="327">
        <v>30429</v>
      </c>
      <c r="L430" s="226" t="s">
        <v>760</v>
      </c>
      <c r="M430" s="130" t="s">
        <v>36</v>
      </c>
    </row>
    <row r="431" spans="1:13" s="134" customFormat="1" ht="15" customHeight="1" x14ac:dyDescent="0.25">
      <c r="A431" s="366">
        <v>34</v>
      </c>
      <c r="B431" s="332">
        <v>41169</v>
      </c>
      <c r="C431" s="334" t="s">
        <v>2450</v>
      </c>
      <c r="D431" s="332" t="s">
        <v>476</v>
      </c>
      <c r="E431" s="335" t="s">
        <v>115</v>
      </c>
      <c r="F431" s="336" t="s">
        <v>419</v>
      </c>
      <c r="G431" s="337" t="s">
        <v>2451</v>
      </c>
      <c r="H431" s="338">
        <v>41470</v>
      </c>
      <c r="I431" s="332">
        <v>1</v>
      </c>
      <c r="J431" s="327">
        <v>33370</v>
      </c>
      <c r="K431" s="327">
        <v>33370</v>
      </c>
      <c r="L431" s="226" t="s">
        <v>760</v>
      </c>
      <c r="M431" s="130" t="s">
        <v>36</v>
      </c>
    </row>
    <row r="432" spans="1:13" s="134" customFormat="1" ht="15" customHeight="1" x14ac:dyDescent="0.25">
      <c r="A432" s="366">
        <v>35</v>
      </c>
      <c r="B432" s="332">
        <v>39582</v>
      </c>
      <c r="C432" s="334" t="s">
        <v>2452</v>
      </c>
      <c r="D432" s="332" t="s">
        <v>484</v>
      </c>
      <c r="E432" s="335" t="s">
        <v>115</v>
      </c>
      <c r="F432" s="336" t="s">
        <v>404</v>
      </c>
      <c r="G432" s="337" t="s">
        <v>2453</v>
      </c>
      <c r="H432" s="338">
        <v>41464</v>
      </c>
      <c r="I432" s="332">
        <v>1</v>
      </c>
      <c r="J432" s="327">
        <v>33370</v>
      </c>
      <c r="K432" s="327">
        <v>33370</v>
      </c>
      <c r="L432" s="226" t="s">
        <v>760</v>
      </c>
      <c r="M432" s="130" t="s">
        <v>36</v>
      </c>
    </row>
    <row r="433" spans="1:13" s="134" customFormat="1" ht="15" customHeight="1" x14ac:dyDescent="0.25">
      <c r="A433" s="366">
        <v>36</v>
      </c>
      <c r="B433" s="332">
        <v>42910</v>
      </c>
      <c r="C433" s="334" t="s">
        <v>2454</v>
      </c>
      <c r="D433" s="332" t="s">
        <v>476</v>
      </c>
      <c r="E433" s="335" t="s">
        <v>116</v>
      </c>
      <c r="F433" s="336" t="s">
        <v>562</v>
      </c>
      <c r="G433" s="337" t="s">
        <v>1059</v>
      </c>
      <c r="H433" s="338">
        <v>41478</v>
      </c>
      <c r="I433" s="332">
        <v>1</v>
      </c>
      <c r="J433" s="327">
        <v>5274</v>
      </c>
      <c r="K433" s="327">
        <v>5274</v>
      </c>
      <c r="L433" s="226" t="s">
        <v>760</v>
      </c>
      <c r="M433" s="130" t="s">
        <v>36</v>
      </c>
    </row>
    <row r="434" spans="1:13" s="134" customFormat="1" ht="15" customHeight="1" x14ac:dyDescent="0.25">
      <c r="A434" s="366">
        <v>37</v>
      </c>
      <c r="B434" s="332">
        <v>42910</v>
      </c>
      <c r="C434" s="334" t="s">
        <v>2454</v>
      </c>
      <c r="D434" s="332" t="s">
        <v>476</v>
      </c>
      <c r="E434" s="335" t="s">
        <v>577</v>
      </c>
      <c r="F434" s="336" t="s">
        <v>419</v>
      </c>
      <c r="G434" s="337" t="s">
        <v>554</v>
      </c>
      <c r="H434" s="338">
        <v>41478</v>
      </c>
      <c r="I434" s="332">
        <v>1</v>
      </c>
      <c r="J434" s="327">
        <v>49701</v>
      </c>
      <c r="K434" s="327">
        <v>49701</v>
      </c>
      <c r="L434" s="226" t="s">
        <v>760</v>
      </c>
      <c r="M434" s="130" t="s">
        <v>36</v>
      </c>
    </row>
    <row r="435" spans="1:13" s="134" customFormat="1" ht="15" customHeight="1" x14ac:dyDescent="0.25">
      <c r="A435" s="366">
        <v>38</v>
      </c>
      <c r="B435" s="332">
        <v>44081</v>
      </c>
      <c r="C435" s="334" t="s">
        <v>2455</v>
      </c>
      <c r="D435" s="332" t="s">
        <v>476</v>
      </c>
      <c r="E435" s="335" t="s">
        <v>204</v>
      </c>
      <c r="F435" s="336" t="s">
        <v>415</v>
      </c>
      <c r="G435" s="337"/>
      <c r="H435" s="338">
        <v>41484</v>
      </c>
      <c r="I435" s="332">
        <v>1</v>
      </c>
      <c r="J435" s="327">
        <v>17244</v>
      </c>
      <c r="K435" s="327">
        <v>17244</v>
      </c>
      <c r="L435" s="226" t="s">
        <v>760</v>
      </c>
      <c r="M435" s="130" t="s">
        <v>36</v>
      </c>
    </row>
    <row r="436" spans="1:13" s="134" customFormat="1" ht="15" customHeight="1" x14ac:dyDescent="0.25">
      <c r="A436" s="366">
        <v>39</v>
      </c>
      <c r="B436" s="332">
        <v>42933</v>
      </c>
      <c r="C436" s="334" t="s">
        <v>851</v>
      </c>
      <c r="D436" s="332" t="s">
        <v>476</v>
      </c>
      <c r="E436" s="335" t="s">
        <v>115</v>
      </c>
      <c r="F436" s="336" t="s">
        <v>383</v>
      </c>
      <c r="G436" s="337" t="s">
        <v>2097</v>
      </c>
      <c r="H436" s="338">
        <v>41479</v>
      </c>
      <c r="I436" s="332">
        <v>1</v>
      </c>
      <c r="J436" s="327">
        <v>33370</v>
      </c>
      <c r="K436" s="327">
        <v>33370</v>
      </c>
      <c r="L436" s="226" t="s">
        <v>760</v>
      </c>
      <c r="M436" s="130" t="s">
        <v>36</v>
      </c>
    </row>
    <row r="437" spans="1:13" s="134" customFormat="1" ht="15" customHeight="1" x14ac:dyDescent="0.25">
      <c r="A437" s="366">
        <v>40</v>
      </c>
      <c r="B437" s="332">
        <v>40844</v>
      </c>
      <c r="C437" s="334" t="s">
        <v>2456</v>
      </c>
      <c r="D437" s="332" t="s">
        <v>476</v>
      </c>
      <c r="E437" s="335" t="s">
        <v>116</v>
      </c>
      <c r="F437" s="336" t="s">
        <v>431</v>
      </c>
      <c r="G437" s="337" t="s">
        <v>2067</v>
      </c>
      <c r="H437" s="338">
        <v>41470</v>
      </c>
      <c r="I437" s="332">
        <v>1</v>
      </c>
      <c r="J437" s="327">
        <v>5274</v>
      </c>
      <c r="K437" s="327">
        <v>5274</v>
      </c>
      <c r="L437" s="226" t="s">
        <v>760</v>
      </c>
      <c r="M437" s="130" t="s">
        <v>36</v>
      </c>
    </row>
    <row r="438" spans="1:13" s="134" customFormat="1" ht="15" customHeight="1" x14ac:dyDescent="0.25">
      <c r="A438" s="366">
        <v>41</v>
      </c>
      <c r="B438" s="332">
        <v>42892</v>
      </c>
      <c r="C438" s="334" t="s">
        <v>2457</v>
      </c>
      <c r="D438" s="332" t="s">
        <v>1749</v>
      </c>
      <c r="E438" s="335" t="s">
        <v>580</v>
      </c>
      <c r="F438" s="336" t="s">
        <v>371</v>
      </c>
      <c r="G438" s="337"/>
      <c r="H438" s="338">
        <v>41478</v>
      </c>
      <c r="I438" s="332">
        <v>1</v>
      </c>
      <c r="J438" s="327">
        <v>25800</v>
      </c>
      <c r="K438" s="327">
        <v>25800</v>
      </c>
      <c r="L438" s="226" t="s">
        <v>760</v>
      </c>
      <c r="M438" s="130" t="s">
        <v>36</v>
      </c>
    </row>
    <row r="439" spans="1:13" s="134" customFormat="1" ht="15" customHeight="1" x14ac:dyDescent="0.25">
      <c r="A439" s="366">
        <v>42</v>
      </c>
      <c r="B439" s="332">
        <v>38059</v>
      </c>
      <c r="C439" s="334" t="s">
        <v>2421</v>
      </c>
      <c r="D439" s="332" t="s">
        <v>476</v>
      </c>
      <c r="E439" s="335" t="s">
        <v>1053</v>
      </c>
      <c r="F439" s="336" t="s">
        <v>410</v>
      </c>
      <c r="G439" s="337" t="s">
        <v>2151</v>
      </c>
      <c r="H439" s="338">
        <v>41456</v>
      </c>
      <c r="I439" s="332">
        <v>1</v>
      </c>
      <c r="J439" s="327">
        <v>57960</v>
      </c>
      <c r="K439" s="327">
        <v>57960</v>
      </c>
      <c r="L439" s="226" t="s">
        <v>760</v>
      </c>
      <c r="M439" s="130" t="s">
        <v>36</v>
      </c>
    </row>
    <row r="440" spans="1:13" s="134" customFormat="1" ht="15" customHeight="1" x14ac:dyDescent="0.25">
      <c r="A440" s="366">
        <v>43</v>
      </c>
      <c r="B440" s="332">
        <v>38960</v>
      </c>
      <c r="C440" s="334" t="s">
        <v>2458</v>
      </c>
      <c r="D440" s="332" t="s">
        <v>484</v>
      </c>
      <c r="E440" s="335" t="s">
        <v>577</v>
      </c>
      <c r="F440" s="336" t="s">
        <v>431</v>
      </c>
      <c r="G440" s="337" t="s">
        <v>569</v>
      </c>
      <c r="H440" s="338">
        <v>41460</v>
      </c>
      <c r="I440" s="332">
        <v>1</v>
      </c>
      <c r="J440" s="327">
        <v>49701</v>
      </c>
      <c r="K440" s="327">
        <v>49701</v>
      </c>
      <c r="L440" s="226" t="s">
        <v>760</v>
      </c>
      <c r="M440" s="130" t="s">
        <v>36</v>
      </c>
    </row>
    <row r="441" spans="1:13" s="134" customFormat="1" ht="15" customHeight="1" x14ac:dyDescent="0.25">
      <c r="A441" s="366">
        <v>44</v>
      </c>
      <c r="B441" s="332">
        <v>39676</v>
      </c>
      <c r="C441" s="334" t="s">
        <v>2459</v>
      </c>
      <c r="D441" s="332" t="s">
        <v>476</v>
      </c>
      <c r="E441" s="335" t="s">
        <v>204</v>
      </c>
      <c r="F441" s="336" t="s">
        <v>645</v>
      </c>
      <c r="G441" s="337"/>
      <c r="H441" s="338">
        <v>41465</v>
      </c>
      <c r="I441" s="332">
        <v>1</v>
      </c>
      <c r="J441" s="327">
        <v>17244</v>
      </c>
      <c r="K441" s="327">
        <v>17244</v>
      </c>
      <c r="L441" s="226" t="s">
        <v>760</v>
      </c>
      <c r="M441" s="130" t="s">
        <v>36</v>
      </c>
    </row>
    <row r="442" spans="1:13" s="134" customFormat="1" ht="15" customHeight="1" x14ac:dyDescent="0.25">
      <c r="A442" s="366">
        <v>45</v>
      </c>
      <c r="B442" s="332">
        <v>38142</v>
      </c>
      <c r="C442" s="334" t="s">
        <v>2460</v>
      </c>
      <c r="D442" s="332" t="s">
        <v>476</v>
      </c>
      <c r="E442" s="335" t="s">
        <v>577</v>
      </c>
      <c r="F442" s="336" t="s">
        <v>562</v>
      </c>
      <c r="G442" s="337" t="s">
        <v>554</v>
      </c>
      <c r="H442" s="338">
        <v>41457</v>
      </c>
      <c r="I442" s="332">
        <v>1</v>
      </c>
      <c r="J442" s="327">
        <v>49701</v>
      </c>
      <c r="K442" s="327">
        <v>49701</v>
      </c>
      <c r="L442" s="226" t="s">
        <v>760</v>
      </c>
      <c r="M442" s="130" t="s">
        <v>36</v>
      </c>
    </row>
    <row r="443" spans="1:13" s="134" customFormat="1" ht="15" customHeight="1" x14ac:dyDescent="0.25">
      <c r="A443" s="366">
        <v>46</v>
      </c>
      <c r="B443" s="332">
        <v>40043</v>
      </c>
      <c r="C443" s="334" t="s">
        <v>2460</v>
      </c>
      <c r="D443" s="332" t="s">
        <v>476</v>
      </c>
      <c r="E443" s="335" t="s">
        <v>537</v>
      </c>
      <c r="F443" s="336" t="s">
        <v>527</v>
      </c>
      <c r="G443" s="337" t="s">
        <v>554</v>
      </c>
      <c r="H443" s="338">
        <v>41465</v>
      </c>
      <c r="I443" s="332">
        <v>1</v>
      </c>
      <c r="J443" s="327">
        <v>30429</v>
      </c>
      <c r="K443" s="327">
        <v>30429</v>
      </c>
      <c r="L443" s="226" t="s">
        <v>760</v>
      </c>
      <c r="M443" s="130" t="s">
        <v>36</v>
      </c>
    </row>
    <row r="444" spans="1:13" s="134" customFormat="1" ht="15" customHeight="1" x14ac:dyDescent="0.25">
      <c r="A444" s="366">
        <v>47</v>
      </c>
      <c r="B444" s="332">
        <v>40047</v>
      </c>
      <c r="C444" s="334" t="s">
        <v>2461</v>
      </c>
      <c r="D444" s="332" t="s">
        <v>476</v>
      </c>
      <c r="E444" s="335" t="s">
        <v>116</v>
      </c>
      <c r="F444" s="336" t="s">
        <v>2462</v>
      </c>
      <c r="G444" s="337" t="s">
        <v>2067</v>
      </c>
      <c r="H444" s="338">
        <v>41464</v>
      </c>
      <c r="I444" s="332">
        <v>4</v>
      </c>
      <c r="J444" s="327">
        <v>5274</v>
      </c>
      <c r="K444" s="327">
        <v>21096</v>
      </c>
      <c r="L444" s="226" t="s">
        <v>760</v>
      </c>
      <c r="M444" s="130" t="s">
        <v>36</v>
      </c>
    </row>
    <row r="445" spans="1:13" s="134" customFormat="1" ht="15" customHeight="1" x14ac:dyDescent="0.25">
      <c r="A445" s="366">
        <v>48</v>
      </c>
      <c r="B445" s="332">
        <v>41499</v>
      </c>
      <c r="C445" s="334" t="s">
        <v>2463</v>
      </c>
      <c r="D445" s="332" t="s">
        <v>484</v>
      </c>
      <c r="E445" s="335" t="s">
        <v>537</v>
      </c>
      <c r="F445" s="336" t="s">
        <v>511</v>
      </c>
      <c r="G445" s="337" t="s">
        <v>554</v>
      </c>
      <c r="H445" s="338">
        <v>41472</v>
      </c>
      <c r="I445" s="332">
        <v>1</v>
      </c>
      <c r="J445" s="327">
        <v>30429</v>
      </c>
      <c r="K445" s="327">
        <v>30429</v>
      </c>
      <c r="L445" s="226" t="s">
        <v>760</v>
      </c>
      <c r="M445" s="130" t="s">
        <v>36</v>
      </c>
    </row>
    <row r="446" spans="1:13" s="240" customFormat="1" ht="15" customHeight="1" x14ac:dyDescent="0.25">
      <c r="A446" s="366">
        <v>49</v>
      </c>
      <c r="B446" s="332">
        <v>38918</v>
      </c>
      <c r="C446" s="334" t="s">
        <v>2464</v>
      </c>
      <c r="D446" s="332" t="s">
        <v>484</v>
      </c>
      <c r="E446" s="335" t="s">
        <v>204</v>
      </c>
      <c r="F446" s="336" t="s">
        <v>511</v>
      </c>
      <c r="G446" s="337"/>
      <c r="H446" s="338">
        <v>41460</v>
      </c>
      <c r="I446" s="332">
        <v>1</v>
      </c>
      <c r="J446" s="327">
        <v>17244</v>
      </c>
      <c r="K446" s="327">
        <v>17244</v>
      </c>
      <c r="L446" s="226" t="s">
        <v>760</v>
      </c>
      <c r="M446" s="130" t="s">
        <v>36</v>
      </c>
    </row>
    <row r="447" spans="1:13" s="240" customFormat="1" ht="15" customHeight="1" x14ac:dyDescent="0.25">
      <c r="A447" s="366">
        <v>50</v>
      </c>
      <c r="B447" s="332">
        <v>40486</v>
      </c>
      <c r="C447" s="334" t="s">
        <v>2465</v>
      </c>
      <c r="D447" s="332" t="s">
        <v>484</v>
      </c>
      <c r="E447" s="335" t="s">
        <v>237</v>
      </c>
      <c r="F447" s="336" t="s">
        <v>369</v>
      </c>
      <c r="G447" s="337"/>
      <c r="H447" s="338">
        <v>41466</v>
      </c>
      <c r="I447" s="332">
        <v>1</v>
      </c>
      <c r="J447" s="327">
        <v>10401</v>
      </c>
      <c r="K447" s="327">
        <v>10401</v>
      </c>
      <c r="L447" s="226" t="s">
        <v>760</v>
      </c>
      <c r="M447" s="130" t="s">
        <v>36</v>
      </c>
    </row>
    <row r="448" spans="1:13" s="240" customFormat="1" ht="15" customHeight="1" x14ac:dyDescent="0.25">
      <c r="A448" s="366">
        <v>51</v>
      </c>
      <c r="B448" s="332">
        <v>44454</v>
      </c>
      <c r="C448" s="334" t="s">
        <v>2466</v>
      </c>
      <c r="D448" s="332" t="s">
        <v>484</v>
      </c>
      <c r="E448" s="335" t="s">
        <v>580</v>
      </c>
      <c r="F448" s="336" t="s">
        <v>371</v>
      </c>
      <c r="G448" s="337"/>
      <c r="H448" s="338">
        <v>41485</v>
      </c>
      <c r="I448" s="332">
        <v>1</v>
      </c>
      <c r="J448" s="327">
        <v>25800</v>
      </c>
      <c r="K448" s="327">
        <v>25800</v>
      </c>
      <c r="L448" s="226" t="s">
        <v>760</v>
      </c>
      <c r="M448" s="130" t="s">
        <v>36</v>
      </c>
    </row>
    <row r="449" spans="1:13" s="240" customFormat="1" ht="15" customHeight="1" x14ac:dyDescent="0.25">
      <c r="A449" s="366">
        <v>52</v>
      </c>
      <c r="B449" s="332">
        <v>43081</v>
      </c>
      <c r="C449" s="334" t="s">
        <v>2467</v>
      </c>
      <c r="D449" s="332" t="s">
        <v>484</v>
      </c>
      <c r="E449" s="335" t="s">
        <v>116</v>
      </c>
      <c r="F449" s="336" t="s">
        <v>442</v>
      </c>
      <c r="G449" s="337" t="s">
        <v>1064</v>
      </c>
      <c r="H449" s="338">
        <v>41479</v>
      </c>
      <c r="I449" s="332">
        <v>1</v>
      </c>
      <c r="J449" s="327">
        <v>5274</v>
      </c>
      <c r="K449" s="327">
        <v>5274</v>
      </c>
      <c r="L449" s="226" t="s">
        <v>760</v>
      </c>
      <c r="M449" s="130" t="s">
        <v>36</v>
      </c>
    </row>
    <row r="450" spans="1:13" s="240" customFormat="1" ht="15" customHeight="1" x14ac:dyDescent="0.25">
      <c r="A450" s="366">
        <v>53</v>
      </c>
      <c r="B450" s="332">
        <v>41134</v>
      </c>
      <c r="C450" s="334" t="s">
        <v>2468</v>
      </c>
      <c r="D450" s="332" t="s">
        <v>484</v>
      </c>
      <c r="E450" s="335" t="s">
        <v>217</v>
      </c>
      <c r="F450" s="336" t="s">
        <v>369</v>
      </c>
      <c r="G450" s="337" t="s">
        <v>2469</v>
      </c>
      <c r="H450" s="338">
        <v>41470</v>
      </c>
      <c r="I450" s="332">
        <v>1</v>
      </c>
      <c r="J450" s="327">
        <v>44597</v>
      </c>
      <c r="K450" s="327">
        <v>44597</v>
      </c>
      <c r="L450" s="226" t="s">
        <v>760</v>
      </c>
      <c r="M450" s="130" t="s">
        <v>36</v>
      </c>
    </row>
    <row r="451" spans="1:13" s="240" customFormat="1" ht="15" customHeight="1" x14ac:dyDescent="0.25">
      <c r="A451" s="366">
        <v>54</v>
      </c>
      <c r="B451" s="332">
        <v>379772</v>
      </c>
      <c r="C451" s="334" t="s">
        <v>2470</v>
      </c>
      <c r="D451" s="332" t="s">
        <v>484</v>
      </c>
      <c r="E451" s="335" t="s">
        <v>537</v>
      </c>
      <c r="F451" s="336" t="s">
        <v>562</v>
      </c>
      <c r="G451" s="337" t="s">
        <v>2471</v>
      </c>
      <c r="H451" s="338">
        <v>41456</v>
      </c>
      <c r="I451" s="332">
        <v>1</v>
      </c>
      <c r="J451" s="327">
        <v>30429</v>
      </c>
      <c r="K451" s="327">
        <v>30429</v>
      </c>
      <c r="L451" s="226" t="s">
        <v>760</v>
      </c>
      <c r="M451" s="130" t="s">
        <v>36</v>
      </c>
    </row>
    <row r="452" spans="1:13" s="240" customFormat="1" ht="15" customHeight="1" x14ac:dyDescent="0.25">
      <c r="A452" s="366">
        <v>55</v>
      </c>
      <c r="B452" s="332">
        <v>38058</v>
      </c>
      <c r="C452" s="334" t="s">
        <v>1244</v>
      </c>
      <c r="D452" s="332" t="s">
        <v>484</v>
      </c>
      <c r="E452" s="335" t="s">
        <v>577</v>
      </c>
      <c r="F452" s="336" t="s">
        <v>527</v>
      </c>
      <c r="G452" s="337" t="s">
        <v>569</v>
      </c>
      <c r="H452" s="338">
        <v>41453</v>
      </c>
      <c r="I452" s="332">
        <v>1</v>
      </c>
      <c r="J452" s="327">
        <v>49701</v>
      </c>
      <c r="K452" s="327">
        <v>49701</v>
      </c>
      <c r="L452" s="226" t="s">
        <v>760</v>
      </c>
      <c r="M452" s="130" t="s">
        <v>36</v>
      </c>
    </row>
    <row r="453" spans="1:13" s="240" customFormat="1" ht="15" customHeight="1" x14ac:dyDescent="0.25">
      <c r="A453" s="366">
        <v>56</v>
      </c>
      <c r="B453" s="332">
        <v>41486</v>
      </c>
      <c r="C453" s="334" t="s">
        <v>1244</v>
      </c>
      <c r="D453" s="332" t="s">
        <v>484</v>
      </c>
      <c r="E453" s="335" t="s">
        <v>577</v>
      </c>
      <c r="F453" s="336" t="s">
        <v>472</v>
      </c>
      <c r="G453" s="337" t="s">
        <v>554</v>
      </c>
      <c r="H453" s="338">
        <v>41472</v>
      </c>
      <c r="I453" s="332">
        <v>1</v>
      </c>
      <c r="J453" s="327">
        <v>49701</v>
      </c>
      <c r="K453" s="327">
        <v>49701</v>
      </c>
      <c r="L453" s="226" t="s">
        <v>760</v>
      </c>
      <c r="M453" s="130" t="s">
        <v>36</v>
      </c>
    </row>
    <row r="454" spans="1:13" s="240" customFormat="1" ht="15" customHeight="1" x14ac:dyDescent="0.25">
      <c r="A454" s="366">
        <v>57</v>
      </c>
      <c r="B454" s="332">
        <v>10329</v>
      </c>
      <c r="C454" s="334" t="s">
        <v>2472</v>
      </c>
      <c r="D454" s="332" t="s">
        <v>476</v>
      </c>
      <c r="E454" s="335" t="s">
        <v>115</v>
      </c>
      <c r="F454" s="336" t="s">
        <v>417</v>
      </c>
      <c r="G454" s="337" t="s">
        <v>2097</v>
      </c>
      <c r="H454" s="338">
        <v>41465</v>
      </c>
      <c r="I454" s="332">
        <v>1</v>
      </c>
      <c r="J454" s="327">
        <v>33370</v>
      </c>
      <c r="K454" s="327">
        <v>33370</v>
      </c>
      <c r="L454" s="226" t="s">
        <v>760</v>
      </c>
      <c r="M454" s="130" t="s">
        <v>36</v>
      </c>
    </row>
    <row r="455" spans="1:13" s="240" customFormat="1" ht="15" customHeight="1" x14ac:dyDescent="0.25">
      <c r="A455" s="366">
        <v>58</v>
      </c>
      <c r="B455" s="332">
        <v>40343</v>
      </c>
      <c r="C455" s="334" t="s">
        <v>2473</v>
      </c>
      <c r="D455" s="332" t="s">
        <v>476</v>
      </c>
      <c r="E455" s="335" t="s">
        <v>116</v>
      </c>
      <c r="F455" s="336" t="s">
        <v>442</v>
      </c>
      <c r="G455" s="337" t="s">
        <v>2067</v>
      </c>
      <c r="H455" s="338">
        <v>41470</v>
      </c>
      <c r="I455" s="332">
        <v>1</v>
      </c>
      <c r="J455" s="327">
        <v>5274</v>
      </c>
      <c r="K455" s="327">
        <v>5274</v>
      </c>
      <c r="L455" s="226" t="s">
        <v>760</v>
      </c>
      <c r="M455" s="130" t="s">
        <v>36</v>
      </c>
    </row>
    <row r="456" spans="1:13" s="240" customFormat="1" ht="15" customHeight="1" x14ac:dyDescent="0.25">
      <c r="A456" s="366">
        <v>59</v>
      </c>
      <c r="B456" s="332">
        <v>38403</v>
      </c>
      <c r="C456" s="334" t="s">
        <v>2474</v>
      </c>
      <c r="D456" s="332" t="s">
        <v>484</v>
      </c>
      <c r="E456" s="335" t="s">
        <v>577</v>
      </c>
      <c r="F456" s="336" t="s">
        <v>2475</v>
      </c>
      <c r="G456" s="337" t="s">
        <v>2476</v>
      </c>
      <c r="H456" s="338">
        <v>41458</v>
      </c>
      <c r="I456" s="332">
        <v>2</v>
      </c>
      <c r="J456" s="327">
        <v>49701</v>
      </c>
      <c r="K456" s="327">
        <v>99402</v>
      </c>
      <c r="L456" s="226" t="s">
        <v>760</v>
      </c>
      <c r="M456" s="130" t="s">
        <v>36</v>
      </c>
    </row>
    <row r="457" spans="1:13" s="240" customFormat="1" ht="15" customHeight="1" x14ac:dyDescent="0.25">
      <c r="A457" s="366">
        <v>60</v>
      </c>
      <c r="B457" s="332">
        <v>43909</v>
      </c>
      <c r="C457" s="334" t="s">
        <v>2477</v>
      </c>
      <c r="D457" s="332" t="s">
        <v>484</v>
      </c>
      <c r="E457" s="335" t="s">
        <v>577</v>
      </c>
      <c r="F457" s="336" t="s">
        <v>511</v>
      </c>
      <c r="G457" s="337" t="s">
        <v>554</v>
      </c>
      <c r="H457" s="338">
        <v>41481</v>
      </c>
      <c r="I457" s="332">
        <v>1</v>
      </c>
      <c r="J457" s="327">
        <v>49701</v>
      </c>
      <c r="K457" s="327">
        <v>49701</v>
      </c>
      <c r="L457" s="226" t="s">
        <v>760</v>
      </c>
      <c r="M457" s="130" t="s">
        <v>36</v>
      </c>
    </row>
    <row r="458" spans="1:13" s="240" customFormat="1" ht="15" customHeight="1" x14ac:dyDescent="0.25">
      <c r="A458" s="366">
        <v>61</v>
      </c>
      <c r="B458" s="332">
        <v>42136</v>
      </c>
      <c r="C458" s="334" t="s">
        <v>1324</v>
      </c>
      <c r="D458" s="332" t="s">
        <v>476</v>
      </c>
      <c r="E458" s="335" t="s">
        <v>115</v>
      </c>
      <c r="F458" s="336" t="s">
        <v>472</v>
      </c>
      <c r="G458" s="337" t="s">
        <v>2097</v>
      </c>
      <c r="H458" s="338">
        <v>41474</v>
      </c>
      <c r="I458" s="332">
        <v>1</v>
      </c>
      <c r="J458" s="327">
        <v>33370</v>
      </c>
      <c r="K458" s="327">
        <v>33370</v>
      </c>
      <c r="L458" s="226" t="s">
        <v>760</v>
      </c>
      <c r="M458" s="130" t="s">
        <v>36</v>
      </c>
    </row>
    <row r="459" spans="1:13" s="240" customFormat="1" ht="15" customHeight="1" x14ac:dyDescent="0.25">
      <c r="A459" s="366">
        <v>62</v>
      </c>
      <c r="B459" s="332">
        <v>37851</v>
      </c>
      <c r="C459" s="334" t="s">
        <v>2478</v>
      </c>
      <c r="D459" s="332" t="s">
        <v>476</v>
      </c>
      <c r="E459" s="335" t="s">
        <v>537</v>
      </c>
      <c r="F459" s="336" t="s">
        <v>527</v>
      </c>
      <c r="G459" s="337" t="s">
        <v>554</v>
      </c>
      <c r="H459" s="338">
        <v>41456</v>
      </c>
      <c r="I459" s="332">
        <v>1</v>
      </c>
      <c r="J459" s="327">
        <v>30429</v>
      </c>
      <c r="K459" s="327">
        <v>30429</v>
      </c>
      <c r="L459" s="226" t="s">
        <v>760</v>
      </c>
      <c r="M459" s="130" t="s">
        <v>36</v>
      </c>
    </row>
    <row r="460" spans="1:13" s="240" customFormat="1" ht="15" customHeight="1" x14ac:dyDescent="0.25">
      <c r="A460" s="366">
        <v>63</v>
      </c>
      <c r="B460" s="332">
        <v>40346</v>
      </c>
      <c r="C460" s="334" t="s">
        <v>2479</v>
      </c>
      <c r="D460" s="332" t="s">
        <v>476</v>
      </c>
      <c r="E460" s="335" t="s">
        <v>116</v>
      </c>
      <c r="F460" s="336" t="s">
        <v>534</v>
      </c>
      <c r="G460" s="337" t="s">
        <v>1059</v>
      </c>
      <c r="H460" s="338">
        <v>41470</v>
      </c>
      <c r="I460" s="332">
        <v>1</v>
      </c>
      <c r="J460" s="327">
        <v>5274</v>
      </c>
      <c r="K460" s="327">
        <v>5274</v>
      </c>
      <c r="L460" s="226" t="s">
        <v>760</v>
      </c>
      <c r="M460" s="130" t="s">
        <v>36</v>
      </c>
    </row>
    <row r="461" spans="1:13" s="240" customFormat="1" ht="15" customHeight="1" x14ac:dyDescent="0.25">
      <c r="A461" s="366">
        <v>64</v>
      </c>
      <c r="B461" s="332">
        <v>43296</v>
      </c>
      <c r="C461" s="334" t="s">
        <v>2480</v>
      </c>
      <c r="D461" s="332" t="s">
        <v>476</v>
      </c>
      <c r="E461" s="335" t="s">
        <v>116</v>
      </c>
      <c r="F461" s="336" t="s">
        <v>562</v>
      </c>
      <c r="G461" s="337" t="s">
        <v>2067</v>
      </c>
      <c r="H461" s="338">
        <v>41481</v>
      </c>
      <c r="I461" s="332">
        <v>1</v>
      </c>
      <c r="J461" s="327">
        <v>5274</v>
      </c>
      <c r="K461" s="327">
        <v>5274</v>
      </c>
      <c r="L461" s="226" t="s">
        <v>760</v>
      </c>
      <c r="M461" s="130" t="s">
        <v>36</v>
      </c>
    </row>
    <row r="462" spans="1:13" s="240" customFormat="1" ht="15" customHeight="1" x14ac:dyDescent="0.25">
      <c r="A462" s="366">
        <v>65</v>
      </c>
      <c r="B462" s="332">
        <v>42912</v>
      </c>
      <c r="C462" s="334" t="s">
        <v>2481</v>
      </c>
      <c r="D462" s="332" t="s">
        <v>476</v>
      </c>
      <c r="E462" s="335" t="s">
        <v>577</v>
      </c>
      <c r="F462" s="336" t="s">
        <v>1378</v>
      </c>
      <c r="G462" s="337" t="s">
        <v>554</v>
      </c>
      <c r="H462" s="338">
        <v>41478</v>
      </c>
      <c r="I462" s="332">
        <v>2</v>
      </c>
      <c r="J462" s="327">
        <v>49701</v>
      </c>
      <c r="K462" s="327">
        <v>99402</v>
      </c>
      <c r="L462" s="226" t="s">
        <v>760</v>
      </c>
      <c r="M462" s="130" t="s">
        <v>36</v>
      </c>
    </row>
    <row r="463" spans="1:13" s="240" customFormat="1" ht="15" customHeight="1" x14ac:dyDescent="0.25">
      <c r="A463" s="366">
        <v>66</v>
      </c>
      <c r="B463" s="332">
        <v>37439</v>
      </c>
      <c r="C463" s="334" t="s">
        <v>2482</v>
      </c>
      <c r="D463" s="332" t="s">
        <v>484</v>
      </c>
      <c r="E463" s="335" t="s">
        <v>204</v>
      </c>
      <c r="F463" s="336" t="s">
        <v>568</v>
      </c>
      <c r="G463" s="337"/>
      <c r="H463" s="338">
        <v>41453</v>
      </c>
      <c r="I463" s="332">
        <v>1</v>
      </c>
      <c r="J463" s="327">
        <v>17244</v>
      </c>
      <c r="K463" s="327">
        <v>17244</v>
      </c>
      <c r="L463" s="226" t="s">
        <v>760</v>
      </c>
      <c r="M463" s="130" t="s">
        <v>36</v>
      </c>
    </row>
    <row r="464" spans="1:13" s="240" customFormat="1" ht="15" customHeight="1" x14ac:dyDescent="0.25">
      <c r="A464" s="366">
        <v>67</v>
      </c>
      <c r="B464" s="332">
        <v>44079</v>
      </c>
      <c r="C464" s="334" t="s">
        <v>1329</v>
      </c>
      <c r="D464" s="332" t="s">
        <v>476</v>
      </c>
      <c r="E464" s="335" t="s">
        <v>204</v>
      </c>
      <c r="F464" s="336" t="s">
        <v>392</v>
      </c>
      <c r="G464" s="337"/>
      <c r="H464" s="338">
        <v>41484</v>
      </c>
      <c r="I464" s="332">
        <v>1</v>
      </c>
      <c r="J464" s="327">
        <v>17244</v>
      </c>
      <c r="K464" s="327">
        <v>17244</v>
      </c>
      <c r="L464" s="226" t="s">
        <v>760</v>
      </c>
      <c r="M464" s="130" t="s">
        <v>36</v>
      </c>
    </row>
    <row r="465" spans="1:13" s="240" customFormat="1" ht="15" customHeight="1" thickBot="1" x14ac:dyDescent="0.3">
      <c r="A465" s="367">
        <v>68</v>
      </c>
      <c r="B465" s="368">
        <v>39264</v>
      </c>
      <c r="C465" s="369" t="s">
        <v>2483</v>
      </c>
      <c r="D465" s="368" t="s">
        <v>476</v>
      </c>
      <c r="E465" s="370" t="s">
        <v>115</v>
      </c>
      <c r="F465" s="371" t="s">
        <v>1834</v>
      </c>
      <c r="G465" s="372" t="s">
        <v>2097</v>
      </c>
      <c r="H465" s="373">
        <v>41463</v>
      </c>
      <c r="I465" s="368">
        <v>1</v>
      </c>
      <c r="J465" s="374">
        <v>33370</v>
      </c>
      <c r="K465" s="374">
        <v>33370</v>
      </c>
      <c r="L465" s="226" t="s">
        <v>760</v>
      </c>
      <c r="M465" s="130" t="s">
        <v>36</v>
      </c>
    </row>
    <row r="466" spans="1:13" s="240" customFormat="1" ht="15" customHeight="1" thickTop="1" x14ac:dyDescent="0.25">
      <c r="A466" s="375">
        <v>69</v>
      </c>
      <c r="B466" s="376">
        <v>41779</v>
      </c>
      <c r="C466" s="377" t="s">
        <v>2484</v>
      </c>
      <c r="D466" s="376" t="s">
        <v>484</v>
      </c>
      <c r="E466" s="378" t="s">
        <v>116</v>
      </c>
      <c r="F466" s="379" t="s">
        <v>527</v>
      </c>
      <c r="G466" s="380" t="s">
        <v>1064</v>
      </c>
      <c r="H466" s="381">
        <v>41474</v>
      </c>
      <c r="I466" s="376">
        <v>1</v>
      </c>
      <c r="J466" s="382">
        <v>5274</v>
      </c>
      <c r="K466" s="382">
        <v>5274</v>
      </c>
      <c r="L466" s="226" t="s">
        <v>788</v>
      </c>
      <c r="M466" s="130" t="s">
        <v>36</v>
      </c>
    </row>
    <row r="467" spans="1:13" s="240" customFormat="1" ht="15" customHeight="1" x14ac:dyDescent="0.25">
      <c r="A467" s="383">
        <v>70</v>
      </c>
      <c r="B467" s="233">
        <v>43743</v>
      </c>
      <c r="C467" s="234" t="s">
        <v>2485</v>
      </c>
      <c r="D467" s="233" t="s">
        <v>476</v>
      </c>
      <c r="E467" s="235" t="s">
        <v>204</v>
      </c>
      <c r="F467" s="236" t="s">
        <v>415</v>
      </c>
      <c r="G467" s="237"/>
      <c r="H467" s="238">
        <v>41481</v>
      </c>
      <c r="I467" s="233">
        <v>1</v>
      </c>
      <c r="J467" s="384">
        <v>17244</v>
      </c>
      <c r="K467" s="384">
        <v>17244</v>
      </c>
      <c r="L467" s="226" t="s">
        <v>788</v>
      </c>
      <c r="M467" s="130" t="s">
        <v>36</v>
      </c>
    </row>
    <row r="468" spans="1:13" s="240" customFormat="1" ht="15" customHeight="1" x14ac:dyDescent="0.25">
      <c r="A468" s="383">
        <v>71</v>
      </c>
      <c r="B468" s="233">
        <v>42155</v>
      </c>
      <c r="C468" s="234" t="s">
        <v>2486</v>
      </c>
      <c r="D468" s="233" t="s">
        <v>476</v>
      </c>
      <c r="E468" s="235" t="s">
        <v>116</v>
      </c>
      <c r="F468" s="236" t="s">
        <v>1023</v>
      </c>
      <c r="G468" s="237" t="s">
        <v>1059</v>
      </c>
      <c r="H468" s="238">
        <v>41477</v>
      </c>
      <c r="I468" s="233">
        <v>3</v>
      </c>
      <c r="J468" s="384">
        <v>5274</v>
      </c>
      <c r="K468" s="384">
        <v>15822</v>
      </c>
      <c r="L468" s="226" t="s">
        <v>788</v>
      </c>
      <c r="M468" s="130" t="s">
        <v>36</v>
      </c>
    </row>
    <row r="469" spans="1:13" s="240" customFormat="1" ht="15" customHeight="1" x14ac:dyDescent="0.25">
      <c r="A469" s="383">
        <v>72</v>
      </c>
      <c r="B469" s="233">
        <v>44248</v>
      </c>
      <c r="C469" s="234" t="s">
        <v>2487</v>
      </c>
      <c r="D469" s="233" t="s">
        <v>476</v>
      </c>
      <c r="E469" s="235" t="s">
        <v>537</v>
      </c>
      <c r="F469" s="236" t="s">
        <v>417</v>
      </c>
      <c r="G469" s="237" t="s">
        <v>563</v>
      </c>
      <c r="H469" s="238">
        <v>41484</v>
      </c>
      <c r="I469" s="233">
        <v>1</v>
      </c>
      <c r="J469" s="384">
        <v>30429</v>
      </c>
      <c r="K469" s="384">
        <v>30429</v>
      </c>
      <c r="L469" s="226" t="s">
        <v>788</v>
      </c>
      <c r="M469" s="130" t="s">
        <v>36</v>
      </c>
    </row>
    <row r="470" spans="1:13" s="240" customFormat="1" ht="15" customHeight="1" x14ac:dyDescent="0.25">
      <c r="A470" s="383">
        <v>73</v>
      </c>
      <c r="B470" s="233">
        <v>43572</v>
      </c>
      <c r="C470" s="234" t="s">
        <v>1246</v>
      </c>
      <c r="D470" s="233" t="s">
        <v>484</v>
      </c>
      <c r="E470" s="235" t="s">
        <v>537</v>
      </c>
      <c r="F470" s="236" t="s">
        <v>527</v>
      </c>
      <c r="G470" s="237" t="s">
        <v>554</v>
      </c>
      <c r="H470" s="238">
        <v>41481</v>
      </c>
      <c r="I470" s="233">
        <v>1</v>
      </c>
      <c r="J470" s="384">
        <v>30429</v>
      </c>
      <c r="K470" s="384">
        <v>30429</v>
      </c>
      <c r="L470" s="226" t="s">
        <v>788</v>
      </c>
      <c r="M470" s="130" t="s">
        <v>36</v>
      </c>
    </row>
    <row r="471" spans="1:13" s="240" customFormat="1" ht="15" customHeight="1" x14ac:dyDescent="0.25">
      <c r="A471" s="385">
        <v>74</v>
      </c>
      <c r="B471" s="135">
        <v>44912</v>
      </c>
      <c r="C471" s="137" t="s">
        <v>2488</v>
      </c>
      <c r="D471" s="135" t="s">
        <v>476</v>
      </c>
      <c r="E471" s="172" t="s">
        <v>116</v>
      </c>
      <c r="F471" s="139" t="s">
        <v>442</v>
      </c>
      <c r="G471" s="177" t="s">
        <v>2067</v>
      </c>
      <c r="H471" s="136">
        <v>41488</v>
      </c>
      <c r="I471" s="135">
        <v>1</v>
      </c>
      <c r="J471" s="363">
        <v>5274</v>
      </c>
      <c r="K471" s="363">
        <v>5274</v>
      </c>
      <c r="L471" s="226" t="s">
        <v>788</v>
      </c>
      <c r="M471" s="130" t="s">
        <v>36</v>
      </c>
    </row>
    <row r="472" spans="1:13" s="240" customFormat="1" ht="15" customHeight="1" x14ac:dyDescent="0.25">
      <c r="A472" s="385">
        <v>75</v>
      </c>
      <c r="B472" s="135">
        <v>44908</v>
      </c>
      <c r="C472" s="137" t="s">
        <v>2489</v>
      </c>
      <c r="D472" s="135" t="s">
        <v>476</v>
      </c>
      <c r="E472" s="172" t="s">
        <v>116</v>
      </c>
      <c r="F472" s="139" t="s">
        <v>534</v>
      </c>
      <c r="G472" s="177" t="s">
        <v>1059</v>
      </c>
      <c r="H472" s="136">
        <v>41491</v>
      </c>
      <c r="I472" s="135">
        <v>1</v>
      </c>
      <c r="J472" s="363">
        <v>5274</v>
      </c>
      <c r="K472" s="363">
        <v>5274</v>
      </c>
      <c r="L472" s="226" t="s">
        <v>788</v>
      </c>
      <c r="M472" s="130" t="s">
        <v>36</v>
      </c>
    </row>
    <row r="473" spans="1:13" s="240" customFormat="1" ht="15" customHeight="1" x14ac:dyDescent="0.25">
      <c r="A473" s="385">
        <v>76</v>
      </c>
      <c r="B473" s="135">
        <v>44804</v>
      </c>
      <c r="C473" s="137" t="s">
        <v>2490</v>
      </c>
      <c r="D473" s="135" t="s">
        <v>484</v>
      </c>
      <c r="E473" s="172" t="s">
        <v>577</v>
      </c>
      <c r="F473" s="139" t="s">
        <v>404</v>
      </c>
      <c r="G473" s="177" t="s">
        <v>569</v>
      </c>
      <c r="H473" s="136">
        <v>41486</v>
      </c>
      <c r="I473" s="135">
        <v>1</v>
      </c>
      <c r="J473" s="363">
        <v>49701</v>
      </c>
      <c r="K473" s="363">
        <v>49701</v>
      </c>
      <c r="L473" s="226" t="s">
        <v>788</v>
      </c>
      <c r="M473" s="130" t="s">
        <v>36</v>
      </c>
    </row>
    <row r="474" spans="1:13" s="240" customFormat="1" ht="15" customHeight="1" x14ac:dyDescent="0.25">
      <c r="A474" s="385">
        <v>77</v>
      </c>
      <c r="B474" s="135">
        <v>44781</v>
      </c>
      <c r="C474" s="137" t="s">
        <v>2491</v>
      </c>
      <c r="D474" s="135" t="s">
        <v>476</v>
      </c>
      <c r="E474" s="172" t="s">
        <v>116</v>
      </c>
      <c r="F474" s="139" t="s">
        <v>442</v>
      </c>
      <c r="G474" s="177" t="s">
        <v>1059</v>
      </c>
      <c r="H474" s="136">
        <v>41488</v>
      </c>
      <c r="I474" s="135">
        <v>1</v>
      </c>
      <c r="J474" s="363">
        <v>5274</v>
      </c>
      <c r="K474" s="363">
        <v>5274</v>
      </c>
      <c r="L474" s="226" t="s">
        <v>788</v>
      </c>
      <c r="M474" s="130" t="s">
        <v>36</v>
      </c>
    </row>
    <row r="475" spans="1:13" s="240" customFormat="1" ht="15" customHeight="1" x14ac:dyDescent="0.25">
      <c r="A475" s="385">
        <v>78</v>
      </c>
      <c r="B475" s="135">
        <v>44670</v>
      </c>
      <c r="C475" s="137" t="s">
        <v>2492</v>
      </c>
      <c r="D475" s="135" t="s">
        <v>474</v>
      </c>
      <c r="E475" s="172" t="s">
        <v>577</v>
      </c>
      <c r="F475" s="139" t="s">
        <v>511</v>
      </c>
      <c r="G475" s="177" t="s">
        <v>629</v>
      </c>
      <c r="H475" s="136">
        <v>41485</v>
      </c>
      <c r="I475" s="135">
        <v>1</v>
      </c>
      <c r="J475" s="363">
        <v>49701</v>
      </c>
      <c r="K475" s="363">
        <v>49701</v>
      </c>
      <c r="L475" s="226" t="s">
        <v>788</v>
      </c>
      <c r="M475" s="130" t="s">
        <v>36</v>
      </c>
    </row>
    <row r="476" spans="1:13" s="240" customFormat="1" ht="15" customHeight="1" x14ac:dyDescent="0.25">
      <c r="A476" s="385">
        <v>79</v>
      </c>
      <c r="B476" s="135">
        <v>44561</v>
      </c>
      <c r="C476" s="137" t="s">
        <v>2493</v>
      </c>
      <c r="D476" s="135" t="s">
        <v>476</v>
      </c>
      <c r="E476" s="172" t="s">
        <v>217</v>
      </c>
      <c r="F476" s="139" t="s">
        <v>371</v>
      </c>
      <c r="G476" s="177"/>
      <c r="H476" s="136">
        <v>41480</v>
      </c>
      <c r="I476" s="135">
        <v>1</v>
      </c>
      <c r="J476" s="363">
        <v>44597</v>
      </c>
      <c r="K476" s="363">
        <v>44597</v>
      </c>
      <c r="L476" s="226" t="s">
        <v>788</v>
      </c>
      <c r="M476" s="130" t="s">
        <v>36</v>
      </c>
    </row>
    <row r="477" spans="1:13" s="240" customFormat="1" ht="15" customHeight="1" x14ac:dyDescent="0.25">
      <c r="A477" s="385">
        <v>80</v>
      </c>
      <c r="B477" s="135">
        <v>45052</v>
      </c>
      <c r="C477" s="137" t="s">
        <v>2494</v>
      </c>
      <c r="D477" s="135" t="s">
        <v>474</v>
      </c>
      <c r="E477" s="172" t="s">
        <v>577</v>
      </c>
      <c r="F477" s="139" t="s">
        <v>431</v>
      </c>
      <c r="G477" s="177" t="s">
        <v>2453</v>
      </c>
      <c r="H477" s="136">
        <v>41486</v>
      </c>
      <c r="I477" s="135">
        <v>1</v>
      </c>
      <c r="J477" s="363">
        <v>49701</v>
      </c>
      <c r="K477" s="363">
        <v>49701</v>
      </c>
      <c r="L477" s="226" t="s">
        <v>788</v>
      </c>
      <c r="M477" s="130" t="s">
        <v>36</v>
      </c>
    </row>
    <row r="478" spans="1:13" s="240" customFormat="1" ht="15" customHeight="1" x14ac:dyDescent="0.25">
      <c r="A478" s="385">
        <v>81</v>
      </c>
      <c r="B478" s="135">
        <v>45032</v>
      </c>
      <c r="C478" s="137" t="s">
        <v>1273</v>
      </c>
      <c r="D478" s="135" t="s">
        <v>484</v>
      </c>
      <c r="E478" s="172" t="s">
        <v>116</v>
      </c>
      <c r="F478" s="139" t="s">
        <v>527</v>
      </c>
      <c r="G478" s="177" t="s">
        <v>1064</v>
      </c>
      <c r="H478" s="136">
        <v>41488</v>
      </c>
      <c r="I478" s="135">
        <v>1</v>
      </c>
      <c r="J478" s="363">
        <v>5274</v>
      </c>
      <c r="K478" s="363">
        <v>5274</v>
      </c>
      <c r="L478" s="226" t="s">
        <v>788</v>
      </c>
      <c r="M478" s="130" t="s">
        <v>36</v>
      </c>
    </row>
    <row r="479" spans="1:13" s="240" customFormat="1" ht="15" customHeight="1" x14ac:dyDescent="0.25">
      <c r="A479" s="385">
        <v>82</v>
      </c>
      <c r="B479" s="135">
        <v>45033</v>
      </c>
      <c r="C479" s="137" t="s">
        <v>2495</v>
      </c>
      <c r="D479" s="135" t="s">
        <v>476</v>
      </c>
      <c r="E479" s="172" t="s">
        <v>116</v>
      </c>
      <c r="F479" s="139" t="s">
        <v>2496</v>
      </c>
      <c r="G479" s="177" t="s">
        <v>2067</v>
      </c>
      <c r="H479" s="136">
        <v>41488</v>
      </c>
      <c r="I479" s="135">
        <v>3</v>
      </c>
      <c r="J479" s="363">
        <v>5274</v>
      </c>
      <c r="K479" s="363">
        <v>15822</v>
      </c>
      <c r="L479" s="226" t="s">
        <v>788</v>
      </c>
      <c r="M479" s="130" t="s">
        <v>36</v>
      </c>
    </row>
    <row r="480" spans="1:13" s="240" customFormat="1" ht="15" customHeight="1" x14ac:dyDescent="0.25">
      <c r="A480" s="385">
        <v>83</v>
      </c>
      <c r="B480" s="135">
        <v>45231</v>
      </c>
      <c r="C480" s="137" t="s">
        <v>2497</v>
      </c>
      <c r="D480" s="135" t="s">
        <v>484</v>
      </c>
      <c r="E480" s="172" t="s">
        <v>116</v>
      </c>
      <c r="F480" s="139" t="s">
        <v>415</v>
      </c>
      <c r="G480" s="177" t="s">
        <v>2067</v>
      </c>
      <c r="H480" s="136">
        <v>41488</v>
      </c>
      <c r="I480" s="135">
        <v>1</v>
      </c>
      <c r="J480" s="363">
        <v>5274</v>
      </c>
      <c r="K480" s="363">
        <v>5274</v>
      </c>
      <c r="L480" s="226" t="s">
        <v>788</v>
      </c>
      <c r="M480" s="130" t="s">
        <v>36</v>
      </c>
    </row>
    <row r="481" spans="1:13" s="240" customFormat="1" ht="15" customHeight="1" x14ac:dyDescent="0.25">
      <c r="A481" s="385">
        <v>84</v>
      </c>
      <c r="B481" s="135">
        <v>45151</v>
      </c>
      <c r="C481" s="137" t="s">
        <v>2498</v>
      </c>
      <c r="D481" s="135" t="s">
        <v>474</v>
      </c>
      <c r="E481" s="172" t="s">
        <v>577</v>
      </c>
      <c r="F481" s="139" t="s">
        <v>431</v>
      </c>
      <c r="G481" s="177" t="s">
        <v>554</v>
      </c>
      <c r="H481" s="136">
        <v>41487</v>
      </c>
      <c r="I481" s="135">
        <v>1</v>
      </c>
      <c r="J481" s="363">
        <v>49701</v>
      </c>
      <c r="K481" s="363">
        <v>49701</v>
      </c>
      <c r="L481" s="226" t="s">
        <v>788</v>
      </c>
      <c r="M481" s="130" t="s">
        <v>36</v>
      </c>
    </row>
    <row r="482" spans="1:13" s="240" customFormat="1" ht="15" customHeight="1" x14ac:dyDescent="0.25">
      <c r="A482" s="385">
        <v>85</v>
      </c>
      <c r="B482" s="135">
        <v>45135</v>
      </c>
      <c r="C482" s="137" t="s">
        <v>2499</v>
      </c>
      <c r="D482" s="135" t="s">
        <v>476</v>
      </c>
      <c r="E482" s="172" t="s">
        <v>577</v>
      </c>
      <c r="F482" s="139" t="s">
        <v>562</v>
      </c>
      <c r="G482" s="177" t="s">
        <v>554</v>
      </c>
      <c r="H482" s="136">
        <v>41487</v>
      </c>
      <c r="I482" s="135">
        <v>1</v>
      </c>
      <c r="J482" s="363">
        <v>49701</v>
      </c>
      <c r="K482" s="363">
        <v>49701</v>
      </c>
      <c r="L482" s="226" t="s">
        <v>788</v>
      </c>
      <c r="M482" s="130" t="s">
        <v>36</v>
      </c>
    </row>
    <row r="483" spans="1:13" s="240" customFormat="1" ht="15" customHeight="1" x14ac:dyDescent="0.25">
      <c r="A483" s="385">
        <v>86</v>
      </c>
      <c r="B483" s="135">
        <v>45578</v>
      </c>
      <c r="C483" s="137" t="s">
        <v>2436</v>
      </c>
      <c r="D483" s="135" t="s">
        <v>484</v>
      </c>
      <c r="E483" s="172" t="s">
        <v>577</v>
      </c>
      <c r="F483" s="139" t="s">
        <v>472</v>
      </c>
      <c r="G483" s="177" t="s">
        <v>569</v>
      </c>
      <c r="H483" s="136">
        <v>41488</v>
      </c>
      <c r="I483" s="135">
        <v>1</v>
      </c>
      <c r="J483" s="363">
        <v>49701</v>
      </c>
      <c r="K483" s="363">
        <v>49701</v>
      </c>
      <c r="L483" s="226" t="s">
        <v>788</v>
      </c>
      <c r="M483" s="130" t="s">
        <v>36</v>
      </c>
    </row>
    <row r="484" spans="1:13" s="240" customFormat="1" ht="15" customHeight="1" x14ac:dyDescent="0.25">
      <c r="A484" s="385">
        <v>87</v>
      </c>
      <c r="B484" s="135">
        <v>45111</v>
      </c>
      <c r="C484" s="137" t="s">
        <v>2494</v>
      </c>
      <c r="D484" s="135" t="s">
        <v>476</v>
      </c>
      <c r="E484" s="172" t="s">
        <v>577</v>
      </c>
      <c r="F484" s="139" t="s">
        <v>415</v>
      </c>
      <c r="G484" s="177" t="s">
        <v>2500</v>
      </c>
      <c r="H484" s="136">
        <v>41487</v>
      </c>
      <c r="I484" s="135">
        <v>1</v>
      </c>
      <c r="J484" s="363">
        <v>49701</v>
      </c>
      <c r="K484" s="363">
        <v>49701</v>
      </c>
      <c r="L484" s="226" t="s">
        <v>788</v>
      </c>
      <c r="M484" s="130" t="s">
        <v>36</v>
      </c>
    </row>
    <row r="485" spans="1:13" s="240" customFormat="1" ht="15" customHeight="1" x14ac:dyDescent="0.25">
      <c r="A485" s="385">
        <v>88</v>
      </c>
      <c r="B485" s="135">
        <v>45481</v>
      </c>
      <c r="C485" s="137" t="s">
        <v>2472</v>
      </c>
      <c r="D485" s="135" t="s">
        <v>476</v>
      </c>
      <c r="E485" s="172" t="s">
        <v>116</v>
      </c>
      <c r="F485" s="139" t="s">
        <v>445</v>
      </c>
      <c r="G485" s="177" t="s">
        <v>2067</v>
      </c>
      <c r="H485" s="136">
        <v>41487</v>
      </c>
      <c r="I485" s="135">
        <v>1</v>
      </c>
      <c r="J485" s="363">
        <v>5274</v>
      </c>
      <c r="K485" s="363">
        <v>5274</v>
      </c>
      <c r="L485" s="226" t="s">
        <v>788</v>
      </c>
      <c r="M485" s="130" t="s">
        <v>36</v>
      </c>
    </row>
    <row r="486" spans="1:13" s="240" customFormat="1" ht="15" customHeight="1" x14ac:dyDescent="0.25">
      <c r="A486" s="385">
        <v>89</v>
      </c>
      <c r="B486" s="135">
        <v>45463</v>
      </c>
      <c r="C486" s="137" t="s">
        <v>2501</v>
      </c>
      <c r="D486" s="135" t="s">
        <v>484</v>
      </c>
      <c r="E486" s="172" t="s">
        <v>577</v>
      </c>
      <c r="F486" s="139" t="s">
        <v>527</v>
      </c>
      <c r="G486" s="177" t="s">
        <v>569</v>
      </c>
      <c r="H486" s="136">
        <v>41488</v>
      </c>
      <c r="I486" s="135">
        <v>1</v>
      </c>
      <c r="J486" s="363">
        <v>49701</v>
      </c>
      <c r="K486" s="363">
        <v>49701</v>
      </c>
      <c r="L486" s="226" t="s">
        <v>788</v>
      </c>
      <c r="M486" s="130" t="s">
        <v>36</v>
      </c>
    </row>
    <row r="487" spans="1:13" s="240" customFormat="1" ht="15" customHeight="1" x14ac:dyDescent="0.25">
      <c r="A487" s="385">
        <v>90</v>
      </c>
      <c r="B487" s="135">
        <v>45438</v>
      </c>
      <c r="C487" s="137" t="s">
        <v>2502</v>
      </c>
      <c r="D487" s="135" t="s">
        <v>476</v>
      </c>
      <c r="E487" s="172" t="s">
        <v>577</v>
      </c>
      <c r="F487" s="139" t="s">
        <v>419</v>
      </c>
      <c r="G487" s="177" t="s">
        <v>554</v>
      </c>
      <c r="H487" s="136">
        <v>41488</v>
      </c>
      <c r="I487" s="135">
        <v>1</v>
      </c>
      <c r="J487" s="363">
        <v>49701</v>
      </c>
      <c r="K487" s="363">
        <v>49701</v>
      </c>
      <c r="L487" s="226" t="s">
        <v>788</v>
      </c>
      <c r="M487" s="130" t="s">
        <v>36</v>
      </c>
    </row>
    <row r="488" spans="1:13" s="240" customFormat="1" ht="15" customHeight="1" x14ac:dyDescent="0.25">
      <c r="A488" s="385">
        <v>91</v>
      </c>
      <c r="B488" s="135">
        <v>45698</v>
      </c>
      <c r="C488" s="137" t="s">
        <v>2430</v>
      </c>
      <c r="D488" s="135" t="s">
        <v>484</v>
      </c>
      <c r="E488" s="172" t="s">
        <v>115</v>
      </c>
      <c r="F488" s="139" t="s">
        <v>1201</v>
      </c>
      <c r="G488" s="177" t="s">
        <v>2097</v>
      </c>
      <c r="H488" s="136">
        <v>41491</v>
      </c>
      <c r="I488" s="135">
        <v>2</v>
      </c>
      <c r="J488" s="363">
        <v>33370</v>
      </c>
      <c r="K488" s="363">
        <v>66740</v>
      </c>
      <c r="L488" s="226" t="s">
        <v>788</v>
      </c>
      <c r="M488" s="130" t="s">
        <v>36</v>
      </c>
    </row>
    <row r="489" spans="1:13" s="240" customFormat="1" ht="15" customHeight="1" x14ac:dyDescent="0.25">
      <c r="A489" s="385">
        <v>92</v>
      </c>
      <c r="B489" s="135">
        <v>46001</v>
      </c>
      <c r="C489" s="137" t="s">
        <v>2503</v>
      </c>
      <c r="D489" s="135" t="s">
        <v>476</v>
      </c>
      <c r="E489" s="172" t="s">
        <v>116</v>
      </c>
      <c r="F489" s="139" t="s">
        <v>2475</v>
      </c>
      <c r="G489" s="177" t="s">
        <v>2097</v>
      </c>
      <c r="H489" s="136">
        <v>41491</v>
      </c>
      <c r="I489" s="135">
        <v>2</v>
      </c>
      <c r="J489" s="363">
        <v>5274</v>
      </c>
      <c r="K489" s="363">
        <v>10548</v>
      </c>
      <c r="L489" s="226" t="s">
        <v>788</v>
      </c>
      <c r="M489" s="130" t="s">
        <v>36</v>
      </c>
    </row>
    <row r="490" spans="1:13" s="240" customFormat="1" ht="15" customHeight="1" x14ac:dyDescent="0.25">
      <c r="A490" s="385">
        <v>93</v>
      </c>
      <c r="B490" s="135">
        <v>46011</v>
      </c>
      <c r="C490" s="137" t="s">
        <v>2504</v>
      </c>
      <c r="D490" s="135" t="s">
        <v>484</v>
      </c>
      <c r="E490" s="172" t="s">
        <v>577</v>
      </c>
      <c r="F490" s="139" t="s">
        <v>472</v>
      </c>
      <c r="G490" s="177" t="s">
        <v>583</v>
      </c>
      <c r="H490" s="136">
        <v>41461</v>
      </c>
      <c r="I490" s="135">
        <v>1</v>
      </c>
      <c r="J490" s="363">
        <v>49701</v>
      </c>
      <c r="K490" s="363">
        <v>49701</v>
      </c>
      <c r="L490" s="226" t="s">
        <v>788</v>
      </c>
      <c r="M490" s="130" t="s">
        <v>36</v>
      </c>
    </row>
    <row r="491" spans="1:13" s="240" customFormat="1" ht="15" customHeight="1" x14ac:dyDescent="0.25">
      <c r="A491" s="385">
        <v>94</v>
      </c>
      <c r="B491" s="135">
        <v>45842</v>
      </c>
      <c r="C491" s="137" t="s">
        <v>2505</v>
      </c>
      <c r="D491" s="135" t="s">
        <v>476</v>
      </c>
      <c r="E491" s="172" t="s">
        <v>116</v>
      </c>
      <c r="F491" s="139" t="s">
        <v>2506</v>
      </c>
      <c r="G491" s="177" t="s">
        <v>2107</v>
      </c>
      <c r="H491" s="136">
        <v>41491</v>
      </c>
      <c r="I491" s="135">
        <v>2</v>
      </c>
      <c r="J491" s="363">
        <v>5274</v>
      </c>
      <c r="K491" s="363">
        <v>10548</v>
      </c>
      <c r="L491" s="226" t="s">
        <v>788</v>
      </c>
      <c r="M491" s="130" t="s">
        <v>36</v>
      </c>
    </row>
    <row r="492" spans="1:13" s="240" customFormat="1" ht="15" customHeight="1" x14ac:dyDescent="0.25">
      <c r="A492" s="385">
        <v>95</v>
      </c>
      <c r="B492" s="135">
        <v>46652</v>
      </c>
      <c r="C492" s="137" t="s">
        <v>2507</v>
      </c>
      <c r="D492" s="135" t="s">
        <v>476</v>
      </c>
      <c r="E492" s="172" t="s">
        <v>537</v>
      </c>
      <c r="F492" s="139" t="s">
        <v>2508</v>
      </c>
      <c r="G492" s="177" t="s">
        <v>1948</v>
      </c>
      <c r="H492" s="136">
        <v>41493</v>
      </c>
      <c r="I492" s="135">
        <v>2</v>
      </c>
      <c r="J492" s="363">
        <v>30429</v>
      </c>
      <c r="K492" s="363">
        <v>60858</v>
      </c>
      <c r="L492" s="226" t="s">
        <v>788</v>
      </c>
      <c r="M492" s="130" t="s">
        <v>36</v>
      </c>
    </row>
    <row r="493" spans="1:13" s="240" customFormat="1" ht="15" customHeight="1" x14ac:dyDescent="0.25">
      <c r="A493" s="385">
        <v>96</v>
      </c>
      <c r="B493" s="135">
        <v>46374</v>
      </c>
      <c r="C493" s="137" t="s">
        <v>2509</v>
      </c>
      <c r="D493" s="135" t="s">
        <v>478</v>
      </c>
      <c r="E493" s="172" t="s">
        <v>188</v>
      </c>
      <c r="F493" s="139" t="s">
        <v>445</v>
      </c>
      <c r="G493" s="177" t="s">
        <v>2510</v>
      </c>
      <c r="H493" s="136">
        <v>41492</v>
      </c>
      <c r="I493" s="135">
        <v>1</v>
      </c>
      <c r="J493" s="363">
        <v>42601</v>
      </c>
      <c r="K493" s="363">
        <v>42601</v>
      </c>
      <c r="L493" s="226" t="s">
        <v>788</v>
      </c>
      <c r="M493" s="130" t="s">
        <v>36</v>
      </c>
    </row>
    <row r="494" spans="1:13" s="240" customFormat="1" ht="15" customHeight="1" x14ac:dyDescent="0.25">
      <c r="A494" s="385">
        <v>97</v>
      </c>
      <c r="B494" s="135">
        <v>46334</v>
      </c>
      <c r="C494" s="137" t="s">
        <v>2511</v>
      </c>
      <c r="D494" s="135" t="s">
        <v>484</v>
      </c>
      <c r="E494" s="172" t="s">
        <v>188</v>
      </c>
      <c r="F494" s="139" t="s">
        <v>442</v>
      </c>
      <c r="G494" s="177" t="s">
        <v>642</v>
      </c>
      <c r="H494" s="136">
        <v>41493</v>
      </c>
      <c r="I494" s="135">
        <v>1</v>
      </c>
      <c r="J494" s="363">
        <v>42601</v>
      </c>
      <c r="K494" s="363">
        <v>42601</v>
      </c>
      <c r="L494" s="226" t="s">
        <v>788</v>
      </c>
      <c r="M494" s="130" t="s">
        <v>36</v>
      </c>
    </row>
    <row r="495" spans="1:13" s="240" customFormat="1" ht="15" customHeight="1" x14ac:dyDescent="0.25">
      <c r="A495" s="385">
        <v>98</v>
      </c>
      <c r="B495" s="135">
        <v>46879</v>
      </c>
      <c r="C495" s="137" t="s">
        <v>2512</v>
      </c>
      <c r="D495" s="135" t="s">
        <v>484</v>
      </c>
      <c r="E495" s="172" t="s">
        <v>577</v>
      </c>
      <c r="F495" s="139" t="s">
        <v>419</v>
      </c>
      <c r="G495" s="177" t="s">
        <v>554</v>
      </c>
      <c r="H495" s="136">
        <v>41494</v>
      </c>
      <c r="I495" s="135">
        <v>1</v>
      </c>
      <c r="J495" s="363">
        <v>49701</v>
      </c>
      <c r="K495" s="363">
        <v>49701</v>
      </c>
      <c r="L495" s="226" t="s">
        <v>788</v>
      </c>
      <c r="M495" s="130" t="s">
        <v>36</v>
      </c>
    </row>
    <row r="496" spans="1:13" s="240" customFormat="1" ht="15" customHeight="1" x14ac:dyDescent="0.25">
      <c r="A496" s="385">
        <v>99</v>
      </c>
      <c r="B496" s="135">
        <v>46901</v>
      </c>
      <c r="C496" s="137" t="s">
        <v>2513</v>
      </c>
      <c r="D496" s="135" t="s">
        <v>476</v>
      </c>
      <c r="E496" s="172" t="s">
        <v>577</v>
      </c>
      <c r="F496" s="139" t="s">
        <v>2514</v>
      </c>
      <c r="G496" s="177" t="s">
        <v>2500</v>
      </c>
      <c r="H496" s="136">
        <v>41494</v>
      </c>
      <c r="I496" s="135">
        <v>2</v>
      </c>
      <c r="J496" s="363">
        <v>49701</v>
      </c>
      <c r="K496" s="363">
        <v>99402</v>
      </c>
      <c r="L496" s="226" t="s">
        <v>788</v>
      </c>
      <c r="M496" s="130" t="s">
        <v>36</v>
      </c>
    </row>
    <row r="497" spans="1:13" s="240" customFormat="1" ht="15" customHeight="1" x14ac:dyDescent="0.25">
      <c r="A497" s="385">
        <v>100</v>
      </c>
      <c r="B497" s="135">
        <v>47051</v>
      </c>
      <c r="C497" s="137" t="s">
        <v>2437</v>
      </c>
      <c r="D497" s="135" t="s">
        <v>476</v>
      </c>
      <c r="E497" s="172" t="s">
        <v>115</v>
      </c>
      <c r="F497" s="139" t="s">
        <v>419</v>
      </c>
      <c r="G497" s="177" t="s">
        <v>583</v>
      </c>
      <c r="H497" s="136">
        <v>41495</v>
      </c>
      <c r="I497" s="135">
        <v>1</v>
      </c>
      <c r="J497" s="363">
        <v>33370</v>
      </c>
      <c r="K497" s="363">
        <v>33370</v>
      </c>
      <c r="L497" s="226" t="s">
        <v>788</v>
      </c>
      <c r="M497" s="130" t="s">
        <v>36</v>
      </c>
    </row>
    <row r="498" spans="1:13" s="240" customFormat="1" ht="15" customHeight="1" x14ac:dyDescent="0.25">
      <c r="A498" s="385">
        <v>101</v>
      </c>
      <c r="B498" s="135">
        <v>47287</v>
      </c>
      <c r="C498" s="137" t="s">
        <v>1393</v>
      </c>
      <c r="D498" s="135" t="s">
        <v>476</v>
      </c>
      <c r="E498" s="172" t="s">
        <v>116</v>
      </c>
      <c r="F498" s="139" t="s">
        <v>2515</v>
      </c>
      <c r="G498" s="177" t="s">
        <v>2067</v>
      </c>
      <c r="H498" s="136">
        <v>41498</v>
      </c>
      <c r="I498" s="135">
        <v>2</v>
      </c>
      <c r="J498" s="363">
        <v>5274</v>
      </c>
      <c r="K498" s="363">
        <v>10548</v>
      </c>
      <c r="L498" s="226" t="s">
        <v>788</v>
      </c>
      <c r="M498" s="130" t="s">
        <v>36</v>
      </c>
    </row>
    <row r="499" spans="1:13" s="240" customFormat="1" ht="15" customHeight="1" x14ac:dyDescent="0.25">
      <c r="A499" s="385">
        <v>102</v>
      </c>
      <c r="B499" s="135">
        <v>47314</v>
      </c>
      <c r="C499" s="137" t="s">
        <v>2516</v>
      </c>
      <c r="D499" s="135" t="s">
        <v>476</v>
      </c>
      <c r="E499" s="172" t="s">
        <v>580</v>
      </c>
      <c r="F499" s="139" t="s">
        <v>371</v>
      </c>
      <c r="G499" s="177"/>
      <c r="H499" s="136">
        <v>41498</v>
      </c>
      <c r="I499" s="135">
        <v>1</v>
      </c>
      <c r="J499" s="363">
        <v>25800</v>
      </c>
      <c r="K499" s="363">
        <v>25800</v>
      </c>
      <c r="L499" s="226" t="s">
        <v>788</v>
      </c>
      <c r="M499" s="130" t="s">
        <v>36</v>
      </c>
    </row>
    <row r="500" spans="1:13" s="240" customFormat="1" ht="15" customHeight="1" x14ac:dyDescent="0.25">
      <c r="A500" s="385">
        <v>103</v>
      </c>
      <c r="B500" s="135">
        <v>47654</v>
      </c>
      <c r="C500" s="137" t="s">
        <v>2517</v>
      </c>
      <c r="D500" s="135" t="s">
        <v>476</v>
      </c>
      <c r="E500" s="172" t="s">
        <v>115</v>
      </c>
      <c r="F500" s="139" t="s">
        <v>562</v>
      </c>
      <c r="G500" s="177" t="s">
        <v>2518</v>
      </c>
      <c r="H500" s="136">
        <v>41498</v>
      </c>
      <c r="I500" s="135">
        <v>1</v>
      </c>
      <c r="J500" s="363">
        <v>33370</v>
      </c>
      <c r="K500" s="363">
        <v>33370</v>
      </c>
      <c r="L500" s="226" t="s">
        <v>788</v>
      </c>
      <c r="M500" s="130" t="s">
        <v>36</v>
      </c>
    </row>
    <row r="501" spans="1:13" s="240" customFormat="1" ht="15" customHeight="1" x14ac:dyDescent="0.25">
      <c r="A501" s="385">
        <v>104</v>
      </c>
      <c r="B501" s="135">
        <v>47630</v>
      </c>
      <c r="C501" s="137" t="s">
        <v>2454</v>
      </c>
      <c r="D501" s="135" t="s">
        <v>476</v>
      </c>
      <c r="E501" s="172" t="s">
        <v>115</v>
      </c>
      <c r="F501" s="139" t="s">
        <v>562</v>
      </c>
      <c r="G501" s="177" t="s">
        <v>2519</v>
      </c>
      <c r="H501" s="136">
        <v>41498</v>
      </c>
      <c r="I501" s="135">
        <v>1</v>
      </c>
      <c r="J501" s="363">
        <v>33370</v>
      </c>
      <c r="K501" s="363">
        <v>33370</v>
      </c>
      <c r="L501" s="226" t="s">
        <v>788</v>
      </c>
      <c r="M501" s="130" t="s">
        <v>36</v>
      </c>
    </row>
    <row r="502" spans="1:13" s="240" customFormat="1" ht="15" customHeight="1" x14ac:dyDescent="0.25">
      <c r="A502" s="385">
        <v>105</v>
      </c>
      <c r="B502" s="135">
        <v>47949</v>
      </c>
      <c r="C502" s="137" t="s">
        <v>2447</v>
      </c>
      <c r="D502" s="135" t="s">
        <v>505</v>
      </c>
      <c r="E502" s="172" t="s">
        <v>580</v>
      </c>
      <c r="F502" s="139" t="s">
        <v>371</v>
      </c>
      <c r="G502" s="177"/>
      <c r="H502" s="136">
        <v>41499</v>
      </c>
      <c r="I502" s="135">
        <v>1</v>
      </c>
      <c r="J502" s="363">
        <v>25800</v>
      </c>
      <c r="K502" s="363">
        <v>25800</v>
      </c>
      <c r="L502" s="226" t="s">
        <v>788</v>
      </c>
      <c r="M502" s="130" t="s">
        <v>36</v>
      </c>
    </row>
    <row r="503" spans="1:13" s="240" customFormat="1" ht="15" customHeight="1" x14ac:dyDescent="0.25">
      <c r="A503" s="385">
        <v>106</v>
      </c>
      <c r="B503" s="135">
        <v>48007</v>
      </c>
      <c r="C503" s="137" t="s">
        <v>2520</v>
      </c>
      <c r="D503" s="135" t="s">
        <v>484</v>
      </c>
      <c r="E503" s="172" t="s">
        <v>537</v>
      </c>
      <c r="F503" s="139" t="s">
        <v>415</v>
      </c>
      <c r="G503" s="177" t="s">
        <v>554</v>
      </c>
      <c r="H503" s="136">
        <v>41499</v>
      </c>
      <c r="I503" s="135">
        <v>1</v>
      </c>
      <c r="J503" s="363">
        <v>30429</v>
      </c>
      <c r="K503" s="363">
        <v>30429</v>
      </c>
      <c r="L503" s="226" t="s">
        <v>788</v>
      </c>
      <c r="M503" s="130" t="s">
        <v>36</v>
      </c>
    </row>
    <row r="504" spans="1:13" s="240" customFormat="1" ht="15" customHeight="1" x14ac:dyDescent="0.25">
      <c r="A504" s="385">
        <v>107</v>
      </c>
      <c r="B504" s="135">
        <v>47684</v>
      </c>
      <c r="C504" s="137" t="s">
        <v>2444</v>
      </c>
      <c r="D504" s="135" t="s">
        <v>476</v>
      </c>
      <c r="E504" s="172" t="s">
        <v>577</v>
      </c>
      <c r="F504" s="139" t="s">
        <v>645</v>
      </c>
      <c r="G504" s="177" t="s">
        <v>1948</v>
      </c>
      <c r="H504" s="136">
        <v>41498</v>
      </c>
      <c r="I504" s="135">
        <v>1</v>
      </c>
      <c r="J504" s="363">
        <v>49701</v>
      </c>
      <c r="K504" s="363">
        <v>49701</v>
      </c>
      <c r="L504" s="226" t="s">
        <v>788</v>
      </c>
      <c r="M504" s="130" t="s">
        <v>36</v>
      </c>
    </row>
    <row r="505" spans="1:13" s="240" customFormat="1" ht="15" customHeight="1" x14ac:dyDescent="0.25">
      <c r="A505" s="385">
        <v>108</v>
      </c>
      <c r="B505" s="135">
        <v>47868</v>
      </c>
      <c r="C505" s="137" t="s">
        <v>2458</v>
      </c>
      <c r="D505" s="135" t="s">
        <v>484</v>
      </c>
      <c r="E505" s="172" t="s">
        <v>116</v>
      </c>
      <c r="F505" s="139" t="s">
        <v>442</v>
      </c>
      <c r="G505" s="177" t="s">
        <v>2067</v>
      </c>
      <c r="H505" s="136">
        <v>41499</v>
      </c>
      <c r="I505" s="135">
        <v>1</v>
      </c>
      <c r="J505" s="363">
        <v>5274</v>
      </c>
      <c r="K505" s="363">
        <v>5274</v>
      </c>
      <c r="L505" s="226" t="s">
        <v>788</v>
      </c>
      <c r="M505" s="130" t="s">
        <v>36</v>
      </c>
    </row>
    <row r="506" spans="1:13" s="240" customFormat="1" ht="15" customHeight="1" x14ac:dyDescent="0.25">
      <c r="A506" s="385">
        <v>109</v>
      </c>
      <c r="B506" s="135">
        <v>48029</v>
      </c>
      <c r="C506" s="137" t="s">
        <v>2521</v>
      </c>
      <c r="D506" s="135" t="s">
        <v>476</v>
      </c>
      <c r="E506" s="172" t="s">
        <v>580</v>
      </c>
      <c r="F506" s="139" t="s">
        <v>371</v>
      </c>
      <c r="G506" s="177"/>
      <c r="H506" s="136">
        <v>41499</v>
      </c>
      <c r="I506" s="135">
        <v>1</v>
      </c>
      <c r="J506" s="363">
        <v>25800</v>
      </c>
      <c r="K506" s="363">
        <v>25800</v>
      </c>
      <c r="L506" s="226" t="s">
        <v>788</v>
      </c>
      <c r="M506" s="130" t="s">
        <v>36</v>
      </c>
    </row>
    <row r="507" spans="1:13" s="240" customFormat="1" ht="15" customHeight="1" x14ac:dyDescent="0.25">
      <c r="A507" s="385">
        <v>110</v>
      </c>
      <c r="B507" s="135">
        <v>48211</v>
      </c>
      <c r="C507" s="137" t="s">
        <v>2474</v>
      </c>
      <c r="D507" s="135" t="s">
        <v>484</v>
      </c>
      <c r="E507" s="172" t="s">
        <v>577</v>
      </c>
      <c r="F507" s="139" t="s">
        <v>562</v>
      </c>
      <c r="G507" s="177" t="s">
        <v>569</v>
      </c>
      <c r="H507" s="136">
        <v>41504</v>
      </c>
      <c r="I507" s="135">
        <v>1</v>
      </c>
      <c r="J507" s="363">
        <v>49701</v>
      </c>
      <c r="K507" s="363">
        <v>49701</v>
      </c>
      <c r="L507" s="226" t="s">
        <v>788</v>
      </c>
      <c r="M507" s="130" t="s">
        <v>36</v>
      </c>
    </row>
    <row r="508" spans="1:13" s="240" customFormat="1" ht="15" customHeight="1" x14ac:dyDescent="0.25">
      <c r="A508" s="385">
        <v>111</v>
      </c>
      <c r="B508" s="135">
        <v>48345</v>
      </c>
      <c r="C508" s="137" t="s">
        <v>1409</v>
      </c>
      <c r="D508" s="135" t="s">
        <v>484</v>
      </c>
      <c r="E508" s="172" t="s">
        <v>217</v>
      </c>
      <c r="F508" s="139" t="s">
        <v>387</v>
      </c>
      <c r="G508" s="177" t="s">
        <v>2107</v>
      </c>
      <c r="H508" s="136">
        <v>41500</v>
      </c>
      <c r="I508" s="135">
        <v>2</v>
      </c>
      <c r="J508" s="363">
        <v>44597</v>
      </c>
      <c r="K508" s="363">
        <v>89194</v>
      </c>
      <c r="L508" s="226" t="s">
        <v>788</v>
      </c>
      <c r="M508" s="130" t="s">
        <v>36</v>
      </c>
    </row>
    <row r="509" spans="1:13" s="240" customFormat="1" ht="15" customHeight="1" x14ac:dyDescent="0.25">
      <c r="A509" s="385">
        <v>112</v>
      </c>
      <c r="B509" s="135">
        <v>48535</v>
      </c>
      <c r="C509" s="137" t="s">
        <v>2522</v>
      </c>
      <c r="D509" s="135" t="s">
        <v>484</v>
      </c>
      <c r="E509" s="172" t="s">
        <v>116</v>
      </c>
      <c r="F509" s="139" t="s">
        <v>2523</v>
      </c>
      <c r="G509" s="177" t="s">
        <v>1064</v>
      </c>
      <c r="H509" s="136">
        <v>41502</v>
      </c>
      <c r="I509" s="135">
        <v>2</v>
      </c>
      <c r="J509" s="363">
        <v>5274</v>
      </c>
      <c r="K509" s="363">
        <v>10548</v>
      </c>
      <c r="L509" s="226" t="s">
        <v>788</v>
      </c>
      <c r="M509" s="130" t="s">
        <v>36</v>
      </c>
    </row>
    <row r="510" spans="1:13" s="240" customFormat="1" ht="15" customHeight="1" x14ac:dyDescent="0.25">
      <c r="A510" s="385">
        <v>113</v>
      </c>
      <c r="B510" s="135">
        <v>46049</v>
      </c>
      <c r="C510" s="137" t="s">
        <v>2524</v>
      </c>
      <c r="D510" s="135" t="s">
        <v>1749</v>
      </c>
      <c r="E510" s="172" t="s">
        <v>580</v>
      </c>
      <c r="F510" s="139" t="s">
        <v>371</v>
      </c>
      <c r="G510" s="177"/>
      <c r="H510" s="136">
        <v>41491</v>
      </c>
      <c r="I510" s="135">
        <v>1</v>
      </c>
      <c r="J510" s="363">
        <v>25800</v>
      </c>
      <c r="K510" s="363">
        <v>25800</v>
      </c>
      <c r="L510" s="226" t="s">
        <v>788</v>
      </c>
      <c r="M510" s="130" t="s">
        <v>36</v>
      </c>
    </row>
    <row r="511" spans="1:13" s="240" customFormat="1" ht="15" customHeight="1" x14ac:dyDescent="0.25">
      <c r="A511" s="385">
        <v>114</v>
      </c>
      <c r="B511" s="135">
        <v>48650</v>
      </c>
      <c r="C511" s="137" t="s">
        <v>2525</v>
      </c>
      <c r="D511" s="135" t="s">
        <v>474</v>
      </c>
      <c r="E511" s="172" t="s">
        <v>577</v>
      </c>
      <c r="F511" s="139" t="s">
        <v>511</v>
      </c>
      <c r="G511" s="177" t="s">
        <v>2526</v>
      </c>
      <c r="H511" s="136">
        <v>41500</v>
      </c>
      <c r="I511" s="135">
        <v>1</v>
      </c>
      <c r="J511" s="363">
        <v>49701</v>
      </c>
      <c r="K511" s="363">
        <v>49701</v>
      </c>
      <c r="L511" s="226" t="s">
        <v>788</v>
      </c>
      <c r="M511" s="130" t="s">
        <v>36</v>
      </c>
    </row>
    <row r="512" spans="1:13" s="240" customFormat="1" ht="15" customHeight="1" x14ac:dyDescent="0.25">
      <c r="A512" s="385">
        <v>115</v>
      </c>
      <c r="B512" s="135">
        <v>48777</v>
      </c>
      <c r="C512" s="137" t="s">
        <v>2527</v>
      </c>
      <c r="D512" s="135" t="s">
        <v>484</v>
      </c>
      <c r="E512" s="172" t="s">
        <v>188</v>
      </c>
      <c r="F512" s="139" t="s">
        <v>527</v>
      </c>
      <c r="G512" s="177" t="s">
        <v>2528</v>
      </c>
      <c r="H512" s="136">
        <v>41502</v>
      </c>
      <c r="I512" s="135">
        <v>1</v>
      </c>
      <c r="J512" s="363">
        <v>42601</v>
      </c>
      <c r="K512" s="363">
        <v>42601</v>
      </c>
      <c r="L512" s="226" t="s">
        <v>788</v>
      </c>
      <c r="M512" s="130" t="s">
        <v>36</v>
      </c>
    </row>
    <row r="513" spans="1:13" s="240" customFormat="1" ht="15" customHeight="1" x14ac:dyDescent="0.25">
      <c r="A513" s="385">
        <v>116</v>
      </c>
      <c r="B513" s="135">
        <v>48836</v>
      </c>
      <c r="C513" s="137" t="s">
        <v>1591</v>
      </c>
      <c r="D513" s="135" t="s">
        <v>484</v>
      </c>
      <c r="E513" s="172" t="s">
        <v>537</v>
      </c>
      <c r="F513" s="139" t="s">
        <v>594</v>
      </c>
      <c r="G513" s="177" t="s">
        <v>569</v>
      </c>
      <c r="H513" s="136">
        <v>41502</v>
      </c>
      <c r="I513" s="135">
        <v>1</v>
      </c>
      <c r="J513" s="363">
        <v>30429</v>
      </c>
      <c r="K513" s="363">
        <v>30429</v>
      </c>
      <c r="L513" s="226" t="s">
        <v>788</v>
      </c>
      <c r="M513" s="130" t="s">
        <v>36</v>
      </c>
    </row>
    <row r="514" spans="1:13" s="240" customFormat="1" ht="15" customHeight="1" x14ac:dyDescent="0.25">
      <c r="A514" s="385">
        <v>117</v>
      </c>
      <c r="B514" s="135">
        <v>48813</v>
      </c>
      <c r="C514" s="137" t="s">
        <v>2504</v>
      </c>
      <c r="D514" s="135" t="s">
        <v>484</v>
      </c>
      <c r="E514" s="172" t="s">
        <v>580</v>
      </c>
      <c r="F514" s="139" t="s">
        <v>371</v>
      </c>
      <c r="G514" s="177"/>
      <c r="H514" s="136">
        <v>41502</v>
      </c>
      <c r="I514" s="135">
        <v>1</v>
      </c>
      <c r="J514" s="363">
        <v>25800</v>
      </c>
      <c r="K514" s="363">
        <v>25800</v>
      </c>
      <c r="L514" s="226" t="s">
        <v>788</v>
      </c>
      <c r="M514" s="130" t="s">
        <v>36</v>
      </c>
    </row>
    <row r="515" spans="1:13" s="240" customFormat="1" ht="15" customHeight="1" x14ac:dyDescent="0.25">
      <c r="A515" s="385">
        <v>118</v>
      </c>
      <c r="B515" s="135">
        <v>48854</v>
      </c>
      <c r="C515" s="137" t="s">
        <v>2529</v>
      </c>
      <c r="D515" s="135" t="s">
        <v>476</v>
      </c>
      <c r="E515" s="172" t="s">
        <v>116</v>
      </c>
      <c r="F515" s="139" t="s">
        <v>527</v>
      </c>
      <c r="G515" s="177" t="s">
        <v>2469</v>
      </c>
      <c r="H515" s="136">
        <v>41496</v>
      </c>
      <c r="I515" s="135">
        <v>1</v>
      </c>
      <c r="J515" s="363">
        <v>5274</v>
      </c>
      <c r="K515" s="363">
        <v>5274</v>
      </c>
      <c r="L515" s="226" t="s">
        <v>788</v>
      </c>
      <c r="M515" s="130" t="s">
        <v>36</v>
      </c>
    </row>
    <row r="516" spans="1:13" s="240" customFormat="1" ht="15" customHeight="1" x14ac:dyDescent="0.25">
      <c r="A516" s="385">
        <v>119</v>
      </c>
      <c r="B516" s="135">
        <v>49046</v>
      </c>
      <c r="C516" s="137" t="s">
        <v>2501</v>
      </c>
      <c r="D516" s="135" t="s">
        <v>484</v>
      </c>
      <c r="E516" s="172" t="s">
        <v>577</v>
      </c>
      <c r="F516" s="139" t="s">
        <v>511</v>
      </c>
      <c r="G516" s="177" t="s">
        <v>569</v>
      </c>
      <c r="H516" s="136">
        <v>41502</v>
      </c>
      <c r="I516" s="135">
        <v>1</v>
      </c>
      <c r="J516" s="363">
        <v>49701</v>
      </c>
      <c r="K516" s="363">
        <v>49701</v>
      </c>
      <c r="L516" s="226" t="s">
        <v>788</v>
      </c>
      <c r="M516" s="130" t="s">
        <v>36</v>
      </c>
    </row>
    <row r="517" spans="1:13" s="240" customFormat="1" ht="15" customHeight="1" x14ac:dyDescent="0.25">
      <c r="A517" s="385">
        <v>120</v>
      </c>
      <c r="B517" s="135">
        <v>49035</v>
      </c>
      <c r="C517" s="137" t="s">
        <v>2530</v>
      </c>
      <c r="D517" s="135" t="s">
        <v>478</v>
      </c>
      <c r="E517" s="172" t="s">
        <v>217</v>
      </c>
      <c r="F517" s="139" t="s">
        <v>371</v>
      </c>
      <c r="G517" s="177" t="s">
        <v>2067</v>
      </c>
      <c r="H517" s="136">
        <v>41502</v>
      </c>
      <c r="I517" s="135">
        <v>1</v>
      </c>
      <c r="J517" s="363">
        <v>44597</v>
      </c>
      <c r="K517" s="363">
        <v>44597</v>
      </c>
      <c r="L517" s="226" t="s">
        <v>788</v>
      </c>
      <c r="M517" s="130" t="s">
        <v>36</v>
      </c>
    </row>
    <row r="518" spans="1:13" s="240" customFormat="1" ht="15" customHeight="1" x14ac:dyDescent="0.25">
      <c r="A518" s="385">
        <v>121</v>
      </c>
      <c r="B518" s="135">
        <v>49800</v>
      </c>
      <c r="C518" s="137" t="s">
        <v>2463</v>
      </c>
      <c r="D518" s="135" t="s">
        <v>478</v>
      </c>
      <c r="E518" s="172" t="s">
        <v>116</v>
      </c>
      <c r="F518" s="139" t="s">
        <v>392</v>
      </c>
      <c r="G518" s="177" t="s">
        <v>1064</v>
      </c>
      <c r="H518" s="136">
        <v>41507</v>
      </c>
      <c r="I518" s="135">
        <v>1</v>
      </c>
      <c r="J518" s="363">
        <v>5274</v>
      </c>
      <c r="K518" s="363">
        <v>5274</v>
      </c>
      <c r="L518" s="226" t="s">
        <v>788</v>
      </c>
      <c r="M518" s="130" t="s">
        <v>36</v>
      </c>
    </row>
    <row r="519" spans="1:13" s="240" customFormat="1" ht="15" customHeight="1" x14ac:dyDescent="0.25">
      <c r="A519" s="385">
        <v>122</v>
      </c>
      <c r="B519" s="135">
        <v>49802</v>
      </c>
      <c r="C519" s="137" t="s">
        <v>2531</v>
      </c>
      <c r="D519" s="135" t="s">
        <v>478</v>
      </c>
      <c r="E519" s="172" t="s">
        <v>116</v>
      </c>
      <c r="F519" s="139" t="s">
        <v>445</v>
      </c>
      <c r="G519" s="177" t="s">
        <v>2101</v>
      </c>
      <c r="H519" s="136">
        <v>41507</v>
      </c>
      <c r="I519" s="135">
        <v>1</v>
      </c>
      <c r="J519" s="363">
        <v>5274</v>
      </c>
      <c r="K519" s="363">
        <v>5274</v>
      </c>
      <c r="L519" s="226" t="s">
        <v>788</v>
      </c>
      <c r="M519" s="130" t="s">
        <v>36</v>
      </c>
    </row>
    <row r="520" spans="1:13" s="240" customFormat="1" ht="15" customHeight="1" x14ac:dyDescent="0.25">
      <c r="A520" s="385">
        <v>123</v>
      </c>
      <c r="B520" s="135">
        <v>49820</v>
      </c>
      <c r="C520" s="137" t="s">
        <v>2532</v>
      </c>
      <c r="D520" s="135" t="s">
        <v>484</v>
      </c>
      <c r="E520" s="172" t="s">
        <v>577</v>
      </c>
      <c r="F520" s="139" t="s">
        <v>562</v>
      </c>
      <c r="G520" s="177" t="s">
        <v>566</v>
      </c>
      <c r="H520" s="136">
        <v>41506</v>
      </c>
      <c r="I520" s="135">
        <v>1</v>
      </c>
      <c r="J520" s="363">
        <v>49701</v>
      </c>
      <c r="K520" s="363">
        <v>49701</v>
      </c>
      <c r="L520" s="226" t="s">
        <v>788</v>
      </c>
      <c r="M520" s="130" t="s">
        <v>36</v>
      </c>
    </row>
    <row r="521" spans="1:13" s="240" customFormat="1" ht="15" customHeight="1" x14ac:dyDescent="0.25">
      <c r="A521" s="385">
        <v>124</v>
      </c>
      <c r="B521" s="135">
        <v>49248</v>
      </c>
      <c r="C521" s="137" t="s">
        <v>2533</v>
      </c>
      <c r="D521" s="135" t="s">
        <v>484</v>
      </c>
      <c r="E521" s="172" t="s">
        <v>188</v>
      </c>
      <c r="F521" s="139" t="s">
        <v>511</v>
      </c>
      <c r="G521" s="177" t="s">
        <v>2534</v>
      </c>
      <c r="H521" s="136">
        <v>41505</v>
      </c>
      <c r="I521" s="135">
        <v>1</v>
      </c>
      <c r="J521" s="363">
        <v>42601</v>
      </c>
      <c r="K521" s="363">
        <v>42601</v>
      </c>
      <c r="L521" s="226" t="s">
        <v>788</v>
      </c>
      <c r="M521" s="130" t="s">
        <v>36</v>
      </c>
    </row>
    <row r="522" spans="1:13" s="240" customFormat="1" ht="15" customHeight="1" x14ac:dyDescent="0.25">
      <c r="A522" s="385">
        <v>125</v>
      </c>
      <c r="B522" s="135">
        <v>49220</v>
      </c>
      <c r="C522" s="137" t="s">
        <v>2535</v>
      </c>
      <c r="D522" s="135" t="s">
        <v>476</v>
      </c>
      <c r="E522" s="172" t="s">
        <v>577</v>
      </c>
      <c r="F522" s="139" t="s">
        <v>472</v>
      </c>
      <c r="G522" s="177" t="s">
        <v>2328</v>
      </c>
      <c r="H522" s="136">
        <v>41505</v>
      </c>
      <c r="I522" s="135">
        <v>1</v>
      </c>
      <c r="J522" s="363">
        <v>49701</v>
      </c>
      <c r="K522" s="363">
        <v>49701</v>
      </c>
      <c r="L522" s="226" t="s">
        <v>788</v>
      </c>
      <c r="M522" s="130" t="s">
        <v>36</v>
      </c>
    </row>
    <row r="523" spans="1:13" s="240" customFormat="1" ht="15" customHeight="1" x14ac:dyDescent="0.25">
      <c r="A523" s="385">
        <v>126</v>
      </c>
      <c r="B523" s="135">
        <v>49295</v>
      </c>
      <c r="C523" s="137" t="s">
        <v>2536</v>
      </c>
      <c r="D523" s="135" t="s">
        <v>484</v>
      </c>
      <c r="E523" s="172" t="s">
        <v>204</v>
      </c>
      <c r="F523" s="139" t="s">
        <v>645</v>
      </c>
      <c r="G523" s="177"/>
      <c r="H523" s="136">
        <v>41505</v>
      </c>
      <c r="I523" s="135">
        <v>1</v>
      </c>
      <c r="J523" s="363">
        <v>17244</v>
      </c>
      <c r="K523" s="363">
        <v>17244</v>
      </c>
      <c r="L523" s="226" t="s">
        <v>788</v>
      </c>
      <c r="M523" s="130" t="s">
        <v>36</v>
      </c>
    </row>
    <row r="524" spans="1:13" s="240" customFormat="1" ht="15" customHeight="1" x14ac:dyDescent="0.25">
      <c r="A524" s="385">
        <v>127</v>
      </c>
      <c r="B524" s="135">
        <v>49346</v>
      </c>
      <c r="C524" s="137" t="s">
        <v>940</v>
      </c>
      <c r="D524" s="135" t="s">
        <v>476</v>
      </c>
      <c r="E524" s="172" t="s">
        <v>116</v>
      </c>
      <c r="F524" s="139" t="s">
        <v>410</v>
      </c>
      <c r="G524" s="177" t="s">
        <v>2537</v>
      </c>
      <c r="H524" s="136">
        <v>41505</v>
      </c>
      <c r="I524" s="135">
        <v>1</v>
      </c>
      <c r="J524" s="363">
        <v>5274</v>
      </c>
      <c r="K524" s="363">
        <v>5274</v>
      </c>
      <c r="L524" s="226" t="s">
        <v>788</v>
      </c>
      <c r="M524" s="130" t="s">
        <v>36</v>
      </c>
    </row>
    <row r="525" spans="1:13" s="240" customFormat="1" ht="15" customHeight="1" x14ac:dyDescent="0.25">
      <c r="A525" s="385">
        <v>128</v>
      </c>
      <c r="B525" s="135">
        <v>49704</v>
      </c>
      <c r="C525" s="137" t="s">
        <v>1358</v>
      </c>
      <c r="D525" s="135" t="s">
        <v>476</v>
      </c>
      <c r="E525" s="172" t="s">
        <v>204</v>
      </c>
      <c r="F525" s="139" t="s">
        <v>431</v>
      </c>
      <c r="G525" s="177"/>
      <c r="H525" s="136">
        <v>41506</v>
      </c>
      <c r="I525" s="135">
        <v>1</v>
      </c>
      <c r="J525" s="363">
        <v>17244</v>
      </c>
      <c r="K525" s="363">
        <v>17244</v>
      </c>
      <c r="L525" s="226" t="s">
        <v>788</v>
      </c>
      <c r="M525" s="130" t="s">
        <v>36</v>
      </c>
    </row>
    <row r="526" spans="1:13" s="240" customFormat="1" ht="15" customHeight="1" x14ac:dyDescent="0.25">
      <c r="A526" s="385">
        <v>129</v>
      </c>
      <c r="B526" s="135">
        <v>49462</v>
      </c>
      <c r="C526" s="137" t="s">
        <v>2488</v>
      </c>
      <c r="D526" s="135" t="s">
        <v>476</v>
      </c>
      <c r="E526" s="172" t="s">
        <v>577</v>
      </c>
      <c r="F526" s="139" t="s">
        <v>562</v>
      </c>
      <c r="G526" s="177" t="s">
        <v>629</v>
      </c>
      <c r="H526" s="136">
        <v>41506</v>
      </c>
      <c r="I526" s="135">
        <v>1</v>
      </c>
      <c r="J526" s="363">
        <v>49701</v>
      </c>
      <c r="K526" s="363">
        <v>49701</v>
      </c>
      <c r="L526" s="226" t="s">
        <v>788</v>
      </c>
      <c r="M526" s="130" t="s">
        <v>36</v>
      </c>
    </row>
    <row r="527" spans="1:13" s="240" customFormat="1" ht="15" customHeight="1" x14ac:dyDescent="0.25">
      <c r="A527" s="385">
        <v>130</v>
      </c>
      <c r="B527" s="135">
        <v>49469</v>
      </c>
      <c r="C527" s="137" t="s">
        <v>2538</v>
      </c>
      <c r="D527" s="135" t="s">
        <v>476</v>
      </c>
      <c r="E527" s="172" t="s">
        <v>1132</v>
      </c>
      <c r="F527" s="139" t="s">
        <v>1004</v>
      </c>
      <c r="G527" s="177" t="s">
        <v>583</v>
      </c>
      <c r="H527" s="136">
        <v>41507</v>
      </c>
      <c r="I527" s="135">
        <v>4</v>
      </c>
      <c r="J527" s="363">
        <v>49701</v>
      </c>
      <c r="K527" s="363">
        <v>198804</v>
      </c>
      <c r="L527" s="226" t="s">
        <v>788</v>
      </c>
      <c r="M527" s="130" t="s">
        <v>36</v>
      </c>
    </row>
    <row r="528" spans="1:13" s="240" customFormat="1" ht="15" customHeight="1" x14ac:dyDescent="0.25">
      <c r="A528" s="385">
        <v>131</v>
      </c>
      <c r="B528" s="135">
        <v>50371</v>
      </c>
      <c r="C528" s="137" t="s">
        <v>2539</v>
      </c>
      <c r="D528" s="135" t="s">
        <v>484</v>
      </c>
      <c r="E528" s="172" t="s">
        <v>232</v>
      </c>
      <c r="F528" s="139" t="s">
        <v>371</v>
      </c>
      <c r="G528" s="177"/>
      <c r="H528" s="136">
        <v>41508</v>
      </c>
      <c r="I528" s="135">
        <v>1</v>
      </c>
      <c r="J528" s="363">
        <v>17244</v>
      </c>
      <c r="K528" s="363">
        <v>17244</v>
      </c>
      <c r="L528" s="226" t="s">
        <v>788</v>
      </c>
      <c r="M528" s="130" t="s">
        <v>36</v>
      </c>
    </row>
    <row r="529" spans="1:13" s="240" customFormat="1" ht="15" customHeight="1" x14ac:dyDescent="0.25">
      <c r="A529" s="385">
        <v>132</v>
      </c>
      <c r="B529" s="135">
        <v>50509</v>
      </c>
      <c r="C529" s="137" t="s">
        <v>2540</v>
      </c>
      <c r="D529" s="135" t="s">
        <v>476</v>
      </c>
      <c r="E529" s="172" t="s">
        <v>115</v>
      </c>
      <c r="F529" s="139" t="s">
        <v>534</v>
      </c>
      <c r="G529" s="177" t="s">
        <v>2097</v>
      </c>
      <c r="H529" s="136">
        <v>41509</v>
      </c>
      <c r="I529" s="135">
        <v>1</v>
      </c>
      <c r="J529" s="363">
        <v>33370</v>
      </c>
      <c r="K529" s="363">
        <v>33370</v>
      </c>
      <c r="L529" s="226" t="s">
        <v>788</v>
      </c>
      <c r="M529" s="130" t="s">
        <v>36</v>
      </c>
    </row>
    <row r="530" spans="1:13" s="240" customFormat="1" ht="15" customHeight="1" x14ac:dyDescent="0.25">
      <c r="A530" s="385">
        <v>133</v>
      </c>
      <c r="B530" s="135">
        <v>50702</v>
      </c>
      <c r="C530" s="137" t="s">
        <v>2541</v>
      </c>
      <c r="D530" s="135" t="s">
        <v>484</v>
      </c>
      <c r="E530" s="172" t="s">
        <v>115</v>
      </c>
      <c r="F530" s="139" t="s">
        <v>415</v>
      </c>
      <c r="G530" s="177" t="s">
        <v>642</v>
      </c>
      <c r="H530" s="136">
        <v>41509</v>
      </c>
      <c r="I530" s="135">
        <v>1</v>
      </c>
      <c r="J530" s="363">
        <v>33370</v>
      </c>
      <c r="K530" s="363">
        <v>33370</v>
      </c>
      <c r="L530" s="226" t="s">
        <v>788</v>
      </c>
      <c r="M530" s="130" t="s">
        <v>36</v>
      </c>
    </row>
    <row r="531" spans="1:13" s="240" customFormat="1" ht="15" customHeight="1" x14ac:dyDescent="0.25">
      <c r="A531" s="385">
        <v>134</v>
      </c>
      <c r="B531" s="135">
        <v>50674</v>
      </c>
      <c r="C531" s="137" t="s">
        <v>2542</v>
      </c>
      <c r="D531" s="135" t="s">
        <v>484</v>
      </c>
      <c r="E531" s="172" t="s">
        <v>577</v>
      </c>
      <c r="F531" s="139" t="s">
        <v>527</v>
      </c>
      <c r="G531" s="177" t="s">
        <v>583</v>
      </c>
      <c r="H531" s="136">
        <v>41509</v>
      </c>
      <c r="I531" s="135">
        <v>1</v>
      </c>
      <c r="J531" s="363">
        <v>49701</v>
      </c>
      <c r="K531" s="363">
        <v>49701</v>
      </c>
      <c r="L531" s="226" t="s">
        <v>788</v>
      </c>
      <c r="M531" s="130" t="s">
        <v>36</v>
      </c>
    </row>
    <row r="532" spans="1:13" s="134" customFormat="1" ht="15" customHeight="1" x14ac:dyDescent="0.25">
      <c r="A532" s="385">
        <v>135</v>
      </c>
      <c r="B532" s="135">
        <v>50534</v>
      </c>
      <c r="C532" s="137" t="s">
        <v>2543</v>
      </c>
      <c r="D532" s="135" t="s">
        <v>484</v>
      </c>
      <c r="E532" s="172" t="s">
        <v>204</v>
      </c>
      <c r="F532" s="139" t="s">
        <v>568</v>
      </c>
      <c r="G532" s="177"/>
      <c r="H532" s="136">
        <v>41509</v>
      </c>
      <c r="I532" s="135">
        <v>1</v>
      </c>
      <c r="J532" s="363">
        <v>17244</v>
      </c>
      <c r="K532" s="363">
        <v>17244</v>
      </c>
      <c r="L532" s="226" t="s">
        <v>788</v>
      </c>
      <c r="M532" s="130" t="s">
        <v>36</v>
      </c>
    </row>
    <row r="533" spans="1:13" s="134" customFormat="1" ht="15" customHeight="1" x14ac:dyDescent="0.25">
      <c r="A533" s="385">
        <v>136</v>
      </c>
      <c r="B533" s="135">
        <v>50998</v>
      </c>
      <c r="C533" s="137" t="s">
        <v>2544</v>
      </c>
      <c r="D533" s="135" t="s">
        <v>484</v>
      </c>
      <c r="E533" s="172" t="s">
        <v>682</v>
      </c>
      <c r="F533" s="139" t="s">
        <v>387</v>
      </c>
      <c r="G533" s="177" t="s">
        <v>2107</v>
      </c>
      <c r="H533" s="136">
        <v>41512</v>
      </c>
      <c r="I533" s="135">
        <v>2</v>
      </c>
      <c r="J533" s="363">
        <v>55058</v>
      </c>
      <c r="K533" s="363">
        <v>110116</v>
      </c>
      <c r="L533" s="226" t="s">
        <v>788</v>
      </c>
      <c r="M533" s="130" t="s">
        <v>36</v>
      </c>
    </row>
    <row r="534" spans="1:13" s="134" customFormat="1" ht="15" customHeight="1" x14ac:dyDescent="0.25">
      <c r="A534" s="385">
        <v>137</v>
      </c>
      <c r="B534" s="135">
        <v>50949</v>
      </c>
      <c r="C534" s="137" t="s">
        <v>2545</v>
      </c>
      <c r="D534" s="135" t="s">
        <v>484</v>
      </c>
      <c r="E534" s="172" t="s">
        <v>188</v>
      </c>
      <c r="F534" s="139" t="s">
        <v>2546</v>
      </c>
      <c r="G534" s="177" t="s">
        <v>2097</v>
      </c>
      <c r="H534" s="136">
        <v>41509</v>
      </c>
      <c r="I534" s="135">
        <v>4</v>
      </c>
      <c r="J534" s="363">
        <v>42601</v>
      </c>
      <c r="K534" s="363">
        <v>170404</v>
      </c>
      <c r="L534" s="226" t="s">
        <v>788</v>
      </c>
      <c r="M534" s="130" t="s">
        <v>36</v>
      </c>
    </row>
    <row r="535" spans="1:13" s="134" customFormat="1" ht="15" customHeight="1" x14ac:dyDescent="0.25">
      <c r="A535" s="385">
        <v>138</v>
      </c>
      <c r="B535" s="135">
        <v>51200</v>
      </c>
      <c r="C535" s="137" t="s">
        <v>2547</v>
      </c>
      <c r="D535" s="135" t="s">
        <v>476</v>
      </c>
      <c r="E535" s="172" t="s">
        <v>204</v>
      </c>
      <c r="F535" s="139" t="s">
        <v>419</v>
      </c>
      <c r="G535" s="177"/>
      <c r="H535" s="136">
        <v>41512</v>
      </c>
      <c r="I535" s="135">
        <v>1</v>
      </c>
      <c r="J535" s="363">
        <v>17244</v>
      </c>
      <c r="K535" s="363">
        <v>17244</v>
      </c>
      <c r="L535" s="226" t="s">
        <v>788</v>
      </c>
      <c r="M535" s="130" t="s">
        <v>36</v>
      </c>
    </row>
    <row r="536" spans="1:13" s="134" customFormat="1" ht="15" customHeight="1" x14ac:dyDescent="0.25">
      <c r="A536" s="385">
        <v>139</v>
      </c>
      <c r="B536" s="135">
        <v>51183</v>
      </c>
      <c r="C536" s="137" t="s">
        <v>2548</v>
      </c>
      <c r="D536" s="135" t="s">
        <v>476</v>
      </c>
      <c r="E536" s="172" t="s">
        <v>580</v>
      </c>
      <c r="F536" s="139" t="s">
        <v>371</v>
      </c>
      <c r="G536" s="177"/>
      <c r="H536" s="136">
        <v>41512</v>
      </c>
      <c r="I536" s="135">
        <v>1</v>
      </c>
      <c r="J536" s="363">
        <v>25800</v>
      </c>
      <c r="K536" s="363">
        <v>25800</v>
      </c>
      <c r="L536" s="226" t="s">
        <v>788</v>
      </c>
      <c r="M536" s="130" t="s">
        <v>36</v>
      </c>
    </row>
    <row r="537" spans="1:13" s="134" customFormat="1" ht="15" customHeight="1" x14ac:dyDescent="0.25">
      <c r="A537" s="385">
        <v>140</v>
      </c>
      <c r="B537" s="135">
        <v>51523</v>
      </c>
      <c r="C537" s="137" t="s">
        <v>2549</v>
      </c>
      <c r="D537" s="135" t="s">
        <v>476</v>
      </c>
      <c r="E537" s="172" t="s">
        <v>537</v>
      </c>
      <c r="F537" s="139" t="s">
        <v>527</v>
      </c>
      <c r="G537" s="177" t="s">
        <v>583</v>
      </c>
      <c r="H537" s="136">
        <v>41513</v>
      </c>
      <c r="I537" s="135">
        <v>1</v>
      </c>
      <c r="J537" s="363">
        <v>30429</v>
      </c>
      <c r="K537" s="363">
        <v>30429</v>
      </c>
      <c r="L537" s="226" t="s">
        <v>788</v>
      </c>
      <c r="M537" s="130" t="s">
        <v>36</v>
      </c>
    </row>
    <row r="538" spans="1:13" s="134" customFormat="1" ht="15" customHeight="1" x14ac:dyDescent="0.25">
      <c r="A538" s="385">
        <v>141</v>
      </c>
      <c r="B538" s="135">
        <v>51387</v>
      </c>
      <c r="C538" s="137" t="s">
        <v>2422</v>
      </c>
      <c r="D538" s="135" t="s">
        <v>476</v>
      </c>
      <c r="E538" s="172" t="s">
        <v>116</v>
      </c>
      <c r="F538" s="139" t="s">
        <v>2462</v>
      </c>
      <c r="G538" s="177" t="s">
        <v>2067</v>
      </c>
      <c r="H538" s="136">
        <v>41513</v>
      </c>
      <c r="I538" s="135">
        <v>4</v>
      </c>
      <c r="J538" s="363">
        <v>5274</v>
      </c>
      <c r="K538" s="363">
        <v>21096</v>
      </c>
      <c r="L538" s="226" t="s">
        <v>788</v>
      </c>
      <c r="M538" s="130" t="s">
        <v>36</v>
      </c>
    </row>
    <row r="539" spans="1:13" s="134" customFormat="1" ht="15" customHeight="1" x14ac:dyDescent="0.25">
      <c r="A539" s="385">
        <v>142</v>
      </c>
      <c r="B539" s="135">
        <v>51380</v>
      </c>
      <c r="C539" s="137" t="s">
        <v>2472</v>
      </c>
      <c r="D539" s="135" t="s">
        <v>476</v>
      </c>
      <c r="E539" s="172" t="s">
        <v>115</v>
      </c>
      <c r="F539" s="139" t="s">
        <v>445</v>
      </c>
      <c r="G539" s="177" t="s">
        <v>560</v>
      </c>
      <c r="H539" s="136">
        <v>41512</v>
      </c>
      <c r="I539" s="135">
        <v>1</v>
      </c>
      <c r="J539" s="363">
        <v>33370</v>
      </c>
      <c r="K539" s="363">
        <v>33370</v>
      </c>
      <c r="L539" s="226" t="s">
        <v>788</v>
      </c>
      <c r="M539" s="130" t="s">
        <v>36</v>
      </c>
    </row>
    <row r="540" spans="1:13" s="134" customFormat="1" ht="15" customHeight="1" x14ac:dyDescent="0.25">
      <c r="A540" s="385">
        <v>143</v>
      </c>
      <c r="B540" s="135">
        <v>51553</v>
      </c>
      <c r="C540" s="137" t="s">
        <v>2458</v>
      </c>
      <c r="D540" s="135" t="s">
        <v>484</v>
      </c>
      <c r="E540" s="172" t="s">
        <v>115</v>
      </c>
      <c r="F540" s="139" t="s">
        <v>442</v>
      </c>
      <c r="G540" s="177" t="s">
        <v>583</v>
      </c>
      <c r="H540" s="136">
        <v>41513</v>
      </c>
      <c r="I540" s="135">
        <v>1</v>
      </c>
      <c r="J540" s="363">
        <v>33370</v>
      </c>
      <c r="K540" s="363">
        <v>33370</v>
      </c>
      <c r="L540" s="226" t="s">
        <v>788</v>
      </c>
      <c r="M540" s="130" t="s">
        <v>36</v>
      </c>
    </row>
    <row r="541" spans="1:13" s="134" customFormat="1" ht="15" customHeight="1" x14ac:dyDescent="0.25">
      <c r="A541" s="385">
        <v>144</v>
      </c>
      <c r="B541" s="135">
        <v>51561</v>
      </c>
      <c r="C541" s="137" t="s">
        <v>2550</v>
      </c>
      <c r="D541" s="135" t="s">
        <v>484</v>
      </c>
      <c r="E541" s="172" t="s">
        <v>204</v>
      </c>
      <c r="F541" s="139" t="s">
        <v>511</v>
      </c>
      <c r="G541" s="177"/>
      <c r="H541" s="136">
        <v>41513</v>
      </c>
      <c r="I541" s="135">
        <v>1</v>
      </c>
      <c r="J541" s="363">
        <v>17244</v>
      </c>
      <c r="K541" s="363">
        <v>17244</v>
      </c>
      <c r="L541" s="226" t="s">
        <v>788</v>
      </c>
      <c r="M541" s="130" t="s">
        <v>36</v>
      </c>
    </row>
    <row r="542" spans="1:13" s="134" customFormat="1" ht="15" customHeight="1" x14ac:dyDescent="0.25">
      <c r="A542" s="385">
        <v>145</v>
      </c>
      <c r="B542" s="135">
        <v>51568</v>
      </c>
      <c r="C542" s="137" t="s">
        <v>2551</v>
      </c>
      <c r="D542" s="135" t="s">
        <v>484</v>
      </c>
      <c r="E542" s="172" t="s">
        <v>577</v>
      </c>
      <c r="F542" s="139" t="s">
        <v>417</v>
      </c>
      <c r="G542" s="177" t="s">
        <v>583</v>
      </c>
      <c r="H542" s="136">
        <v>41513</v>
      </c>
      <c r="I542" s="135">
        <v>1</v>
      </c>
      <c r="J542" s="363">
        <v>49701</v>
      </c>
      <c r="K542" s="363">
        <v>49701</v>
      </c>
      <c r="L542" s="226" t="s">
        <v>788</v>
      </c>
      <c r="M542" s="130" t="s">
        <v>36</v>
      </c>
    </row>
    <row r="543" spans="1:13" s="134" customFormat="1" ht="15" customHeight="1" x14ac:dyDescent="0.25">
      <c r="A543" s="385">
        <v>146</v>
      </c>
      <c r="B543" s="135">
        <v>51571</v>
      </c>
      <c r="C543" s="137" t="s">
        <v>2552</v>
      </c>
      <c r="D543" s="135" t="s">
        <v>484</v>
      </c>
      <c r="E543" s="172" t="s">
        <v>577</v>
      </c>
      <c r="F543" s="139" t="s">
        <v>417</v>
      </c>
      <c r="G543" s="177" t="s">
        <v>2112</v>
      </c>
      <c r="H543" s="136">
        <v>41513</v>
      </c>
      <c r="I543" s="135">
        <v>1</v>
      </c>
      <c r="J543" s="363">
        <v>49701</v>
      </c>
      <c r="K543" s="363">
        <v>49701</v>
      </c>
      <c r="L543" s="226" t="s">
        <v>788</v>
      </c>
      <c r="M543" s="130" t="s">
        <v>36</v>
      </c>
    </row>
    <row r="544" spans="1:13" s="134" customFormat="1" ht="15" customHeight="1" x14ac:dyDescent="0.25">
      <c r="A544" s="385">
        <v>147</v>
      </c>
      <c r="B544" s="135">
        <v>51848</v>
      </c>
      <c r="C544" s="137" t="s">
        <v>2553</v>
      </c>
      <c r="D544" s="135" t="s">
        <v>484</v>
      </c>
      <c r="E544" s="172" t="s">
        <v>217</v>
      </c>
      <c r="F544" s="139" t="s">
        <v>369</v>
      </c>
      <c r="G544" s="177" t="s">
        <v>2097</v>
      </c>
      <c r="H544" s="136">
        <v>41514</v>
      </c>
      <c r="I544" s="135">
        <v>1</v>
      </c>
      <c r="J544" s="363">
        <v>44597</v>
      </c>
      <c r="K544" s="363">
        <v>44597</v>
      </c>
      <c r="L544" s="226" t="s">
        <v>788</v>
      </c>
      <c r="M544" s="130" t="s">
        <v>36</v>
      </c>
    </row>
    <row r="545" spans="1:13" s="134" customFormat="1" ht="15" customHeight="1" x14ac:dyDescent="0.25">
      <c r="A545" s="385">
        <v>148</v>
      </c>
      <c r="B545" s="135">
        <v>51946</v>
      </c>
      <c r="C545" s="137" t="s">
        <v>2554</v>
      </c>
      <c r="D545" s="135" t="s">
        <v>476</v>
      </c>
      <c r="E545" s="172" t="s">
        <v>537</v>
      </c>
      <c r="F545" s="139" t="s">
        <v>431</v>
      </c>
      <c r="G545" s="177" t="s">
        <v>583</v>
      </c>
      <c r="H545" s="136">
        <v>41514</v>
      </c>
      <c r="I545" s="135">
        <v>1</v>
      </c>
      <c r="J545" s="363">
        <v>30429</v>
      </c>
      <c r="K545" s="363">
        <v>30429</v>
      </c>
      <c r="L545" s="226" t="s">
        <v>788</v>
      </c>
      <c r="M545" s="130" t="s">
        <v>36</v>
      </c>
    </row>
    <row r="546" spans="1:13" s="134" customFormat="1" ht="15" customHeight="1" x14ac:dyDescent="0.25">
      <c r="A546" s="385">
        <v>149</v>
      </c>
      <c r="B546" s="135">
        <v>52399</v>
      </c>
      <c r="C546" s="137" t="s">
        <v>2555</v>
      </c>
      <c r="D546" s="135" t="s">
        <v>476</v>
      </c>
      <c r="E546" s="172" t="s">
        <v>204</v>
      </c>
      <c r="F546" s="139" t="s">
        <v>417</v>
      </c>
      <c r="G546" s="177"/>
      <c r="H546" s="136">
        <v>41516</v>
      </c>
      <c r="I546" s="135">
        <v>1</v>
      </c>
      <c r="J546" s="363">
        <v>17244</v>
      </c>
      <c r="K546" s="363">
        <v>17244</v>
      </c>
      <c r="L546" s="226" t="s">
        <v>788</v>
      </c>
      <c r="M546" s="130" t="s">
        <v>36</v>
      </c>
    </row>
    <row r="547" spans="1:13" s="134" customFormat="1" ht="15" customHeight="1" x14ac:dyDescent="0.25">
      <c r="A547" s="385">
        <v>150</v>
      </c>
      <c r="B547" s="135">
        <v>52519</v>
      </c>
      <c r="C547" s="137" t="s">
        <v>2556</v>
      </c>
      <c r="D547" s="135" t="s">
        <v>484</v>
      </c>
      <c r="E547" s="172" t="s">
        <v>116</v>
      </c>
      <c r="F547" s="139" t="s">
        <v>442</v>
      </c>
      <c r="G547" s="177" t="s">
        <v>2107</v>
      </c>
      <c r="H547" s="136">
        <v>41516</v>
      </c>
      <c r="I547" s="135">
        <v>1</v>
      </c>
      <c r="J547" s="363">
        <v>5274</v>
      </c>
      <c r="K547" s="363">
        <v>5274</v>
      </c>
      <c r="L547" s="226" t="s">
        <v>788</v>
      </c>
      <c r="M547" s="130" t="s">
        <v>36</v>
      </c>
    </row>
    <row r="548" spans="1:13" s="134" customFormat="1" ht="15" customHeight="1" x14ac:dyDescent="0.25">
      <c r="A548" s="385">
        <v>151</v>
      </c>
      <c r="B548" s="135">
        <v>52645</v>
      </c>
      <c r="C548" s="137" t="s">
        <v>2557</v>
      </c>
      <c r="D548" s="135" t="s">
        <v>476</v>
      </c>
      <c r="E548" s="172" t="s">
        <v>580</v>
      </c>
      <c r="F548" s="139" t="s">
        <v>371</v>
      </c>
      <c r="G548" s="177"/>
      <c r="H548" s="136">
        <v>41516</v>
      </c>
      <c r="I548" s="135">
        <v>1</v>
      </c>
      <c r="J548" s="363">
        <v>25800</v>
      </c>
      <c r="K548" s="363">
        <v>25800</v>
      </c>
      <c r="L548" s="226" t="s">
        <v>788</v>
      </c>
      <c r="M548" s="130" t="s">
        <v>36</v>
      </c>
    </row>
    <row r="549" spans="1:13" s="134" customFormat="1" ht="15" customHeight="1" x14ac:dyDescent="0.25">
      <c r="A549" s="385">
        <v>152</v>
      </c>
      <c r="B549" s="135">
        <v>52696</v>
      </c>
      <c r="C549" s="137" t="s">
        <v>1273</v>
      </c>
      <c r="D549" s="135" t="s">
        <v>484</v>
      </c>
      <c r="E549" s="172" t="s">
        <v>115</v>
      </c>
      <c r="F549" s="139" t="s">
        <v>527</v>
      </c>
      <c r="G549" s="177" t="s">
        <v>2075</v>
      </c>
      <c r="H549" s="136">
        <v>41516</v>
      </c>
      <c r="I549" s="135">
        <v>1</v>
      </c>
      <c r="J549" s="363">
        <v>33370</v>
      </c>
      <c r="K549" s="363">
        <v>33370</v>
      </c>
      <c r="L549" s="226" t="s">
        <v>788</v>
      </c>
      <c r="M549" s="130" t="s">
        <v>36</v>
      </c>
    </row>
    <row r="550" spans="1:13" s="134" customFormat="1" ht="15" customHeight="1" thickBot="1" x14ac:dyDescent="0.3">
      <c r="A550" s="386">
        <v>153</v>
      </c>
      <c r="B550" s="387">
        <v>45657</v>
      </c>
      <c r="C550" s="388" t="s">
        <v>2558</v>
      </c>
      <c r="D550" s="387" t="s">
        <v>484</v>
      </c>
      <c r="E550" s="389" t="s">
        <v>115</v>
      </c>
      <c r="F550" s="390" t="s">
        <v>431</v>
      </c>
      <c r="G550" s="391" t="s">
        <v>569</v>
      </c>
      <c r="H550" s="392">
        <v>41488</v>
      </c>
      <c r="I550" s="387">
        <v>1</v>
      </c>
      <c r="J550" s="393">
        <v>33370</v>
      </c>
      <c r="K550" s="393">
        <v>33370</v>
      </c>
      <c r="L550" s="226" t="s">
        <v>788</v>
      </c>
      <c r="M550" s="130" t="s">
        <v>36</v>
      </c>
    </row>
    <row r="551" spans="1:13" s="134" customFormat="1" ht="15" customHeight="1" thickTop="1" x14ac:dyDescent="0.25">
      <c r="A551" s="376">
        <v>154</v>
      </c>
      <c r="B551" s="376">
        <v>57374</v>
      </c>
      <c r="C551" s="377" t="s">
        <v>2503</v>
      </c>
      <c r="D551" s="376" t="s">
        <v>476</v>
      </c>
      <c r="E551" s="378" t="s">
        <v>115</v>
      </c>
      <c r="F551" s="379" t="s">
        <v>568</v>
      </c>
      <c r="G551" s="380" t="s">
        <v>2559</v>
      </c>
      <c r="H551" s="381">
        <v>41540</v>
      </c>
      <c r="I551" s="376">
        <v>1</v>
      </c>
      <c r="J551" s="382">
        <v>33370</v>
      </c>
      <c r="K551" s="382">
        <v>33370</v>
      </c>
      <c r="L551" s="226" t="s">
        <v>617</v>
      </c>
      <c r="M551" s="130" t="s">
        <v>36</v>
      </c>
    </row>
    <row r="552" spans="1:13" s="134" customFormat="1" ht="15" customHeight="1" x14ac:dyDescent="0.25">
      <c r="A552" s="135">
        <v>155</v>
      </c>
      <c r="B552" s="135">
        <v>53471</v>
      </c>
      <c r="C552" s="137" t="s">
        <v>2560</v>
      </c>
      <c r="D552" s="135" t="s">
        <v>484</v>
      </c>
      <c r="E552" s="172" t="s">
        <v>577</v>
      </c>
      <c r="F552" s="139" t="s">
        <v>419</v>
      </c>
      <c r="G552" s="177" t="s">
        <v>569</v>
      </c>
      <c r="H552" s="136">
        <v>41520</v>
      </c>
      <c r="I552" s="135">
        <v>1</v>
      </c>
      <c r="J552" s="363">
        <v>49701</v>
      </c>
      <c r="K552" s="363">
        <v>49701</v>
      </c>
      <c r="L552" s="226" t="s">
        <v>617</v>
      </c>
      <c r="M552" s="130" t="s">
        <v>36</v>
      </c>
    </row>
    <row r="553" spans="1:13" s="134" customFormat="1" ht="15" customHeight="1" x14ac:dyDescent="0.25">
      <c r="A553" s="135">
        <v>156</v>
      </c>
      <c r="B553" s="135">
        <v>56903</v>
      </c>
      <c r="C553" s="137" t="s">
        <v>2561</v>
      </c>
      <c r="D553" s="135" t="s">
        <v>476</v>
      </c>
      <c r="E553" s="172" t="s">
        <v>577</v>
      </c>
      <c r="F553" s="139" t="s">
        <v>562</v>
      </c>
      <c r="G553" s="177" t="s">
        <v>735</v>
      </c>
      <c r="H553" s="136">
        <v>41534</v>
      </c>
      <c r="I553" s="135">
        <v>1</v>
      </c>
      <c r="J553" s="363">
        <v>49701</v>
      </c>
      <c r="K553" s="363">
        <v>49701</v>
      </c>
      <c r="L553" s="226" t="s">
        <v>617</v>
      </c>
      <c r="M553" s="130" t="s">
        <v>36</v>
      </c>
    </row>
    <row r="554" spans="1:13" s="134" customFormat="1" ht="15" customHeight="1" x14ac:dyDescent="0.25">
      <c r="A554" s="135">
        <v>157</v>
      </c>
      <c r="B554" s="135">
        <v>50280</v>
      </c>
      <c r="C554" s="137" t="s">
        <v>2562</v>
      </c>
      <c r="D554" s="135" t="s">
        <v>697</v>
      </c>
      <c r="E554" s="172" t="s">
        <v>580</v>
      </c>
      <c r="F554" s="139" t="s">
        <v>371</v>
      </c>
      <c r="G554" s="177"/>
      <c r="H554" s="136">
        <v>41509</v>
      </c>
      <c r="I554" s="135">
        <v>1</v>
      </c>
      <c r="J554" s="363">
        <v>25800</v>
      </c>
      <c r="K554" s="363">
        <v>25800</v>
      </c>
      <c r="L554" s="226" t="s">
        <v>617</v>
      </c>
      <c r="M554" s="130" t="s">
        <v>36</v>
      </c>
    </row>
    <row r="555" spans="1:13" s="134" customFormat="1" ht="15" customHeight="1" x14ac:dyDescent="0.25">
      <c r="A555" s="135">
        <v>158</v>
      </c>
      <c r="B555" s="135">
        <v>56937</v>
      </c>
      <c r="C555" s="137" t="s">
        <v>2563</v>
      </c>
      <c r="D555" s="135" t="s">
        <v>484</v>
      </c>
      <c r="E555" s="172" t="s">
        <v>537</v>
      </c>
      <c r="F555" s="139" t="s">
        <v>431</v>
      </c>
      <c r="G555" s="177" t="s">
        <v>569</v>
      </c>
      <c r="H555" s="136">
        <v>41533</v>
      </c>
      <c r="I555" s="135">
        <v>1</v>
      </c>
      <c r="J555" s="363">
        <v>30429</v>
      </c>
      <c r="K555" s="363">
        <v>30429</v>
      </c>
      <c r="L555" s="226" t="s">
        <v>617</v>
      </c>
      <c r="M555" s="130" t="s">
        <v>36</v>
      </c>
    </row>
    <row r="556" spans="1:13" s="134" customFormat="1" ht="15" customHeight="1" x14ac:dyDescent="0.25">
      <c r="A556" s="135">
        <v>159</v>
      </c>
      <c r="B556" s="135">
        <v>58100</v>
      </c>
      <c r="C556" s="137" t="s">
        <v>2564</v>
      </c>
      <c r="D556" s="135" t="s">
        <v>476</v>
      </c>
      <c r="E556" s="172" t="s">
        <v>577</v>
      </c>
      <c r="F556" s="139" t="s">
        <v>562</v>
      </c>
      <c r="G556" s="177" t="s">
        <v>2565</v>
      </c>
      <c r="H556" s="136">
        <v>41542</v>
      </c>
      <c r="I556" s="135">
        <v>1</v>
      </c>
      <c r="J556" s="363">
        <v>49701</v>
      </c>
      <c r="K556" s="363">
        <v>49701</v>
      </c>
      <c r="L556" s="226" t="s">
        <v>617</v>
      </c>
      <c r="M556" s="130" t="s">
        <v>36</v>
      </c>
    </row>
    <row r="557" spans="1:13" s="134" customFormat="1" ht="15" customHeight="1" x14ac:dyDescent="0.25">
      <c r="A557" s="135">
        <v>160</v>
      </c>
      <c r="B557" s="135">
        <v>55476</v>
      </c>
      <c r="C557" s="137" t="s">
        <v>2566</v>
      </c>
      <c r="D557" s="135" t="s">
        <v>484</v>
      </c>
      <c r="E557" s="172" t="s">
        <v>537</v>
      </c>
      <c r="F557" s="139" t="s">
        <v>527</v>
      </c>
      <c r="G557" s="177" t="s">
        <v>569</v>
      </c>
      <c r="H557" s="136">
        <v>41527</v>
      </c>
      <c r="I557" s="135">
        <v>1</v>
      </c>
      <c r="J557" s="363">
        <v>30429</v>
      </c>
      <c r="K557" s="363">
        <v>30429</v>
      </c>
      <c r="L557" s="226" t="s">
        <v>617</v>
      </c>
      <c r="M557" s="130" t="s">
        <v>36</v>
      </c>
    </row>
    <row r="558" spans="1:13" s="134" customFormat="1" ht="15" customHeight="1" x14ac:dyDescent="0.25">
      <c r="A558" s="135">
        <v>161</v>
      </c>
      <c r="B558" s="135">
        <v>55888</v>
      </c>
      <c r="C558" s="137" t="s">
        <v>2567</v>
      </c>
      <c r="D558" s="135" t="s">
        <v>484</v>
      </c>
      <c r="E558" s="172" t="s">
        <v>577</v>
      </c>
      <c r="F558" s="139" t="s">
        <v>415</v>
      </c>
      <c r="G558" s="177" t="s">
        <v>566</v>
      </c>
      <c r="H558" s="136">
        <v>41528</v>
      </c>
      <c r="I558" s="135">
        <v>1</v>
      </c>
      <c r="J558" s="363">
        <v>49701</v>
      </c>
      <c r="K558" s="363">
        <v>49701</v>
      </c>
      <c r="L558" s="226" t="s">
        <v>617</v>
      </c>
      <c r="M558" s="130" t="s">
        <v>36</v>
      </c>
    </row>
    <row r="559" spans="1:13" s="134" customFormat="1" ht="15" customHeight="1" x14ac:dyDescent="0.25">
      <c r="A559" s="135">
        <v>162</v>
      </c>
      <c r="B559" s="135">
        <v>49954</v>
      </c>
      <c r="C559" s="137" t="s">
        <v>2568</v>
      </c>
      <c r="D559" s="135" t="s">
        <v>476</v>
      </c>
      <c r="E559" s="172" t="s">
        <v>577</v>
      </c>
      <c r="F559" s="139" t="s">
        <v>511</v>
      </c>
      <c r="G559" s="177" t="s">
        <v>2569</v>
      </c>
      <c r="H559" s="136">
        <v>41507</v>
      </c>
      <c r="I559" s="135">
        <v>1</v>
      </c>
      <c r="J559" s="363">
        <v>49701</v>
      </c>
      <c r="K559" s="363">
        <v>49701</v>
      </c>
      <c r="L559" s="226" t="s">
        <v>617</v>
      </c>
      <c r="M559" s="130" t="s">
        <v>36</v>
      </c>
    </row>
    <row r="560" spans="1:13" s="134" customFormat="1" ht="15" customHeight="1" x14ac:dyDescent="0.25">
      <c r="A560" s="135">
        <v>163</v>
      </c>
      <c r="B560" s="135">
        <v>58231</v>
      </c>
      <c r="C560" s="137" t="s">
        <v>2570</v>
      </c>
      <c r="D560" s="135" t="s">
        <v>476</v>
      </c>
      <c r="E560" s="172" t="s">
        <v>577</v>
      </c>
      <c r="F560" s="139" t="s">
        <v>562</v>
      </c>
      <c r="G560" s="177" t="s">
        <v>2571</v>
      </c>
      <c r="H560" s="136">
        <v>41542</v>
      </c>
      <c r="I560" s="135">
        <v>1</v>
      </c>
      <c r="J560" s="363">
        <v>49701</v>
      </c>
      <c r="K560" s="363">
        <v>49701</v>
      </c>
      <c r="L560" s="226" t="s">
        <v>617</v>
      </c>
      <c r="M560" s="130" t="s">
        <v>36</v>
      </c>
    </row>
    <row r="561" spans="1:13" s="134" customFormat="1" ht="15" customHeight="1" x14ac:dyDescent="0.25">
      <c r="A561" s="135">
        <v>164</v>
      </c>
      <c r="B561" s="135">
        <v>53395</v>
      </c>
      <c r="C561" s="137" t="s">
        <v>2572</v>
      </c>
      <c r="D561" s="135" t="s">
        <v>484</v>
      </c>
      <c r="E561" s="172" t="s">
        <v>188</v>
      </c>
      <c r="F561" s="139" t="s">
        <v>2573</v>
      </c>
      <c r="G561" s="177"/>
      <c r="H561" s="136">
        <v>41520</v>
      </c>
      <c r="I561" s="135">
        <v>6</v>
      </c>
      <c r="J561" s="363">
        <v>42601</v>
      </c>
      <c r="K561" s="363">
        <v>255606</v>
      </c>
      <c r="L561" s="226" t="s">
        <v>617</v>
      </c>
      <c r="M561" s="130" t="s">
        <v>36</v>
      </c>
    </row>
    <row r="562" spans="1:13" s="134" customFormat="1" ht="15" customHeight="1" x14ac:dyDescent="0.25">
      <c r="A562" s="135">
        <v>165</v>
      </c>
      <c r="B562" s="135">
        <v>58686</v>
      </c>
      <c r="C562" s="137" t="s">
        <v>2574</v>
      </c>
      <c r="D562" s="135" t="s">
        <v>476</v>
      </c>
      <c r="E562" s="172" t="s">
        <v>204</v>
      </c>
      <c r="F562" s="139" t="s">
        <v>645</v>
      </c>
      <c r="G562" s="177"/>
      <c r="H562" s="136">
        <v>41547</v>
      </c>
      <c r="I562" s="135">
        <v>1</v>
      </c>
      <c r="J562" s="363">
        <v>17244</v>
      </c>
      <c r="K562" s="363">
        <v>17244</v>
      </c>
      <c r="L562" s="226" t="s">
        <v>617</v>
      </c>
      <c r="M562" s="130" t="s">
        <v>36</v>
      </c>
    </row>
    <row r="563" spans="1:13" s="134" customFormat="1" ht="15" customHeight="1" x14ac:dyDescent="0.25">
      <c r="A563" s="135">
        <v>166</v>
      </c>
      <c r="B563" s="135">
        <v>58237</v>
      </c>
      <c r="C563" s="137" t="s">
        <v>2575</v>
      </c>
      <c r="D563" s="135" t="s">
        <v>484</v>
      </c>
      <c r="E563" s="172" t="s">
        <v>115</v>
      </c>
      <c r="F563" s="139" t="s">
        <v>527</v>
      </c>
      <c r="G563" s="177" t="s">
        <v>566</v>
      </c>
      <c r="H563" s="136">
        <v>41542</v>
      </c>
      <c r="I563" s="135">
        <v>1</v>
      </c>
      <c r="J563" s="363">
        <v>33370</v>
      </c>
      <c r="K563" s="363">
        <v>33370</v>
      </c>
      <c r="L563" s="226" t="s">
        <v>617</v>
      </c>
      <c r="M563" s="130" t="s">
        <v>36</v>
      </c>
    </row>
    <row r="564" spans="1:13" s="134" customFormat="1" ht="15" customHeight="1" x14ac:dyDescent="0.25">
      <c r="A564" s="135">
        <v>167</v>
      </c>
      <c r="B564" s="135">
        <v>54339</v>
      </c>
      <c r="C564" s="137" t="s">
        <v>2529</v>
      </c>
      <c r="D564" s="135" t="s">
        <v>484</v>
      </c>
      <c r="E564" s="172" t="s">
        <v>116</v>
      </c>
      <c r="F564" s="139" t="s">
        <v>527</v>
      </c>
      <c r="G564" s="177" t="s">
        <v>2576</v>
      </c>
      <c r="H564" s="136">
        <v>41523</v>
      </c>
      <c r="I564" s="135">
        <v>1</v>
      </c>
      <c r="J564" s="363">
        <v>5274</v>
      </c>
      <c r="K564" s="363">
        <v>5274</v>
      </c>
      <c r="L564" s="226" t="s">
        <v>617</v>
      </c>
      <c r="M564" s="130" t="s">
        <v>36</v>
      </c>
    </row>
    <row r="565" spans="1:13" s="134" customFormat="1" ht="15" customHeight="1" x14ac:dyDescent="0.25">
      <c r="A565" s="135">
        <v>168</v>
      </c>
      <c r="B565" s="135">
        <v>57180</v>
      </c>
      <c r="C565" s="137" t="s">
        <v>2529</v>
      </c>
      <c r="D565" s="135" t="s">
        <v>476</v>
      </c>
      <c r="E565" s="172" t="s">
        <v>115</v>
      </c>
      <c r="F565" s="139" t="s">
        <v>527</v>
      </c>
      <c r="G565" s="177" t="s">
        <v>2577</v>
      </c>
      <c r="H565" s="136">
        <v>41540</v>
      </c>
      <c r="I565" s="135">
        <v>1</v>
      </c>
      <c r="J565" s="363">
        <v>33370</v>
      </c>
      <c r="K565" s="363">
        <v>33370</v>
      </c>
      <c r="L565" s="226" t="s">
        <v>617</v>
      </c>
      <c r="M565" s="130" t="s">
        <v>36</v>
      </c>
    </row>
    <row r="566" spans="1:13" s="134" customFormat="1" ht="15" customHeight="1" x14ac:dyDescent="0.25">
      <c r="A566" s="135">
        <v>169</v>
      </c>
      <c r="B566" s="135">
        <v>55373</v>
      </c>
      <c r="C566" s="137" t="s">
        <v>940</v>
      </c>
      <c r="D566" s="135" t="s">
        <v>476</v>
      </c>
      <c r="E566" s="172" t="s">
        <v>1053</v>
      </c>
      <c r="F566" s="139" t="s">
        <v>410</v>
      </c>
      <c r="G566" s="177"/>
      <c r="H566" s="136">
        <v>41527</v>
      </c>
      <c r="I566" s="135">
        <v>1</v>
      </c>
      <c r="J566" s="363">
        <v>57960</v>
      </c>
      <c r="K566" s="363">
        <v>57960</v>
      </c>
      <c r="L566" s="226" t="s">
        <v>617</v>
      </c>
      <c r="M566" s="130" t="s">
        <v>36</v>
      </c>
    </row>
    <row r="567" spans="1:13" s="134" customFormat="1" ht="15" customHeight="1" x14ac:dyDescent="0.25">
      <c r="A567" s="135">
        <v>170</v>
      </c>
      <c r="B567" s="135">
        <v>57284</v>
      </c>
      <c r="C567" s="137" t="s">
        <v>2578</v>
      </c>
      <c r="D567" s="135" t="s">
        <v>505</v>
      </c>
      <c r="E567" s="172" t="s">
        <v>580</v>
      </c>
      <c r="F567" s="139" t="s">
        <v>371</v>
      </c>
      <c r="G567" s="177"/>
      <c r="H567" s="136">
        <v>41540</v>
      </c>
      <c r="I567" s="135">
        <v>1</v>
      </c>
      <c r="J567" s="363">
        <v>25800</v>
      </c>
      <c r="K567" s="363">
        <v>25800</v>
      </c>
      <c r="L567" s="226" t="s">
        <v>617</v>
      </c>
      <c r="M567" s="130" t="s">
        <v>36</v>
      </c>
    </row>
    <row r="568" spans="1:13" s="134" customFormat="1" ht="15" customHeight="1" x14ac:dyDescent="0.25">
      <c r="A568" s="135">
        <v>171</v>
      </c>
      <c r="B568" s="135">
        <v>57326</v>
      </c>
      <c r="C568" s="137" t="s">
        <v>2579</v>
      </c>
      <c r="D568" s="135" t="s">
        <v>481</v>
      </c>
      <c r="E568" s="172" t="s">
        <v>116</v>
      </c>
      <c r="F568" s="139" t="s">
        <v>417</v>
      </c>
      <c r="G568" s="177" t="s">
        <v>2135</v>
      </c>
      <c r="H568" s="136">
        <v>41540</v>
      </c>
      <c r="I568" s="135">
        <v>1</v>
      </c>
      <c r="J568" s="363">
        <v>5274</v>
      </c>
      <c r="K568" s="363">
        <v>5274</v>
      </c>
      <c r="L568" s="226" t="s">
        <v>617</v>
      </c>
      <c r="M568" s="130" t="s">
        <v>36</v>
      </c>
    </row>
    <row r="569" spans="1:13" s="134" customFormat="1" ht="15" customHeight="1" x14ac:dyDescent="0.25">
      <c r="A569" s="135">
        <v>172</v>
      </c>
      <c r="B569" s="135">
        <v>55008</v>
      </c>
      <c r="C569" s="137" t="s">
        <v>2580</v>
      </c>
      <c r="D569" s="135" t="s">
        <v>476</v>
      </c>
      <c r="E569" s="172" t="s">
        <v>115</v>
      </c>
      <c r="F569" s="139" t="s">
        <v>2496</v>
      </c>
      <c r="G569" s="177"/>
      <c r="H569" s="136">
        <v>41526</v>
      </c>
      <c r="I569" s="135">
        <v>3</v>
      </c>
      <c r="J569" s="363">
        <v>33370</v>
      </c>
      <c r="K569" s="363">
        <v>100110</v>
      </c>
      <c r="L569" s="226" t="s">
        <v>617</v>
      </c>
      <c r="M569" s="130" t="s">
        <v>36</v>
      </c>
    </row>
    <row r="570" spans="1:13" s="134" customFormat="1" ht="15" customHeight="1" x14ac:dyDescent="0.25">
      <c r="A570" s="135">
        <v>173</v>
      </c>
      <c r="B570" s="135">
        <v>54310</v>
      </c>
      <c r="C570" s="137" t="s">
        <v>2581</v>
      </c>
      <c r="D570" s="135" t="s">
        <v>484</v>
      </c>
      <c r="E570" s="172" t="s">
        <v>116</v>
      </c>
      <c r="F570" s="139" t="s">
        <v>417</v>
      </c>
      <c r="G570" s="177" t="s">
        <v>2314</v>
      </c>
      <c r="H570" s="136">
        <v>41523</v>
      </c>
      <c r="I570" s="135">
        <v>1</v>
      </c>
      <c r="J570" s="363">
        <v>5274</v>
      </c>
      <c r="K570" s="363">
        <v>5274</v>
      </c>
      <c r="L570" s="226" t="s">
        <v>617</v>
      </c>
      <c r="M570" s="130" t="s">
        <v>36</v>
      </c>
    </row>
    <row r="571" spans="1:13" s="134" customFormat="1" ht="15" customHeight="1" x14ac:dyDescent="0.25">
      <c r="A571" s="233">
        <v>174</v>
      </c>
      <c r="B571" s="233">
        <v>56781</v>
      </c>
      <c r="C571" s="234" t="s">
        <v>2582</v>
      </c>
      <c r="D571" s="233" t="s">
        <v>476</v>
      </c>
      <c r="E571" s="235" t="s">
        <v>580</v>
      </c>
      <c r="F571" s="236" t="s">
        <v>371</v>
      </c>
      <c r="G571" s="237"/>
      <c r="H571" s="238">
        <v>41533</v>
      </c>
      <c r="I571" s="233">
        <v>1</v>
      </c>
      <c r="J571" s="384">
        <v>25800</v>
      </c>
      <c r="K571" s="384">
        <v>25800</v>
      </c>
      <c r="L571" s="226" t="s">
        <v>617</v>
      </c>
      <c r="M571" s="130" t="s">
        <v>36</v>
      </c>
    </row>
    <row r="572" spans="1:13" s="134" customFormat="1" ht="15" customHeight="1" x14ac:dyDescent="0.25">
      <c r="A572" s="233">
        <v>175</v>
      </c>
      <c r="B572" s="233">
        <v>56775</v>
      </c>
      <c r="C572" s="234" t="s">
        <v>2583</v>
      </c>
      <c r="D572" s="233" t="s">
        <v>476</v>
      </c>
      <c r="E572" s="235" t="s">
        <v>580</v>
      </c>
      <c r="F572" s="236" t="s">
        <v>371</v>
      </c>
      <c r="G572" s="237"/>
      <c r="H572" s="238">
        <v>41533</v>
      </c>
      <c r="I572" s="233">
        <v>1</v>
      </c>
      <c r="J572" s="384">
        <v>25800</v>
      </c>
      <c r="K572" s="384">
        <v>25800</v>
      </c>
      <c r="L572" s="226" t="s">
        <v>617</v>
      </c>
      <c r="M572" s="130" t="s">
        <v>36</v>
      </c>
    </row>
    <row r="573" spans="1:13" s="134" customFormat="1" ht="15" customHeight="1" x14ac:dyDescent="0.25">
      <c r="A573" s="233">
        <v>176</v>
      </c>
      <c r="B573" s="233">
        <v>49411</v>
      </c>
      <c r="C573" s="234" t="s">
        <v>2434</v>
      </c>
      <c r="D573" s="233" t="s">
        <v>476</v>
      </c>
      <c r="E573" s="235" t="s">
        <v>577</v>
      </c>
      <c r="F573" s="236" t="s">
        <v>2584</v>
      </c>
      <c r="G573" s="237" t="s">
        <v>2569</v>
      </c>
      <c r="H573" s="238">
        <v>41505</v>
      </c>
      <c r="I573" s="233">
        <v>2</v>
      </c>
      <c r="J573" s="384">
        <v>49701</v>
      </c>
      <c r="K573" s="384">
        <v>99402</v>
      </c>
      <c r="L573" s="226" t="s">
        <v>617</v>
      </c>
      <c r="M573" s="130" t="s">
        <v>36</v>
      </c>
    </row>
    <row r="574" spans="1:13" s="134" customFormat="1" ht="15" customHeight="1" x14ac:dyDescent="0.25">
      <c r="A574" s="233">
        <v>177</v>
      </c>
      <c r="B574" s="233">
        <v>56409</v>
      </c>
      <c r="C574" s="234" t="s">
        <v>2585</v>
      </c>
      <c r="D574" s="233" t="s">
        <v>476</v>
      </c>
      <c r="E574" s="235" t="s">
        <v>217</v>
      </c>
      <c r="F574" s="236" t="s">
        <v>387</v>
      </c>
      <c r="G574" s="237"/>
      <c r="H574" s="238">
        <v>41527</v>
      </c>
      <c r="I574" s="233">
        <v>2</v>
      </c>
      <c r="J574" s="384">
        <v>44597</v>
      </c>
      <c r="K574" s="384">
        <v>89194</v>
      </c>
      <c r="L574" s="226" t="s">
        <v>617</v>
      </c>
      <c r="M574" s="130" t="s">
        <v>36</v>
      </c>
    </row>
    <row r="575" spans="1:13" s="134" customFormat="1" ht="15" customHeight="1" x14ac:dyDescent="0.25">
      <c r="A575" s="233">
        <v>178</v>
      </c>
      <c r="B575" s="233">
        <v>49038</v>
      </c>
      <c r="C575" s="234" t="s">
        <v>2586</v>
      </c>
      <c r="D575" s="233" t="s">
        <v>474</v>
      </c>
      <c r="E575" s="235" t="s">
        <v>580</v>
      </c>
      <c r="F575" s="236" t="s">
        <v>371</v>
      </c>
      <c r="G575" s="237"/>
      <c r="H575" s="238">
        <v>41505</v>
      </c>
      <c r="I575" s="233">
        <v>1</v>
      </c>
      <c r="J575" s="384">
        <v>25800</v>
      </c>
      <c r="K575" s="384">
        <v>25800</v>
      </c>
      <c r="L575" s="226" t="s">
        <v>617</v>
      </c>
      <c r="M575" s="130" t="s">
        <v>36</v>
      </c>
    </row>
    <row r="576" spans="1:13" s="134" customFormat="1" ht="15" customHeight="1" x14ac:dyDescent="0.25">
      <c r="A576" s="233">
        <v>179</v>
      </c>
      <c r="B576" s="233">
        <v>45578</v>
      </c>
      <c r="C576" s="234" t="s">
        <v>2436</v>
      </c>
      <c r="D576" s="233" t="s">
        <v>484</v>
      </c>
      <c r="E576" s="235" t="s">
        <v>115</v>
      </c>
      <c r="F576" s="236" t="s">
        <v>417</v>
      </c>
      <c r="G576" s="237" t="s">
        <v>569</v>
      </c>
      <c r="H576" s="238">
        <v>41488</v>
      </c>
      <c r="I576" s="233">
        <v>1</v>
      </c>
      <c r="J576" s="384">
        <v>33370</v>
      </c>
      <c r="K576" s="384">
        <v>33370</v>
      </c>
      <c r="L576" s="226" t="s">
        <v>617</v>
      </c>
      <c r="M576" s="130" t="s">
        <v>36</v>
      </c>
    </row>
    <row r="577" spans="1:13" s="134" customFormat="1" ht="15" customHeight="1" x14ac:dyDescent="0.25">
      <c r="A577" s="233">
        <v>180</v>
      </c>
      <c r="B577" s="233">
        <v>50027</v>
      </c>
      <c r="C577" s="234" t="s">
        <v>2587</v>
      </c>
      <c r="D577" s="233" t="s">
        <v>476</v>
      </c>
      <c r="E577" s="235" t="s">
        <v>217</v>
      </c>
      <c r="F577" s="236" t="s">
        <v>387</v>
      </c>
      <c r="G577" s="237" t="s">
        <v>2067</v>
      </c>
      <c r="H577" s="238">
        <v>41507</v>
      </c>
      <c r="I577" s="233">
        <v>2</v>
      </c>
      <c r="J577" s="384">
        <v>44597</v>
      </c>
      <c r="K577" s="384">
        <v>89194</v>
      </c>
      <c r="L577" s="226" t="s">
        <v>617</v>
      </c>
      <c r="M577" s="130" t="s">
        <v>36</v>
      </c>
    </row>
    <row r="578" spans="1:13" s="134" customFormat="1" ht="15" customHeight="1" x14ac:dyDescent="0.25">
      <c r="A578" s="233">
        <v>181</v>
      </c>
      <c r="B578" s="233">
        <v>44940</v>
      </c>
      <c r="C578" s="234" t="s">
        <v>2438</v>
      </c>
      <c r="D578" s="233" t="s">
        <v>476</v>
      </c>
      <c r="E578" s="235" t="s">
        <v>192</v>
      </c>
      <c r="F578" s="236" t="s">
        <v>812</v>
      </c>
      <c r="G578" s="237" t="s">
        <v>2097</v>
      </c>
      <c r="H578" s="238">
        <v>41486</v>
      </c>
      <c r="I578" s="233">
        <v>3</v>
      </c>
      <c r="J578" s="384">
        <v>57960</v>
      </c>
      <c r="K578" s="384">
        <v>173880</v>
      </c>
      <c r="L578" s="226" t="s">
        <v>617</v>
      </c>
      <c r="M578" s="130" t="s">
        <v>36</v>
      </c>
    </row>
    <row r="579" spans="1:13" s="134" customFormat="1" ht="15" customHeight="1" x14ac:dyDescent="0.25">
      <c r="A579" s="233">
        <v>182</v>
      </c>
      <c r="B579" s="233">
        <v>50403</v>
      </c>
      <c r="C579" s="234" t="s">
        <v>2501</v>
      </c>
      <c r="D579" s="233" t="s">
        <v>484</v>
      </c>
      <c r="E579" s="235" t="s">
        <v>116</v>
      </c>
      <c r="F579" s="236" t="s">
        <v>445</v>
      </c>
      <c r="G579" s="237" t="s">
        <v>2107</v>
      </c>
      <c r="H579" s="238">
        <v>41509</v>
      </c>
      <c r="I579" s="233">
        <v>1</v>
      </c>
      <c r="J579" s="384">
        <v>5274</v>
      </c>
      <c r="K579" s="384">
        <v>5274</v>
      </c>
      <c r="L579" s="226" t="s">
        <v>617</v>
      </c>
      <c r="M579" s="130" t="s">
        <v>36</v>
      </c>
    </row>
    <row r="580" spans="1:13" s="134" customFormat="1" ht="15" customHeight="1" x14ac:dyDescent="0.25">
      <c r="A580" s="233">
        <v>183</v>
      </c>
      <c r="B580" s="233">
        <v>53030</v>
      </c>
      <c r="C580" s="234" t="s">
        <v>2484</v>
      </c>
      <c r="D580" s="233" t="s">
        <v>484</v>
      </c>
      <c r="E580" s="235" t="s">
        <v>115</v>
      </c>
      <c r="F580" s="236" t="s">
        <v>527</v>
      </c>
      <c r="G580" s="237" t="s">
        <v>678</v>
      </c>
      <c r="H580" s="238">
        <v>41487</v>
      </c>
      <c r="I580" s="233">
        <v>1</v>
      </c>
      <c r="J580" s="384">
        <v>33370</v>
      </c>
      <c r="K580" s="384">
        <v>33370</v>
      </c>
      <c r="L580" s="226" t="s">
        <v>617</v>
      </c>
      <c r="M580" s="130" t="s">
        <v>36</v>
      </c>
    </row>
    <row r="581" spans="1:13" s="134" customFormat="1" ht="15" customHeight="1" x14ac:dyDescent="0.25">
      <c r="A581" s="233">
        <v>184</v>
      </c>
      <c r="B581" s="233">
        <v>40842</v>
      </c>
      <c r="C581" s="234" t="s">
        <v>2443</v>
      </c>
      <c r="D581" s="233" t="s">
        <v>484</v>
      </c>
      <c r="E581" s="235" t="s">
        <v>116</v>
      </c>
      <c r="F581" s="236" t="s">
        <v>527</v>
      </c>
      <c r="G581" s="237" t="s">
        <v>2067</v>
      </c>
      <c r="H581" s="238">
        <v>41470</v>
      </c>
      <c r="I581" s="233">
        <v>1</v>
      </c>
      <c r="J581" s="384">
        <v>5274</v>
      </c>
      <c r="K581" s="384">
        <v>5274</v>
      </c>
      <c r="L581" s="226" t="s">
        <v>617</v>
      </c>
      <c r="M581" s="130" t="s">
        <v>36</v>
      </c>
    </row>
    <row r="582" spans="1:13" s="134" customFormat="1" ht="15" customHeight="1" x14ac:dyDescent="0.25">
      <c r="A582" s="135">
        <v>185</v>
      </c>
      <c r="B582" s="233">
        <v>56769</v>
      </c>
      <c r="C582" s="234" t="s">
        <v>2588</v>
      </c>
      <c r="D582" s="233" t="s">
        <v>484</v>
      </c>
      <c r="E582" s="235" t="s">
        <v>116</v>
      </c>
      <c r="F582" s="236" t="s">
        <v>392</v>
      </c>
      <c r="G582" s="237" t="s">
        <v>2135</v>
      </c>
      <c r="H582" s="238">
        <v>41540</v>
      </c>
      <c r="I582" s="233">
        <v>1</v>
      </c>
      <c r="J582" s="384">
        <v>5274</v>
      </c>
      <c r="K582" s="384">
        <v>5274</v>
      </c>
      <c r="L582" s="226" t="s">
        <v>617</v>
      </c>
      <c r="M582" s="130" t="s">
        <v>36</v>
      </c>
    </row>
    <row r="583" spans="1:13" s="134" customFormat="1" ht="15" customHeight="1" x14ac:dyDescent="0.25">
      <c r="A583" s="135">
        <v>186</v>
      </c>
      <c r="B583" s="135">
        <v>58639</v>
      </c>
      <c r="C583" s="137" t="s">
        <v>2520</v>
      </c>
      <c r="D583" s="135" t="s">
        <v>476</v>
      </c>
      <c r="E583" s="172" t="s">
        <v>115</v>
      </c>
      <c r="F583" s="139" t="s">
        <v>548</v>
      </c>
      <c r="G583" s="177" t="s">
        <v>2589</v>
      </c>
      <c r="H583" s="136">
        <v>41544</v>
      </c>
      <c r="I583" s="135">
        <v>1</v>
      </c>
      <c r="J583" s="363">
        <v>33370</v>
      </c>
      <c r="K583" s="363">
        <v>33370</v>
      </c>
      <c r="L583" s="226" t="s">
        <v>617</v>
      </c>
      <c r="M583" s="130" t="s">
        <v>36</v>
      </c>
    </row>
    <row r="584" spans="1:13" s="134" customFormat="1" ht="15" customHeight="1" x14ac:dyDescent="0.25">
      <c r="A584" s="135">
        <v>187</v>
      </c>
      <c r="B584" s="135">
        <v>57236</v>
      </c>
      <c r="C584" s="137" t="s">
        <v>1499</v>
      </c>
      <c r="D584" s="135" t="s">
        <v>484</v>
      </c>
      <c r="E584" s="172" t="s">
        <v>116</v>
      </c>
      <c r="F584" s="139" t="s">
        <v>1880</v>
      </c>
      <c r="G584" s="177"/>
      <c r="H584" s="136">
        <v>41540</v>
      </c>
      <c r="I584" s="135">
        <v>4</v>
      </c>
      <c r="J584" s="363">
        <v>5274</v>
      </c>
      <c r="K584" s="363">
        <v>21096</v>
      </c>
      <c r="L584" s="226" t="s">
        <v>617</v>
      </c>
      <c r="M584" s="130" t="s">
        <v>36</v>
      </c>
    </row>
    <row r="585" spans="1:13" s="134" customFormat="1" ht="15" customHeight="1" x14ac:dyDescent="0.25">
      <c r="A585" s="135">
        <v>188</v>
      </c>
      <c r="B585" s="135">
        <v>48536</v>
      </c>
      <c r="C585" s="137" t="s">
        <v>2590</v>
      </c>
      <c r="D585" s="135" t="s">
        <v>484</v>
      </c>
      <c r="E585" s="172" t="s">
        <v>116</v>
      </c>
      <c r="F585" s="139" t="s">
        <v>568</v>
      </c>
      <c r="G585" s="177" t="s">
        <v>2067</v>
      </c>
      <c r="H585" s="136">
        <v>41502</v>
      </c>
      <c r="I585" s="135">
        <v>1</v>
      </c>
      <c r="J585" s="363">
        <v>5274</v>
      </c>
      <c r="K585" s="363">
        <v>5274</v>
      </c>
      <c r="L585" s="226" t="s">
        <v>617</v>
      </c>
      <c r="M585" s="130" t="s">
        <v>36</v>
      </c>
    </row>
    <row r="586" spans="1:13" s="134" customFormat="1" ht="15" customHeight="1" x14ac:dyDescent="0.25">
      <c r="A586" s="135">
        <v>189</v>
      </c>
      <c r="B586" s="135">
        <v>41512</v>
      </c>
      <c r="C586" s="137" t="s">
        <v>2591</v>
      </c>
      <c r="D586" s="135" t="s">
        <v>484</v>
      </c>
      <c r="E586" s="172" t="s">
        <v>537</v>
      </c>
      <c r="F586" s="139" t="s">
        <v>415</v>
      </c>
      <c r="G586" s="177" t="s">
        <v>569</v>
      </c>
      <c r="H586" s="136">
        <v>41472</v>
      </c>
      <c r="I586" s="135">
        <v>1</v>
      </c>
      <c r="J586" s="363">
        <v>30429</v>
      </c>
      <c r="K586" s="363">
        <v>30429</v>
      </c>
      <c r="L586" s="226" t="s">
        <v>617</v>
      </c>
      <c r="M586" s="130" t="s">
        <v>36</v>
      </c>
    </row>
    <row r="587" spans="1:13" s="134" customFormat="1" ht="15" customHeight="1" x14ac:dyDescent="0.25">
      <c r="A587" s="135">
        <v>190</v>
      </c>
      <c r="B587" s="135">
        <v>58545</v>
      </c>
      <c r="C587" s="137" t="s">
        <v>2592</v>
      </c>
      <c r="D587" s="135" t="s">
        <v>484</v>
      </c>
      <c r="E587" s="172" t="s">
        <v>537</v>
      </c>
      <c r="F587" s="139" t="s">
        <v>527</v>
      </c>
      <c r="G587" s="177" t="s">
        <v>569</v>
      </c>
      <c r="H587" s="136">
        <v>41544</v>
      </c>
      <c r="I587" s="135">
        <v>1</v>
      </c>
      <c r="J587" s="363">
        <v>30429</v>
      </c>
      <c r="K587" s="363">
        <v>30429</v>
      </c>
      <c r="L587" s="226" t="s">
        <v>617</v>
      </c>
      <c r="M587" s="130" t="s">
        <v>36</v>
      </c>
    </row>
    <row r="588" spans="1:13" s="134" customFormat="1" ht="15" customHeight="1" x14ac:dyDescent="0.25">
      <c r="A588" s="135">
        <v>191</v>
      </c>
      <c r="B588" s="135">
        <v>58554</v>
      </c>
      <c r="C588" s="137" t="s">
        <v>2593</v>
      </c>
      <c r="D588" s="135" t="s">
        <v>484</v>
      </c>
      <c r="E588" s="172" t="s">
        <v>577</v>
      </c>
      <c r="F588" s="139" t="s">
        <v>562</v>
      </c>
      <c r="G588" s="177" t="s">
        <v>583</v>
      </c>
      <c r="H588" s="136">
        <v>41544</v>
      </c>
      <c r="I588" s="135">
        <v>1</v>
      </c>
      <c r="J588" s="363">
        <v>49701</v>
      </c>
      <c r="K588" s="363">
        <v>49701</v>
      </c>
      <c r="L588" s="226" t="s">
        <v>617</v>
      </c>
      <c r="M588" s="130" t="s">
        <v>36</v>
      </c>
    </row>
    <row r="589" spans="1:13" s="134" customFormat="1" ht="15" customHeight="1" x14ac:dyDescent="0.25">
      <c r="A589" s="135">
        <v>192</v>
      </c>
      <c r="B589" s="135">
        <v>49237</v>
      </c>
      <c r="C589" s="137" t="s">
        <v>2456</v>
      </c>
      <c r="D589" s="135" t="s">
        <v>476</v>
      </c>
      <c r="E589" s="172" t="s">
        <v>115</v>
      </c>
      <c r="F589" s="139" t="s">
        <v>431</v>
      </c>
      <c r="G589" s="177" t="s">
        <v>642</v>
      </c>
      <c r="H589" s="136">
        <v>41505</v>
      </c>
      <c r="I589" s="135">
        <v>1</v>
      </c>
      <c r="J589" s="363">
        <v>33370</v>
      </c>
      <c r="K589" s="363">
        <v>33370</v>
      </c>
      <c r="L589" s="226" t="s">
        <v>617</v>
      </c>
      <c r="M589" s="130" t="s">
        <v>36</v>
      </c>
    </row>
    <row r="590" spans="1:13" s="134" customFormat="1" ht="15" customHeight="1" x14ac:dyDescent="0.25">
      <c r="A590" s="135">
        <v>193</v>
      </c>
      <c r="B590" s="135">
        <v>57113</v>
      </c>
      <c r="C590" s="137" t="s">
        <v>2594</v>
      </c>
      <c r="D590" s="135" t="s">
        <v>476</v>
      </c>
      <c r="E590" s="172" t="s">
        <v>204</v>
      </c>
      <c r="F590" s="139" t="s">
        <v>2297</v>
      </c>
      <c r="G590" s="177"/>
      <c r="H590" s="136">
        <v>41533</v>
      </c>
      <c r="I590" s="135">
        <v>2</v>
      </c>
      <c r="J590" s="363">
        <v>17244</v>
      </c>
      <c r="K590" s="363">
        <v>34488</v>
      </c>
      <c r="L590" s="226" t="s">
        <v>617</v>
      </c>
      <c r="M590" s="130" t="s">
        <v>36</v>
      </c>
    </row>
    <row r="591" spans="1:13" s="134" customFormat="1" ht="15" customHeight="1" x14ac:dyDescent="0.25">
      <c r="A591" s="135">
        <v>194</v>
      </c>
      <c r="B591" s="135">
        <v>543060</v>
      </c>
      <c r="C591" s="137" t="s">
        <v>2595</v>
      </c>
      <c r="D591" s="135" t="s">
        <v>484</v>
      </c>
      <c r="E591" s="172" t="s">
        <v>116</v>
      </c>
      <c r="F591" s="139" t="s">
        <v>404</v>
      </c>
      <c r="G591" s="177" t="s">
        <v>2596</v>
      </c>
      <c r="H591" s="136">
        <v>41523</v>
      </c>
      <c r="I591" s="135">
        <v>1</v>
      </c>
      <c r="J591" s="363">
        <v>5274</v>
      </c>
      <c r="K591" s="363">
        <v>5274</v>
      </c>
      <c r="L591" s="226" t="s">
        <v>617</v>
      </c>
      <c r="M591" s="130" t="s">
        <v>36</v>
      </c>
    </row>
    <row r="592" spans="1:13" s="134" customFormat="1" ht="15" customHeight="1" x14ac:dyDescent="0.25">
      <c r="A592" s="135">
        <v>195</v>
      </c>
      <c r="B592" s="135">
        <v>53109</v>
      </c>
      <c r="C592" s="137" t="s">
        <v>2597</v>
      </c>
      <c r="D592" s="135" t="s">
        <v>484</v>
      </c>
      <c r="E592" s="172" t="s">
        <v>846</v>
      </c>
      <c r="F592" s="139" t="s">
        <v>387</v>
      </c>
      <c r="G592" s="177"/>
      <c r="H592" s="136">
        <v>41519</v>
      </c>
      <c r="I592" s="135">
        <v>2</v>
      </c>
      <c r="J592" s="363">
        <v>334719</v>
      </c>
      <c r="K592" s="363">
        <v>669438</v>
      </c>
      <c r="L592" s="226" t="s">
        <v>617</v>
      </c>
      <c r="M592" s="130" t="s">
        <v>36</v>
      </c>
    </row>
    <row r="593" spans="1:13" s="134" customFormat="1" ht="15" customHeight="1" x14ac:dyDescent="0.25">
      <c r="A593" s="135">
        <v>196</v>
      </c>
      <c r="B593" s="135">
        <v>43834</v>
      </c>
      <c r="C593" s="137" t="s">
        <v>2598</v>
      </c>
      <c r="D593" s="135" t="s">
        <v>491</v>
      </c>
      <c r="E593" s="172" t="s">
        <v>116</v>
      </c>
      <c r="F593" s="139" t="s">
        <v>2599</v>
      </c>
      <c r="G593" s="177" t="s">
        <v>2067</v>
      </c>
      <c r="H593" s="136">
        <v>41481</v>
      </c>
      <c r="I593" s="135">
        <v>4</v>
      </c>
      <c r="J593" s="363">
        <v>5274</v>
      </c>
      <c r="K593" s="363">
        <v>21096</v>
      </c>
      <c r="L593" s="226" t="s">
        <v>617</v>
      </c>
      <c r="M593" s="130" t="s">
        <v>36</v>
      </c>
    </row>
    <row r="594" spans="1:13" s="134" customFormat="1" ht="15" customHeight="1" x14ac:dyDescent="0.25">
      <c r="A594" s="135">
        <v>197</v>
      </c>
      <c r="B594" s="135">
        <v>56314</v>
      </c>
      <c r="C594" s="137" t="s">
        <v>1393</v>
      </c>
      <c r="D594" s="135" t="s">
        <v>476</v>
      </c>
      <c r="E594" s="172" t="s">
        <v>207</v>
      </c>
      <c r="F594" s="139" t="s">
        <v>511</v>
      </c>
      <c r="G594" s="177"/>
      <c r="H594" s="136">
        <v>41530</v>
      </c>
      <c r="I594" s="135">
        <v>1</v>
      </c>
      <c r="J594" s="363">
        <v>55062</v>
      </c>
      <c r="K594" s="363">
        <v>55062</v>
      </c>
      <c r="L594" s="226" t="s">
        <v>617</v>
      </c>
      <c r="M594" s="130" t="s">
        <v>36</v>
      </c>
    </row>
    <row r="595" spans="1:13" s="134" customFormat="1" ht="15" customHeight="1" x14ac:dyDescent="0.25">
      <c r="A595" s="135">
        <v>198</v>
      </c>
      <c r="B595" s="135">
        <v>58543</v>
      </c>
      <c r="C595" s="137" t="s">
        <v>1393</v>
      </c>
      <c r="D595" s="135" t="s">
        <v>476</v>
      </c>
      <c r="E595" s="172" t="s">
        <v>577</v>
      </c>
      <c r="F595" s="139" t="s">
        <v>415</v>
      </c>
      <c r="G595" s="177" t="s">
        <v>1285</v>
      </c>
      <c r="H595" s="136">
        <v>41543</v>
      </c>
      <c r="I595" s="135">
        <v>1</v>
      </c>
      <c r="J595" s="363">
        <v>49701</v>
      </c>
      <c r="K595" s="363">
        <v>49701</v>
      </c>
      <c r="L595" s="226" t="s">
        <v>617</v>
      </c>
      <c r="M595" s="130" t="s">
        <v>36</v>
      </c>
    </row>
    <row r="596" spans="1:13" s="134" customFormat="1" ht="15" customHeight="1" x14ac:dyDescent="0.25">
      <c r="A596" s="135">
        <v>199</v>
      </c>
      <c r="B596" s="135">
        <v>57669</v>
      </c>
      <c r="C596" s="137" t="s">
        <v>2600</v>
      </c>
      <c r="D596" s="135" t="s">
        <v>476</v>
      </c>
      <c r="E596" s="172" t="s">
        <v>537</v>
      </c>
      <c r="F596" s="139" t="s">
        <v>415</v>
      </c>
      <c r="G596" s="177" t="s">
        <v>560</v>
      </c>
      <c r="H596" s="136">
        <v>41541</v>
      </c>
      <c r="I596" s="135">
        <v>1</v>
      </c>
      <c r="J596" s="363">
        <v>30429</v>
      </c>
      <c r="K596" s="363">
        <v>30429</v>
      </c>
      <c r="L596" s="226" t="s">
        <v>617</v>
      </c>
      <c r="M596" s="130" t="s">
        <v>36</v>
      </c>
    </row>
    <row r="597" spans="1:13" s="134" customFormat="1" ht="15" customHeight="1" x14ac:dyDescent="0.25">
      <c r="A597" s="135">
        <v>200</v>
      </c>
      <c r="B597" s="135">
        <v>54969</v>
      </c>
      <c r="C597" s="137" t="s">
        <v>2531</v>
      </c>
      <c r="D597" s="135" t="s">
        <v>476</v>
      </c>
      <c r="E597" s="172" t="s">
        <v>1053</v>
      </c>
      <c r="F597" s="139" t="s">
        <v>445</v>
      </c>
      <c r="G597" s="177"/>
      <c r="H597" s="136">
        <v>41524</v>
      </c>
      <c r="I597" s="135">
        <v>1</v>
      </c>
      <c r="J597" s="363">
        <v>57960</v>
      </c>
      <c r="K597" s="363">
        <v>57960</v>
      </c>
      <c r="L597" s="226" t="s">
        <v>617</v>
      </c>
      <c r="M597" s="130" t="s">
        <v>36</v>
      </c>
    </row>
    <row r="598" spans="1:13" s="134" customFormat="1" ht="15" customHeight="1" x14ac:dyDescent="0.25">
      <c r="A598" s="135">
        <v>201</v>
      </c>
      <c r="B598" s="135">
        <v>53488</v>
      </c>
      <c r="C598" s="137" t="s">
        <v>2486</v>
      </c>
      <c r="D598" s="135" t="s">
        <v>476</v>
      </c>
      <c r="E598" s="172" t="s">
        <v>115</v>
      </c>
      <c r="F598" s="139" t="s">
        <v>1023</v>
      </c>
      <c r="G598" s="177"/>
      <c r="H598" s="136">
        <v>41520</v>
      </c>
      <c r="I598" s="135">
        <v>3</v>
      </c>
      <c r="J598" s="363">
        <v>33370</v>
      </c>
      <c r="K598" s="363">
        <v>100110</v>
      </c>
      <c r="L598" s="226" t="s">
        <v>617</v>
      </c>
      <c r="M598" s="130" t="s">
        <v>36</v>
      </c>
    </row>
    <row r="599" spans="1:13" s="134" customFormat="1" ht="15" customHeight="1" x14ac:dyDescent="0.25">
      <c r="A599" s="135">
        <v>202</v>
      </c>
      <c r="B599" s="135">
        <v>54836</v>
      </c>
      <c r="C599" s="137" t="s">
        <v>2601</v>
      </c>
      <c r="D599" s="135" t="s">
        <v>476</v>
      </c>
      <c r="E599" s="172" t="s">
        <v>577</v>
      </c>
      <c r="F599" s="139" t="s">
        <v>562</v>
      </c>
      <c r="G599" s="177" t="s">
        <v>678</v>
      </c>
      <c r="H599" s="136">
        <v>41526</v>
      </c>
      <c r="I599" s="135">
        <v>1</v>
      </c>
      <c r="J599" s="363">
        <v>49701</v>
      </c>
      <c r="K599" s="363">
        <v>49701</v>
      </c>
      <c r="L599" s="226" t="s">
        <v>617</v>
      </c>
      <c r="M599" s="130" t="s">
        <v>36</v>
      </c>
    </row>
    <row r="600" spans="1:13" s="134" customFormat="1" ht="15" customHeight="1" x14ac:dyDescent="0.25">
      <c r="A600" s="135">
        <v>203</v>
      </c>
      <c r="B600" s="135">
        <v>43265</v>
      </c>
      <c r="C600" s="137" t="s">
        <v>2538</v>
      </c>
      <c r="D600" s="135" t="s">
        <v>476</v>
      </c>
      <c r="E600" s="172" t="s">
        <v>116</v>
      </c>
      <c r="F600" s="139" t="s">
        <v>1004</v>
      </c>
      <c r="G600" s="177" t="s">
        <v>1059</v>
      </c>
      <c r="H600" s="136">
        <v>41481</v>
      </c>
      <c r="I600" s="135">
        <v>4</v>
      </c>
      <c r="J600" s="363">
        <v>5274</v>
      </c>
      <c r="K600" s="363">
        <v>21096</v>
      </c>
      <c r="L600" s="226" t="s">
        <v>617</v>
      </c>
      <c r="M600" s="130" t="s">
        <v>36</v>
      </c>
    </row>
    <row r="601" spans="1:13" s="134" customFormat="1" ht="15" customHeight="1" x14ac:dyDescent="0.25">
      <c r="A601" s="135">
        <v>204</v>
      </c>
      <c r="B601" s="135">
        <v>43973</v>
      </c>
      <c r="C601" s="137" t="s">
        <v>2602</v>
      </c>
      <c r="D601" s="135" t="s">
        <v>484</v>
      </c>
      <c r="E601" s="172" t="s">
        <v>116</v>
      </c>
      <c r="F601" s="139" t="s">
        <v>592</v>
      </c>
      <c r="G601" s="177" t="s">
        <v>2107</v>
      </c>
      <c r="H601" s="136">
        <v>41485</v>
      </c>
      <c r="I601" s="135">
        <v>2</v>
      </c>
      <c r="J601" s="363">
        <v>5274</v>
      </c>
      <c r="K601" s="363">
        <v>10548</v>
      </c>
      <c r="L601" s="226" t="s">
        <v>617</v>
      </c>
      <c r="M601" s="130" t="s">
        <v>36</v>
      </c>
    </row>
    <row r="602" spans="1:13" s="134" customFormat="1" ht="15" customHeight="1" x14ac:dyDescent="0.25">
      <c r="A602" s="135">
        <v>205</v>
      </c>
      <c r="B602" s="135">
        <v>58623</v>
      </c>
      <c r="C602" s="137" t="s">
        <v>2602</v>
      </c>
      <c r="D602" s="135" t="s">
        <v>484</v>
      </c>
      <c r="E602" s="172" t="s">
        <v>115</v>
      </c>
      <c r="F602" s="139" t="s">
        <v>431</v>
      </c>
      <c r="G602" s="177" t="s">
        <v>583</v>
      </c>
      <c r="H602" s="136">
        <v>41544</v>
      </c>
      <c r="I602" s="135">
        <v>1</v>
      </c>
      <c r="J602" s="363">
        <v>33370</v>
      </c>
      <c r="K602" s="363">
        <v>33370</v>
      </c>
      <c r="L602" s="226" t="s">
        <v>617</v>
      </c>
      <c r="M602" s="130" t="s">
        <v>36</v>
      </c>
    </row>
    <row r="603" spans="1:13" s="134" customFormat="1" ht="15" customHeight="1" x14ac:dyDescent="0.25">
      <c r="A603" s="135">
        <v>206</v>
      </c>
      <c r="B603" s="135">
        <v>57696</v>
      </c>
      <c r="C603" s="137" t="s">
        <v>2536</v>
      </c>
      <c r="D603" s="135" t="s">
        <v>484</v>
      </c>
      <c r="E603" s="172" t="s">
        <v>682</v>
      </c>
      <c r="F603" s="139" t="s">
        <v>387</v>
      </c>
      <c r="G603" s="177" t="s">
        <v>1059</v>
      </c>
      <c r="H603" s="136">
        <v>41540</v>
      </c>
      <c r="I603" s="135">
        <v>2</v>
      </c>
      <c r="J603" s="363">
        <v>55058</v>
      </c>
      <c r="K603" s="363">
        <v>110116</v>
      </c>
      <c r="L603" s="226" t="s">
        <v>617</v>
      </c>
      <c r="M603" s="130" t="s">
        <v>36</v>
      </c>
    </row>
    <row r="604" spans="1:13" s="134" customFormat="1" ht="15" customHeight="1" x14ac:dyDescent="0.25">
      <c r="A604" s="135">
        <v>207</v>
      </c>
      <c r="B604" s="135">
        <v>58157</v>
      </c>
      <c r="C604" s="137" t="s">
        <v>2603</v>
      </c>
      <c r="D604" s="135" t="s">
        <v>484</v>
      </c>
      <c r="E604" s="172" t="s">
        <v>116</v>
      </c>
      <c r="F604" s="139" t="s">
        <v>404</v>
      </c>
      <c r="G604" s="177" t="s">
        <v>2067</v>
      </c>
      <c r="H604" s="136">
        <v>41544</v>
      </c>
      <c r="I604" s="135">
        <v>1</v>
      </c>
      <c r="J604" s="363">
        <v>5274</v>
      </c>
      <c r="K604" s="363">
        <v>5274</v>
      </c>
      <c r="L604" s="226" t="s">
        <v>617</v>
      </c>
      <c r="M604" s="130" t="s">
        <v>36</v>
      </c>
    </row>
    <row r="605" spans="1:13" s="134" customFormat="1" ht="15" customHeight="1" x14ac:dyDescent="0.25">
      <c r="A605" s="135">
        <v>208</v>
      </c>
      <c r="B605" s="135">
        <v>45657</v>
      </c>
      <c r="C605" s="137" t="s">
        <v>2558</v>
      </c>
      <c r="D605" s="135" t="s">
        <v>484</v>
      </c>
      <c r="E605" s="172" t="s">
        <v>577</v>
      </c>
      <c r="F605" s="139" t="s">
        <v>404</v>
      </c>
      <c r="G605" s="177" t="s">
        <v>569</v>
      </c>
      <c r="H605" s="136">
        <v>41488</v>
      </c>
      <c r="I605" s="135">
        <v>1</v>
      </c>
      <c r="J605" s="363">
        <v>49701</v>
      </c>
      <c r="K605" s="363">
        <v>49701</v>
      </c>
      <c r="L605" s="226" t="s">
        <v>617</v>
      </c>
      <c r="M605" s="130" t="s">
        <v>36</v>
      </c>
    </row>
    <row r="606" spans="1:13" s="134" customFormat="1" ht="15" customHeight="1" x14ac:dyDescent="0.25">
      <c r="A606" s="135">
        <v>209</v>
      </c>
      <c r="B606" s="135">
        <v>55317</v>
      </c>
      <c r="C606" s="137" t="s">
        <v>2604</v>
      </c>
      <c r="D606" s="135" t="s">
        <v>476</v>
      </c>
      <c r="E606" s="172" t="s">
        <v>204</v>
      </c>
      <c r="F606" s="139" t="s">
        <v>419</v>
      </c>
      <c r="G606" s="177"/>
      <c r="H606" s="136">
        <v>41527</v>
      </c>
      <c r="I606" s="135">
        <v>1</v>
      </c>
      <c r="J606" s="363">
        <v>17244</v>
      </c>
      <c r="K606" s="363">
        <v>17244</v>
      </c>
      <c r="L606" s="226" t="s">
        <v>617</v>
      </c>
      <c r="M606" s="130" t="s">
        <v>36</v>
      </c>
    </row>
    <row r="607" spans="1:13" s="134" customFormat="1" ht="15" customHeight="1" x14ac:dyDescent="0.25">
      <c r="A607" s="135">
        <v>210</v>
      </c>
      <c r="B607" s="135">
        <v>56981</v>
      </c>
      <c r="C607" s="137" t="s">
        <v>2605</v>
      </c>
      <c r="D607" s="135" t="s">
        <v>476</v>
      </c>
      <c r="E607" s="172" t="s">
        <v>116</v>
      </c>
      <c r="F607" s="139" t="s">
        <v>404</v>
      </c>
      <c r="G607" s="177"/>
      <c r="H607" s="136">
        <v>41540</v>
      </c>
      <c r="I607" s="135">
        <v>1</v>
      </c>
      <c r="J607" s="363">
        <v>5274</v>
      </c>
      <c r="K607" s="363">
        <v>5274</v>
      </c>
      <c r="L607" s="226" t="s">
        <v>617</v>
      </c>
      <c r="M607" s="130" t="s">
        <v>36</v>
      </c>
    </row>
    <row r="608" spans="1:13" s="134" customFormat="1" ht="15" customHeight="1" x14ac:dyDescent="0.25">
      <c r="A608" s="135">
        <v>211</v>
      </c>
      <c r="B608" s="135">
        <v>59068</v>
      </c>
      <c r="C608" s="137" t="s">
        <v>2606</v>
      </c>
      <c r="D608" s="135" t="s">
        <v>476</v>
      </c>
      <c r="E608" s="172" t="s">
        <v>537</v>
      </c>
      <c r="F608" s="139" t="s">
        <v>415</v>
      </c>
      <c r="G608" s="177" t="s">
        <v>2607</v>
      </c>
      <c r="H608" s="136">
        <v>41547</v>
      </c>
      <c r="I608" s="135">
        <v>1</v>
      </c>
      <c r="J608" s="363">
        <v>30429</v>
      </c>
      <c r="K608" s="363">
        <v>30429</v>
      </c>
      <c r="L608" s="226" t="s">
        <v>617</v>
      </c>
      <c r="M608" s="130" t="s">
        <v>36</v>
      </c>
    </row>
    <row r="609" spans="1:13" s="134" customFormat="1" ht="15" customHeight="1" x14ac:dyDescent="0.25">
      <c r="A609" s="135">
        <v>212</v>
      </c>
      <c r="B609" s="135">
        <v>37470</v>
      </c>
      <c r="C609" s="137" t="s">
        <v>2608</v>
      </c>
      <c r="D609" s="135" t="s">
        <v>484</v>
      </c>
      <c r="E609" s="172" t="s">
        <v>197</v>
      </c>
      <c r="F609" s="177" t="s">
        <v>2609</v>
      </c>
      <c r="G609" s="177"/>
      <c r="H609" s="136">
        <v>41453</v>
      </c>
      <c r="I609" s="135">
        <v>4</v>
      </c>
      <c r="J609" s="363">
        <v>2739</v>
      </c>
      <c r="K609" s="363">
        <v>10956</v>
      </c>
      <c r="L609" s="226" t="s">
        <v>617</v>
      </c>
      <c r="M609" s="130" t="s">
        <v>36</v>
      </c>
    </row>
    <row r="610" spans="1:13" s="134" customFormat="1" ht="15" customHeight="1" x14ac:dyDescent="0.25">
      <c r="A610" s="135">
        <v>213</v>
      </c>
      <c r="B610" s="135">
        <v>52684</v>
      </c>
      <c r="C610" s="137" t="s">
        <v>2610</v>
      </c>
      <c r="D610" s="135" t="s">
        <v>484</v>
      </c>
      <c r="E610" s="172" t="s">
        <v>537</v>
      </c>
      <c r="F610" s="139" t="s">
        <v>568</v>
      </c>
      <c r="G610" s="177" t="s">
        <v>569</v>
      </c>
      <c r="H610" s="136">
        <v>41516</v>
      </c>
      <c r="I610" s="135">
        <v>1</v>
      </c>
      <c r="J610" s="363">
        <v>30429</v>
      </c>
      <c r="K610" s="363">
        <v>30429</v>
      </c>
      <c r="L610" s="226" t="s">
        <v>617</v>
      </c>
      <c r="M610" s="130" t="s">
        <v>36</v>
      </c>
    </row>
    <row r="611" spans="1:13" s="134" customFormat="1" ht="15" customHeight="1" x14ac:dyDescent="0.25">
      <c r="A611" s="135">
        <v>214</v>
      </c>
      <c r="B611" s="135">
        <v>59024</v>
      </c>
      <c r="C611" s="137" t="s">
        <v>2610</v>
      </c>
      <c r="D611" s="135" t="s">
        <v>484</v>
      </c>
      <c r="E611" s="172" t="s">
        <v>580</v>
      </c>
      <c r="F611" s="139" t="s">
        <v>371</v>
      </c>
      <c r="G611" s="177"/>
      <c r="H611" s="136">
        <v>41547</v>
      </c>
      <c r="I611" s="135">
        <v>1</v>
      </c>
      <c r="J611" s="363">
        <v>25800</v>
      </c>
      <c r="K611" s="363">
        <v>25800</v>
      </c>
      <c r="L611" s="226" t="s">
        <v>617</v>
      </c>
      <c r="M611" s="130" t="s">
        <v>36</v>
      </c>
    </row>
    <row r="612" spans="1:13" s="134" customFormat="1" ht="15" customHeight="1" x14ac:dyDescent="0.25">
      <c r="A612" s="135">
        <v>215</v>
      </c>
      <c r="B612" s="135">
        <v>57825</v>
      </c>
      <c r="C612" s="137" t="s">
        <v>2611</v>
      </c>
      <c r="D612" s="135" t="s">
        <v>476</v>
      </c>
      <c r="E612" s="172" t="s">
        <v>537</v>
      </c>
      <c r="F612" s="139" t="s">
        <v>472</v>
      </c>
      <c r="G612" s="177" t="s">
        <v>2612</v>
      </c>
      <c r="H612" s="136">
        <v>41542</v>
      </c>
      <c r="I612" s="135">
        <v>1</v>
      </c>
      <c r="J612" s="363">
        <v>30429</v>
      </c>
      <c r="K612" s="363">
        <v>30429</v>
      </c>
      <c r="L612" s="226" t="s">
        <v>617</v>
      </c>
      <c r="M612" s="130" t="s">
        <v>36</v>
      </c>
    </row>
    <row r="613" spans="1:13" s="134" customFormat="1" ht="15" customHeight="1" x14ac:dyDescent="0.25">
      <c r="A613" s="135">
        <v>216</v>
      </c>
      <c r="B613" s="135">
        <v>54211</v>
      </c>
      <c r="C613" s="137" t="s">
        <v>2613</v>
      </c>
      <c r="D613" s="135" t="s">
        <v>476</v>
      </c>
      <c r="E613" s="172" t="s">
        <v>204</v>
      </c>
      <c r="F613" s="139" t="s">
        <v>645</v>
      </c>
      <c r="G613" s="177"/>
      <c r="H613" s="136">
        <v>41522</v>
      </c>
      <c r="I613" s="135">
        <v>1</v>
      </c>
      <c r="J613" s="363">
        <v>17244</v>
      </c>
      <c r="K613" s="363">
        <v>17244</v>
      </c>
      <c r="L613" s="226" t="s">
        <v>617</v>
      </c>
      <c r="M613" s="130" t="s">
        <v>36</v>
      </c>
    </row>
    <row r="614" spans="1:13" s="134" customFormat="1" ht="15" customHeight="1" x14ac:dyDescent="0.25">
      <c r="A614" s="135">
        <v>217</v>
      </c>
      <c r="B614" s="135">
        <v>50111</v>
      </c>
      <c r="C614" s="137" t="s">
        <v>2614</v>
      </c>
      <c r="D614" s="135" t="s">
        <v>476</v>
      </c>
      <c r="E614" s="172" t="s">
        <v>116</v>
      </c>
      <c r="F614" s="139" t="s">
        <v>410</v>
      </c>
      <c r="G614" s="177" t="s">
        <v>2117</v>
      </c>
      <c r="H614" s="136">
        <v>41507</v>
      </c>
      <c r="I614" s="135">
        <v>1</v>
      </c>
      <c r="J614" s="363">
        <v>5274</v>
      </c>
      <c r="K614" s="363">
        <v>5274</v>
      </c>
      <c r="L614" s="226" t="s">
        <v>617</v>
      </c>
      <c r="M614" s="130" t="s">
        <v>36</v>
      </c>
    </row>
    <row r="615" spans="1:13" s="134" customFormat="1" ht="15" customHeight="1" x14ac:dyDescent="0.25">
      <c r="A615" s="135">
        <v>218</v>
      </c>
      <c r="B615" s="135">
        <v>56882</v>
      </c>
      <c r="C615" s="137" t="s">
        <v>2614</v>
      </c>
      <c r="D615" s="135" t="s">
        <v>476</v>
      </c>
      <c r="E615" s="172" t="s">
        <v>1053</v>
      </c>
      <c r="F615" s="139" t="s">
        <v>410</v>
      </c>
      <c r="G615" s="177"/>
      <c r="H615" s="136">
        <v>41533</v>
      </c>
      <c r="I615" s="135">
        <v>1</v>
      </c>
      <c r="J615" s="363">
        <v>57960</v>
      </c>
      <c r="K615" s="363">
        <v>57960</v>
      </c>
      <c r="L615" s="226" t="s">
        <v>617</v>
      </c>
      <c r="M615" s="130" t="s">
        <v>36</v>
      </c>
    </row>
    <row r="616" spans="1:13" s="134" customFormat="1" ht="16.5" customHeight="1" x14ac:dyDescent="0.25">
      <c r="A616" s="135">
        <v>219</v>
      </c>
      <c r="B616" s="135">
        <v>57505</v>
      </c>
      <c r="C616" s="137" t="s">
        <v>2615</v>
      </c>
      <c r="D616" s="135" t="s">
        <v>484</v>
      </c>
      <c r="E616" s="172" t="s">
        <v>537</v>
      </c>
      <c r="F616" s="139" t="s">
        <v>415</v>
      </c>
      <c r="G616" s="177" t="s">
        <v>569</v>
      </c>
      <c r="H616" s="136">
        <v>41540</v>
      </c>
      <c r="I616" s="135">
        <v>1</v>
      </c>
      <c r="J616" s="363">
        <v>30429</v>
      </c>
      <c r="K616" s="363">
        <v>30429</v>
      </c>
      <c r="L616" s="226" t="s">
        <v>617</v>
      </c>
      <c r="M616" s="130" t="s">
        <v>36</v>
      </c>
    </row>
    <row r="617" spans="1:13" s="134" customFormat="1" ht="15" customHeight="1" x14ac:dyDescent="0.25">
      <c r="A617" s="135">
        <v>220</v>
      </c>
      <c r="B617" s="135">
        <v>58398</v>
      </c>
      <c r="C617" s="137" t="s">
        <v>2616</v>
      </c>
      <c r="D617" s="135" t="s">
        <v>476</v>
      </c>
      <c r="E617" s="172" t="s">
        <v>537</v>
      </c>
      <c r="F617" s="139" t="s">
        <v>472</v>
      </c>
      <c r="G617" s="177" t="s">
        <v>2565</v>
      </c>
      <c r="H617" s="136">
        <v>41543</v>
      </c>
      <c r="I617" s="135">
        <v>1</v>
      </c>
      <c r="J617" s="363">
        <v>30429</v>
      </c>
      <c r="K617" s="363">
        <v>30429</v>
      </c>
      <c r="L617" s="226" t="s">
        <v>617</v>
      </c>
      <c r="M617" s="130" t="s">
        <v>36</v>
      </c>
    </row>
    <row r="618" spans="1:13" s="134" customFormat="1" ht="14.25" customHeight="1" x14ac:dyDescent="0.25">
      <c r="A618" s="135">
        <v>221</v>
      </c>
      <c r="B618" s="135">
        <v>57988</v>
      </c>
      <c r="C618" s="137" t="s">
        <v>2617</v>
      </c>
      <c r="D618" s="135" t="s">
        <v>476</v>
      </c>
      <c r="E618" s="172" t="s">
        <v>116</v>
      </c>
      <c r="F618" s="139" t="s">
        <v>1954</v>
      </c>
      <c r="G618" s="177" t="s">
        <v>2067</v>
      </c>
      <c r="H618" s="136">
        <v>41543</v>
      </c>
      <c r="I618" s="135">
        <v>2</v>
      </c>
      <c r="J618" s="363">
        <v>5274</v>
      </c>
      <c r="K618" s="363">
        <v>10548</v>
      </c>
      <c r="L618" s="226" t="s">
        <v>617</v>
      </c>
      <c r="M618" s="130" t="s">
        <v>36</v>
      </c>
    </row>
    <row r="619" spans="1:13" s="134" customFormat="1" ht="15" customHeight="1" x14ac:dyDescent="0.25">
      <c r="A619" s="135">
        <v>222</v>
      </c>
      <c r="B619" s="135">
        <v>59018</v>
      </c>
      <c r="C619" s="137" t="s">
        <v>2618</v>
      </c>
      <c r="D619" s="135" t="s">
        <v>476</v>
      </c>
      <c r="E619" s="172" t="s">
        <v>580</v>
      </c>
      <c r="F619" s="139" t="s">
        <v>371</v>
      </c>
      <c r="G619" s="177"/>
      <c r="H619" s="136">
        <v>41547</v>
      </c>
      <c r="I619" s="135">
        <v>1</v>
      </c>
      <c r="J619" s="363">
        <v>25800</v>
      </c>
      <c r="K619" s="363">
        <v>25800</v>
      </c>
      <c r="L619" s="226" t="s">
        <v>617</v>
      </c>
      <c r="M619" s="130" t="s">
        <v>36</v>
      </c>
    </row>
    <row r="620" spans="1:13" s="134" customFormat="1" ht="15" customHeight="1" x14ac:dyDescent="0.25">
      <c r="A620" s="135">
        <v>223</v>
      </c>
      <c r="B620" s="135">
        <v>56651</v>
      </c>
      <c r="C620" s="137" t="s">
        <v>2619</v>
      </c>
      <c r="D620" s="135" t="s">
        <v>484</v>
      </c>
      <c r="E620" s="172" t="s">
        <v>188</v>
      </c>
      <c r="F620" s="139" t="s">
        <v>2620</v>
      </c>
      <c r="G620" s="177"/>
      <c r="H620" s="136">
        <v>41530</v>
      </c>
      <c r="I620" s="135">
        <v>6</v>
      </c>
      <c r="J620" s="363">
        <v>42601</v>
      </c>
      <c r="K620" s="363">
        <v>255606</v>
      </c>
      <c r="L620" s="226" t="s">
        <v>617</v>
      </c>
      <c r="M620" s="130" t="s">
        <v>36</v>
      </c>
    </row>
    <row r="621" spans="1:13" s="134" customFormat="1" ht="15" customHeight="1" x14ac:dyDescent="0.25">
      <c r="A621" s="135">
        <v>224</v>
      </c>
      <c r="B621" s="135">
        <v>42077</v>
      </c>
      <c r="C621" s="137" t="s">
        <v>2621</v>
      </c>
      <c r="D621" s="135" t="s">
        <v>481</v>
      </c>
      <c r="E621" s="172" t="s">
        <v>217</v>
      </c>
      <c r="F621" s="139" t="s">
        <v>371</v>
      </c>
      <c r="G621" s="177"/>
      <c r="H621" s="136">
        <v>41474</v>
      </c>
      <c r="I621" s="135">
        <v>1</v>
      </c>
      <c r="J621" s="363">
        <v>44597</v>
      </c>
      <c r="K621" s="363">
        <v>44597</v>
      </c>
      <c r="L621" s="226" t="s">
        <v>617</v>
      </c>
      <c r="M621" s="130" t="s">
        <v>36</v>
      </c>
    </row>
    <row r="622" spans="1:13" s="134" customFormat="1" ht="15" customHeight="1" x14ac:dyDescent="0.25">
      <c r="A622" s="135">
        <v>225</v>
      </c>
      <c r="B622" s="135">
        <v>53121</v>
      </c>
      <c r="C622" s="137" t="s">
        <v>2473</v>
      </c>
      <c r="D622" s="135" t="s">
        <v>476</v>
      </c>
      <c r="E622" s="172" t="s">
        <v>115</v>
      </c>
      <c r="F622" s="139" t="s">
        <v>442</v>
      </c>
      <c r="G622" s="177"/>
      <c r="H622" s="136">
        <v>41519</v>
      </c>
      <c r="I622" s="135">
        <v>1</v>
      </c>
      <c r="J622" s="363">
        <v>33370</v>
      </c>
      <c r="K622" s="363">
        <v>33370</v>
      </c>
      <c r="L622" s="226" t="s">
        <v>617</v>
      </c>
      <c r="M622" s="130" t="s">
        <v>36</v>
      </c>
    </row>
    <row r="623" spans="1:13" s="134" customFormat="1" ht="15" customHeight="1" x14ac:dyDescent="0.25">
      <c r="A623" s="135">
        <v>226</v>
      </c>
      <c r="B623" s="135">
        <v>52983</v>
      </c>
      <c r="C623" s="137" t="s">
        <v>2488</v>
      </c>
      <c r="D623" s="135" t="s">
        <v>476</v>
      </c>
      <c r="E623" s="172" t="s">
        <v>115</v>
      </c>
      <c r="F623" s="139" t="s">
        <v>442</v>
      </c>
      <c r="G623" s="177" t="s">
        <v>2165</v>
      </c>
      <c r="H623" s="136">
        <v>41519</v>
      </c>
      <c r="I623" s="135">
        <v>1</v>
      </c>
      <c r="J623" s="363">
        <v>33370</v>
      </c>
      <c r="K623" s="363">
        <v>33370</v>
      </c>
      <c r="L623" s="226" t="s">
        <v>617</v>
      </c>
      <c r="M623" s="130" t="s">
        <v>36</v>
      </c>
    </row>
    <row r="624" spans="1:13" s="134" customFormat="1" ht="15" customHeight="1" x14ac:dyDescent="0.25">
      <c r="A624" s="135">
        <v>227</v>
      </c>
      <c r="B624" s="135">
        <v>54165</v>
      </c>
      <c r="C624" s="137" t="s">
        <v>2622</v>
      </c>
      <c r="D624" s="135" t="s">
        <v>474</v>
      </c>
      <c r="E624" s="172" t="s">
        <v>537</v>
      </c>
      <c r="F624" s="139" t="s">
        <v>417</v>
      </c>
      <c r="G624" s="177"/>
      <c r="H624" s="136">
        <v>41522</v>
      </c>
      <c r="I624" s="135">
        <v>1</v>
      </c>
      <c r="J624" s="363">
        <v>30429</v>
      </c>
      <c r="K624" s="363">
        <v>30429</v>
      </c>
      <c r="L624" s="226" t="s">
        <v>617</v>
      </c>
      <c r="M624" s="130" t="s">
        <v>36</v>
      </c>
    </row>
    <row r="625" spans="1:13" s="134" customFormat="1" ht="15" customHeight="1" x14ac:dyDescent="0.25">
      <c r="A625" s="135">
        <v>228</v>
      </c>
      <c r="B625" s="135">
        <v>56774</v>
      </c>
      <c r="C625" s="137" t="s">
        <v>2623</v>
      </c>
      <c r="D625" s="135" t="s">
        <v>484</v>
      </c>
      <c r="E625" s="172" t="s">
        <v>580</v>
      </c>
      <c r="F625" s="139" t="s">
        <v>371</v>
      </c>
      <c r="G625" s="177"/>
      <c r="H625" s="136">
        <v>41531</v>
      </c>
      <c r="I625" s="135">
        <v>1</v>
      </c>
      <c r="J625" s="363">
        <v>25800</v>
      </c>
      <c r="K625" s="363">
        <v>25800</v>
      </c>
      <c r="L625" s="226" t="s">
        <v>617</v>
      </c>
      <c r="M625" s="130" t="s">
        <v>36</v>
      </c>
    </row>
    <row r="626" spans="1:13" s="134" customFormat="1" ht="15" customHeight="1" x14ac:dyDescent="0.25">
      <c r="A626" s="135">
        <v>229</v>
      </c>
      <c r="B626" s="135">
        <v>52937</v>
      </c>
      <c r="C626" s="137" t="s">
        <v>2624</v>
      </c>
      <c r="D626" s="135" t="s">
        <v>484</v>
      </c>
      <c r="E626" s="172" t="s">
        <v>116</v>
      </c>
      <c r="F626" s="139" t="s">
        <v>407</v>
      </c>
      <c r="G626" s="177" t="s">
        <v>718</v>
      </c>
      <c r="H626" s="136">
        <v>41519</v>
      </c>
      <c r="I626" s="135">
        <v>1</v>
      </c>
      <c r="J626" s="363">
        <v>5274</v>
      </c>
      <c r="K626" s="363">
        <v>5274</v>
      </c>
      <c r="L626" s="226" t="s">
        <v>617</v>
      </c>
      <c r="M626" s="130" t="s">
        <v>36</v>
      </c>
    </row>
    <row r="627" spans="1:13" s="134" customFormat="1" ht="15" customHeight="1" x14ac:dyDescent="0.25">
      <c r="A627" s="135">
        <v>230</v>
      </c>
      <c r="B627" s="135">
        <v>55858</v>
      </c>
      <c r="C627" s="137" t="s">
        <v>2625</v>
      </c>
      <c r="D627" s="135" t="s">
        <v>476</v>
      </c>
      <c r="E627" s="172" t="s">
        <v>577</v>
      </c>
      <c r="F627" s="139" t="s">
        <v>472</v>
      </c>
      <c r="G627" s="177" t="s">
        <v>563</v>
      </c>
      <c r="H627" s="136">
        <v>41528</v>
      </c>
      <c r="I627" s="135">
        <v>1</v>
      </c>
      <c r="J627" s="363">
        <v>49701</v>
      </c>
      <c r="K627" s="363">
        <v>49701</v>
      </c>
      <c r="L627" s="226" t="s">
        <v>617</v>
      </c>
      <c r="M627" s="130" t="s">
        <v>36</v>
      </c>
    </row>
    <row r="628" spans="1:13" s="134" customFormat="1" ht="15" customHeight="1" x14ac:dyDescent="0.25">
      <c r="A628" s="135">
        <v>231</v>
      </c>
      <c r="B628" s="135">
        <v>42156</v>
      </c>
      <c r="C628" s="137" t="s">
        <v>1324</v>
      </c>
      <c r="D628" s="135" t="s">
        <v>484</v>
      </c>
      <c r="E628" s="172" t="s">
        <v>116</v>
      </c>
      <c r="F628" s="139" t="s">
        <v>400</v>
      </c>
      <c r="G628" s="177"/>
      <c r="H628" s="136">
        <v>41477</v>
      </c>
      <c r="I628" s="135">
        <v>2</v>
      </c>
      <c r="J628" s="363">
        <v>5274</v>
      </c>
      <c r="K628" s="363">
        <v>10548</v>
      </c>
      <c r="L628" s="226" t="s">
        <v>617</v>
      </c>
      <c r="M628" s="130" t="s">
        <v>36</v>
      </c>
    </row>
    <row r="629" spans="1:13" s="134" customFormat="1" ht="15" customHeight="1" x14ac:dyDescent="0.25">
      <c r="A629" s="135">
        <v>232</v>
      </c>
      <c r="B629" s="135">
        <v>57644</v>
      </c>
      <c r="C629" s="137" t="s">
        <v>2626</v>
      </c>
      <c r="D629" s="135" t="s">
        <v>476</v>
      </c>
      <c r="E629" s="172" t="s">
        <v>577</v>
      </c>
      <c r="F629" s="139" t="s">
        <v>417</v>
      </c>
      <c r="G629" s="177" t="s">
        <v>563</v>
      </c>
      <c r="H629" s="136">
        <v>41541</v>
      </c>
      <c r="I629" s="135">
        <v>1</v>
      </c>
      <c r="J629" s="363">
        <v>49701</v>
      </c>
      <c r="K629" s="363">
        <v>49701</v>
      </c>
      <c r="L629" s="226" t="s">
        <v>617</v>
      </c>
      <c r="M629" s="130" t="s">
        <v>36</v>
      </c>
    </row>
    <row r="630" spans="1:13" s="134" customFormat="1" ht="15" customHeight="1" x14ac:dyDescent="0.25">
      <c r="A630" s="135">
        <v>233</v>
      </c>
      <c r="B630" s="135">
        <v>55075</v>
      </c>
      <c r="C630" s="137" t="s">
        <v>2627</v>
      </c>
      <c r="D630" s="135" t="s">
        <v>484</v>
      </c>
      <c r="E630" s="172" t="s">
        <v>116</v>
      </c>
      <c r="F630" s="139" t="s">
        <v>431</v>
      </c>
      <c r="G630" s="177" t="s">
        <v>2628</v>
      </c>
      <c r="H630" s="136">
        <v>41527</v>
      </c>
      <c r="I630" s="135">
        <v>1</v>
      </c>
      <c r="J630" s="363">
        <v>5274</v>
      </c>
      <c r="K630" s="363">
        <v>5274</v>
      </c>
      <c r="L630" s="226" t="s">
        <v>617</v>
      </c>
      <c r="M630" s="130" t="s">
        <v>36</v>
      </c>
    </row>
    <row r="631" spans="1:13" s="134" customFormat="1" ht="15" customHeight="1" x14ac:dyDescent="0.25">
      <c r="A631" s="135">
        <v>234</v>
      </c>
      <c r="B631" s="135">
        <v>44561</v>
      </c>
      <c r="C631" s="137" t="s">
        <v>2493</v>
      </c>
      <c r="D631" s="135" t="s">
        <v>476</v>
      </c>
      <c r="E631" s="172" t="s">
        <v>682</v>
      </c>
      <c r="F631" s="139" t="s">
        <v>369</v>
      </c>
      <c r="G631" s="177"/>
      <c r="H631" s="136">
        <v>41480</v>
      </c>
      <c r="I631" s="135">
        <v>1</v>
      </c>
      <c r="J631" s="363">
        <v>55058</v>
      </c>
      <c r="K631" s="363">
        <v>55058</v>
      </c>
      <c r="L631" s="226" t="s">
        <v>617</v>
      </c>
      <c r="M631" s="130" t="s">
        <v>36</v>
      </c>
    </row>
    <row r="632" spans="1:13" s="134" customFormat="1" ht="15" customHeight="1" x14ac:dyDescent="0.25">
      <c r="A632" s="135">
        <v>235</v>
      </c>
      <c r="B632" s="135">
        <v>52860</v>
      </c>
      <c r="C632" s="137" t="s">
        <v>2629</v>
      </c>
      <c r="D632" s="135" t="s">
        <v>484</v>
      </c>
      <c r="E632" s="172" t="s">
        <v>116</v>
      </c>
      <c r="F632" s="139" t="s">
        <v>472</v>
      </c>
      <c r="G632" s="177" t="s">
        <v>1064</v>
      </c>
      <c r="H632" s="136">
        <v>41516</v>
      </c>
      <c r="I632" s="135">
        <v>1</v>
      </c>
      <c r="J632" s="363">
        <v>5274</v>
      </c>
      <c r="K632" s="363">
        <v>5274</v>
      </c>
      <c r="L632" s="226" t="s">
        <v>617</v>
      </c>
      <c r="M632" s="130" t="s">
        <v>36</v>
      </c>
    </row>
    <row r="633" spans="1:13" s="134" customFormat="1" ht="15" customHeight="1" x14ac:dyDescent="0.25">
      <c r="A633" s="135">
        <v>236</v>
      </c>
      <c r="B633" s="135">
        <v>44907</v>
      </c>
      <c r="C633" s="137" t="s">
        <v>2630</v>
      </c>
      <c r="D633" s="135" t="s">
        <v>484</v>
      </c>
      <c r="E633" s="172" t="s">
        <v>116</v>
      </c>
      <c r="F633" s="139" t="s">
        <v>645</v>
      </c>
      <c r="G633" s="177" t="s">
        <v>1064</v>
      </c>
      <c r="H633" s="136">
        <v>41488</v>
      </c>
      <c r="I633" s="135">
        <v>1</v>
      </c>
      <c r="J633" s="363">
        <v>5274</v>
      </c>
      <c r="K633" s="363">
        <v>5274</v>
      </c>
      <c r="L633" s="226" t="s">
        <v>617</v>
      </c>
      <c r="M633" s="130" t="s">
        <v>36</v>
      </c>
    </row>
    <row r="634" spans="1:13" s="134" customFormat="1" ht="15" customHeight="1" x14ac:dyDescent="0.25">
      <c r="A634" s="135">
        <v>237</v>
      </c>
      <c r="B634" s="135">
        <v>58757</v>
      </c>
      <c r="C634" s="137" t="s">
        <v>2631</v>
      </c>
      <c r="D634" s="135" t="s">
        <v>476</v>
      </c>
      <c r="E634" s="172" t="s">
        <v>116</v>
      </c>
      <c r="F634" s="139" t="s">
        <v>442</v>
      </c>
      <c r="G634" s="177" t="s">
        <v>2135</v>
      </c>
      <c r="H634" s="136">
        <v>41547</v>
      </c>
      <c r="I634" s="135">
        <v>1</v>
      </c>
      <c r="J634" s="363">
        <v>5274</v>
      </c>
      <c r="K634" s="363">
        <v>5274</v>
      </c>
      <c r="L634" s="226" t="s">
        <v>617</v>
      </c>
      <c r="M634" s="130" t="s">
        <v>36</v>
      </c>
    </row>
    <row r="635" spans="1:13" s="134" customFormat="1" ht="15" customHeight="1" x14ac:dyDescent="0.25">
      <c r="A635" s="135">
        <v>238</v>
      </c>
      <c r="B635" s="135">
        <v>54457</v>
      </c>
      <c r="C635" s="137" t="s">
        <v>2505</v>
      </c>
      <c r="D635" s="135" t="s">
        <v>476</v>
      </c>
      <c r="E635" s="172" t="s">
        <v>210</v>
      </c>
      <c r="F635" s="139" t="s">
        <v>568</v>
      </c>
      <c r="G635" s="177"/>
      <c r="H635" s="136">
        <v>41524</v>
      </c>
      <c r="I635" s="135">
        <v>1</v>
      </c>
      <c r="J635" s="363">
        <v>14099</v>
      </c>
      <c r="K635" s="363">
        <v>14099</v>
      </c>
      <c r="L635" s="226" t="s">
        <v>617</v>
      </c>
      <c r="M635" s="130" t="s">
        <v>36</v>
      </c>
    </row>
    <row r="636" spans="1:13" s="134" customFormat="1" ht="15" customHeight="1" thickBot="1" x14ac:dyDescent="0.3">
      <c r="A636" s="241">
        <v>239</v>
      </c>
      <c r="B636" s="241">
        <v>58289</v>
      </c>
      <c r="C636" s="242" t="s">
        <v>2632</v>
      </c>
      <c r="D636" s="241" t="s">
        <v>476</v>
      </c>
      <c r="E636" s="229" t="s">
        <v>188</v>
      </c>
      <c r="F636" s="243" t="s">
        <v>2633</v>
      </c>
      <c r="G636" s="230" t="s">
        <v>2097</v>
      </c>
      <c r="H636" s="244">
        <v>41542</v>
      </c>
      <c r="I636" s="241">
        <v>11</v>
      </c>
      <c r="J636" s="364">
        <v>42601</v>
      </c>
      <c r="K636" s="364">
        <v>468611</v>
      </c>
      <c r="L636" s="226" t="s">
        <v>617</v>
      </c>
      <c r="M636" s="130" t="s">
        <v>36</v>
      </c>
    </row>
    <row r="637" spans="1:13" s="134" customFormat="1" ht="15" customHeight="1" thickTop="1" x14ac:dyDescent="0.25">
      <c r="A637" s="394">
        <v>240</v>
      </c>
      <c r="B637" s="394">
        <v>59495</v>
      </c>
      <c r="C637" s="395" t="s">
        <v>2422</v>
      </c>
      <c r="D637" s="394" t="s">
        <v>476</v>
      </c>
      <c r="E637" s="396" t="s">
        <v>115</v>
      </c>
      <c r="F637" s="397" t="s">
        <v>2634</v>
      </c>
      <c r="G637" s="398" t="s">
        <v>2075</v>
      </c>
      <c r="H637" s="399">
        <v>41549</v>
      </c>
      <c r="I637" s="394">
        <v>5</v>
      </c>
      <c r="J637" s="400">
        <v>33370</v>
      </c>
      <c r="K637" s="401">
        <v>166850</v>
      </c>
      <c r="L637" s="270" t="s">
        <v>620</v>
      </c>
      <c r="M637" s="130" t="s">
        <v>36</v>
      </c>
    </row>
    <row r="638" spans="1:13" s="134" customFormat="1" ht="15" customHeight="1" x14ac:dyDescent="0.25">
      <c r="A638" s="122">
        <v>241</v>
      </c>
      <c r="B638" s="122">
        <v>65217</v>
      </c>
      <c r="C638" s="124" t="s">
        <v>2635</v>
      </c>
      <c r="D638" s="122" t="s">
        <v>481</v>
      </c>
      <c r="E638" s="150" t="s">
        <v>217</v>
      </c>
      <c r="F638" s="126" t="s">
        <v>369</v>
      </c>
      <c r="G638" s="271" t="s">
        <v>489</v>
      </c>
      <c r="H638" s="123">
        <v>41568</v>
      </c>
      <c r="I638" s="122">
        <v>1</v>
      </c>
      <c r="J638" s="402">
        <v>44597</v>
      </c>
      <c r="K638" s="403">
        <v>44597</v>
      </c>
      <c r="L638" s="270" t="s">
        <v>620</v>
      </c>
      <c r="M638" s="130" t="s">
        <v>36</v>
      </c>
    </row>
    <row r="639" spans="1:13" s="134" customFormat="1" ht="15" customHeight="1" x14ac:dyDescent="0.25">
      <c r="A639" s="274">
        <v>242</v>
      </c>
      <c r="B639" s="274">
        <v>63932</v>
      </c>
      <c r="C639" s="275" t="s">
        <v>2636</v>
      </c>
      <c r="D639" s="274" t="s">
        <v>484</v>
      </c>
      <c r="E639" s="276" t="s">
        <v>116</v>
      </c>
      <c r="F639" s="277" t="s">
        <v>392</v>
      </c>
      <c r="G639" s="278" t="s">
        <v>2637</v>
      </c>
      <c r="H639" s="279">
        <v>41563</v>
      </c>
      <c r="I639" s="274">
        <v>1</v>
      </c>
      <c r="J639" s="354">
        <v>5274</v>
      </c>
      <c r="K639" s="358">
        <v>5274</v>
      </c>
      <c r="L639" s="270" t="s">
        <v>620</v>
      </c>
      <c r="M639" s="130" t="s">
        <v>36</v>
      </c>
    </row>
    <row r="640" spans="1:13" s="134" customFormat="1" ht="15" customHeight="1" x14ac:dyDescent="0.25">
      <c r="A640" s="122">
        <v>243</v>
      </c>
      <c r="B640" s="122">
        <v>61501</v>
      </c>
      <c r="C640" s="124" t="s">
        <v>2638</v>
      </c>
      <c r="D640" s="122" t="s">
        <v>478</v>
      </c>
      <c r="E640" s="150" t="s">
        <v>217</v>
      </c>
      <c r="F640" s="126" t="s">
        <v>371</v>
      </c>
      <c r="G640" s="271" t="s">
        <v>2067</v>
      </c>
      <c r="H640" s="123">
        <v>41555</v>
      </c>
      <c r="I640" s="122">
        <v>1</v>
      </c>
      <c r="J640" s="402">
        <v>44597</v>
      </c>
      <c r="K640" s="403">
        <v>44597</v>
      </c>
      <c r="L640" s="270" t="s">
        <v>620</v>
      </c>
      <c r="M640" s="130" t="s">
        <v>36</v>
      </c>
    </row>
    <row r="641" spans="1:13" s="134" customFormat="1" ht="15" customHeight="1" x14ac:dyDescent="0.25">
      <c r="A641" s="274">
        <v>244</v>
      </c>
      <c r="B641" s="274">
        <v>63132</v>
      </c>
      <c r="C641" s="275" t="s">
        <v>2639</v>
      </c>
      <c r="D641" s="274" t="s">
        <v>474</v>
      </c>
      <c r="E641" s="276" t="s">
        <v>682</v>
      </c>
      <c r="F641" s="277" t="s">
        <v>387</v>
      </c>
      <c r="G641" s="278" t="s">
        <v>2469</v>
      </c>
      <c r="H641" s="279">
        <v>41564</v>
      </c>
      <c r="I641" s="274">
        <v>2</v>
      </c>
      <c r="J641" s="354">
        <v>55058</v>
      </c>
      <c r="K641" s="358">
        <v>110116</v>
      </c>
      <c r="L641" s="270" t="s">
        <v>620</v>
      </c>
      <c r="M641" s="130" t="s">
        <v>36</v>
      </c>
    </row>
    <row r="642" spans="1:13" s="134" customFormat="1" ht="15" customHeight="1" x14ac:dyDescent="0.25">
      <c r="A642" s="122">
        <v>245</v>
      </c>
      <c r="B642" s="274">
        <v>59917</v>
      </c>
      <c r="C642" s="275" t="s">
        <v>2563</v>
      </c>
      <c r="D642" s="274" t="s">
        <v>484</v>
      </c>
      <c r="E642" s="276" t="s">
        <v>537</v>
      </c>
      <c r="F642" s="277" t="s">
        <v>562</v>
      </c>
      <c r="G642" s="278" t="s">
        <v>569</v>
      </c>
      <c r="H642" s="279">
        <v>41549</v>
      </c>
      <c r="I642" s="274">
        <v>1</v>
      </c>
      <c r="J642" s="354">
        <v>30429</v>
      </c>
      <c r="K642" s="358">
        <v>30429</v>
      </c>
      <c r="L642" s="270" t="s">
        <v>620</v>
      </c>
      <c r="M642" s="130" t="s">
        <v>36</v>
      </c>
    </row>
    <row r="643" spans="1:13" s="134" customFormat="1" ht="15" customHeight="1" x14ac:dyDescent="0.25">
      <c r="A643" s="274">
        <v>246</v>
      </c>
      <c r="B643" s="274">
        <v>64116</v>
      </c>
      <c r="C643" s="275" t="s">
        <v>2640</v>
      </c>
      <c r="D643" s="274" t="s">
        <v>484</v>
      </c>
      <c r="E643" s="276" t="s">
        <v>577</v>
      </c>
      <c r="F643" s="277" t="s">
        <v>645</v>
      </c>
      <c r="G643" s="278" t="s">
        <v>583</v>
      </c>
      <c r="H643" s="279">
        <v>41563</v>
      </c>
      <c r="I643" s="274">
        <v>1</v>
      </c>
      <c r="J643" s="354">
        <v>49701</v>
      </c>
      <c r="K643" s="358">
        <v>49701</v>
      </c>
      <c r="L643" s="270" t="s">
        <v>620</v>
      </c>
      <c r="M643" s="130" t="s">
        <v>36</v>
      </c>
    </row>
    <row r="644" spans="1:13" s="134" customFormat="1" ht="15" customHeight="1" x14ac:dyDescent="0.25">
      <c r="A644" s="122">
        <v>247</v>
      </c>
      <c r="B644" s="274">
        <v>64496</v>
      </c>
      <c r="C644" s="275" t="s">
        <v>2641</v>
      </c>
      <c r="D644" s="274" t="s">
        <v>476</v>
      </c>
      <c r="E644" s="276" t="s">
        <v>116</v>
      </c>
      <c r="F644" s="277" t="s">
        <v>562</v>
      </c>
      <c r="G644" s="278"/>
      <c r="H644" s="279">
        <v>41565</v>
      </c>
      <c r="I644" s="274">
        <v>1</v>
      </c>
      <c r="J644" s="354">
        <v>5274</v>
      </c>
      <c r="K644" s="358">
        <v>5274</v>
      </c>
      <c r="L644" s="270" t="s">
        <v>620</v>
      </c>
      <c r="M644" s="130" t="s">
        <v>36</v>
      </c>
    </row>
    <row r="645" spans="1:13" s="134" customFormat="1" ht="15" customHeight="1" x14ac:dyDescent="0.25">
      <c r="A645" s="274">
        <v>248</v>
      </c>
      <c r="B645" s="274">
        <v>63017</v>
      </c>
      <c r="C645" s="275" t="s">
        <v>2642</v>
      </c>
      <c r="D645" s="274" t="s">
        <v>476</v>
      </c>
      <c r="E645" s="276" t="s">
        <v>537</v>
      </c>
      <c r="F645" s="277" t="s">
        <v>472</v>
      </c>
      <c r="G645" s="278" t="s">
        <v>563</v>
      </c>
      <c r="H645" s="279">
        <v>41561</v>
      </c>
      <c r="I645" s="274">
        <v>1</v>
      </c>
      <c r="J645" s="354">
        <v>30429</v>
      </c>
      <c r="K645" s="358">
        <v>30429</v>
      </c>
      <c r="L645" s="270" t="s">
        <v>620</v>
      </c>
      <c r="M645" s="130" t="s">
        <v>36</v>
      </c>
    </row>
    <row r="646" spans="1:13" s="134" customFormat="1" ht="15" customHeight="1" x14ac:dyDescent="0.25">
      <c r="A646" s="122">
        <v>249</v>
      </c>
      <c r="B646" s="274">
        <v>61385</v>
      </c>
      <c r="C646" s="275" t="s">
        <v>2643</v>
      </c>
      <c r="D646" s="274" t="s">
        <v>476</v>
      </c>
      <c r="E646" s="276" t="s">
        <v>116</v>
      </c>
      <c r="F646" s="277" t="s">
        <v>417</v>
      </c>
      <c r="G646" s="278" t="s">
        <v>2067</v>
      </c>
      <c r="H646" s="279">
        <v>41555</v>
      </c>
      <c r="I646" s="274">
        <v>1</v>
      </c>
      <c r="J646" s="354">
        <v>5274</v>
      </c>
      <c r="K646" s="358">
        <v>5274</v>
      </c>
      <c r="L646" s="270" t="s">
        <v>620</v>
      </c>
      <c r="M646" s="130" t="s">
        <v>36</v>
      </c>
    </row>
    <row r="647" spans="1:13" s="134" customFormat="1" ht="15" customHeight="1" x14ac:dyDescent="0.25">
      <c r="A647" s="274">
        <v>250</v>
      </c>
      <c r="B647" s="274">
        <v>65625</v>
      </c>
      <c r="C647" s="275" t="s">
        <v>2643</v>
      </c>
      <c r="D647" s="274" t="s">
        <v>476</v>
      </c>
      <c r="E647" s="276" t="s">
        <v>115</v>
      </c>
      <c r="F647" s="277" t="s">
        <v>417</v>
      </c>
      <c r="G647" s="278" t="s">
        <v>629</v>
      </c>
      <c r="H647" s="279">
        <v>41570</v>
      </c>
      <c r="I647" s="274">
        <v>1</v>
      </c>
      <c r="J647" s="354">
        <v>33370</v>
      </c>
      <c r="K647" s="358">
        <v>33370</v>
      </c>
      <c r="L647" s="270" t="s">
        <v>620</v>
      </c>
      <c r="M647" s="130" t="s">
        <v>36</v>
      </c>
    </row>
    <row r="648" spans="1:13" s="134" customFormat="1" ht="15" customHeight="1" x14ac:dyDescent="0.25">
      <c r="A648" s="122">
        <v>251</v>
      </c>
      <c r="B648" s="274">
        <v>66877</v>
      </c>
      <c r="C648" s="275" t="s">
        <v>2644</v>
      </c>
      <c r="D648" s="274" t="s">
        <v>476</v>
      </c>
      <c r="E648" s="276" t="s">
        <v>580</v>
      </c>
      <c r="F648" s="277" t="s">
        <v>371</v>
      </c>
      <c r="G648" s="278"/>
      <c r="H648" s="279">
        <v>41576</v>
      </c>
      <c r="I648" s="274">
        <v>1</v>
      </c>
      <c r="J648" s="354">
        <v>25800</v>
      </c>
      <c r="K648" s="358">
        <v>25800</v>
      </c>
      <c r="L648" s="270" t="s">
        <v>620</v>
      </c>
      <c r="M648" s="130" t="s">
        <v>36</v>
      </c>
    </row>
    <row r="649" spans="1:13" s="134" customFormat="1" ht="15" customHeight="1" x14ac:dyDescent="0.25">
      <c r="A649" s="274">
        <v>252</v>
      </c>
      <c r="B649" s="122">
        <v>45384</v>
      </c>
      <c r="C649" s="124" t="s">
        <v>2645</v>
      </c>
      <c r="D649" s="122" t="s">
        <v>476</v>
      </c>
      <c r="E649" s="150" t="s">
        <v>116</v>
      </c>
      <c r="F649" s="126" t="s">
        <v>445</v>
      </c>
      <c r="G649" s="271" t="s">
        <v>2067</v>
      </c>
      <c r="H649" s="123">
        <v>41491</v>
      </c>
      <c r="I649" s="122">
        <v>1</v>
      </c>
      <c r="J649" s="402">
        <v>5274</v>
      </c>
      <c r="K649" s="403">
        <v>5274</v>
      </c>
      <c r="L649" s="270" t="s">
        <v>620</v>
      </c>
      <c r="M649" s="130" t="s">
        <v>36</v>
      </c>
    </row>
    <row r="650" spans="1:13" s="134" customFormat="1" ht="15" customHeight="1" x14ac:dyDescent="0.25">
      <c r="A650" s="122">
        <v>253</v>
      </c>
      <c r="B650" s="122">
        <v>63754</v>
      </c>
      <c r="C650" s="124" t="s">
        <v>2646</v>
      </c>
      <c r="D650" s="122" t="s">
        <v>476</v>
      </c>
      <c r="E650" s="150" t="s">
        <v>116</v>
      </c>
      <c r="F650" s="126" t="s">
        <v>410</v>
      </c>
      <c r="G650" s="271" t="s">
        <v>2107</v>
      </c>
      <c r="H650" s="123">
        <v>41563</v>
      </c>
      <c r="I650" s="122">
        <v>1</v>
      </c>
      <c r="J650" s="402">
        <v>5274</v>
      </c>
      <c r="K650" s="403">
        <v>5274</v>
      </c>
      <c r="L650" s="270" t="s">
        <v>620</v>
      </c>
      <c r="M650" s="130" t="s">
        <v>36</v>
      </c>
    </row>
    <row r="651" spans="1:13" s="134" customFormat="1" ht="15" customHeight="1" x14ac:dyDescent="0.25">
      <c r="A651" s="274">
        <v>254</v>
      </c>
      <c r="B651" s="122">
        <v>64704</v>
      </c>
      <c r="C651" s="124" t="s">
        <v>2647</v>
      </c>
      <c r="D651" s="122" t="s">
        <v>484</v>
      </c>
      <c r="E651" s="150" t="s">
        <v>116</v>
      </c>
      <c r="F651" s="126" t="s">
        <v>419</v>
      </c>
      <c r="G651" s="271"/>
      <c r="H651" s="123">
        <v>41566</v>
      </c>
      <c r="I651" s="122">
        <v>1</v>
      </c>
      <c r="J651" s="402">
        <v>5274</v>
      </c>
      <c r="K651" s="403">
        <v>5274</v>
      </c>
      <c r="L651" s="270" t="s">
        <v>620</v>
      </c>
      <c r="M651" s="130" t="s">
        <v>36</v>
      </c>
    </row>
    <row r="652" spans="1:13" s="134" customFormat="1" ht="15" customHeight="1" x14ac:dyDescent="0.25">
      <c r="A652" s="274">
        <v>255</v>
      </c>
      <c r="B652" s="122">
        <v>57985</v>
      </c>
      <c r="C652" s="124" t="s">
        <v>2648</v>
      </c>
      <c r="D652" s="122" t="s">
        <v>476</v>
      </c>
      <c r="E652" s="150" t="s">
        <v>116</v>
      </c>
      <c r="F652" s="126" t="s">
        <v>511</v>
      </c>
      <c r="G652" s="271" t="s">
        <v>2067</v>
      </c>
      <c r="H652" s="123">
        <v>41543</v>
      </c>
      <c r="I652" s="122">
        <v>1</v>
      </c>
      <c r="J652" s="402">
        <v>5274</v>
      </c>
      <c r="K652" s="403">
        <v>5274</v>
      </c>
      <c r="L652" s="270" t="s">
        <v>620</v>
      </c>
      <c r="M652" s="130" t="s">
        <v>36</v>
      </c>
    </row>
    <row r="653" spans="1:13" s="134" customFormat="1" ht="15" customHeight="1" x14ac:dyDescent="0.25">
      <c r="A653" s="122">
        <v>256</v>
      </c>
      <c r="B653" s="122">
        <v>44836</v>
      </c>
      <c r="C653" s="124" t="s">
        <v>2649</v>
      </c>
      <c r="D653" s="122" t="s">
        <v>474</v>
      </c>
      <c r="E653" s="150" t="s">
        <v>580</v>
      </c>
      <c r="F653" s="126" t="s">
        <v>371</v>
      </c>
      <c r="G653" s="271"/>
      <c r="H653" s="123">
        <v>41487</v>
      </c>
      <c r="I653" s="122">
        <v>1</v>
      </c>
      <c r="J653" s="402">
        <v>25800</v>
      </c>
      <c r="K653" s="403">
        <v>25800</v>
      </c>
      <c r="L653" s="270" t="s">
        <v>620</v>
      </c>
      <c r="M653" s="130" t="s">
        <v>36</v>
      </c>
    </row>
    <row r="654" spans="1:13" s="134" customFormat="1" ht="15" customHeight="1" x14ac:dyDescent="0.25">
      <c r="A654" s="274">
        <v>257</v>
      </c>
      <c r="B654" s="122">
        <v>66033</v>
      </c>
      <c r="C654" s="124" t="s">
        <v>2650</v>
      </c>
      <c r="D654" s="122" t="s">
        <v>474</v>
      </c>
      <c r="E654" s="150" t="s">
        <v>580</v>
      </c>
      <c r="F654" s="126" t="s">
        <v>371</v>
      </c>
      <c r="G654" s="271"/>
      <c r="H654" s="123">
        <v>41571</v>
      </c>
      <c r="I654" s="122">
        <v>1</v>
      </c>
      <c r="J654" s="402">
        <v>25800</v>
      </c>
      <c r="K654" s="403">
        <v>25800</v>
      </c>
      <c r="L654" s="270" t="s">
        <v>620</v>
      </c>
      <c r="M654" s="130" t="s">
        <v>36</v>
      </c>
    </row>
    <row r="655" spans="1:13" s="134" customFormat="1" ht="15" customHeight="1" x14ac:dyDescent="0.25">
      <c r="A655" s="122">
        <v>258</v>
      </c>
      <c r="B655" s="122">
        <v>62725</v>
      </c>
      <c r="C655" s="124" t="s">
        <v>2651</v>
      </c>
      <c r="D655" s="122" t="s">
        <v>484</v>
      </c>
      <c r="E655" s="150" t="s">
        <v>537</v>
      </c>
      <c r="F655" s="126" t="s">
        <v>562</v>
      </c>
      <c r="G655" s="271" t="s">
        <v>569</v>
      </c>
      <c r="H655" s="123">
        <v>41558</v>
      </c>
      <c r="I655" s="122">
        <v>1</v>
      </c>
      <c r="J655" s="402">
        <v>30429</v>
      </c>
      <c r="K655" s="403">
        <v>30429</v>
      </c>
      <c r="L655" s="270" t="s">
        <v>620</v>
      </c>
      <c r="M655" s="130" t="s">
        <v>36</v>
      </c>
    </row>
    <row r="656" spans="1:13" s="134" customFormat="1" ht="15" customHeight="1" x14ac:dyDescent="0.25">
      <c r="A656" s="274">
        <v>259</v>
      </c>
      <c r="B656" s="122">
        <v>59992</v>
      </c>
      <c r="C656" s="124" t="s">
        <v>2652</v>
      </c>
      <c r="D656" s="122" t="s">
        <v>484</v>
      </c>
      <c r="E656" s="150" t="s">
        <v>116</v>
      </c>
      <c r="F656" s="126" t="s">
        <v>472</v>
      </c>
      <c r="G656" s="271" t="s">
        <v>1064</v>
      </c>
      <c r="H656" s="123">
        <v>41551</v>
      </c>
      <c r="I656" s="122">
        <v>1</v>
      </c>
      <c r="J656" s="402">
        <v>5274</v>
      </c>
      <c r="K656" s="403">
        <v>5274</v>
      </c>
      <c r="L656" s="270" t="s">
        <v>620</v>
      </c>
      <c r="M656" s="130" t="s">
        <v>36</v>
      </c>
    </row>
    <row r="657" spans="1:13" s="134" customFormat="1" ht="15" customHeight="1" x14ac:dyDescent="0.25">
      <c r="A657" s="274">
        <v>260</v>
      </c>
      <c r="B657" s="122">
        <v>61383</v>
      </c>
      <c r="C657" s="124" t="s">
        <v>2653</v>
      </c>
      <c r="D657" s="122" t="s">
        <v>484</v>
      </c>
      <c r="E657" s="150" t="s">
        <v>116</v>
      </c>
      <c r="F657" s="126" t="s">
        <v>594</v>
      </c>
      <c r="G657" s="271" t="s">
        <v>2067</v>
      </c>
      <c r="H657" s="123">
        <v>41556</v>
      </c>
      <c r="I657" s="122">
        <v>1</v>
      </c>
      <c r="J657" s="402">
        <v>5274</v>
      </c>
      <c r="K657" s="403">
        <v>5274</v>
      </c>
      <c r="L657" s="270" t="s">
        <v>620</v>
      </c>
      <c r="M657" s="130" t="s">
        <v>36</v>
      </c>
    </row>
    <row r="658" spans="1:13" s="134" customFormat="1" ht="15" customHeight="1" x14ac:dyDescent="0.25">
      <c r="A658" s="122">
        <v>261</v>
      </c>
      <c r="B658" s="122">
        <v>66182</v>
      </c>
      <c r="C658" s="124" t="s">
        <v>2653</v>
      </c>
      <c r="D658" s="122" t="s">
        <v>484</v>
      </c>
      <c r="E658" s="150" t="s">
        <v>115</v>
      </c>
      <c r="F658" s="126" t="s">
        <v>594</v>
      </c>
      <c r="G658" s="271" t="s">
        <v>560</v>
      </c>
      <c r="H658" s="123">
        <v>41571</v>
      </c>
      <c r="I658" s="122">
        <v>1</v>
      </c>
      <c r="J658" s="402">
        <v>33370</v>
      </c>
      <c r="K658" s="403">
        <v>33370</v>
      </c>
      <c r="L658" s="270" t="s">
        <v>620</v>
      </c>
      <c r="M658" s="130" t="s">
        <v>36</v>
      </c>
    </row>
    <row r="659" spans="1:13" s="134" customFormat="1" ht="15" customHeight="1" x14ac:dyDescent="0.25">
      <c r="A659" s="274">
        <v>262</v>
      </c>
      <c r="B659" s="122">
        <v>58716</v>
      </c>
      <c r="C659" s="124" t="s">
        <v>1527</v>
      </c>
      <c r="D659" s="122" t="s">
        <v>476</v>
      </c>
      <c r="E659" s="150" t="s">
        <v>116</v>
      </c>
      <c r="F659" s="126" t="s">
        <v>511</v>
      </c>
      <c r="G659" s="271" t="s">
        <v>2135</v>
      </c>
      <c r="H659" s="123">
        <v>41547</v>
      </c>
      <c r="I659" s="122">
        <v>1</v>
      </c>
      <c r="J659" s="402">
        <v>5274</v>
      </c>
      <c r="K659" s="403">
        <v>5274</v>
      </c>
      <c r="L659" s="270" t="s">
        <v>620</v>
      </c>
      <c r="M659" s="130" t="s">
        <v>36</v>
      </c>
    </row>
    <row r="660" spans="1:13" s="134" customFormat="1" ht="15" customHeight="1" x14ac:dyDescent="0.25">
      <c r="A660" s="122">
        <v>263</v>
      </c>
      <c r="B660" s="122">
        <v>66603</v>
      </c>
      <c r="C660" s="124" t="s">
        <v>1527</v>
      </c>
      <c r="D660" s="122" t="s">
        <v>476</v>
      </c>
      <c r="E660" s="150" t="s">
        <v>115</v>
      </c>
      <c r="F660" s="126" t="s">
        <v>511</v>
      </c>
      <c r="G660" s="271" t="s">
        <v>489</v>
      </c>
      <c r="H660" s="123">
        <v>41572</v>
      </c>
      <c r="I660" s="122">
        <v>1</v>
      </c>
      <c r="J660" s="402">
        <v>33370</v>
      </c>
      <c r="K660" s="403">
        <v>33370</v>
      </c>
      <c r="L660" s="270" t="s">
        <v>620</v>
      </c>
      <c r="M660" s="130" t="s">
        <v>36</v>
      </c>
    </row>
    <row r="661" spans="1:13" s="134" customFormat="1" ht="15" customHeight="1" x14ac:dyDescent="0.25">
      <c r="A661" s="274">
        <v>264</v>
      </c>
      <c r="B661" s="122">
        <v>66603</v>
      </c>
      <c r="C661" s="124" t="s">
        <v>1527</v>
      </c>
      <c r="D661" s="122" t="s">
        <v>476</v>
      </c>
      <c r="E661" s="150" t="s">
        <v>577</v>
      </c>
      <c r="F661" s="126" t="s">
        <v>392</v>
      </c>
      <c r="G661" s="271" t="s">
        <v>489</v>
      </c>
      <c r="H661" s="123">
        <v>41572</v>
      </c>
      <c r="I661" s="122">
        <v>1</v>
      </c>
      <c r="J661" s="402">
        <v>49701</v>
      </c>
      <c r="K661" s="403">
        <v>49701</v>
      </c>
      <c r="L661" s="270" t="s">
        <v>620</v>
      </c>
      <c r="M661" s="130" t="s">
        <v>36</v>
      </c>
    </row>
    <row r="662" spans="1:13" s="134" customFormat="1" ht="15" customHeight="1" x14ac:dyDescent="0.25">
      <c r="A662" s="122">
        <v>265</v>
      </c>
      <c r="B662" s="122">
        <v>61330</v>
      </c>
      <c r="C662" s="124" t="s">
        <v>2654</v>
      </c>
      <c r="D662" s="122" t="s">
        <v>476</v>
      </c>
      <c r="E662" s="150" t="s">
        <v>237</v>
      </c>
      <c r="F662" s="126" t="s">
        <v>387</v>
      </c>
      <c r="G662" s="271"/>
      <c r="H662" s="123">
        <v>41554</v>
      </c>
      <c r="I662" s="122">
        <v>2</v>
      </c>
      <c r="J662" s="402">
        <v>10401</v>
      </c>
      <c r="K662" s="403">
        <v>20802</v>
      </c>
      <c r="L662" s="270" t="s">
        <v>620</v>
      </c>
      <c r="M662" s="130" t="s">
        <v>36</v>
      </c>
    </row>
    <row r="663" spans="1:13" s="134" customFormat="1" ht="15" customHeight="1" x14ac:dyDescent="0.25">
      <c r="A663" s="274">
        <v>266</v>
      </c>
      <c r="B663" s="122">
        <v>64877</v>
      </c>
      <c r="C663" s="124" t="s">
        <v>2655</v>
      </c>
      <c r="D663" s="122" t="s">
        <v>484</v>
      </c>
      <c r="E663" s="150" t="s">
        <v>537</v>
      </c>
      <c r="F663" s="126" t="s">
        <v>417</v>
      </c>
      <c r="G663" s="271" t="s">
        <v>554</v>
      </c>
      <c r="H663" s="123">
        <v>41565</v>
      </c>
      <c r="I663" s="122">
        <v>1</v>
      </c>
      <c r="J663" s="402">
        <v>30429</v>
      </c>
      <c r="K663" s="403">
        <v>30429</v>
      </c>
      <c r="L663" s="270" t="s">
        <v>620</v>
      </c>
      <c r="M663" s="130" t="s">
        <v>36</v>
      </c>
    </row>
    <row r="664" spans="1:13" s="134" customFormat="1" ht="15" customHeight="1" x14ac:dyDescent="0.25">
      <c r="A664" s="122">
        <v>267</v>
      </c>
      <c r="B664" s="122">
        <v>50403</v>
      </c>
      <c r="C664" s="124" t="s">
        <v>2501</v>
      </c>
      <c r="D664" s="122" t="s">
        <v>484</v>
      </c>
      <c r="E664" s="150" t="s">
        <v>116</v>
      </c>
      <c r="F664" s="126" t="s">
        <v>410</v>
      </c>
      <c r="G664" s="271" t="s">
        <v>2107</v>
      </c>
      <c r="H664" s="123">
        <v>41509</v>
      </c>
      <c r="I664" s="122">
        <v>1</v>
      </c>
      <c r="J664" s="402">
        <v>5274</v>
      </c>
      <c r="K664" s="403">
        <v>5274</v>
      </c>
      <c r="L664" s="270" t="s">
        <v>620</v>
      </c>
      <c r="M664" s="130" t="s">
        <v>36</v>
      </c>
    </row>
    <row r="665" spans="1:13" s="134" customFormat="1" ht="15" customHeight="1" x14ac:dyDescent="0.25">
      <c r="A665" s="274">
        <v>268</v>
      </c>
      <c r="B665" s="122">
        <v>54576</v>
      </c>
      <c r="C665" s="124" t="s">
        <v>2501</v>
      </c>
      <c r="D665" s="122" t="s">
        <v>484</v>
      </c>
      <c r="E665" s="150" t="s">
        <v>192</v>
      </c>
      <c r="F665" s="126" t="s">
        <v>410</v>
      </c>
      <c r="G665" s="271"/>
      <c r="H665" s="123">
        <v>41523</v>
      </c>
      <c r="I665" s="122">
        <v>1</v>
      </c>
      <c r="J665" s="402">
        <v>57960</v>
      </c>
      <c r="K665" s="403">
        <v>57960</v>
      </c>
      <c r="L665" s="270" t="s">
        <v>620</v>
      </c>
      <c r="M665" s="130" t="s">
        <v>36</v>
      </c>
    </row>
    <row r="666" spans="1:13" s="134" customFormat="1" ht="15" customHeight="1" x14ac:dyDescent="0.25">
      <c r="A666" s="122">
        <v>269</v>
      </c>
      <c r="B666" s="122">
        <v>54576</v>
      </c>
      <c r="C666" s="124" t="s">
        <v>2501</v>
      </c>
      <c r="D666" s="122" t="s">
        <v>484</v>
      </c>
      <c r="E666" s="150" t="s">
        <v>182</v>
      </c>
      <c r="F666" s="126" t="s">
        <v>445</v>
      </c>
      <c r="G666" s="271"/>
      <c r="H666" s="123">
        <v>41523</v>
      </c>
      <c r="I666" s="122">
        <v>1</v>
      </c>
      <c r="J666" s="402">
        <v>55062</v>
      </c>
      <c r="K666" s="403">
        <v>55062</v>
      </c>
      <c r="L666" s="270" t="s">
        <v>620</v>
      </c>
      <c r="M666" s="130" t="s">
        <v>36</v>
      </c>
    </row>
    <row r="667" spans="1:13" s="134" customFormat="1" ht="15" customHeight="1" x14ac:dyDescent="0.25">
      <c r="A667" s="274">
        <v>270</v>
      </c>
      <c r="B667" s="122">
        <v>59918</v>
      </c>
      <c r="C667" s="124" t="s">
        <v>1493</v>
      </c>
      <c r="D667" s="122" t="s">
        <v>476</v>
      </c>
      <c r="E667" s="150" t="s">
        <v>577</v>
      </c>
      <c r="F667" s="126" t="s">
        <v>527</v>
      </c>
      <c r="G667" s="271" t="s">
        <v>2143</v>
      </c>
      <c r="H667" s="123">
        <v>41549</v>
      </c>
      <c r="I667" s="122">
        <v>1</v>
      </c>
      <c r="J667" s="402">
        <v>49701</v>
      </c>
      <c r="K667" s="403">
        <v>49701</v>
      </c>
      <c r="L667" s="270" t="s">
        <v>620</v>
      </c>
      <c r="M667" s="130" t="s">
        <v>36</v>
      </c>
    </row>
    <row r="668" spans="1:13" s="134" customFormat="1" ht="15" customHeight="1" x14ac:dyDescent="0.25">
      <c r="A668" s="122">
        <v>271</v>
      </c>
      <c r="B668" s="122">
        <v>61883</v>
      </c>
      <c r="C668" s="124" t="s">
        <v>2656</v>
      </c>
      <c r="D668" s="122" t="s">
        <v>476</v>
      </c>
      <c r="E668" s="150" t="s">
        <v>577</v>
      </c>
      <c r="F668" s="126" t="s">
        <v>431</v>
      </c>
      <c r="G668" s="271" t="s">
        <v>629</v>
      </c>
      <c r="H668" s="123">
        <v>41556</v>
      </c>
      <c r="I668" s="122">
        <v>1</v>
      </c>
      <c r="J668" s="402">
        <v>49701</v>
      </c>
      <c r="K668" s="403">
        <v>49701</v>
      </c>
      <c r="L668" s="270" t="s">
        <v>620</v>
      </c>
      <c r="M668" s="130" t="s">
        <v>36</v>
      </c>
    </row>
    <row r="669" spans="1:13" s="134" customFormat="1" ht="15" customHeight="1" x14ac:dyDescent="0.25">
      <c r="A669" s="122">
        <v>272</v>
      </c>
      <c r="B669" s="122">
        <v>66508</v>
      </c>
      <c r="C669" s="124" t="s">
        <v>2657</v>
      </c>
      <c r="D669" s="122" t="s">
        <v>476</v>
      </c>
      <c r="E669" s="150" t="s">
        <v>682</v>
      </c>
      <c r="F669" s="126" t="s">
        <v>369</v>
      </c>
      <c r="G669" s="271" t="s">
        <v>489</v>
      </c>
      <c r="H669" s="123">
        <v>41572</v>
      </c>
      <c r="I669" s="122">
        <v>1</v>
      </c>
      <c r="J669" s="402">
        <v>55058</v>
      </c>
      <c r="K669" s="403">
        <v>55058</v>
      </c>
      <c r="L669" s="270" t="s">
        <v>620</v>
      </c>
      <c r="M669" s="130" t="s">
        <v>36</v>
      </c>
    </row>
    <row r="670" spans="1:13" s="134" customFormat="1" ht="15" customHeight="1" x14ac:dyDescent="0.25">
      <c r="A670" s="274">
        <v>273</v>
      </c>
      <c r="B670" s="122">
        <v>63355</v>
      </c>
      <c r="C670" s="124" t="s">
        <v>1499</v>
      </c>
      <c r="D670" s="122" t="s">
        <v>484</v>
      </c>
      <c r="E670" s="150" t="s">
        <v>2658</v>
      </c>
      <c r="F670" s="126" t="s">
        <v>2659</v>
      </c>
      <c r="G670" s="271" t="s">
        <v>417</v>
      </c>
      <c r="H670" s="123">
        <v>41562</v>
      </c>
      <c r="I670" s="122">
        <v>4</v>
      </c>
      <c r="J670" s="402">
        <v>23836</v>
      </c>
      <c r="K670" s="403">
        <v>95344</v>
      </c>
      <c r="L670" s="270" t="s">
        <v>620</v>
      </c>
      <c r="M670" s="130" t="s">
        <v>36</v>
      </c>
    </row>
    <row r="671" spans="1:13" s="134" customFormat="1" ht="15" customHeight="1" x14ac:dyDescent="0.25">
      <c r="A671" s="122">
        <v>274</v>
      </c>
      <c r="B671" s="122">
        <v>67607</v>
      </c>
      <c r="C671" s="124" t="s">
        <v>1499</v>
      </c>
      <c r="D671" s="122" t="s">
        <v>484</v>
      </c>
      <c r="E671" s="150" t="s">
        <v>115</v>
      </c>
      <c r="F671" s="126" t="s">
        <v>1880</v>
      </c>
      <c r="G671" s="271" t="s">
        <v>629</v>
      </c>
      <c r="H671" s="123">
        <v>41576</v>
      </c>
      <c r="I671" s="122">
        <v>1</v>
      </c>
      <c r="J671" s="402">
        <v>33370</v>
      </c>
      <c r="K671" s="403">
        <v>33370</v>
      </c>
      <c r="L671" s="270" t="s">
        <v>620</v>
      </c>
      <c r="M671" s="130" t="s">
        <v>36</v>
      </c>
    </row>
    <row r="672" spans="1:13" s="404" customFormat="1" ht="15" customHeight="1" x14ac:dyDescent="0.25">
      <c r="A672" s="274">
        <v>275</v>
      </c>
      <c r="B672" s="122">
        <v>60103</v>
      </c>
      <c r="C672" s="124" t="s">
        <v>2660</v>
      </c>
      <c r="D672" s="122" t="s">
        <v>476</v>
      </c>
      <c r="E672" s="150" t="s">
        <v>537</v>
      </c>
      <c r="F672" s="126" t="s">
        <v>442</v>
      </c>
      <c r="G672" s="271" t="s">
        <v>2094</v>
      </c>
      <c r="H672" s="123">
        <v>41549</v>
      </c>
      <c r="I672" s="122">
        <v>1</v>
      </c>
      <c r="J672" s="402">
        <v>30429</v>
      </c>
      <c r="K672" s="403">
        <v>30429</v>
      </c>
      <c r="L672" s="270" t="s">
        <v>620</v>
      </c>
      <c r="M672" s="130" t="s">
        <v>36</v>
      </c>
    </row>
    <row r="673" spans="1:13" s="404" customFormat="1" ht="15" customHeight="1" x14ac:dyDescent="0.25">
      <c r="A673" s="122">
        <v>276</v>
      </c>
      <c r="B673" s="122">
        <v>64659</v>
      </c>
      <c r="C673" s="124" t="s">
        <v>2661</v>
      </c>
      <c r="D673" s="122" t="s">
        <v>474</v>
      </c>
      <c r="E673" s="150" t="s">
        <v>580</v>
      </c>
      <c r="F673" s="126" t="s">
        <v>371</v>
      </c>
      <c r="G673" s="271"/>
      <c r="H673" s="123">
        <v>41565</v>
      </c>
      <c r="I673" s="122">
        <v>1</v>
      </c>
      <c r="J673" s="402">
        <v>25800</v>
      </c>
      <c r="K673" s="403">
        <v>25800</v>
      </c>
      <c r="L673" s="270" t="s">
        <v>620</v>
      </c>
      <c r="M673" s="130" t="s">
        <v>36</v>
      </c>
    </row>
    <row r="674" spans="1:13" s="404" customFormat="1" ht="15" customHeight="1" x14ac:dyDescent="0.25">
      <c r="A674" s="274">
        <v>277</v>
      </c>
      <c r="B674" s="122">
        <v>66805</v>
      </c>
      <c r="C674" s="124" t="s">
        <v>2662</v>
      </c>
      <c r="D674" s="122" t="s">
        <v>484</v>
      </c>
      <c r="E674" s="150" t="s">
        <v>577</v>
      </c>
      <c r="F674" s="126" t="s">
        <v>562</v>
      </c>
      <c r="G674" s="271" t="s">
        <v>737</v>
      </c>
      <c r="H674" s="123">
        <v>41572</v>
      </c>
      <c r="I674" s="122">
        <v>1</v>
      </c>
      <c r="J674" s="402">
        <v>49701</v>
      </c>
      <c r="K674" s="403">
        <v>49701</v>
      </c>
      <c r="L674" s="270" t="s">
        <v>620</v>
      </c>
      <c r="M674" s="130" t="s">
        <v>36</v>
      </c>
    </row>
    <row r="675" spans="1:13" s="404" customFormat="1" ht="15" customHeight="1" x14ac:dyDescent="0.25">
      <c r="A675" s="122">
        <v>278</v>
      </c>
      <c r="B675" s="122">
        <v>63716</v>
      </c>
      <c r="C675" s="124" t="s">
        <v>2663</v>
      </c>
      <c r="D675" s="122" t="s">
        <v>476</v>
      </c>
      <c r="E675" s="150" t="s">
        <v>577</v>
      </c>
      <c r="F675" s="126" t="s">
        <v>511</v>
      </c>
      <c r="G675" s="271" t="s">
        <v>563</v>
      </c>
      <c r="H675" s="123">
        <v>41563</v>
      </c>
      <c r="I675" s="122">
        <v>1</v>
      </c>
      <c r="J675" s="402">
        <v>49701</v>
      </c>
      <c r="K675" s="403">
        <v>49701</v>
      </c>
      <c r="L675" s="270" t="s">
        <v>620</v>
      </c>
      <c r="M675" s="130" t="s">
        <v>36</v>
      </c>
    </row>
    <row r="676" spans="1:13" s="404" customFormat="1" ht="15" customHeight="1" x14ac:dyDescent="0.25">
      <c r="A676" s="274">
        <v>279</v>
      </c>
      <c r="B676" s="122">
        <v>66540</v>
      </c>
      <c r="C676" s="124" t="s">
        <v>2509</v>
      </c>
      <c r="D676" s="122" t="s">
        <v>484</v>
      </c>
      <c r="E676" s="150" t="s">
        <v>1053</v>
      </c>
      <c r="F676" s="126" t="s">
        <v>410</v>
      </c>
      <c r="G676" s="271" t="s">
        <v>597</v>
      </c>
      <c r="H676" s="123">
        <v>41572</v>
      </c>
      <c r="I676" s="122">
        <v>1</v>
      </c>
      <c r="J676" s="402">
        <v>57960</v>
      </c>
      <c r="K676" s="403">
        <v>57960</v>
      </c>
      <c r="L676" s="270" t="s">
        <v>620</v>
      </c>
      <c r="M676" s="130" t="s">
        <v>36</v>
      </c>
    </row>
    <row r="677" spans="1:13" s="404" customFormat="1" ht="15" customHeight="1" x14ac:dyDescent="0.25">
      <c r="A677" s="274">
        <v>280</v>
      </c>
      <c r="B677" s="122">
        <v>62902</v>
      </c>
      <c r="C677" s="124" t="s">
        <v>2664</v>
      </c>
      <c r="D677" s="122" t="s">
        <v>484</v>
      </c>
      <c r="E677" s="150" t="s">
        <v>204</v>
      </c>
      <c r="F677" s="126" t="s">
        <v>527</v>
      </c>
      <c r="G677" s="271"/>
      <c r="H677" s="123">
        <v>41558</v>
      </c>
      <c r="I677" s="122">
        <v>1</v>
      </c>
      <c r="J677" s="402">
        <v>17244</v>
      </c>
      <c r="K677" s="403">
        <v>17244</v>
      </c>
      <c r="L677" s="270" t="s">
        <v>620</v>
      </c>
      <c r="M677" s="130" t="s">
        <v>36</v>
      </c>
    </row>
    <row r="678" spans="1:13" s="404" customFormat="1" ht="15" customHeight="1" x14ac:dyDescent="0.25">
      <c r="A678" s="122">
        <v>281</v>
      </c>
      <c r="B678" s="122">
        <v>63850</v>
      </c>
      <c r="C678" s="124" t="s">
        <v>2665</v>
      </c>
      <c r="D678" s="122" t="s">
        <v>484</v>
      </c>
      <c r="E678" s="150" t="s">
        <v>116</v>
      </c>
      <c r="F678" s="126" t="s">
        <v>2496</v>
      </c>
      <c r="G678" s="271" t="s">
        <v>1064</v>
      </c>
      <c r="H678" s="123">
        <v>41563</v>
      </c>
      <c r="I678" s="122">
        <v>3</v>
      </c>
      <c r="J678" s="402">
        <v>5274</v>
      </c>
      <c r="K678" s="403">
        <v>15822</v>
      </c>
      <c r="L678" s="270" t="s">
        <v>620</v>
      </c>
      <c r="M678" s="130" t="s">
        <v>36</v>
      </c>
    </row>
    <row r="679" spans="1:13" s="404" customFormat="1" ht="15" customHeight="1" x14ac:dyDescent="0.25">
      <c r="A679" s="274">
        <v>282</v>
      </c>
      <c r="B679" s="122">
        <v>56321</v>
      </c>
      <c r="C679" s="124" t="s">
        <v>1270</v>
      </c>
      <c r="D679" s="122" t="s">
        <v>1316</v>
      </c>
      <c r="E679" s="150" t="s">
        <v>217</v>
      </c>
      <c r="F679" s="126" t="s">
        <v>369</v>
      </c>
      <c r="G679" s="271" t="s">
        <v>489</v>
      </c>
      <c r="H679" s="123">
        <v>41530</v>
      </c>
      <c r="I679" s="122">
        <v>1</v>
      </c>
      <c r="J679" s="402">
        <v>44597</v>
      </c>
      <c r="K679" s="403">
        <v>44597</v>
      </c>
      <c r="L679" s="270" t="s">
        <v>620</v>
      </c>
      <c r="M679" s="130" t="s">
        <v>36</v>
      </c>
    </row>
    <row r="680" spans="1:13" s="404" customFormat="1" ht="15" customHeight="1" x14ac:dyDescent="0.25">
      <c r="A680" s="122">
        <v>283</v>
      </c>
      <c r="B680" s="122">
        <v>64432</v>
      </c>
      <c r="C680" s="124" t="s">
        <v>2666</v>
      </c>
      <c r="D680" s="122" t="s">
        <v>478</v>
      </c>
      <c r="E680" s="150" t="s">
        <v>188</v>
      </c>
      <c r="F680" s="126" t="s">
        <v>527</v>
      </c>
      <c r="G680" s="271"/>
      <c r="H680" s="123">
        <v>41564</v>
      </c>
      <c r="I680" s="122">
        <v>1</v>
      </c>
      <c r="J680" s="402">
        <v>42601</v>
      </c>
      <c r="K680" s="403">
        <v>42601</v>
      </c>
      <c r="L680" s="270" t="s">
        <v>620</v>
      </c>
      <c r="M680" s="130" t="s">
        <v>36</v>
      </c>
    </row>
    <row r="681" spans="1:13" s="404" customFormat="1" ht="15" customHeight="1" x14ac:dyDescent="0.25">
      <c r="A681" s="274">
        <v>284</v>
      </c>
      <c r="B681" s="122">
        <v>65516</v>
      </c>
      <c r="C681" s="124" t="s">
        <v>2667</v>
      </c>
      <c r="D681" s="122" t="s">
        <v>36</v>
      </c>
      <c r="E681" s="150" t="s">
        <v>116</v>
      </c>
      <c r="F681" s="126" t="s">
        <v>392</v>
      </c>
      <c r="G681" s="271" t="s">
        <v>489</v>
      </c>
      <c r="H681" s="123">
        <v>41570</v>
      </c>
      <c r="I681" s="122">
        <v>1</v>
      </c>
      <c r="J681" s="402">
        <v>5274</v>
      </c>
      <c r="K681" s="403">
        <v>5274</v>
      </c>
      <c r="L681" s="270" t="s">
        <v>620</v>
      </c>
      <c r="M681" s="130" t="s">
        <v>36</v>
      </c>
    </row>
    <row r="682" spans="1:13" s="404" customFormat="1" ht="15" customHeight="1" x14ac:dyDescent="0.25">
      <c r="A682" s="122">
        <v>285</v>
      </c>
      <c r="B682" s="122">
        <v>67328</v>
      </c>
      <c r="C682" s="124" t="s">
        <v>2668</v>
      </c>
      <c r="D682" s="122" t="s">
        <v>476</v>
      </c>
      <c r="E682" s="150" t="s">
        <v>204</v>
      </c>
      <c r="F682" s="126" t="s">
        <v>568</v>
      </c>
      <c r="G682" s="271"/>
      <c r="H682" s="123">
        <v>41576</v>
      </c>
      <c r="I682" s="122">
        <v>1</v>
      </c>
      <c r="J682" s="402">
        <v>17244</v>
      </c>
      <c r="K682" s="403">
        <v>17244</v>
      </c>
      <c r="L682" s="270" t="s">
        <v>620</v>
      </c>
      <c r="M682" s="130" t="s">
        <v>36</v>
      </c>
    </row>
    <row r="683" spans="1:13" s="404" customFormat="1" ht="15" customHeight="1" x14ac:dyDescent="0.25">
      <c r="A683" s="274">
        <v>286</v>
      </c>
      <c r="B683" s="122">
        <v>60083</v>
      </c>
      <c r="C683" s="124" t="s">
        <v>2595</v>
      </c>
      <c r="D683" s="122" t="s">
        <v>484</v>
      </c>
      <c r="E683" s="150" t="s">
        <v>115</v>
      </c>
      <c r="F683" s="126" t="s">
        <v>419</v>
      </c>
      <c r="G683" s="271" t="s">
        <v>583</v>
      </c>
      <c r="H683" s="123">
        <v>41550</v>
      </c>
      <c r="I683" s="122">
        <v>1</v>
      </c>
      <c r="J683" s="402">
        <v>33370</v>
      </c>
      <c r="K683" s="403">
        <v>33370</v>
      </c>
      <c r="L683" s="270" t="s">
        <v>620</v>
      </c>
      <c r="M683" s="130" t="s">
        <v>36</v>
      </c>
    </row>
    <row r="684" spans="1:13" s="404" customFormat="1" ht="15" customHeight="1" x14ac:dyDescent="0.25">
      <c r="A684" s="122">
        <v>287</v>
      </c>
      <c r="B684" s="122">
        <v>61096</v>
      </c>
      <c r="C684" s="124" t="s">
        <v>2669</v>
      </c>
      <c r="D684" s="122" t="s">
        <v>476</v>
      </c>
      <c r="E684" s="150" t="s">
        <v>116</v>
      </c>
      <c r="F684" s="126" t="s">
        <v>2319</v>
      </c>
      <c r="G684" s="271" t="s">
        <v>2067</v>
      </c>
      <c r="H684" s="123">
        <v>41555</v>
      </c>
      <c r="I684" s="122">
        <v>1</v>
      </c>
      <c r="J684" s="402">
        <v>5274</v>
      </c>
      <c r="K684" s="403">
        <v>5274</v>
      </c>
      <c r="L684" s="270" t="s">
        <v>620</v>
      </c>
      <c r="M684" s="130" t="s">
        <v>36</v>
      </c>
    </row>
    <row r="685" spans="1:13" s="404" customFormat="1" ht="15" customHeight="1" x14ac:dyDescent="0.25">
      <c r="A685" s="274">
        <v>288</v>
      </c>
      <c r="B685" s="122">
        <v>49887</v>
      </c>
      <c r="C685" s="124" t="s">
        <v>2670</v>
      </c>
      <c r="D685" s="122" t="s">
        <v>474</v>
      </c>
      <c r="E685" s="150" t="s">
        <v>217</v>
      </c>
      <c r="F685" s="126" t="s">
        <v>371</v>
      </c>
      <c r="G685" s="271" t="s">
        <v>2067</v>
      </c>
      <c r="H685" s="123">
        <v>41507</v>
      </c>
      <c r="I685" s="122">
        <v>1</v>
      </c>
      <c r="J685" s="402">
        <v>44597</v>
      </c>
      <c r="K685" s="403">
        <v>44597</v>
      </c>
      <c r="L685" s="270" t="s">
        <v>620</v>
      </c>
      <c r="M685" s="130" t="s">
        <v>36</v>
      </c>
    </row>
    <row r="686" spans="1:13" s="404" customFormat="1" ht="15" customHeight="1" x14ac:dyDescent="0.25">
      <c r="A686" s="122">
        <v>289</v>
      </c>
      <c r="B686" s="122">
        <v>60749</v>
      </c>
      <c r="C686" s="124" t="s">
        <v>1393</v>
      </c>
      <c r="D686" s="122" t="s">
        <v>476</v>
      </c>
      <c r="E686" s="150" t="s">
        <v>116</v>
      </c>
      <c r="F686" s="126" t="s">
        <v>2671</v>
      </c>
      <c r="G686" s="271" t="s">
        <v>2067</v>
      </c>
      <c r="H686" s="123">
        <v>41554</v>
      </c>
      <c r="I686" s="122">
        <v>2</v>
      </c>
      <c r="J686" s="402">
        <v>5274</v>
      </c>
      <c r="K686" s="403">
        <v>10548</v>
      </c>
      <c r="L686" s="270" t="s">
        <v>620</v>
      </c>
      <c r="M686" s="130" t="s">
        <v>36</v>
      </c>
    </row>
    <row r="687" spans="1:13" s="404" customFormat="1" ht="15" customHeight="1" x14ac:dyDescent="0.25">
      <c r="A687" s="274">
        <v>290</v>
      </c>
      <c r="B687" s="122">
        <v>66250</v>
      </c>
      <c r="C687" s="124" t="s">
        <v>2672</v>
      </c>
      <c r="D687" s="122" t="s">
        <v>484</v>
      </c>
      <c r="E687" s="150" t="s">
        <v>116</v>
      </c>
      <c r="F687" s="126" t="s">
        <v>527</v>
      </c>
      <c r="G687" s="271" t="s">
        <v>1250</v>
      </c>
      <c r="H687" s="123">
        <v>41572</v>
      </c>
      <c r="I687" s="122">
        <v>1</v>
      </c>
      <c r="J687" s="402">
        <v>5274</v>
      </c>
      <c r="K687" s="403">
        <v>5274</v>
      </c>
      <c r="L687" s="270" t="s">
        <v>620</v>
      </c>
      <c r="M687" s="130" t="s">
        <v>36</v>
      </c>
    </row>
    <row r="688" spans="1:13" s="404" customFormat="1" ht="15" customHeight="1" x14ac:dyDescent="0.25">
      <c r="A688" s="122">
        <v>291</v>
      </c>
      <c r="B688" s="122">
        <v>64694</v>
      </c>
      <c r="C688" s="124" t="s">
        <v>2673</v>
      </c>
      <c r="D688" s="122" t="s">
        <v>484</v>
      </c>
      <c r="E688" s="150" t="s">
        <v>116</v>
      </c>
      <c r="F688" s="126" t="s">
        <v>645</v>
      </c>
      <c r="G688" s="271"/>
      <c r="H688" s="123">
        <v>41568</v>
      </c>
      <c r="I688" s="122">
        <v>1</v>
      </c>
      <c r="J688" s="402">
        <v>5274</v>
      </c>
      <c r="K688" s="403">
        <v>5274</v>
      </c>
      <c r="L688" s="270" t="s">
        <v>620</v>
      </c>
      <c r="M688" s="130" t="s">
        <v>36</v>
      </c>
    </row>
    <row r="689" spans="1:13" s="404" customFormat="1" ht="15" customHeight="1" x14ac:dyDescent="0.25">
      <c r="A689" s="274">
        <v>292</v>
      </c>
      <c r="B689" s="122">
        <v>58623</v>
      </c>
      <c r="C689" s="124" t="s">
        <v>2602</v>
      </c>
      <c r="D689" s="122" t="s">
        <v>484</v>
      </c>
      <c r="E689" s="150" t="s">
        <v>115</v>
      </c>
      <c r="F689" s="126" t="s">
        <v>527</v>
      </c>
      <c r="G689" s="271" t="s">
        <v>583</v>
      </c>
      <c r="H689" s="123">
        <v>41544</v>
      </c>
      <c r="I689" s="122">
        <v>1</v>
      </c>
      <c r="J689" s="402">
        <v>33370</v>
      </c>
      <c r="K689" s="403">
        <v>33370</v>
      </c>
      <c r="L689" s="270" t="s">
        <v>620</v>
      </c>
      <c r="M689" s="130" t="s">
        <v>36</v>
      </c>
    </row>
    <row r="690" spans="1:13" s="404" customFormat="1" ht="15" customHeight="1" x14ac:dyDescent="0.25">
      <c r="A690" s="122">
        <v>293</v>
      </c>
      <c r="B690" s="122">
        <v>63072</v>
      </c>
      <c r="C690" s="124" t="s">
        <v>1315</v>
      </c>
      <c r="D690" s="122" t="s">
        <v>476</v>
      </c>
      <c r="E690" s="150" t="s">
        <v>116</v>
      </c>
      <c r="F690" s="126" t="s">
        <v>562</v>
      </c>
      <c r="G690" s="271" t="s">
        <v>2107</v>
      </c>
      <c r="H690" s="123">
        <v>41562</v>
      </c>
      <c r="I690" s="122">
        <v>1</v>
      </c>
      <c r="J690" s="402">
        <v>5274</v>
      </c>
      <c r="K690" s="403">
        <v>5274</v>
      </c>
      <c r="L690" s="270" t="s">
        <v>620</v>
      </c>
      <c r="M690" s="130" t="s">
        <v>36</v>
      </c>
    </row>
    <row r="691" spans="1:13" s="404" customFormat="1" ht="15" customHeight="1" x14ac:dyDescent="0.25">
      <c r="A691" s="274">
        <v>294</v>
      </c>
      <c r="B691" s="122">
        <v>56407</v>
      </c>
      <c r="C691" s="124" t="s">
        <v>2530</v>
      </c>
      <c r="D691" s="122" t="s">
        <v>478</v>
      </c>
      <c r="E691" s="150" t="s">
        <v>682</v>
      </c>
      <c r="F691" s="126" t="s">
        <v>369</v>
      </c>
      <c r="G691" s="271"/>
      <c r="H691" s="123">
        <v>41530</v>
      </c>
      <c r="I691" s="122">
        <v>1</v>
      </c>
      <c r="J691" s="402">
        <v>55058</v>
      </c>
      <c r="K691" s="403">
        <v>55058</v>
      </c>
      <c r="L691" s="270" t="s">
        <v>620</v>
      </c>
      <c r="M691" s="130" t="s">
        <v>36</v>
      </c>
    </row>
    <row r="692" spans="1:13" s="404" customFormat="1" ht="15" customHeight="1" x14ac:dyDescent="0.25">
      <c r="A692" s="122">
        <v>295</v>
      </c>
      <c r="B692" s="122">
        <v>48646</v>
      </c>
      <c r="C692" s="124" t="s">
        <v>2674</v>
      </c>
      <c r="D692" s="122" t="s">
        <v>474</v>
      </c>
      <c r="E692" s="150" t="s">
        <v>577</v>
      </c>
      <c r="F692" s="126" t="s">
        <v>392</v>
      </c>
      <c r="G692" s="271" t="s">
        <v>2097</v>
      </c>
      <c r="H692" s="123">
        <v>41500</v>
      </c>
      <c r="I692" s="122">
        <v>1</v>
      </c>
      <c r="J692" s="402">
        <v>49701</v>
      </c>
      <c r="K692" s="403">
        <v>49701</v>
      </c>
      <c r="L692" s="270" t="s">
        <v>620</v>
      </c>
      <c r="M692" s="130" t="s">
        <v>36</v>
      </c>
    </row>
    <row r="693" spans="1:13" s="404" customFormat="1" ht="15" customHeight="1" x14ac:dyDescent="0.25">
      <c r="A693" s="274">
        <v>296</v>
      </c>
      <c r="B693" s="122">
        <v>67699</v>
      </c>
      <c r="C693" s="124" t="s">
        <v>2675</v>
      </c>
      <c r="D693" s="122" t="s">
        <v>481</v>
      </c>
      <c r="E693" s="150" t="s">
        <v>217</v>
      </c>
      <c r="F693" s="126" t="s">
        <v>371</v>
      </c>
      <c r="G693" s="271" t="s">
        <v>2035</v>
      </c>
      <c r="H693" s="123">
        <v>41577</v>
      </c>
      <c r="I693" s="122">
        <v>1</v>
      </c>
      <c r="J693" s="402">
        <v>44597</v>
      </c>
      <c r="K693" s="403">
        <v>44597</v>
      </c>
      <c r="L693" s="270" t="s">
        <v>620</v>
      </c>
      <c r="M693" s="130" t="s">
        <v>36</v>
      </c>
    </row>
    <row r="694" spans="1:13" s="404" customFormat="1" ht="15" customHeight="1" x14ac:dyDescent="0.25">
      <c r="A694" s="122">
        <v>297</v>
      </c>
      <c r="B694" s="122">
        <v>65025</v>
      </c>
      <c r="C694" s="124" t="s">
        <v>2676</v>
      </c>
      <c r="D694" s="122" t="s">
        <v>476</v>
      </c>
      <c r="E694" s="150" t="s">
        <v>577</v>
      </c>
      <c r="F694" s="126" t="s">
        <v>527</v>
      </c>
      <c r="G694" s="271" t="s">
        <v>560</v>
      </c>
      <c r="H694" s="123">
        <v>41568</v>
      </c>
      <c r="I694" s="122">
        <v>1</v>
      </c>
      <c r="J694" s="402">
        <v>49701</v>
      </c>
      <c r="K694" s="403">
        <v>49701</v>
      </c>
      <c r="L694" s="270" t="s">
        <v>620</v>
      </c>
      <c r="M694" s="130" t="s">
        <v>36</v>
      </c>
    </row>
    <row r="695" spans="1:13" s="404" customFormat="1" ht="15" customHeight="1" x14ac:dyDescent="0.25">
      <c r="A695" s="274">
        <v>298</v>
      </c>
      <c r="B695" s="122">
        <v>60552</v>
      </c>
      <c r="C695" s="124" t="s">
        <v>2677</v>
      </c>
      <c r="D695" s="122" t="s">
        <v>478</v>
      </c>
      <c r="E695" s="150" t="s">
        <v>116</v>
      </c>
      <c r="F695" s="126" t="s">
        <v>445</v>
      </c>
      <c r="G695" s="271" t="s">
        <v>2067</v>
      </c>
      <c r="H695" s="123">
        <v>41555</v>
      </c>
      <c r="I695" s="122">
        <v>1</v>
      </c>
      <c r="J695" s="402">
        <v>5274</v>
      </c>
      <c r="K695" s="403">
        <v>5274</v>
      </c>
      <c r="L695" s="270" t="s">
        <v>620</v>
      </c>
      <c r="M695" s="130" t="s">
        <v>36</v>
      </c>
    </row>
    <row r="696" spans="1:13" s="404" customFormat="1" ht="15" customHeight="1" x14ac:dyDescent="0.25">
      <c r="A696" s="122">
        <v>299</v>
      </c>
      <c r="B696" s="122">
        <v>65833</v>
      </c>
      <c r="C696" s="124" t="s">
        <v>2603</v>
      </c>
      <c r="D696" s="122" t="s">
        <v>484</v>
      </c>
      <c r="E696" s="150" t="s">
        <v>115</v>
      </c>
      <c r="F696" s="126" t="s">
        <v>404</v>
      </c>
      <c r="G696" s="271" t="s">
        <v>1285</v>
      </c>
      <c r="H696" s="123">
        <v>41570</v>
      </c>
      <c r="I696" s="122">
        <v>1</v>
      </c>
      <c r="J696" s="402">
        <v>33370</v>
      </c>
      <c r="K696" s="403">
        <v>33370</v>
      </c>
      <c r="L696" s="270" t="s">
        <v>620</v>
      </c>
      <c r="M696" s="130" t="s">
        <v>36</v>
      </c>
    </row>
    <row r="697" spans="1:13" s="404" customFormat="1" ht="15" customHeight="1" x14ac:dyDescent="0.25">
      <c r="A697" s="274">
        <v>300</v>
      </c>
      <c r="B697" s="122">
        <v>61690</v>
      </c>
      <c r="C697" s="124" t="s">
        <v>2678</v>
      </c>
      <c r="D697" s="122" t="s">
        <v>484</v>
      </c>
      <c r="E697" s="150" t="s">
        <v>537</v>
      </c>
      <c r="F697" s="126" t="s">
        <v>472</v>
      </c>
      <c r="G697" s="271" t="s">
        <v>554</v>
      </c>
      <c r="H697" s="123">
        <v>41556</v>
      </c>
      <c r="I697" s="122">
        <v>1</v>
      </c>
      <c r="J697" s="402">
        <v>30429</v>
      </c>
      <c r="K697" s="403">
        <v>30429</v>
      </c>
      <c r="L697" s="270" t="s">
        <v>620</v>
      </c>
      <c r="M697" s="130" t="s">
        <v>36</v>
      </c>
    </row>
    <row r="698" spans="1:13" s="404" customFormat="1" ht="15" customHeight="1" x14ac:dyDescent="0.25">
      <c r="A698" s="122">
        <v>301</v>
      </c>
      <c r="B698" s="122">
        <v>60308</v>
      </c>
      <c r="C698" s="124" t="s">
        <v>2679</v>
      </c>
      <c r="D698" s="122" t="s">
        <v>481</v>
      </c>
      <c r="E698" s="150" t="s">
        <v>217</v>
      </c>
      <c r="F698" s="126" t="s">
        <v>371</v>
      </c>
      <c r="G698" s="271" t="s">
        <v>2067</v>
      </c>
      <c r="H698" s="123">
        <v>41550</v>
      </c>
      <c r="I698" s="122">
        <v>1</v>
      </c>
      <c r="J698" s="402">
        <v>44597</v>
      </c>
      <c r="K698" s="403">
        <v>44597</v>
      </c>
      <c r="L698" s="270" t="s">
        <v>620</v>
      </c>
      <c r="M698" s="130" t="s">
        <v>36</v>
      </c>
    </row>
    <row r="699" spans="1:13" s="404" customFormat="1" ht="15" customHeight="1" x14ac:dyDescent="0.25">
      <c r="A699" s="274">
        <v>302</v>
      </c>
      <c r="B699" s="122">
        <v>48421</v>
      </c>
      <c r="C699" s="124" t="s">
        <v>2680</v>
      </c>
      <c r="D699" s="122" t="s">
        <v>474</v>
      </c>
      <c r="E699" s="150" t="s">
        <v>580</v>
      </c>
      <c r="F699" s="126" t="s">
        <v>371</v>
      </c>
      <c r="G699" s="271"/>
      <c r="H699" s="123">
        <v>41500</v>
      </c>
      <c r="I699" s="122">
        <v>1</v>
      </c>
      <c r="J699" s="402">
        <v>25800</v>
      </c>
      <c r="K699" s="403">
        <v>25800</v>
      </c>
      <c r="L699" s="270" t="s">
        <v>620</v>
      </c>
      <c r="M699" s="130" t="s">
        <v>36</v>
      </c>
    </row>
    <row r="700" spans="1:13" s="404" customFormat="1" ht="15" customHeight="1" x14ac:dyDescent="0.25">
      <c r="A700" s="122">
        <v>303</v>
      </c>
      <c r="B700" s="122">
        <v>63020</v>
      </c>
      <c r="C700" s="124" t="s">
        <v>2681</v>
      </c>
      <c r="D700" s="122" t="s">
        <v>476</v>
      </c>
      <c r="E700" s="150" t="s">
        <v>537</v>
      </c>
      <c r="F700" s="126" t="s">
        <v>431</v>
      </c>
      <c r="G700" s="271" t="s">
        <v>2682</v>
      </c>
      <c r="H700" s="123">
        <v>41561</v>
      </c>
      <c r="I700" s="122">
        <v>1</v>
      </c>
      <c r="J700" s="402">
        <v>30429</v>
      </c>
      <c r="K700" s="403">
        <v>30429</v>
      </c>
      <c r="L700" s="270" t="s">
        <v>620</v>
      </c>
      <c r="M700" s="130" t="s">
        <v>36</v>
      </c>
    </row>
    <row r="701" spans="1:13" s="404" customFormat="1" ht="15" customHeight="1" x14ac:dyDescent="0.25">
      <c r="A701" s="274">
        <v>304</v>
      </c>
      <c r="B701" s="122">
        <v>63104</v>
      </c>
      <c r="C701" s="124" t="s">
        <v>2605</v>
      </c>
      <c r="D701" s="122" t="s">
        <v>476</v>
      </c>
      <c r="E701" s="150" t="s">
        <v>115</v>
      </c>
      <c r="F701" s="126" t="s">
        <v>404</v>
      </c>
      <c r="G701" s="271" t="s">
        <v>2683</v>
      </c>
      <c r="H701" s="123">
        <v>41561</v>
      </c>
      <c r="I701" s="122">
        <v>1</v>
      </c>
      <c r="J701" s="402">
        <v>33370</v>
      </c>
      <c r="K701" s="403">
        <v>33370</v>
      </c>
      <c r="L701" s="270" t="s">
        <v>620</v>
      </c>
      <c r="M701" s="130" t="s">
        <v>36</v>
      </c>
    </row>
    <row r="702" spans="1:13" s="404" customFormat="1" ht="15" customHeight="1" x14ac:dyDescent="0.25">
      <c r="A702" s="122">
        <v>305</v>
      </c>
      <c r="B702" s="122">
        <v>54982</v>
      </c>
      <c r="C702" s="124" t="s">
        <v>2684</v>
      </c>
      <c r="D702" s="122" t="s">
        <v>481</v>
      </c>
      <c r="E702" s="150" t="s">
        <v>116</v>
      </c>
      <c r="F702" s="126" t="s">
        <v>534</v>
      </c>
      <c r="G702" s="271" t="s">
        <v>1250</v>
      </c>
      <c r="H702" s="123">
        <v>41526</v>
      </c>
      <c r="I702" s="122">
        <v>1</v>
      </c>
      <c r="J702" s="402">
        <v>5274</v>
      </c>
      <c r="K702" s="403">
        <v>5274</v>
      </c>
      <c r="L702" s="270" t="s">
        <v>620</v>
      </c>
      <c r="M702" s="130" t="s">
        <v>36</v>
      </c>
    </row>
    <row r="703" spans="1:13" s="404" customFormat="1" ht="15" customHeight="1" x14ac:dyDescent="0.25">
      <c r="A703" s="274">
        <v>306</v>
      </c>
      <c r="B703" s="122">
        <v>64490</v>
      </c>
      <c r="C703" s="124" t="s">
        <v>580</v>
      </c>
      <c r="D703" s="122" t="s">
        <v>505</v>
      </c>
      <c r="E703" s="150" t="s">
        <v>580</v>
      </c>
      <c r="F703" s="126" t="s">
        <v>371</v>
      </c>
      <c r="G703" s="271"/>
      <c r="H703" s="123">
        <v>41564</v>
      </c>
      <c r="I703" s="122">
        <v>1</v>
      </c>
      <c r="J703" s="402">
        <v>25800</v>
      </c>
      <c r="K703" s="403">
        <v>25800</v>
      </c>
      <c r="L703" s="270" t="s">
        <v>620</v>
      </c>
      <c r="M703" s="130" t="s">
        <v>36</v>
      </c>
    </row>
    <row r="704" spans="1:13" s="404" customFormat="1" ht="15" customHeight="1" x14ac:dyDescent="0.25">
      <c r="A704" s="122">
        <v>307</v>
      </c>
      <c r="B704" s="122">
        <v>61057</v>
      </c>
      <c r="C704" s="124" t="s">
        <v>2685</v>
      </c>
      <c r="D704" s="122" t="s">
        <v>476</v>
      </c>
      <c r="E704" s="150" t="s">
        <v>537</v>
      </c>
      <c r="F704" s="126" t="s">
        <v>417</v>
      </c>
      <c r="G704" s="271" t="s">
        <v>642</v>
      </c>
      <c r="H704" s="123">
        <v>41554</v>
      </c>
      <c r="I704" s="122">
        <v>1</v>
      </c>
      <c r="J704" s="402">
        <v>30429</v>
      </c>
      <c r="K704" s="403">
        <v>30429</v>
      </c>
      <c r="L704" s="270" t="s">
        <v>620</v>
      </c>
      <c r="M704" s="130" t="s">
        <v>36</v>
      </c>
    </row>
    <row r="705" spans="1:13" s="134" customFormat="1" ht="15" customHeight="1" x14ac:dyDescent="0.25">
      <c r="A705" s="274">
        <v>308</v>
      </c>
      <c r="B705" s="122">
        <v>67599</v>
      </c>
      <c r="C705" s="124" t="s">
        <v>2686</v>
      </c>
      <c r="D705" s="122" t="s">
        <v>474</v>
      </c>
      <c r="E705" s="150" t="s">
        <v>580</v>
      </c>
      <c r="F705" s="126" t="s">
        <v>371</v>
      </c>
      <c r="G705" s="271"/>
      <c r="H705" s="123">
        <v>41577</v>
      </c>
      <c r="I705" s="122">
        <v>1</v>
      </c>
      <c r="J705" s="402">
        <v>25800</v>
      </c>
      <c r="K705" s="403">
        <v>25800</v>
      </c>
      <c r="L705" s="270" t="s">
        <v>620</v>
      </c>
      <c r="M705" s="130" t="s">
        <v>36</v>
      </c>
    </row>
    <row r="706" spans="1:13" s="404" customFormat="1" ht="15" customHeight="1" x14ac:dyDescent="0.25">
      <c r="A706" s="122">
        <v>309</v>
      </c>
      <c r="B706" s="122">
        <v>64646</v>
      </c>
      <c r="C706" s="124" t="s">
        <v>2687</v>
      </c>
      <c r="D706" s="122" t="s">
        <v>476</v>
      </c>
      <c r="E706" s="150" t="s">
        <v>580</v>
      </c>
      <c r="F706" s="126" t="s">
        <v>371</v>
      </c>
      <c r="G706" s="271"/>
      <c r="H706" s="123">
        <v>41565</v>
      </c>
      <c r="I706" s="122">
        <v>1</v>
      </c>
      <c r="J706" s="402">
        <v>25800</v>
      </c>
      <c r="K706" s="403">
        <v>25800</v>
      </c>
      <c r="L706" s="270" t="s">
        <v>620</v>
      </c>
      <c r="M706" s="130" t="s">
        <v>36</v>
      </c>
    </row>
    <row r="707" spans="1:13" s="404" customFormat="1" ht="15" customHeight="1" x14ac:dyDescent="0.25">
      <c r="A707" s="274">
        <v>310</v>
      </c>
      <c r="B707" s="122">
        <v>37470</v>
      </c>
      <c r="C707" s="124" t="s">
        <v>2608</v>
      </c>
      <c r="D707" s="122" t="s">
        <v>484</v>
      </c>
      <c r="E707" s="150" t="s">
        <v>197</v>
      </c>
      <c r="F707" s="126" t="s">
        <v>442</v>
      </c>
      <c r="G707" s="271"/>
      <c r="H707" s="123">
        <v>41453</v>
      </c>
      <c r="I707" s="122">
        <v>1</v>
      </c>
      <c r="J707" s="402">
        <v>2739</v>
      </c>
      <c r="K707" s="403">
        <v>2739</v>
      </c>
      <c r="L707" s="270" t="s">
        <v>620</v>
      </c>
      <c r="M707" s="130" t="s">
        <v>36</v>
      </c>
    </row>
    <row r="708" spans="1:13" s="404" customFormat="1" ht="15" customHeight="1" x14ac:dyDescent="0.25">
      <c r="A708" s="122">
        <v>311</v>
      </c>
      <c r="B708" s="122">
        <v>61529</v>
      </c>
      <c r="C708" s="124" t="s">
        <v>2553</v>
      </c>
      <c r="D708" s="122" t="s">
        <v>484</v>
      </c>
      <c r="E708" s="150" t="s">
        <v>217</v>
      </c>
      <c r="F708" s="126" t="s">
        <v>371</v>
      </c>
      <c r="G708" s="271" t="s">
        <v>2067</v>
      </c>
      <c r="H708" s="123">
        <v>41556</v>
      </c>
      <c r="I708" s="122">
        <v>1</v>
      </c>
      <c r="J708" s="402">
        <v>44597</v>
      </c>
      <c r="K708" s="403">
        <v>44597</v>
      </c>
      <c r="L708" s="270" t="s">
        <v>620</v>
      </c>
      <c r="M708" s="130" t="s">
        <v>36</v>
      </c>
    </row>
    <row r="709" spans="1:13" s="404" customFormat="1" ht="15" customHeight="1" x14ac:dyDescent="0.25">
      <c r="A709" s="274">
        <v>312</v>
      </c>
      <c r="B709" s="122">
        <v>68117</v>
      </c>
      <c r="C709" s="124" t="s">
        <v>2688</v>
      </c>
      <c r="D709" s="122" t="s">
        <v>484</v>
      </c>
      <c r="E709" s="150" t="s">
        <v>204</v>
      </c>
      <c r="F709" s="126" t="s">
        <v>417</v>
      </c>
      <c r="G709" s="271"/>
      <c r="H709" s="123">
        <v>41578</v>
      </c>
      <c r="I709" s="122">
        <v>1</v>
      </c>
      <c r="J709" s="402">
        <v>17244</v>
      </c>
      <c r="K709" s="403">
        <v>17244</v>
      </c>
      <c r="L709" s="270" t="s">
        <v>620</v>
      </c>
      <c r="M709" s="130" t="s">
        <v>36</v>
      </c>
    </row>
    <row r="710" spans="1:13" s="404" customFormat="1" ht="15" customHeight="1" x14ac:dyDescent="0.25">
      <c r="A710" s="122">
        <v>313</v>
      </c>
      <c r="B710" s="122">
        <v>66632</v>
      </c>
      <c r="C710" s="124" t="s">
        <v>2689</v>
      </c>
      <c r="D710" s="122" t="s">
        <v>476</v>
      </c>
      <c r="E710" s="150" t="s">
        <v>116</v>
      </c>
      <c r="F710" s="126" t="s">
        <v>419</v>
      </c>
      <c r="G710" s="271" t="s">
        <v>489</v>
      </c>
      <c r="H710" s="123">
        <v>41576</v>
      </c>
      <c r="I710" s="122">
        <v>1</v>
      </c>
      <c r="J710" s="402">
        <v>5274</v>
      </c>
      <c r="K710" s="403">
        <v>5274</v>
      </c>
      <c r="L710" s="270" t="s">
        <v>620</v>
      </c>
      <c r="M710" s="130" t="s">
        <v>36</v>
      </c>
    </row>
    <row r="711" spans="1:13" s="404" customFormat="1" ht="15" customHeight="1" x14ac:dyDescent="0.25">
      <c r="A711" s="274">
        <v>314</v>
      </c>
      <c r="B711" s="122">
        <v>67639</v>
      </c>
      <c r="C711" s="124" t="s">
        <v>2690</v>
      </c>
      <c r="D711" s="122" t="s">
        <v>484</v>
      </c>
      <c r="E711" s="150" t="s">
        <v>577</v>
      </c>
      <c r="F711" s="126" t="s">
        <v>527</v>
      </c>
      <c r="G711" s="271" t="s">
        <v>583</v>
      </c>
      <c r="H711" s="123">
        <v>41576</v>
      </c>
      <c r="I711" s="122">
        <v>1</v>
      </c>
      <c r="J711" s="402">
        <v>49701</v>
      </c>
      <c r="K711" s="403">
        <v>49701</v>
      </c>
      <c r="L711" s="270" t="s">
        <v>620</v>
      </c>
      <c r="M711" s="130" t="s">
        <v>36</v>
      </c>
    </row>
    <row r="712" spans="1:13" s="404" customFormat="1" ht="15" customHeight="1" x14ac:dyDescent="0.25">
      <c r="A712" s="122">
        <v>315</v>
      </c>
      <c r="B712" s="122">
        <v>62728</v>
      </c>
      <c r="C712" s="124" t="s">
        <v>2617</v>
      </c>
      <c r="D712" s="122" t="s">
        <v>476</v>
      </c>
      <c r="E712" s="150" t="s">
        <v>204</v>
      </c>
      <c r="F712" s="126" t="s">
        <v>530</v>
      </c>
      <c r="G712" s="271"/>
      <c r="H712" s="123">
        <v>41561</v>
      </c>
      <c r="I712" s="122">
        <v>1</v>
      </c>
      <c r="J712" s="402">
        <v>17244</v>
      </c>
      <c r="K712" s="403">
        <v>17244</v>
      </c>
      <c r="L712" s="270" t="s">
        <v>620</v>
      </c>
      <c r="M712" s="130" t="s">
        <v>36</v>
      </c>
    </row>
    <row r="713" spans="1:13" s="404" customFormat="1" ht="15" customHeight="1" x14ac:dyDescent="0.25">
      <c r="A713" s="274">
        <v>316</v>
      </c>
      <c r="B713" s="122">
        <v>65078</v>
      </c>
      <c r="C713" s="124" t="s">
        <v>2617</v>
      </c>
      <c r="D713" s="122" t="s">
        <v>476</v>
      </c>
      <c r="E713" s="150" t="s">
        <v>115</v>
      </c>
      <c r="F713" s="126" t="s">
        <v>1954</v>
      </c>
      <c r="G713" s="271"/>
      <c r="H713" s="123">
        <v>41568</v>
      </c>
      <c r="I713" s="122">
        <v>2</v>
      </c>
      <c r="J713" s="402">
        <v>33370</v>
      </c>
      <c r="K713" s="403">
        <v>66740</v>
      </c>
      <c r="L713" s="270" t="s">
        <v>620</v>
      </c>
      <c r="M713" s="130" t="s">
        <v>36</v>
      </c>
    </row>
    <row r="714" spans="1:13" s="404" customFormat="1" ht="15" customHeight="1" x14ac:dyDescent="0.25">
      <c r="A714" s="122">
        <v>317</v>
      </c>
      <c r="B714" s="122">
        <v>61785</v>
      </c>
      <c r="C714" s="124" t="s">
        <v>2691</v>
      </c>
      <c r="D714" s="122" t="s">
        <v>484</v>
      </c>
      <c r="E714" s="150" t="s">
        <v>537</v>
      </c>
      <c r="F714" s="126" t="s">
        <v>511</v>
      </c>
      <c r="G714" s="271" t="s">
        <v>569</v>
      </c>
      <c r="H714" s="123">
        <v>41556</v>
      </c>
      <c r="I714" s="122">
        <v>1</v>
      </c>
      <c r="J714" s="402">
        <v>30429</v>
      </c>
      <c r="K714" s="403">
        <v>30429</v>
      </c>
      <c r="L714" s="270" t="s">
        <v>620</v>
      </c>
      <c r="M714" s="130" t="s">
        <v>36</v>
      </c>
    </row>
    <row r="715" spans="1:13" s="404" customFormat="1" ht="15" customHeight="1" x14ac:dyDescent="0.25">
      <c r="A715" s="274">
        <v>318</v>
      </c>
      <c r="B715" s="122">
        <v>65089</v>
      </c>
      <c r="C715" s="124" t="s">
        <v>2692</v>
      </c>
      <c r="D715" s="122" t="s">
        <v>484</v>
      </c>
      <c r="E715" s="150" t="s">
        <v>580</v>
      </c>
      <c r="F715" s="126" t="s">
        <v>371</v>
      </c>
      <c r="G715" s="271"/>
      <c r="H715" s="123">
        <v>41570</v>
      </c>
      <c r="I715" s="122">
        <v>1</v>
      </c>
      <c r="J715" s="402">
        <v>25800</v>
      </c>
      <c r="K715" s="403">
        <v>25800</v>
      </c>
      <c r="L715" s="270" t="s">
        <v>620</v>
      </c>
      <c r="M715" s="130" t="s">
        <v>36</v>
      </c>
    </row>
    <row r="716" spans="1:13" s="404" customFormat="1" ht="15" customHeight="1" x14ac:dyDescent="0.25">
      <c r="A716" s="122">
        <v>319</v>
      </c>
      <c r="B716" s="122">
        <v>55521</v>
      </c>
      <c r="C716" s="124" t="s">
        <v>2693</v>
      </c>
      <c r="D716" s="122" t="s">
        <v>474</v>
      </c>
      <c r="E716" s="150" t="s">
        <v>115</v>
      </c>
      <c r="F716" s="126" t="s">
        <v>534</v>
      </c>
      <c r="G716" s="271"/>
      <c r="H716" s="123">
        <v>41527</v>
      </c>
      <c r="I716" s="122">
        <v>1</v>
      </c>
      <c r="J716" s="402">
        <v>33370</v>
      </c>
      <c r="K716" s="403">
        <v>33370</v>
      </c>
      <c r="L716" s="270" t="s">
        <v>620</v>
      </c>
      <c r="M716" s="130" t="s">
        <v>36</v>
      </c>
    </row>
    <row r="717" spans="1:13" s="404" customFormat="1" ht="15" customHeight="1" x14ac:dyDescent="0.25">
      <c r="A717" s="274">
        <v>320</v>
      </c>
      <c r="B717" s="122">
        <v>65188</v>
      </c>
      <c r="C717" s="124" t="s">
        <v>1448</v>
      </c>
      <c r="D717" s="122" t="s">
        <v>484</v>
      </c>
      <c r="E717" s="150" t="s">
        <v>116</v>
      </c>
      <c r="F717" s="126" t="s">
        <v>442</v>
      </c>
      <c r="G717" s="271" t="s">
        <v>1250</v>
      </c>
      <c r="H717" s="123">
        <v>41569</v>
      </c>
      <c r="I717" s="122">
        <v>1</v>
      </c>
      <c r="J717" s="402">
        <v>5274</v>
      </c>
      <c r="K717" s="403">
        <v>5274</v>
      </c>
      <c r="L717" s="270" t="s">
        <v>620</v>
      </c>
      <c r="M717" s="130" t="s">
        <v>36</v>
      </c>
    </row>
    <row r="718" spans="1:13" s="404" customFormat="1" ht="15" customHeight="1" x14ac:dyDescent="0.25">
      <c r="A718" s="122">
        <v>321</v>
      </c>
      <c r="B718" s="122">
        <v>60230</v>
      </c>
      <c r="C718" s="124" t="s">
        <v>1323</v>
      </c>
      <c r="D718" s="122" t="s">
        <v>484</v>
      </c>
      <c r="E718" s="150" t="s">
        <v>204</v>
      </c>
      <c r="F718" s="126" t="s">
        <v>645</v>
      </c>
      <c r="G718" s="271"/>
      <c r="H718" s="123">
        <v>41551</v>
      </c>
      <c r="I718" s="122">
        <v>1</v>
      </c>
      <c r="J718" s="402">
        <v>17244</v>
      </c>
      <c r="K718" s="403">
        <v>17244</v>
      </c>
      <c r="L718" s="270" t="s">
        <v>620</v>
      </c>
      <c r="M718" s="130" t="s">
        <v>36</v>
      </c>
    </row>
    <row r="719" spans="1:13" s="404" customFormat="1" ht="15" customHeight="1" x14ac:dyDescent="0.25">
      <c r="A719" s="274">
        <v>322</v>
      </c>
      <c r="B719" s="122">
        <v>62866</v>
      </c>
      <c r="C719" s="124" t="s">
        <v>2694</v>
      </c>
      <c r="D719" s="122" t="s">
        <v>478</v>
      </c>
      <c r="E719" s="150" t="s">
        <v>116</v>
      </c>
      <c r="F719" s="126" t="s">
        <v>445</v>
      </c>
      <c r="G719" s="271" t="s">
        <v>1064</v>
      </c>
      <c r="H719" s="123">
        <v>41563</v>
      </c>
      <c r="I719" s="122">
        <v>1</v>
      </c>
      <c r="J719" s="402">
        <v>5274</v>
      </c>
      <c r="K719" s="403">
        <v>5274</v>
      </c>
      <c r="L719" s="270" t="s">
        <v>620</v>
      </c>
      <c r="M719" s="130" t="s">
        <v>36</v>
      </c>
    </row>
    <row r="720" spans="1:13" s="404" customFormat="1" ht="15" customHeight="1" x14ac:dyDescent="0.25">
      <c r="A720" s="122">
        <v>323</v>
      </c>
      <c r="B720" s="122">
        <v>59708</v>
      </c>
      <c r="C720" s="124" t="s">
        <v>2695</v>
      </c>
      <c r="D720" s="122" t="s">
        <v>476</v>
      </c>
      <c r="E720" s="150" t="s">
        <v>204</v>
      </c>
      <c r="F720" s="126" t="s">
        <v>538</v>
      </c>
      <c r="G720" s="271" t="s">
        <v>2097</v>
      </c>
      <c r="H720" s="123">
        <v>41548</v>
      </c>
      <c r="I720" s="122">
        <v>1</v>
      </c>
      <c r="J720" s="402">
        <v>17244</v>
      </c>
      <c r="K720" s="403">
        <v>17244</v>
      </c>
      <c r="L720" s="270" t="s">
        <v>620</v>
      </c>
      <c r="M720" s="130" t="s">
        <v>36</v>
      </c>
    </row>
    <row r="721" spans="1:13" s="404" customFormat="1" ht="15" customHeight="1" x14ac:dyDescent="0.25">
      <c r="A721" s="274">
        <v>324</v>
      </c>
      <c r="B721" s="122">
        <v>64181</v>
      </c>
      <c r="C721" s="124" t="s">
        <v>2696</v>
      </c>
      <c r="D721" s="122" t="s">
        <v>1316</v>
      </c>
      <c r="E721" s="150" t="s">
        <v>219</v>
      </c>
      <c r="F721" s="126" t="s">
        <v>371</v>
      </c>
      <c r="G721" s="271" t="s">
        <v>2067</v>
      </c>
      <c r="H721" s="123">
        <v>41565</v>
      </c>
      <c r="I721" s="122">
        <v>1</v>
      </c>
      <c r="J721" s="402">
        <v>22299</v>
      </c>
      <c r="K721" s="403">
        <v>22299</v>
      </c>
      <c r="L721" s="270" t="s">
        <v>620</v>
      </c>
      <c r="M721" s="130" t="s">
        <v>36</v>
      </c>
    </row>
    <row r="722" spans="1:13" s="404" customFormat="1" ht="15" customHeight="1" x14ac:dyDescent="0.25">
      <c r="A722" s="122">
        <v>325</v>
      </c>
      <c r="B722" s="122">
        <v>62312</v>
      </c>
      <c r="C722" s="124" t="s">
        <v>2697</v>
      </c>
      <c r="D722" s="122" t="s">
        <v>484</v>
      </c>
      <c r="E722" s="150" t="s">
        <v>116</v>
      </c>
      <c r="F722" s="126" t="s">
        <v>562</v>
      </c>
      <c r="G722" s="271" t="s">
        <v>1064</v>
      </c>
      <c r="H722" s="123">
        <v>41558</v>
      </c>
      <c r="I722" s="122">
        <v>1</v>
      </c>
      <c r="J722" s="402">
        <v>5274</v>
      </c>
      <c r="K722" s="403">
        <v>5274</v>
      </c>
      <c r="L722" s="270" t="s">
        <v>620</v>
      </c>
      <c r="M722" s="130" t="s">
        <v>36</v>
      </c>
    </row>
    <row r="723" spans="1:13" s="404" customFormat="1" ht="15" customHeight="1" x14ac:dyDescent="0.25">
      <c r="A723" s="274">
        <v>326</v>
      </c>
      <c r="B723" s="122">
        <v>65487</v>
      </c>
      <c r="C723" s="124" t="s">
        <v>2698</v>
      </c>
      <c r="D723" s="122" t="s">
        <v>476</v>
      </c>
      <c r="E723" s="150" t="s">
        <v>577</v>
      </c>
      <c r="F723" s="126" t="s">
        <v>2410</v>
      </c>
      <c r="G723" s="271" t="s">
        <v>2534</v>
      </c>
      <c r="H723" s="123">
        <v>41569</v>
      </c>
      <c r="I723" s="122">
        <v>2</v>
      </c>
      <c r="J723" s="402">
        <v>49701</v>
      </c>
      <c r="K723" s="403">
        <v>99402</v>
      </c>
      <c r="L723" s="270" t="s">
        <v>620</v>
      </c>
      <c r="M723" s="130" t="s">
        <v>36</v>
      </c>
    </row>
    <row r="724" spans="1:13" s="404" customFormat="1" ht="15" customHeight="1" x14ac:dyDescent="0.25">
      <c r="A724" s="122">
        <v>327</v>
      </c>
      <c r="B724" s="122">
        <v>61494</v>
      </c>
      <c r="C724" s="124" t="s">
        <v>2627</v>
      </c>
      <c r="D724" s="122" t="s">
        <v>484</v>
      </c>
      <c r="E724" s="150" t="s">
        <v>115</v>
      </c>
      <c r="F724" s="126" t="s">
        <v>431</v>
      </c>
      <c r="G724" s="271" t="s">
        <v>1059</v>
      </c>
      <c r="H724" s="123">
        <v>41555</v>
      </c>
      <c r="I724" s="122">
        <v>1</v>
      </c>
      <c r="J724" s="402">
        <v>33370</v>
      </c>
      <c r="K724" s="403">
        <v>33370</v>
      </c>
      <c r="L724" s="270" t="s">
        <v>620</v>
      </c>
      <c r="M724" s="130" t="s">
        <v>36</v>
      </c>
    </row>
    <row r="725" spans="1:13" s="404" customFormat="1" ht="15" customHeight="1" x14ac:dyDescent="0.25">
      <c r="A725" s="274">
        <v>328</v>
      </c>
      <c r="B725" s="122">
        <v>61494</v>
      </c>
      <c r="C725" s="124" t="s">
        <v>2627</v>
      </c>
      <c r="D725" s="122" t="s">
        <v>484</v>
      </c>
      <c r="E725" s="150" t="s">
        <v>537</v>
      </c>
      <c r="F725" s="126" t="s">
        <v>404</v>
      </c>
      <c r="G725" s="271" t="s">
        <v>2699</v>
      </c>
      <c r="H725" s="123">
        <v>41555</v>
      </c>
      <c r="I725" s="122">
        <v>1</v>
      </c>
      <c r="J725" s="402">
        <v>30429</v>
      </c>
      <c r="K725" s="403">
        <v>30429</v>
      </c>
      <c r="L725" s="270" t="s">
        <v>620</v>
      </c>
      <c r="M725" s="130" t="s">
        <v>36</v>
      </c>
    </row>
    <row r="726" spans="1:13" s="404" customFormat="1" ht="15" customHeight="1" x14ac:dyDescent="0.25">
      <c r="A726" s="122">
        <v>329</v>
      </c>
      <c r="B726" s="122">
        <v>66606</v>
      </c>
      <c r="C726" s="124" t="s">
        <v>2629</v>
      </c>
      <c r="D726" s="122" t="s">
        <v>484</v>
      </c>
      <c r="E726" s="150" t="s">
        <v>115</v>
      </c>
      <c r="F726" s="126" t="s">
        <v>472</v>
      </c>
      <c r="G726" s="271" t="s">
        <v>583</v>
      </c>
      <c r="H726" s="123">
        <v>41572</v>
      </c>
      <c r="I726" s="122">
        <v>1</v>
      </c>
      <c r="J726" s="402">
        <v>33370</v>
      </c>
      <c r="K726" s="403">
        <v>33370</v>
      </c>
      <c r="L726" s="270" t="s">
        <v>620</v>
      </c>
      <c r="M726" s="130" t="s">
        <v>36</v>
      </c>
    </row>
    <row r="727" spans="1:13" s="404" customFormat="1" ht="15" customHeight="1" x14ac:dyDescent="0.25">
      <c r="A727" s="274">
        <v>330</v>
      </c>
      <c r="B727" s="122">
        <v>62971</v>
      </c>
      <c r="C727" s="124" t="s">
        <v>2700</v>
      </c>
      <c r="D727" s="122" t="s">
        <v>476</v>
      </c>
      <c r="E727" s="150" t="s">
        <v>580</v>
      </c>
      <c r="F727" s="126" t="s">
        <v>371</v>
      </c>
      <c r="G727" s="271"/>
      <c r="H727" s="123">
        <v>41561</v>
      </c>
      <c r="I727" s="122">
        <v>1</v>
      </c>
      <c r="J727" s="402">
        <v>25800</v>
      </c>
      <c r="K727" s="403">
        <v>25800</v>
      </c>
      <c r="L727" s="270" t="s">
        <v>620</v>
      </c>
      <c r="M727" s="130" t="s">
        <v>36</v>
      </c>
    </row>
    <row r="728" spans="1:13" s="404" customFormat="1" ht="15" customHeight="1" x14ac:dyDescent="0.25">
      <c r="A728" s="122">
        <v>331</v>
      </c>
      <c r="B728" s="122">
        <v>66617</v>
      </c>
      <c r="C728" s="124" t="s">
        <v>2701</v>
      </c>
      <c r="D728" s="122" t="s">
        <v>476</v>
      </c>
      <c r="E728" s="150" t="s">
        <v>116</v>
      </c>
      <c r="F728" s="126" t="s">
        <v>417</v>
      </c>
      <c r="G728" s="271" t="s">
        <v>489</v>
      </c>
      <c r="H728" s="123">
        <v>41575</v>
      </c>
      <c r="I728" s="122">
        <v>1</v>
      </c>
      <c r="J728" s="402">
        <v>5274</v>
      </c>
      <c r="K728" s="403">
        <v>5274</v>
      </c>
      <c r="L728" s="270" t="s">
        <v>620</v>
      </c>
      <c r="M728" s="130" t="s">
        <v>36</v>
      </c>
    </row>
    <row r="729" spans="1:13" s="404" customFormat="1" ht="15" customHeight="1" x14ac:dyDescent="0.25">
      <c r="A729" s="274">
        <v>332</v>
      </c>
      <c r="B729" s="122">
        <v>61170</v>
      </c>
      <c r="C729" s="124" t="s">
        <v>2702</v>
      </c>
      <c r="D729" s="122" t="s">
        <v>476</v>
      </c>
      <c r="E729" s="150" t="s">
        <v>116</v>
      </c>
      <c r="F729" s="126" t="s">
        <v>431</v>
      </c>
      <c r="G729" s="271" t="s">
        <v>2067</v>
      </c>
      <c r="H729" s="123">
        <v>41555</v>
      </c>
      <c r="I729" s="122">
        <v>1</v>
      </c>
      <c r="J729" s="402">
        <v>5274</v>
      </c>
      <c r="K729" s="403">
        <v>5274</v>
      </c>
      <c r="L729" s="270" t="s">
        <v>620</v>
      </c>
      <c r="M729" s="130" t="s">
        <v>36</v>
      </c>
    </row>
    <row r="730" spans="1:13" s="404" customFormat="1" ht="15" customHeight="1" x14ac:dyDescent="0.25">
      <c r="A730" s="122">
        <v>333</v>
      </c>
      <c r="B730" s="122">
        <v>60818</v>
      </c>
      <c r="C730" s="124" t="s">
        <v>2703</v>
      </c>
      <c r="D730" s="122" t="s">
        <v>476</v>
      </c>
      <c r="E730" s="150" t="s">
        <v>580</v>
      </c>
      <c r="F730" s="126" t="s">
        <v>371</v>
      </c>
      <c r="G730" s="271"/>
      <c r="H730" s="123">
        <v>41554</v>
      </c>
      <c r="I730" s="122">
        <v>1</v>
      </c>
      <c r="J730" s="402">
        <v>25800</v>
      </c>
      <c r="K730" s="403">
        <v>25800</v>
      </c>
      <c r="L730" s="270" t="s">
        <v>620</v>
      </c>
      <c r="M730" s="130" t="s">
        <v>36</v>
      </c>
    </row>
    <row r="731" spans="1:13" s="404" customFormat="1" ht="15" customHeight="1" x14ac:dyDescent="0.25">
      <c r="A731" s="274">
        <v>334</v>
      </c>
      <c r="B731" s="122">
        <v>49857</v>
      </c>
      <c r="C731" s="124" t="s">
        <v>2704</v>
      </c>
      <c r="D731" s="122" t="s">
        <v>476</v>
      </c>
      <c r="E731" s="150" t="s">
        <v>116</v>
      </c>
      <c r="F731" s="126" t="s">
        <v>472</v>
      </c>
      <c r="G731" s="271" t="s">
        <v>2101</v>
      </c>
      <c r="H731" s="123">
        <v>41507</v>
      </c>
      <c r="I731" s="122">
        <v>1</v>
      </c>
      <c r="J731" s="402">
        <v>5274</v>
      </c>
      <c r="K731" s="403">
        <v>5274</v>
      </c>
      <c r="L731" s="270" t="s">
        <v>620</v>
      </c>
      <c r="M731" s="130" t="s">
        <v>36</v>
      </c>
    </row>
    <row r="732" spans="1:13" s="404" customFormat="1" ht="15" customHeight="1" x14ac:dyDescent="0.25">
      <c r="A732" s="274">
        <v>335</v>
      </c>
      <c r="B732" s="122">
        <v>49891</v>
      </c>
      <c r="C732" s="124" t="s">
        <v>2705</v>
      </c>
      <c r="D732" s="122" t="s">
        <v>476</v>
      </c>
      <c r="E732" s="150" t="s">
        <v>116</v>
      </c>
      <c r="F732" s="126" t="s">
        <v>562</v>
      </c>
      <c r="G732" s="271" t="s">
        <v>2101</v>
      </c>
      <c r="H732" s="123">
        <v>41507</v>
      </c>
      <c r="I732" s="122">
        <v>1</v>
      </c>
      <c r="J732" s="402">
        <v>5274</v>
      </c>
      <c r="K732" s="403">
        <v>5274</v>
      </c>
      <c r="L732" s="270" t="s">
        <v>620</v>
      </c>
      <c r="M732" s="130" t="s">
        <v>36</v>
      </c>
    </row>
    <row r="733" spans="1:13" s="404" customFormat="1" ht="15" customHeight="1" x14ac:dyDescent="0.25">
      <c r="A733" s="274">
        <v>336</v>
      </c>
      <c r="B733" s="122">
        <v>59594</v>
      </c>
      <c r="C733" s="124" t="s">
        <v>2706</v>
      </c>
      <c r="D733" s="122" t="s">
        <v>476</v>
      </c>
      <c r="E733" s="150" t="s">
        <v>537</v>
      </c>
      <c r="F733" s="126" t="s">
        <v>527</v>
      </c>
      <c r="G733" s="271" t="s">
        <v>583</v>
      </c>
      <c r="H733" s="123">
        <v>41549</v>
      </c>
      <c r="I733" s="122">
        <v>1</v>
      </c>
      <c r="J733" s="402">
        <v>30429</v>
      </c>
      <c r="K733" s="403">
        <v>30429</v>
      </c>
      <c r="L733" s="270" t="s">
        <v>620</v>
      </c>
      <c r="M733" s="130" t="s">
        <v>36</v>
      </c>
    </row>
    <row r="734" spans="1:13" s="404" customFormat="1" ht="15" customHeight="1" x14ac:dyDescent="0.25">
      <c r="A734" s="274">
        <v>337</v>
      </c>
      <c r="B734" s="122">
        <v>60727</v>
      </c>
      <c r="C734" s="124" t="s">
        <v>2707</v>
      </c>
      <c r="D734" s="122" t="s">
        <v>481</v>
      </c>
      <c r="E734" s="150" t="s">
        <v>219</v>
      </c>
      <c r="F734" s="126" t="s">
        <v>371</v>
      </c>
      <c r="G734" s="271" t="s">
        <v>2067</v>
      </c>
      <c r="H734" s="123">
        <v>41551</v>
      </c>
      <c r="I734" s="122">
        <v>1</v>
      </c>
      <c r="J734" s="402">
        <v>22299</v>
      </c>
      <c r="K734" s="403">
        <v>22299</v>
      </c>
      <c r="L734" s="270" t="s">
        <v>620</v>
      </c>
      <c r="M734" s="130" t="s">
        <v>36</v>
      </c>
    </row>
    <row r="735" spans="1:13" s="404" customFormat="1" ht="15" customHeight="1" x14ac:dyDescent="0.25">
      <c r="A735" s="282">
        <v>338</v>
      </c>
      <c r="B735" s="405">
        <v>65050</v>
      </c>
      <c r="C735" s="406" t="s">
        <v>2708</v>
      </c>
      <c r="D735" s="405" t="s">
        <v>481</v>
      </c>
      <c r="E735" s="407" t="s">
        <v>116</v>
      </c>
      <c r="F735" s="408" t="s">
        <v>2319</v>
      </c>
      <c r="G735" s="409" t="s">
        <v>489</v>
      </c>
      <c r="H735" s="410">
        <v>41568</v>
      </c>
      <c r="I735" s="405">
        <v>1</v>
      </c>
      <c r="J735" s="411">
        <v>5274</v>
      </c>
      <c r="K735" s="412">
        <v>5274</v>
      </c>
      <c r="L735" s="270" t="s">
        <v>620</v>
      </c>
      <c r="M735" s="130" t="s">
        <v>36</v>
      </c>
    </row>
    <row r="736" spans="1:13" s="404" customFormat="1" ht="15" customHeight="1" x14ac:dyDescent="0.25">
      <c r="A736" s="122">
        <v>339</v>
      </c>
      <c r="B736" s="122">
        <v>68542</v>
      </c>
      <c r="C736" s="124" t="s">
        <v>2709</v>
      </c>
      <c r="D736" s="122" t="s">
        <v>476</v>
      </c>
      <c r="E736" s="150" t="s">
        <v>116</v>
      </c>
      <c r="F736" s="126" t="s">
        <v>472</v>
      </c>
      <c r="G736" s="271" t="s">
        <v>489</v>
      </c>
      <c r="H736" s="123">
        <v>41583</v>
      </c>
      <c r="I736" s="122">
        <v>1</v>
      </c>
      <c r="J736" s="402">
        <v>5274</v>
      </c>
      <c r="K736" s="403">
        <v>5274</v>
      </c>
      <c r="L736" s="270" t="s">
        <v>960</v>
      </c>
      <c r="M736" s="130" t="s">
        <v>36</v>
      </c>
    </row>
    <row r="737" spans="1:13" s="404" customFormat="1" ht="15" customHeight="1" x14ac:dyDescent="0.25">
      <c r="A737" s="122">
        <v>340</v>
      </c>
      <c r="B737" s="122">
        <v>75714</v>
      </c>
      <c r="C737" s="124" t="s">
        <v>2709</v>
      </c>
      <c r="D737" s="122" t="s">
        <v>476</v>
      </c>
      <c r="E737" s="150" t="s">
        <v>115</v>
      </c>
      <c r="F737" s="126" t="s">
        <v>472</v>
      </c>
      <c r="G737" s="271"/>
      <c r="H737" s="123">
        <v>41606</v>
      </c>
      <c r="I737" s="122">
        <v>1</v>
      </c>
      <c r="J737" s="402">
        <v>33370</v>
      </c>
      <c r="K737" s="403">
        <v>33370</v>
      </c>
      <c r="L737" s="270" t="s">
        <v>960</v>
      </c>
      <c r="M737" s="130" t="s">
        <v>36</v>
      </c>
    </row>
    <row r="738" spans="1:13" ht="13.5" customHeight="1" x14ac:dyDescent="0.25">
      <c r="A738" s="274">
        <v>341</v>
      </c>
      <c r="B738" s="122">
        <v>75714</v>
      </c>
      <c r="C738" s="124" t="s">
        <v>2709</v>
      </c>
      <c r="D738" s="122" t="s">
        <v>476</v>
      </c>
      <c r="E738" s="150" t="s">
        <v>577</v>
      </c>
      <c r="F738" s="126" t="s">
        <v>2410</v>
      </c>
      <c r="G738" s="271" t="s">
        <v>2097</v>
      </c>
      <c r="H738" s="123">
        <v>41606</v>
      </c>
      <c r="I738" s="122">
        <v>2</v>
      </c>
      <c r="J738" s="402">
        <v>49701</v>
      </c>
      <c r="K738" s="403">
        <v>99402</v>
      </c>
      <c r="L738" s="270" t="s">
        <v>960</v>
      </c>
      <c r="M738" s="130" t="s">
        <v>36</v>
      </c>
    </row>
    <row r="739" spans="1:13" x14ac:dyDescent="0.25">
      <c r="A739" s="122">
        <v>342</v>
      </c>
      <c r="B739" s="122">
        <v>75500</v>
      </c>
      <c r="C739" s="124" t="s">
        <v>2641</v>
      </c>
      <c r="D739" s="122" t="s">
        <v>476</v>
      </c>
      <c r="E739" s="150" t="s">
        <v>115</v>
      </c>
      <c r="F739" s="126" t="s">
        <v>562</v>
      </c>
      <c r="G739" s="271"/>
      <c r="H739" s="123">
        <v>41605</v>
      </c>
      <c r="I739" s="122">
        <v>1</v>
      </c>
      <c r="J739" s="402">
        <v>33370</v>
      </c>
      <c r="K739" s="403">
        <v>33370</v>
      </c>
      <c r="L739" s="270" t="s">
        <v>960</v>
      </c>
      <c r="M739" s="130" t="s">
        <v>36</v>
      </c>
    </row>
    <row r="740" spans="1:13" x14ac:dyDescent="0.25">
      <c r="A740" s="274">
        <v>343</v>
      </c>
      <c r="B740" s="122">
        <v>75500</v>
      </c>
      <c r="C740" s="124" t="s">
        <v>2641</v>
      </c>
      <c r="D740" s="122" t="s">
        <v>476</v>
      </c>
      <c r="E740" s="150" t="s">
        <v>537</v>
      </c>
      <c r="F740" s="126" t="s">
        <v>645</v>
      </c>
      <c r="G740" s="271" t="s">
        <v>583</v>
      </c>
      <c r="H740" s="123">
        <v>41605</v>
      </c>
      <c r="I740" s="122">
        <v>1</v>
      </c>
      <c r="J740" s="402">
        <v>30429</v>
      </c>
      <c r="K740" s="403">
        <v>30429</v>
      </c>
      <c r="L740" s="270" t="s">
        <v>960</v>
      </c>
      <c r="M740" s="130" t="s">
        <v>36</v>
      </c>
    </row>
    <row r="741" spans="1:13" x14ac:dyDescent="0.25">
      <c r="A741" s="274">
        <v>344</v>
      </c>
      <c r="B741" s="122">
        <v>70919</v>
      </c>
      <c r="C741" s="124" t="s">
        <v>2710</v>
      </c>
      <c r="D741" s="122" t="s">
        <v>484</v>
      </c>
      <c r="E741" s="150" t="s">
        <v>116</v>
      </c>
      <c r="F741" s="126" t="s">
        <v>431</v>
      </c>
      <c r="G741" s="271" t="s">
        <v>718</v>
      </c>
      <c r="H741" s="123">
        <v>41591</v>
      </c>
      <c r="I741" s="122">
        <v>1</v>
      </c>
      <c r="J741" s="402">
        <v>5274</v>
      </c>
      <c r="K741" s="403">
        <v>5274</v>
      </c>
      <c r="L741" s="270" t="s">
        <v>960</v>
      </c>
      <c r="M741" s="130" t="s">
        <v>36</v>
      </c>
    </row>
    <row r="742" spans="1:13" x14ac:dyDescent="0.25">
      <c r="A742" s="274">
        <v>345</v>
      </c>
      <c r="B742" s="122">
        <v>69360</v>
      </c>
      <c r="C742" s="124" t="s">
        <v>2711</v>
      </c>
      <c r="D742" s="122" t="s">
        <v>476</v>
      </c>
      <c r="E742" s="150" t="s">
        <v>192</v>
      </c>
      <c r="F742" s="126" t="s">
        <v>410</v>
      </c>
      <c r="G742" s="271" t="s">
        <v>566</v>
      </c>
      <c r="H742" s="123">
        <v>41585</v>
      </c>
      <c r="I742" s="122">
        <v>1</v>
      </c>
      <c r="J742" s="402">
        <v>57960</v>
      </c>
      <c r="K742" s="403">
        <v>57960</v>
      </c>
      <c r="L742" s="270" t="s">
        <v>960</v>
      </c>
      <c r="M742" s="130" t="s">
        <v>36</v>
      </c>
    </row>
    <row r="743" spans="1:13" x14ac:dyDescent="0.25">
      <c r="A743" s="274">
        <v>346</v>
      </c>
      <c r="B743" s="122">
        <v>71516</v>
      </c>
      <c r="C743" s="124" t="s">
        <v>2652</v>
      </c>
      <c r="D743" s="122" t="s">
        <v>484</v>
      </c>
      <c r="E743" s="150" t="s">
        <v>115</v>
      </c>
      <c r="F743" s="126" t="s">
        <v>472</v>
      </c>
      <c r="G743" s="271" t="s">
        <v>566</v>
      </c>
      <c r="H743" s="123">
        <v>41593</v>
      </c>
      <c r="I743" s="122">
        <v>1</v>
      </c>
      <c r="J743" s="402">
        <v>33370</v>
      </c>
      <c r="K743" s="403">
        <v>33370</v>
      </c>
      <c r="L743" s="270" t="s">
        <v>960</v>
      </c>
      <c r="M743" s="130" t="s">
        <v>36</v>
      </c>
    </row>
    <row r="744" spans="1:13" x14ac:dyDescent="0.25">
      <c r="A744" s="274">
        <v>347</v>
      </c>
      <c r="B744" s="122">
        <v>69556</v>
      </c>
      <c r="C744" s="124" t="s">
        <v>2712</v>
      </c>
      <c r="D744" s="122" t="s">
        <v>476</v>
      </c>
      <c r="E744" s="150" t="s">
        <v>116</v>
      </c>
      <c r="F744" s="126" t="s">
        <v>400</v>
      </c>
      <c r="G744" s="271" t="s">
        <v>486</v>
      </c>
      <c r="H744" s="123">
        <v>41589</v>
      </c>
      <c r="I744" s="122">
        <v>2</v>
      </c>
      <c r="J744" s="402">
        <v>5274</v>
      </c>
      <c r="K744" s="403">
        <v>10548</v>
      </c>
      <c r="L744" s="270" t="s">
        <v>960</v>
      </c>
      <c r="M744" s="130" t="s">
        <v>36</v>
      </c>
    </row>
    <row r="745" spans="1:13" x14ac:dyDescent="0.25">
      <c r="A745" s="274">
        <v>348</v>
      </c>
      <c r="B745" s="122">
        <v>71904</v>
      </c>
      <c r="C745" s="124" t="s">
        <v>2712</v>
      </c>
      <c r="D745" s="122" t="s">
        <v>476</v>
      </c>
      <c r="E745" s="150" t="s">
        <v>1132</v>
      </c>
      <c r="F745" s="126" t="s">
        <v>400</v>
      </c>
      <c r="G745" s="271" t="s">
        <v>678</v>
      </c>
      <c r="H745" s="123">
        <v>41596</v>
      </c>
      <c r="I745" s="122">
        <v>2</v>
      </c>
      <c r="J745" s="402">
        <v>49701</v>
      </c>
      <c r="K745" s="403">
        <v>99402</v>
      </c>
      <c r="L745" s="270" t="s">
        <v>960</v>
      </c>
      <c r="M745" s="130" t="s">
        <v>36</v>
      </c>
    </row>
    <row r="746" spans="1:13" s="145" customFormat="1" ht="15" customHeight="1" x14ac:dyDescent="0.25">
      <c r="A746" s="274">
        <v>349</v>
      </c>
      <c r="B746" s="122">
        <v>75178</v>
      </c>
      <c r="C746" s="124" t="s">
        <v>2653</v>
      </c>
      <c r="D746" s="122" t="s">
        <v>484</v>
      </c>
      <c r="E746" s="150" t="s">
        <v>682</v>
      </c>
      <c r="F746" s="126" t="s">
        <v>485</v>
      </c>
      <c r="G746" s="271" t="s">
        <v>573</v>
      </c>
      <c r="H746" s="123">
        <v>41605</v>
      </c>
      <c r="I746" s="122">
        <v>2</v>
      </c>
      <c r="J746" s="402">
        <v>55058</v>
      </c>
      <c r="K746" s="403">
        <v>110116</v>
      </c>
      <c r="L746" s="270" t="s">
        <v>960</v>
      </c>
      <c r="M746" s="130" t="s">
        <v>36</v>
      </c>
    </row>
    <row r="747" spans="1:13" s="145" customFormat="1" ht="15" customHeight="1" x14ac:dyDescent="0.25">
      <c r="A747" s="274">
        <v>350</v>
      </c>
      <c r="B747" s="122">
        <v>68540</v>
      </c>
      <c r="C747" s="124" t="s">
        <v>1527</v>
      </c>
      <c r="D747" s="122" t="s">
        <v>478</v>
      </c>
      <c r="E747" s="150" t="s">
        <v>116</v>
      </c>
      <c r="F747" s="126" t="s">
        <v>442</v>
      </c>
      <c r="G747" s="271" t="s">
        <v>489</v>
      </c>
      <c r="H747" s="123">
        <v>41584</v>
      </c>
      <c r="I747" s="122">
        <v>1</v>
      </c>
      <c r="J747" s="402">
        <v>5274</v>
      </c>
      <c r="K747" s="403">
        <v>5274</v>
      </c>
      <c r="L747" s="270" t="s">
        <v>960</v>
      </c>
      <c r="M747" s="130" t="s">
        <v>36</v>
      </c>
    </row>
    <row r="748" spans="1:13" s="145" customFormat="1" ht="15" customHeight="1" x14ac:dyDescent="0.25">
      <c r="A748" s="274">
        <v>351</v>
      </c>
      <c r="B748" s="122">
        <v>75803</v>
      </c>
      <c r="C748" s="124" t="s">
        <v>2713</v>
      </c>
      <c r="D748" s="122" t="s">
        <v>484</v>
      </c>
      <c r="E748" s="150" t="s">
        <v>116</v>
      </c>
      <c r="F748" s="126" t="s">
        <v>645</v>
      </c>
      <c r="G748" s="271" t="s">
        <v>489</v>
      </c>
      <c r="H748" s="123">
        <v>41607</v>
      </c>
      <c r="I748" s="122">
        <v>1</v>
      </c>
      <c r="J748" s="402">
        <v>5274</v>
      </c>
      <c r="K748" s="403">
        <v>5274</v>
      </c>
      <c r="L748" s="270" t="s">
        <v>960</v>
      </c>
      <c r="M748" s="130" t="s">
        <v>36</v>
      </c>
    </row>
    <row r="749" spans="1:13" s="145" customFormat="1" ht="15" customHeight="1" x14ac:dyDescent="0.25">
      <c r="A749" s="274">
        <v>352</v>
      </c>
      <c r="B749" s="122">
        <v>70970</v>
      </c>
      <c r="C749" s="124" t="s">
        <v>2556</v>
      </c>
      <c r="D749" s="122" t="s">
        <v>484</v>
      </c>
      <c r="E749" s="150" t="s">
        <v>115</v>
      </c>
      <c r="F749" s="126" t="s">
        <v>442</v>
      </c>
      <c r="G749" s="271" t="s">
        <v>737</v>
      </c>
      <c r="H749" s="123">
        <v>41591</v>
      </c>
      <c r="I749" s="122">
        <v>1</v>
      </c>
      <c r="J749" s="402">
        <v>33370</v>
      </c>
      <c r="K749" s="403">
        <v>33370</v>
      </c>
      <c r="L749" s="270" t="s">
        <v>960</v>
      </c>
      <c r="M749" s="130" t="s">
        <v>36</v>
      </c>
    </row>
    <row r="750" spans="1:13" s="145" customFormat="1" ht="15" customHeight="1" x14ac:dyDescent="0.25">
      <c r="A750" s="274">
        <v>353</v>
      </c>
      <c r="B750" s="122">
        <v>70655</v>
      </c>
      <c r="C750" s="124" t="s">
        <v>2714</v>
      </c>
      <c r="D750" s="122" t="s">
        <v>476</v>
      </c>
      <c r="E750" s="150" t="s">
        <v>577</v>
      </c>
      <c r="F750" s="126" t="s">
        <v>442</v>
      </c>
      <c r="G750" s="271" t="s">
        <v>2715</v>
      </c>
      <c r="H750" s="123">
        <v>41590</v>
      </c>
      <c r="I750" s="122">
        <v>1</v>
      </c>
      <c r="J750" s="402">
        <v>49701</v>
      </c>
      <c r="K750" s="403">
        <v>49701</v>
      </c>
      <c r="L750" s="270" t="s">
        <v>960</v>
      </c>
      <c r="M750" s="130" t="s">
        <v>36</v>
      </c>
    </row>
    <row r="751" spans="1:13" x14ac:dyDescent="0.25">
      <c r="A751" s="274">
        <v>354</v>
      </c>
      <c r="B751" s="122">
        <v>72419</v>
      </c>
      <c r="C751" s="124" t="s">
        <v>2714</v>
      </c>
      <c r="D751" s="122" t="s">
        <v>476</v>
      </c>
      <c r="E751" s="150" t="s">
        <v>115</v>
      </c>
      <c r="F751" s="126" t="s">
        <v>2319</v>
      </c>
      <c r="G751" s="271" t="s">
        <v>2715</v>
      </c>
      <c r="H751" s="123">
        <v>41597</v>
      </c>
      <c r="I751" s="122">
        <v>1</v>
      </c>
      <c r="J751" s="402">
        <v>33370</v>
      </c>
      <c r="K751" s="403">
        <v>33370</v>
      </c>
      <c r="L751" s="270" t="s">
        <v>960</v>
      </c>
      <c r="M751" s="130" t="s">
        <v>36</v>
      </c>
    </row>
    <row r="752" spans="1:13" x14ac:dyDescent="0.25">
      <c r="A752" s="274">
        <v>355</v>
      </c>
      <c r="B752" s="122">
        <v>68672</v>
      </c>
      <c r="C752" s="124" t="s">
        <v>2714</v>
      </c>
      <c r="D752" s="122" t="s">
        <v>476</v>
      </c>
      <c r="E752" s="150" t="s">
        <v>116</v>
      </c>
      <c r="F752" s="126" t="s">
        <v>2319</v>
      </c>
      <c r="G752" s="271" t="s">
        <v>703</v>
      </c>
      <c r="H752" s="123">
        <v>41583</v>
      </c>
      <c r="I752" s="122">
        <v>1</v>
      </c>
      <c r="J752" s="402">
        <v>5274</v>
      </c>
      <c r="K752" s="403">
        <v>5274</v>
      </c>
      <c r="L752" s="270" t="s">
        <v>960</v>
      </c>
      <c r="M752" s="130" t="s">
        <v>36</v>
      </c>
    </row>
    <row r="753" spans="1:13" x14ac:dyDescent="0.25">
      <c r="A753" s="274">
        <v>356</v>
      </c>
      <c r="B753" s="122">
        <v>69380</v>
      </c>
      <c r="C753" s="124" t="s">
        <v>2716</v>
      </c>
      <c r="D753" s="122" t="s">
        <v>484</v>
      </c>
      <c r="E753" s="150" t="s">
        <v>116</v>
      </c>
      <c r="F753" s="126" t="s">
        <v>383</v>
      </c>
      <c r="G753" s="271" t="s">
        <v>718</v>
      </c>
      <c r="H753" s="123">
        <v>41586</v>
      </c>
      <c r="I753" s="122">
        <v>1</v>
      </c>
      <c r="J753" s="402">
        <v>5274</v>
      </c>
      <c r="K753" s="403">
        <v>5274</v>
      </c>
      <c r="L753" s="270" t="s">
        <v>960</v>
      </c>
      <c r="M753" s="130" t="s">
        <v>36</v>
      </c>
    </row>
    <row r="754" spans="1:13" x14ac:dyDescent="0.25">
      <c r="A754" s="274">
        <v>357</v>
      </c>
      <c r="B754" s="122">
        <v>71678</v>
      </c>
      <c r="C754" s="124" t="s">
        <v>2717</v>
      </c>
      <c r="D754" s="122" t="s">
        <v>484</v>
      </c>
      <c r="E754" s="150" t="s">
        <v>682</v>
      </c>
      <c r="F754" s="126" t="s">
        <v>485</v>
      </c>
      <c r="G754" s="271" t="s">
        <v>703</v>
      </c>
      <c r="H754" s="123">
        <v>41593</v>
      </c>
      <c r="I754" s="122">
        <v>2</v>
      </c>
      <c r="J754" s="402">
        <v>55058</v>
      </c>
      <c r="K754" s="403">
        <v>110116</v>
      </c>
      <c r="L754" s="270" t="s">
        <v>960</v>
      </c>
      <c r="M754" s="130" t="s">
        <v>36</v>
      </c>
    </row>
    <row r="755" spans="1:13" x14ac:dyDescent="0.25">
      <c r="A755" s="274">
        <v>358</v>
      </c>
      <c r="B755" s="122">
        <v>69535</v>
      </c>
      <c r="C755" s="124" t="s">
        <v>2718</v>
      </c>
      <c r="D755" s="122" t="s">
        <v>476</v>
      </c>
      <c r="E755" s="150" t="s">
        <v>116</v>
      </c>
      <c r="F755" s="126" t="s">
        <v>400</v>
      </c>
      <c r="G755" s="271" t="s">
        <v>743</v>
      </c>
      <c r="H755" s="123">
        <v>41586</v>
      </c>
      <c r="I755" s="122">
        <v>2</v>
      </c>
      <c r="J755" s="402">
        <v>5274</v>
      </c>
      <c r="K755" s="403">
        <v>10548</v>
      </c>
      <c r="L755" s="270" t="s">
        <v>960</v>
      </c>
      <c r="M755" s="130" t="s">
        <v>36</v>
      </c>
    </row>
    <row r="756" spans="1:13" x14ac:dyDescent="0.25">
      <c r="A756" s="274">
        <v>359</v>
      </c>
      <c r="B756" s="122">
        <v>75060</v>
      </c>
      <c r="C756" s="124" t="s">
        <v>2719</v>
      </c>
      <c r="D756" s="122" t="s">
        <v>484</v>
      </c>
      <c r="E756" s="150" t="s">
        <v>188</v>
      </c>
      <c r="F756" s="126" t="s">
        <v>1563</v>
      </c>
      <c r="G756" s="271" t="s">
        <v>629</v>
      </c>
      <c r="H756" s="123">
        <v>41604</v>
      </c>
      <c r="I756" s="122">
        <v>3</v>
      </c>
      <c r="J756" s="402">
        <v>42601</v>
      </c>
      <c r="K756" s="403">
        <v>127803</v>
      </c>
      <c r="L756" s="270" t="s">
        <v>960</v>
      </c>
      <c r="M756" s="130" t="s">
        <v>36</v>
      </c>
    </row>
    <row r="757" spans="1:13" x14ac:dyDescent="0.25">
      <c r="A757" s="274">
        <v>360</v>
      </c>
      <c r="B757" s="122">
        <v>71442</v>
      </c>
      <c r="C757" s="124" t="s">
        <v>2720</v>
      </c>
      <c r="D757" s="122" t="s">
        <v>484</v>
      </c>
      <c r="E757" s="150" t="s">
        <v>116</v>
      </c>
      <c r="F757" s="126" t="s">
        <v>511</v>
      </c>
      <c r="G757" s="271" t="s">
        <v>718</v>
      </c>
      <c r="H757" s="123">
        <v>41593</v>
      </c>
      <c r="I757" s="122">
        <v>1</v>
      </c>
      <c r="J757" s="402">
        <v>5274</v>
      </c>
      <c r="K757" s="403">
        <v>5274</v>
      </c>
      <c r="L757" s="270" t="s">
        <v>960</v>
      </c>
      <c r="M757" s="130" t="s">
        <v>36</v>
      </c>
    </row>
    <row r="758" spans="1:13" x14ac:dyDescent="0.25">
      <c r="A758" s="274">
        <v>361</v>
      </c>
      <c r="B758" s="122">
        <v>66239</v>
      </c>
      <c r="C758" s="124" t="s">
        <v>2721</v>
      </c>
      <c r="D758" s="122" t="s">
        <v>505</v>
      </c>
      <c r="E758" s="150" t="s">
        <v>580</v>
      </c>
      <c r="F758" s="126" t="s">
        <v>371</v>
      </c>
      <c r="G758" s="271"/>
      <c r="H758" s="123">
        <v>41572</v>
      </c>
      <c r="I758" s="122">
        <v>1</v>
      </c>
      <c r="J758" s="402">
        <v>25800</v>
      </c>
      <c r="K758" s="403">
        <v>25800</v>
      </c>
      <c r="L758" s="270" t="s">
        <v>960</v>
      </c>
      <c r="M758" s="130" t="s">
        <v>36</v>
      </c>
    </row>
    <row r="759" spans="1:13" x14ac:dyDescent="0.25">
      <c r="A759" s="274">
        <v>362</v>
      </c>
      <c r="B759" s="122">
        <v>70385</v>
      </c>
      <c r="C759" s="124" t="s">
        <v>2722</v>
      </c>
      <c r="D759" s="122" t="s">
        <v>476</v>
      </c>
      <c r="E759" s="150" t="s">
        <v>116</v>
      </c>
      <c r="F759" s="126" t="s">
        <v>472</v>
      </c>
      <c r="G759" s="271" t="s">
        <v>489</v>
      </c>
      <c r="H759" s="123">
        <v>41590</v>
      </c>
      <c r="I759" s="122">
        <v>1</v>
      </c>
      <c r="J759" s="402">
        <v>5274</v>
      </c>
      <c r="K759" s="403">
        <v>5274</v>
      </c>
      <c r="L759" s="270" t="s">
        <v>960</v>
      </c>
      <c r="M759" s="130" t="s">
        <v>36</v>
      </c>
    </row>
    <row r="760" spans="1:13" x14ac:dyDescent="0.25">
      <c r="A760" s="274">
        <v>363</v>
      </c>
      <c r="B760" s="122">
        <v>69127</v>
      </c>
      <c r="C760" s="124" t="s">
        <v>1499</v>
      </c>
      <c r="D760" s="122" t="s">
        <v>484</v>
      </c>
      <c r="E760" s="150" t="s">
        <v>217</v>
      </c>
      <c r="F760" s="126" t="s">
        <v>371</v>
      </c>
      <c r="G760" s="271" t="s">
        <v>703</v>
      </c>
      <c r="H760" s="123">
        <v>41584</v>
      </c>
      <c r="I760" s="122">
        <v>1</v>
      </c>
      <c r="J760" s="402">
        <v>44597</v>
      </c>
      <c r="K760" s="403">
        <v>44597</v>
      </c>
      <c r="L760" s="270" t="s">
        <v>960</v>
      </c>
      <c r="M760" s="130" t="s">
        <v>36</v>
      </c>
    </row>
    <row r="761" spans="1:13" x14ac:dyDescent="0.25">
      <c r="A761" s="274">
        <v>364</v>
      </c>
      <c r="B761" s="122">
        <v>74606</v>
      </c>
      <c r="C761" s="124" t="s">
        <v>2723</v>
      </c>
      <c r="D761" s="122" t="s">
        <v>476</v>
      </c>
      <c r="E761" s="150" t="s">
        <v>537</v>
      </c>
      <c r="F761" s="126" t="s">
        <v>442</v>
      </c>
      <c r="G761" s="271" t="s">
        <v>1269</v>
      </c>
      <c r="H761" s="123">
        <v>41603</v>
      </c>
      <c r="I761" s="122">
        <v>1</v>
      </c>
      <c r="J761" s="402">
        <v>30429</v>
      </c>
      <c r="K761" s="403">
        <v>30429</v>
      </c>
      <c r="L761" s="270" t="s">
        <v>960</v>
      </c>
      <c r="M761" s="130" t="s">
        <v>36</v>
      </c>
    </row>
    <row r="762" spans="1:13" x14ac:dyDescent="0.25">
      <c r="A762" s="274">
        <v>365</v>
      </c>
      <c r="B762" s="122">
        <v>69215</v>
      </c>
      <c r="C762" s="124" t="s">
        <v>2724</v>
      </c>
      <c r="D762" s="122" t="s">
        <v>476</v>
      </c>
      <c r="E762" s="150" t="s">
        <v>577</v>
      </c>
      <c r="F762" s="126" t="s">
        <v>562</v>
      </c>
      <c r="G762" s="271" t="s">
        <v>2682</v>
      </c>
      <c r="H762" s="123">
        <v>41280</v>
      </c>
      <c r="I762" s="122">
        <v>1</v>
      </c>
      <c r="J762" s="402">
        <v>49701</v>
      </c>
      <c r="K762" s="403">
        <v>49701</v>
      </c>
      <c r="L762" s="270" t="s">
        <v>960</v>
      </c>
      <c r="M762" s="130" t="s">
        <v>36</v>
      </c>
    </row>
    <row r="763" spans="1:13" x14ac:dyDescent="0.25">
      <c r="A763" s="274">
        <v>366</v>
      </c>
      <c r="B763" s="122">
        <v>76120</v>
      </c>
      <c r="C763" s="124" t="s">
        <v>2725</v>
      </c>
      <c r="D763" s="122" t="s">
        <v>476</v>
      </c>
      <c r="E763" s="150" t="s">
        <v>217</v>
      </c>
      <c r="F763" s="126" t="s">
        <v>371</v>
      </c>
      <c r="G763" s="271" t="s">
        <v>573</v>
      </c>
      <c r="H763" s="123">
        <v>41607</v>
      </c>
      <c r="I763" s="122">
        <v>1</v>
      </c>
      <c r="J763" s="402">
        <v>44597</v>
      </c>
      <c r="K763" s="403">
        <v>44597</v>
      </c>
      <c r="L763" s="270" t="s">
        <v>960</v>
      </c>
      <c r="M763" s="130" t="s">
        <v>36</v>
      </c>
    </row>
    <row r="764" spans="1:13" x14ac:dyDescent="0.25">
      <c r="A764" s="274">
        <v>367</v>
      </c>
      <c r="B764" s="122">
        <v>72420</v>
      </c>
      <c r="C764" s="124" t="s">
        <v>2726</v>
      </c>
      <c r="D764" s="122" t="s">
        <v>476</v>
      </c>
      <c r="E764" s="150" t="s">
        <v>207</v>
      </c>
      <c r="F764" s="126" t="s">
        <v>472</v>
      </c>
      <c r="G764" s="271" t="s">
        <v>2727</v>
      </c>
      <c r="H764" s="123">
        <v>41597</v>
      </c>
      <c r="I764" s="122">
        <v>1</v>
      </c>
      <c r="J764" s="402">
        <v>55062</v>
      </c>
      <c r="K764" s="403">
        <v>55062</v>
      </c>
      <c r="L764" s="270" t="s">
        <v>960</v>
      </c>
      <c r="M764" s="130" t="s">
        <v>36</v>
      </c>
    </row>
    <row r="765" spans="1:13" x14ac:dyDescent="0.25">
      <c r="A765" s="274">
        <v>368</v>
      </c>
      <c r="B765" s="122">
        <v>66736</v>
      </c>
      <c r="C765" s="124" t="s">
        <v>2728</v>
      </c>
      <c r="D765" s="122" t="s">
        <v>476</v>
      </c>
      <c r="E765" s="150" t="s">
        <v>116</v>
      </c>
      <c r="F765" s="126" t="s">
        <v>445</v>
      </c>
      <c r="G765" s="271" t="s">
        <v>486</v>
      </c>
      <c r="H765" s="123">
        <v>41575</v>
      </c>
      <c r="I765" s="122">
        <v>1</v>
      </c>
      <c r="J765" s="402">
        <v>5274</v>
      </c>
      <c r="K765" s="403">
        <v>5274</v>
      </c>
      <c r="L765" s="270" t="s">
        <v>960</v>
      </c>
      <c r="M765" s="130" t="s">
        <v>36</v>
      </c>
    </row>
    <row r="766" spans="1:13" x14ac:dyDescent="0.25">
      <c r="A766" s="274">
        <v>369</v>
      </c>
      <c r="B766" s="122">
        <v>72421</v>
      </c>
      <c r="C766" s="124" t="s">
        <v>2728</v>
      </c>
      <c r="D766" s="122" t="s">
        <v>476</v>
      </c>
      <c r="E766" s="150" t="s">
        <v>192</v>
      </c>
      <c r="F766" s="126" t="s">
        <v>410</v>
      </c>
      <c r="G766" s="271"/>
      <c r="H766" s="123">
        <v>41596</v>
      </c>
      <c r="I766" s="122">
        <v>1</v>
      </c>
      <c r="J766" s="402">
        <v>57960</v>
      </c>
      <c r="K766" s="403">
        <v>57960</v>
      </c>
      <c r="L766" s="270" t="s">
        <v>960</v>
      </c>
      <c r="M766" s="130" t="s">
        <v>36</v>
      </c>
    </row>
    <row r="767" spans="1:13" x14ac:dyDescent="0.25">
      <c r="A767" s="274">
        <v>370</v>
      </c>
      <c r="B767" s="122">
        <v>72421</v>
      </c>
      <c r="C767" s="124" t="s">
        <v>2728</v>
      </c>
      <c r="D767" s="122" t="s">
        <v>476</v>
      </c>
      <c r="E767" s="150" t="s">
        <v>217</v>
      </c>
      <c r="F767" s="126" t="s">
        <v>371</v>
      </c>
      <c r="G767" s="271"/>
      <c r="H767" s="123">
        <v>41596</v>
      </c>
      <c r="I767" s="122">
        <v>1</v>
      </c>
      <c r="J767" s="402">
        <v>44597</v>
      </c>
      <c r="K767" s="403">
        <v>44597</v>
      </c>
      <c r="L767" s="270" t="s">
        <v>960</v>
      </c>
      <c r="M767" s="130" t="s">
        <v>36</v>
      </c>
    </row>
    <row r="768" spans="1:13" x14ac:dyDescent="0.25">
      <c r="A768" s="274">
        <v>371</v>
      </c>
      <c r="B768" s="122">
        <v>76197</v>
      </c>
      <c r="C768" s="124" t="s">
        <v>2728</v>
      </c>
      <c r="D768" s="122" t="s">
        <v>476</v>
      </c>
      <c r="E768" s="150" t="s">
        <v>116</v>
      </c>
      <c r="F768" s="126" t="s">
        <v>445</v>
      </c>
      <c r="G768" s="271" t="s">
        <v>573</v>
      </c>
      <c r="H768" s="123">
        <v>41607</v>
      </c>
      <c r="I768" s="122">
        <v>1</v>
      </c>
      <c r="J768" s="402">
        <v>5274</v>
      </c>
      <c r="K768" s="403">
        <v>5274</v>
      </c>
      <c r="L768" s="270" t="s">
        <v>960</v>
      </c>
      <c r="M768" s="130" t="s">
        <v>36</v>
      </c>
    </row>
    <row r="769" spans="1:13" x14ac:dyDescent="0.25">
      <c r="A769" s="274">
        <v>372</v>
      </c>
      <c r="B769" s="122">
        <v>72923</v>
      </c>
      <c r="C769" s="124" t="s">
        <v>2729</v>
      </c>
      <c r="D769" s="122" t="s">
        <v>476</v>
      </c>
      <c r="E769" s="150" t="s">
        <v>580</v>
      </c>
      <c r="F769" s="126" t="s">
        <v>371</v>
      </c>
      <c r="G769" s="271"/>
      <c r="H769" s="123">
        <v>41598</v>
      </c>
      <c r="I769" s="122">
        <v>1</v>
      </c>
      <c r="J769" s="402">
        <v>25800</v>
      </c>
      <c r="K769" s="403">
        <v>25800</v>
      </c>
      <c r="L769" s="270" t="s">
        <v>960</v>
      </c>
      <c r="M769" s="130" t="s">
        <v>36</v>
      </c>
    </row>
    <row r="770" spans="1:13" x14ac:dyDescent="0.25">
      <c r="A770" s="274">
        <v>373</v>
      </c>
      <c r="B770" s="122">
        <v>6794</v>
      </c>
      <c r="C770" s="124" t="s">
        <v>2730</v>
      </c>
      <c r="D770" s="122" t="s">
        <v>474</v>
      </c>
      <c r="E770" s="150" t="s">
        <v>580</v>
      </c>
      <c r="F770" s="126" t="s">
        <v>371</v>
      </c>
      <c r="G770" s="271"/>
      <c r="H770" s="123">
        <v>41577</v>
      </c>
      <c r="I770" s="122">
        <v>1</v>
      </c>
      <c r="J770" s="402">
        <v>25800</v>
      </c>
      <c r="K770" s="403">
        <v>25800</v>
      </c>
      <c r="L770" s="270" t="s">
        <v>960</v>
      </c>
      <c r="M770" s="130" t="s">
        <v>36</v>
      </c>
    </row>
    <row r="771" spans="1:13" x14ac:dyDescent="0.25">
      <c r="A771" s="274">
        <v>374</v>
      </c>
      <c r="B771" s="122">
        <v>69894</v>
      </c>
      <c r="C771" s="124" t="s">
        <v>2665</v>
      </c>
      <c r="D771" s="122" t="s">
        <v>484</v>
      </c>
      <c r="E771" s="150" t="s">
        <v>577</v>
      </c>
      <c r="F771" s="126" t="s">
        <v>645</v>
      </c>
      <c r="G771" s="271"/>
      <c r="H771" s="123">
        <v>41586</v>
      </c>
      <c r="I771" s="122">
        <v>1</v>
      </c>
      <c r="J771" s="402">
        <v>49701</v>
      </c>
      <c r="K771" s="403">
        <v>49701</v>
      </c>
      <c r="L771" s="270" t="s">
        <v>960</v>
      </c>
      <c r="M771" s="130" t="s">
        <v>36</v>
      </c>
    </row>
    <row r="772" spans="1:13" x14ac:dyDescent="0.25">
      <c r="A772" s="274">
        <v>375</v>
      </c>
      <c r="B772" s="122">
        <v>73592</v>
      </c>
      <c r="C772" s="124" t="s">
        <v>2731</v>
      </c>
      <c r="D772" s="122" t="s">
        <v>484</v>
      </c>
      <c r="E772" s="150" t="s">
        <v>115</v>
      </c>
      <c r="F772" s="126" t="s">
        <v>2496</v>
      </c>
      <c r="G772" s="271" t="s">
        <v>2112</v>
      </c>
      <c r="H772" s="123">
        <v>41600</v>
      </c>
      <c r="I772" s="122">
        <v>3</v>
      </c>
      <c r="J772" s="402">
        <v>33370</v>
      </c>
      <c r="K772" s="403">
        <v>100110</v>
      </c>
      <c r="L772" s="270" t="s">
        <v>960</v>
      </c>
      <c r="M772" s="130" t="s">
        <v>36</v>
      </c>
    </row>
    <row r="773" spans="1:13" x14ac:dyDescent="0.25">
      <c r="A773" s="274">
        <v>376</v>
      </c>
      <c r="B773" s="122">
        <v>70130</v>
      </c>
      <c r="C773" s="124" t="s">
        <v>2732</v>
      </c>
      <c r="D773" s="122" t="s">
        <v>505</v>
      </c>
      <c r="E773" s="150" t="s">
        <v>580</v>
      </c>
      <c r="F773" s="126" t="s">
        <v>371</v>
      </c>
      <c r="G773" s="271"/>
      <c r="H773" s="123">
        <v>41590</v>
      </c>
      <c r="I773" s="122">
        <v>1</v>
      </c>
      <c r="J773" s="402">
        <v>25800</v>
      </c>
      <c r="K773" s="403">
        <v>25800</v>
      </c>
      <c r="L773" s="270" t="s">
        <v>960</v>
      </c>
      <c r="M773" s="130" t="s">
        <v>36</v>
      </c>
    </row>
    <row r="774" spans="1:13" x14ac:dyDescent="0.25">
      <c r="A774" s="274">
        <v>377</v>
      </c>
      <c r="B774" s="122">
        <v>68587</v>
      </c>
      <c r="C774" s="124" t="s">
        <v>2733</v>
      </c>
      <c r="D774" s="122" t="s">
        <v>484</v>
      </c>
      <c r="E774" s="150" t="s">
        <v>580</v>
      </c>
      <c r="F774" s="126" t="s">
        <v>371</v>
      </c>
      <c r="G774" s="271"/>
      <c r="H774" s="123">
        <v>41583</v>
      </c>
      <c r="I774" s="122">
        <v>1</v>
      </c>
      <c r="J774" s="402">
        <v>25800</v>
      </c>
      <c r="K774" s="403">
        <v>25800</v>
      </c>
      <c r="L774" s="270" t="s">
        <v>960</v>
      </c>
      <c r="M774" s="130" t="s">
        <v>36</v>
      </c>
    </row>
    <row r="775" spans="1:13" x14ac:dyDescent="0.25">
      <c r="A775" s="274">
        <v>378</v>
      </c>
      <c r="B775" s="122">
        <v>71643</v>
      </c>
      <c r="C775" s="124" t="s">
        <v>2669</v>
      </c>
      <c r="D775" s="122" t="s">
        <v>476</v>
      </c>
      <c r="E775" s="150" t="s">
        <v>115</v>
      </c>
      <c r="F775" s="126" t="s">
        <v>2319</v>
      </c>
      <c r="G775" s="271" t="s">
        <v>658</v>
      </c>
      <c r="H775" s="123">
        <v>41593</v>
      </c>
      <c r="I775" s="122">
        <v>1</v>
      </c>
      <c r="J775" s="402">
        <v>33370</v>
      </c>
      <c r="K775" s="403">
        <v>33370</v>
      </c>
      <c r="L775" s="270" t="s">
        <v>960</v>
      </c>
      <c r="M775" s="130" t="s">
        <v>36</v>
      </c>
    </row>
    <row r="776" spans="1:13" x14ac:dyDescent="0.25">
      <c r="A776" s="274">
        <v>379</v>
      </c>
      <c r="B776" s="122">
        <v>70634</v>
      </c>
      <c r="C776" s="124" t="s">
        <v>2734</v>
      </c>
      <c r="D776" s="122" t="s">
        <v>484</v>
      </c>
      <c r="E776" s="150" t="s">
        <v>188</v>
      </c>
      <c r="F776" s="126" t="s">
        <v>392</v>
      </c>
      <c r="G776" s="271" t="s">
        <v>737</v>
      </c>
      <c r="H776" s="123">
        <v>41590</v>
      </c>
      <c r="I776" s="122">
        <v>1</v>
      </c>
      <c r="J776" s="402">
        <v>42601</v>
      </c>
      <c r="K776" s="403">
        <v>42601</v>
      </c>
      <c r="L776" s="270" t="s">
        <v>960</v>
      </c>
      <c r="M776" s="130" t="s">
        <v>36</v>
      </c>
    </row>
    <row r="777" spans="1:13" x14ac:dyDescent="0.25">
      <c r="A777" s="274">
        <v>380</v>
      </c>
      <c r="B777" s="122">
        <v>76502</v>
      </c>
      <c r="C777" s="124" t="s">
        <v>2735</v>
      </c>
      <c r="D777" s="122" t="s">
        <v>484</v>
      </c>
      <c r="E777" s="150" t="s">
        <v>537</v>
      </c>
      <c r="F777" s="126" t="s">
        <v>645</v>
      </c>
      <c r="G777" s="271" t="s">
        <v>569</v>
      </c>
      <c r="H777" s="123">
        <v>41607</v>
      </c>
      <c r="I777" s="122">
        <v>1</v>
      </c>
      <c r="J777" s="402">
        <v>30429</v>
      </c>
      <c r="K777" s="403">
        <v>30429</v>
      </c>
      <c r="L777" s="270" t="s">
        <v>960</v>
      </c>
      <c r="M777" s="130" t="s">
        <v>36</v>
      </c>
    </row>
    <row r="778" spans="1:13" x14ac:dyDescent="0.25">
      <c r="A778" s="274">
        <v>381</v>
      </c>
      <c r="B778" s="122">
        <v>75855</v>
      </c>
      <c r="C778" s="124" t="s">
        <v>2736</v>
      </c>
      <c r="D778" s="122" t="s">
        <v>484</v>
      </c>
      <c r="E778" s="150" t="s">
        <v>116</v>
      </c>
      <c r="F778" s="126" t="s">
        <v>419</v>
      </c>
      <c r="G778" s="271" t="s">
        <v>718</v>
      </c>
      <c r="H778" s="123">
        <v>41607</v>
      </c>
      <c r="I778" s="122">
        <v>1</v>
      </c>
      <c r="J778" s="402">
        <v>5274</v>
      </c>
      <c r="K778" s="403">
        <v>5274</v>
      </c>
      <c r="L778" s="270" t="s">
        <v>960</v>
      </c>
      <c r="M778" s="130" t="s">
        <v>36</v>
      </c>
    </row>
    <row r="779" spans="1:13" x14ac:dyDescent="0.25">
      <c r="A779" s="274">
        <v>382</v>
      </c>
      <c r="B779" s="122">
        <v>71518</v>
      </c>
      <c r="C779" s="124" t="s">
        <v>2672</v>
      </c>
      <c r="D779" s="122" t="s">
        <v>484</v>
      </c>
      <c r="E779" s="150" t="s">
        <v>115</v>
      </c>
      <c r="F779" s="126" t="s">
        <v>527</v>
      </c>
      <c r="G779" s="271" t="s">
        <v>1269</v>
      </c>
      <c r="H779" s="123">
        <v>41593</v>
      </c>
      <c r="I779" s="122">
        <v>1</v>
      </c>
      <c r="J779" s="402">
        <v>33370</v>
      </c>
      <c r="K779" s="403">
        <v>33370</v>
      </c>
      <c r="L779" s="270" t="s">
        <v>960</v>
      </c>
      <c r="M779" s="130" t="s">
        <v>36</v>
      </c>
    </row>
    <row r="780" spans="1:13" x14ac:dyDescent="0.25">
      <c r="A780" s="274">
        <v>383</v>
      </c>
      <c r="B780" s="122">
        <v>70078</v>
      </c>
      <c r="C780" s="124" t="s">
        <v>2673</v>
      </c>
      <c r="D780" s="122" t="s">
        <v>484</v>
      </c>
      <c r="E780" s="150" t="s">
        <v>115</v>
      </c>
      <c r="F780" s="126" t="s">
        <v>645</v>
      </c>
      <c r="G780" s="271" t="s">
        <v>583</v>
      </c>
      <c r="H780" s="123">
        <v>41589</v>
      </c>
      <c r="I780" s="122">
        <v>1</v>
      </c>
      <c r="J780" s="402">
        <v>33370</v>
      </c>
      <c r="K780" s="403">
        <v>33370</v>
      </c>
      <c r="L780" s="270" t="s">
        <v>960</v>
      </c>
      <c r="M780" s="130" t="s">
        <v>36</v>
      </c>
    </row>
    <row r="781" spans="1:13" x14ac:dyDescent="0.25">
      <c r="A781" s="274">
        <v>384</v>
      </c>
      <c r="B781" s="122">
        <v>72994</v>
      </c>
      <c r="C781" s="124" t="s">
        <v>2737</v>
      </c>
      <c r="D781" s="122" t="s">
        <v>484</v>
      </c>
      <c r="E781" s="150" t="s">
        <v>116</v>
      </c>
      <c r="F781" s="126" t="s">
        <v>2514</v>
      </c>
      <c r="G781" s="271"/>
      <c r="H781" s="123">
        <v>41598</v>
      </c>
      <c r="I781" s="122">
        <v>2</v>
      </c>
      <c r="J781" s="402">
        <v>5274</v>
      </c>
      <c r="K781" s="403">
        <v>10548</v>
      </c>
      <c r="L781" s="270" t="s">
        <v>960</v>
      </c>
      <c r="M781" s="130" t="s">
        <v>36</v>
      </c>
    </row>
    <row r="782" spans="1:13" x14ac:dyDescent="0.25">
      <c r="A782" s="274">
        <v>385</v>
      </c>
      <c r="B782" s="122">
        <v>68565</v>
      </c>
      <c r="C782" s="124" t="s">
        <v>1315</v>
      </c>
      <c r="D782" s="122" t="s">
        <v>476</v>
      </c>
      <c r="E782" s="150" t="s">
        <v>115</v>
      </c>
      <c r="F782" s="126" t="s">
        <v>562</v>
      </c>
      <c r="G782" s="271" t="s">
        <v>629</v>
      </c>
      <c r="H782" s="123">
        <v>41583</v>
      </c>
      <c r="I782" s="122">
        <v>1</v>
      </c>
      <c r="J782" s="402">
        <v>33370</v>
      </c>
      <c r="K782" s="403">
        <v>33370</v>
      </c>
      <c r="L782" s="270" t="s">
        <v>960</v>
      </c>
      <c r="M782" s="130" t="s">
        <v>36</v>
      </c>
    </row>
    <row r="783" spans="1:13" x14ac:dyDescent="0.25">
      <c r="A783" s="274">
        <v>386</v>
      </c>
      <c r="B783" s="122">
        <v>69952</v>
      </c>
      <c r="C783" s="124" t="s">
        <v>1350</v>
      </c>
      <c r="D783" s="122" t="s">
        <v>484</v>
      </c>
      <c r="E783" s="150" t="s">
        <v>116</v>
      </c>
      <c r="F783" s="126" t="s">
        <v>472</v>
      </c>
      <c r="G783" s="271" t="s">
        <v>718</v>
      </c>
      <c r="H783" s="123">
        <v>41590</v>
      </c>
      <c r="I783" s="122">
        <v>1</v>
      </c>
      <c r="J783" s="402">
        <v>5274</v>
      </c>
      <c r="K783" s="403">
        <v>5274</v>
      </c>
      <c r="L783" s="270" t="s">
        <v>960</v>
      </c>
      <c r="M783" s="130" t="s">
        <v>36</v>
      </c>
    </row>
    <row r="784" spans="1:13" x14ac:dyDescent="0.25">
      <c r="A784" s="274">
        <v>387</v>
      </c>
      <c r="B784" s="122">
        <v>71559</v>
      </c>
      <c r="C784" s="124" t="s">
        <v>2738</v>
      </c>
      <c r="D784" s="122" t="s">
        <v>476</v>
      </c>
      <c r="E784" s="150" t="s">
        <v>116</v>
      </c>
      <c r="F784" s="126" t="s">
        <v>527</v>
      </c>
      <c r="G784" s="271" t="s">
        <v>718</v>
      </c>
      <c r="H784" s="123">
        <v>41593</v>
      </c>
      <c r="I784" s="122">
        <v>1</v>
      </c>
      <c r="J784" s="402">
        <v>5274</v>
      </c>
      <c r="K784" s="403">
        <v>5274</v>
      </c>
      <c r="L784" s="270" t="s">
        <v>960</v>
      </c>
      <c r="M784" s="130" t="s">
        <v>36</v>
      </c>
    </row>
    <row r="785" spans="1:13" x14ac:dyDescent="0.25">
      <c r="A785" s="274">
        <v>388</v>
      </c>
      <c r="B785" s="122">
        <v>68692</v>
      </c>
      <c r="C785" s="124" t="s">
        <v>2679</v>
      </c>
      <c r="D785" s="122" t="s">
        <v>484</v>
      </c>
      <c r="E785" s="150" t="s">
        <v>115</v>
      </c>
      <c r="F785" s="126" t="s">
        <v>472</v>
      </c>
      <c r="G785" s="271" t="s">
        <v>678</v>
      </c>
      <c r="H785" s="123">
        <v>41583</v>
      </c>
      <c r="I785" s="122">
        <v>1</v>
      </c>
      <c r="J785" s="402">
        <v>33370</v>
      </c>
      <c r="K785" s="403">
        <v>33370</v>
      </c>
      <c r="L785" s="270" t="s">
        <v>960</v>
      </c>
      <c r="M785" s="130" t="s">
        <v>36</v>
      </c>
    </row>
    <row r="786" spans="1:13" x14ac:dyDescent="0.25">
      <c r="A786" s="274">
        <v>389</v>
      </c>
      <c r="B786" s="122">
        <v>68852</v>
      </c>
      <c r="C786" s="124" t="s">
        <v>2739</v>
      </c>
      <c r="D786" s="122" t="s">
        <v>505</v>
      </c>
      <c r="E786" s="150" t="s">
        <v>580</v>
      </c>
      <c r="F786" s="126" t="s">
        <v>371</v>
      </c>
      <c r="G786" s="271"/>
      <c r="H786" s="123">
        <v>41583</v>
      </c>
      <c r="I786" s="122">
        <v>1</v>
      </c>
      <c r="J786" s="402">
        <v>25800</v>
      </c>
      <c r="K786" s="403">
        <v>25800</v>
      </c>
      <c r="L786" s="270" t="s">
        <v>960</v>
      </c>
      <c r="M786" s="130" t="s">
        <v>36</v>
      </c>
    </row>
    <row r="787" spans="1:13" x14ac:dyDescent="0.25">
      <c r="A787" s="274">
        <v>390</v>
      </c>
      <c r="B787" s="122">
        <v>71565</v>
      </c>
      <c r="C787" s="124" t="s">
        <v>2740</v>
      </c>
      <c r="D787" s="122" t="s">
        <v>476</v>
      </c>
      <c r="E787" s="150" t="s">
        <v>577</v>
      </c>
      <c r="F787" s="126" t="s">
        <v>419</v>
      </c>
      <c r="G787" s="271" t="s">
        <v>1269</v>
      </c>
      <c r="H787" s="123">
        <v>41593</v>
      </c>
      <c r="I787" s="122">
        <v>1</v>
      </c>
      <c r="J787" s="402">
        <v>49701</v>
      </c>
      <c r="K787" s="403">
        <v>49701</v>
      </c>
      <c r="L787" s="270" t="s">
        <v>960</v>
      </c>
      <c r="M787" s="130" t="s">
        <v>36</v>
      </c>
    </row>
    <row r="788" spans="1:13" x14ac:dyDescent="0.25">
      <c r="A788" s="274">
        <v>391</v>
      </c>
      <c r="B788" s="122">
        <v>71401</v>
      </c>
      <c r="C788" s="124" t="s">
        <v>2741</v>
      </c>
      <c r="D788" s="122" t="s">
        <v>481</v>
      </c>
      <c r="E788" s="150" t="s">
        <v>217</v>
      </c>
      <c r="F788" s="126" t="s">
        <v>371</v>
      </c>
      <c r="G788" s="271" t="s">
        <v>489</v>
      </c>
      <c r="H788" s="123">
        <v>41592</v>
      </c>
      <c r="I788" s="122">
        <v>1</v>
      </c>
      <c r="J788" s="402">
        <v>44597</v>
      </c>
      <c r="K788" s="403">
        <v>44597</v>
      </c>
      <c r="L788" s="270" t="s">
        <v>960</v>
      </c>
      <c r="M788" s="130" t="s">
        <v>36</v>
      </c>
    </row>
    <row r="789" spans="1:13" x14ac:dyDescent="0.25">
      <c r="A789" s="274">
        <v>392</v>
      </c>
      <c r="B789" s="122">
        <v>73543</v>
      </c>
      <c r="C789" s="124" t="s">
        <v>2742</v>
      </c>
      <c r="D789" s="122" t="s">
        <v>484</v>
      </c>
      <c r="E789" s="150" t="s">
        <v>115</v>
      </c>
      <c r="F789" s="126" t="s">
        <v>1098</v>
      </c>
      <c r="G789" s="271" t="s">
        <v>583</v>
      </c>
      <c r="H789" s="123">
        <v>41600</v>
      </c>
      <c r="I789" s="122">
        <v>2</v>
      </c>
      <c r="J789" s="402">
        <v>33370</v>
      </c>
      <c r="K789" s="403">
        <v>66740</v>
      </c>
      <c r="L789" s="270" t="s">
        <v>960</v>
      </c>
      <c r="M789" s="130" t="s">
        <v>36</v>
      </c>
    </row>
    <row r="790" spans="1:13" x14ac:dyDescent="0.25">
      <c r="A790" s="274">
        <v>393</v>
      </c>
      <c r="B790" s="122">
        <v>73698</v>
      </c>
      <c r="C790" s="124" t="s">
        <v>1351</v>
      </c>
      <c r="D790" s="122" t="s">
        <v>476</v>
      </c>
      <c r="E790" s="150" t="s">
        <v>116</v>
      </c>
      <c r="F790" s="126" t="s">
        <v>383</v>
      </c>
      <c r="G790" s="271"/>
      <c r="H790" s="123">
        <v>41600</v>
      </c>
      <c r="I790" s="122">
        <v>1</v>
      </c>
      <c r="J790" s="402">
        <v>5274</v>
      </c>
      <c r="K790" s="403">
        <v>5274</v>
      </c>
      <c r="L790" s="270" t="s">
        <v>960</v>
      </c>
      <c r="M790" s="130" t="s">
        <v>36</v>
      </c>
    </row>
    <row r="791" spans="1:13" x14ac:dyDescent="0.25">
      <c r="A791" s="274">
        <v>394</v>
      </c>
      <c r="B791" s="122">
        <v>71711</v>
      </c>
      <c r="C791" s="124" t="s">
        <v>2743</v>
      </c>
      <c r="D791" s="122" t="s">
        <v>476</v>
      </c>
      <c r="E791" s="150" t="s">
        <v>537</v>
      </c>
      <c r="F791" s="126" t="s">
        <v>431</v>
      </c>
      <c r="G791" s="271" t="s">
        <v>1994</v>
      </c>
      <c r="H791" s="123">
        <v>41593</v>
      </c>
      <c r="I791" s="122">
        <v>1</v>
      </c>
      <c r="J791" s="402">
        <v>30429</v>
      </c>
      <c r="K791" s="403">
        <v>30429</v>
      </c>
      <c r="L791" s="270" t="s">
        <v>960</v>
      </c>
      <c r="M791" s="130" t="s">
        <v>36</v>
      </c>
    </row>
    <row r="792" spans="1:13" x14ac:dyDescent="0.25">
      <c r="A792" s="274">
        <v>395</v>
      </c>
      <c r="B792" s="122">
        <v>71841</v>
      </c>
      <c r="C792" s="124" t="s">
        <v>1448</v>
      </c>
      <c r="D792" s="122" t="s">
        <v>484</v>
      </c>
      <c r="E792" s="150" t="s">
        <v>115</v>
      </c>
      <c r="F792" s="126" t="s">
        <v>442</v>
      </c>
      <c r="G792" s="271" t="s">
        <v>583</v>
      </c>
      <c r="H792" s="123">
        <v>41593</v>
      </c>
      <c r="I792" s="122">
        <v>1</v>
      </c>
      <c r="J792" s="402">
        <v>33370</v>
      </c>
      <c r="K792" s="403">
        <v>33370</v>
      </c>
      <c r="L792" s="270" t="s">
        <v>960</v>
      </c>
      <c r="M792" s="130" t="s">
        <v>36</v>
      </c>
    </row>
    <row r="793" spans="1:13" x14ac:dyDescent="0.25">
      <c r="A793" s="274">
        <v>396</v>
      </c>
      <c r="B793" s="122">
        <v>68701</v>
      </c>
      <c r="C793" s="124" t="s">
        <v>2695</v>
      </c>
      <c r="D793" s="122" t="s">
        <v>476</v>
      </c>
      <c r="E793" s="150" t="s">
        <v>682</v>
      </c>
      <c r="F793" s="126" t="s">
        <v>369</v>
      </c>
      <c r="G793" s="271" t="s">
        <v>489</v>
      </c>
      <c r="H793" s="123">
        <v>41583</v>
      </c>
      <c r="I793" s="122">
        <v>1</v>
      </c>
      <c r="J793" s="402">
        <v>55058</v>
      </c>
      <c r="K793" s="403">
        <v>55058</v>
      </c>
      <c r="L793" s="270" t="s">
        <v>960</v>
      </c>
      <c r="M793" s="130" t="s">
        <v>36</v>
      </c>
    </row>
    <row r="794" spans="1:13" x14ac:dyDescent="0.25">
      <c r="A794" s="274">
        <v>397</v>
      </c>
      <c r="B794" s="122">
        <v>69506</v>
      </c>
      <c r="C794" s="124" t="s">
        <v>2744</v>
      </c>
      <c r="D794" s="122" t="s">
        <v>484</v>
      </c>
      <c r="E794" s="150" t="s">
        <v>577</v>
      </c>
      <c r="F794" s="126" t="s">
        <v>442</v>
      </c>
      <c r="G794" s="271" t="s">
        <v>583</v>
      </c>
      <c r="H794" s="123">
        <v>41586</v>
      </c>
      <c r="I794" s="122">
        <v>1</v>
      </c>
      <c r="J794" s="402">
        <v>49701</v>
      </c>
      <c r="K794" s="403">
        <v>49701</v>
      </c>
      <c r="L794" s="270" t="s">
        <v>960</v>
      </c>
      <c r="M794" s="130" t="s">
        <v>36</v>
      </c>
    </row>
    <row r="795" spans="1:13" x14ac:dyDescent="0.25">
      <c r="A795" s="274">
        <v>398</v>
      </c>
      <c r="B795" s="122">
        <v>74871</v>
      </c>
      <c r="C795" s="124" t="s">
        <v>2745</v>
      </c>
      <c r="D795" s="122" t="s">
        <v>476</v>
      </c>
      <c r="E795" s="150" t="s">
        <v>217</v>
      </c>
      <c r="F795" s="126" t="s">
        <v>371</v>
      </c>
      <c r="G795" s="271" t="s">
        <v>573</v>
      </c>
      <c r="H795" s="123">
        <v>41604</v>
      </c>
      <c r="I795" s="122">
        <v>1</v>
      </c>
      <c r="J795" s="402">
        <v>44597</v>
      </c>
      <c r="K795" s="403">
        <v>44597</v>
      </c>
      <c r="L795" s="270" t="s">
        <v>960</v>
      </c>
      <c r="M795" s="130" t="s">
        <v>36</v>
      </c>
    </row>
    <row r="796" spans="1:13" x14ac:dyDescent="0.25">
      <c r="A796" s="274">
        <v>399</v>
      </c>
      <c r="B796" s="122">
        <v>74871</v>
      </c>
      <c r="C796" s="124" t="s">
        <v>2745</v>
      </c>
      <c r="D796" s="122" t="s">
        <v>476</v>
      </c>
      <c r="E796" s="150" t="s">
        <v>682</v>
      </c>
      <c r="F796" s="126" t="s">
        <v>369</v>
      </c>
      <c r="G796" s="271" t="s">
        <v>573</v>
      </c>
      <c r="H796" s="123">
        <v>41604</v>
      </c>
      <c r="I796" s="122">
        <v>1</v>
      </c>
      <c r="J796" s="402">
        <v>55058</v>
      </c>
      <c r="K796" s="403">
        <v>55058</v>
      </c>
      <c r="L796" s="270" t="s">
        <v>960</v>
      </c>
      <c r="M796" s="130" t="s">
        <v>36</v>
      </c>
    </row>
    <row r="797" spans="1:13" x14ac:dyDescent="0.25">
      <c r="A797" s="274">
        <v>400</v>
      </c>
      <c r="B797" s="122">
        <v>69953</v>
      </c>
      <c r="C797" s="124" t="s">
        <v>2746</v>
      </c>
      <c r="D797" s="122" t="s">
        <v>476</v>
      </c>
      <c r="E797" s="150" t="s">
        <v>116</v>
      </c>
      <c r="F797" s="126" t="s">
        <v>562</v>
      </c>
      <c r="G797" s="271" t="s">
        <v>489</v>
      </c>
      <c r="H797" s="123">
        <v>41590</v>
      </c>
      <c r="I797" s="122">
        <v>1</v>
      </c>
      <c r="J797" s="402">
        <v>5274</v>
      </c>
      <c r="K797" s="403">
        <v>5274</v>
      </c>
      <c r="L797" s="270" t="s">
        <v>960</v>
      </c>
      <c r="M797" s="130" t="s">
        <v>36</v>
      </c>
    </row>
    <row r="798" spans="1:13" x14ac:dyDescent="0.25">
      <c r="A798" s="274">
        <v>401</v>
      </c>
      <c r="B798" s="122">
        <v>69625</v>
      </c>
      <c r="C798" s="124" t="s">
        <v>2479</v>
      </c>
      <c r="D798" s="122" t="s">
        <v>476</v>
      </c>
      <c r="E798" s="150" t="s">
        <v>197</v>
      </c>
      <c r="F798" s="126" t="s">
        <v>1004</v>
      </c>
      <c r="G798" s="271"/>
      <c r="H798" s="123">
        <v>41282</v>
      </c>
      <c r="I798" s="122">
        <v>4</v>
      </c>
      <c r="J798" s="402">
        <v>2739</v>
      </c>
      <c r="K798" s="403">
        <v>10956</v>
      </c>
      <c r="L798" s="270" t="s">
        <v>960</v>
      </c>
      <c r="M798" s="130" t="s">
        <v>36</v>
      </c>
    </row>
    <row r="799" spans="1:13" x14ac:dyDescent="0.25">
      <c r="A799" s="274">
        <v>402</v>
      </c>
      <c r="B799" s="122">
        <v>70714</v>
      </c>
      <c r="C799" s="124" t="s">
        <v>2747</v>
      </c>
      <c r="D799" s="122" t="s">
        <v>1296</v>
      </c>
      <c r="E799" s="150" t="s">
        <v>197</v>
      </c>
      <c r="F799" s="126" t="s">
        <v>2015</v>
      </c>
      <c r="G799" s="271"/>
      <c r="H799" s="123">
        <v>41591</v>
      </c>
      <c r="I799" s="122">
        <v>6</v>
      </c>
      <c r="J799" s="402">
        <v>2739</v>
      </c>
      <c r="K799" s="403">
        <v>16434</v>
      </c>
      <c r="L799" s="270" t="s">
        <v>960</v>
      </c>
      <c r="M799" s="130" t="s">
        <v>36</v>
      </c>
    </row>
    <row r="800" spans="1:13" x14ac:dyDescent="0.25">
      <c r="A800" s="274">
        <v>403</v>
      </c>
      <c r="B800" s="122">
        <v>73095</v>
      </c>
      <c r="C800" s="124" t="s">
        <v>2748</v>
      </c>
      <c r="D800" s="122" t="s">
        <v>481</v>
      </c>
      <c r="E800" s="150" t="s">
        <v>116</v>
      </c>
      <c r="F800" s="126" t="s">
        <v>2749</v>
      </c>
      <c r="G800" s="271" t="s">
        <v>489</v>
      </c>
      <c r="H800" s="123">
        <v>41599</v>
      </c>
      <c r="I800" s="122">
        <v>3</v>
      </c>
      <c r="J800" s="402">
        <v>5274</v>
      </c>
      <c r="K800" s="403">
        <v>15822</v>
      </c>
      <c r="L800" s="270" t="s">
        <v>960</v>
      </c>
      <c r="M800" s="130" t="s">
        <v>36</v>
      </c>
    </row>
    <row r="801" spans="1:13" x14ac:dyDescent="0.25">
      <c r="A801" s="274">
        <v>404</v>
      </c>
      <c r="B801" s="122">
        <v>74932</v>
      </c>
      <c r="C801" s="124" t="s">
        <v>2505</v>
      </c>
      <c r="D801" s="122" t="s">
        <v>476</v>
      </c>
      <c r="E801" s="150" t="s">
        <v>115</v>
      </c>
      <c r="F801" s="126" t="s">
        <v>2506</v>
      </c>
      <c r="G801" s="271" t="s">
        <v>2750</v>
      </c>
      <c r="H801" s="123">
        <v>41604</v>
      </c>
      <c r="I801" s="122">
        <v>2</v>
      </c>
      <c r="J801" s="402">
        <v>33370</v>
      </c>
      <c r="K801" s="403">
        <v>66740</v>
      </c>
      <c r="L801" s="270" t="s">
        <v>960</v>
      </c>
      <c r="M801" s="130" t="s">
        <v>36</v>
      </c>
    </row>
    <row r="802" spans="1:13" x14ac:dyDescent="0.25">
      <c r="A802" s="274">
        <v>405</v>
      </c>
      <c r="B802" s="122">
        <v>66618</v>
      </c>
      <c r="C802" s="124" t="s">
        <v>2751</v>
      </c>
      <c r="D802" s="122" t="s">
        <v>476</v>
      </c>
      <c r="E802" s="150" t="s">
        <v>116</v>
      </c>
      <c r="F802" s="126" t="s">
        <v>511</v>
      </c>
      <c r="G802" s="271" t="s">
        <v>489</v>
      </c>
      <c r="H802" s="123">
        <v>41575</v>
      </c>
      <c r="I802" s="122">
        <v>1</v>
      </c>
      <c r="J802" s="402">
        <v>5274</v>
      </c>
      <c r="K802" s="403">
        <v>5274</v>
      </c>
      <c r="L802" s="270" t="s">
        <v>960</v>
      </c>
      <c r="M802" s="130" t="s">
        <v>36</v>
      </c>
    </row>
    <row r="803" spans="1:13" ht="13.5" thickBot="1" x14ac:dyDescent="0.3">
      <c r="A803" s="282">
        <v>406</v>
      </c>
      <c r="B803" s="405">
        <v>70138</v>
      </c>
      <c r="C803" s="406" t="s">
        <v>2751</v>
      </c>
      <c r="D803" s="405" t="s">
        <v>476</v>
      </c>
      <c r="E803" s="407" t="s">
        <v>115</v>
      </c>
      <c r="F803" s="408" t="s">
        <v>511</v>
      </c>
      <c r="G803" s="409" t="s">
        <v>2165</v>
      </c>
      <c r="H803" s="410">
        <v>41589</v>
      </c>
      <c r="I803" s="405">
        <v>1</v>
      </c>
      <c r="J803" s="411">
        <v>33370</v>
      </c>
      <c r="K803" s="412">
        <v>33370</v>
      </c>
      <c r="L803" s="413" t="s">
        <v>960</v>
      </c>
      <c r="M803" s="130" t="s">
        <v>36</v>
      </c>
    </row>
    <row r="804" spans="1:13" ht="12.75" customHeight="1" x14ac:dyDescent="0.25">
      <c r="A804" s="414">
        <v>407</v>
      </c>
      <c r="B804" s="414">
        <v>54392</v>
      </c>
      <c r="C804" s="415" t="s">
        <v>2491</v>
      </c>
      <c r="D804" s="414" t="s">
        <v>476</v>
      </c>
      <c r="E804" s="416" t="s">
        <v>115</v>
      </c>
      <c r="F804" s="417" t="s">
        <v>419</v>
      </c>
      <c r="G804" s="418" t="s">
        <v>563</v>
      </c>
      <c r="H804" s="419">
        <v>41551</v>
      </c>
      <c r="I804" s="414">
        <v>1</v>
      </c>
      <c r="J804" s="420">
        <v>33370</v>
      </c>
      <c r="K804" s="421">
        <v>33370</v>
      </c>
      <c r="L804" s="422" t="s">
        <v>623</v>
      </c>
      <c r="M804" s="130" t="s">
        <v>36</v>
      </c>
    </row>
    <row r="805" spans="1:13" x14ac:dyDescent="0.25">
      <c r="A805" s="122">
        <v>408</v>
      </c>
      <c r="B805" s="122">
        <v>72656</v>
      </c>
      <c r="C805" s="124" t="s">
        <v>2752</v>
      </c>
      <c r="D805" s="122" t="s">
        <v>1234</v>
      </c>
      <c r="E805" s="150" t="s">
        <v>580</v>
      </c>
      <c r="F805" s="126" t="s">
        <v>371</v>
      </c>
      <c r="G805" s="271"/>
      <c r="H805" s="123">
        <v>41598</v>
      </c>
      <c r="I805" s="122">
        <v>1</v>
      </c>
      <c r="J805" s="402">
        <v>25800</v>
      </c>
      <c r="K805" s="403">
        <v>25800</v>
      </c>
      <c r="L805" s="270" t="s">
        <v>623</v>
      </c>
      <c r="M805" s="130" t="s">
        <v>36</v>
      </c>
    </row>
    <row r="806" spans="1:13" x14ac:dyDescent="0.25">
      <c r="A806" s="122">
        <v>409</v>
      </c>
      <c r="B806" s="122">
        <v>68136</v>
      </c>
      <c r="C806" s="124" t="s">
        <v>2753</v>
      </c>
      <c r="D806" s="122" t="s">
        <v>484</v>
      </c>
      <c r="E806" s="150" t="s">
        <v>580</v>
      </c>
      <c r="F806" s="126" t="s">
        <v>371</v>
      </c>
      <c r="G806" s="271"/>
      <c r="H806" s="123">
        <v>41578</v>
      </c>
      <c r="I806" s="122">
        <v>1</v>
      </c>
      <c r="J806" s="402">
        <v>25800</v>
      </c>
      <c r="K806" s="403">
        <v>25800</v>
      </c>
      <c r="L806" s="270" t="s">
        <v>623</v>
      </c>
      <c r="M806" s="130" t="s">
        <v>36</v>
      </c>
    </row>
    <row r="807" spans="1:13" x14ac:dyDescent="0.25">
      <c r="A807" s="122">
        <v>412</v>
      </c>
      <c r="B807" s="122">
        <v>71911</v>
      </c>
      <c r="C807" s="124" t="s">
        <v>2754</v>
      </c>
      <c r="D807" s="122" t="s">
        <v>484</v>
      </c>
      <c r="E807" s="150" t="s">
        <v>577</v>
      </c>
      <c r="F807" s="126" t="s">
        <v>562</v>
      </c>
      <c r="G807" s="271" t="s">
        <v>583</v>
      </c>
      <c r="H807" s="123">
        <v>41593</v>
      </c>
      <c r="I807" s="122">
        <v>1</v>
      </c>
      <c r="J807" s="402">
        <v>49701</v>
      </c>
      <c r="K807" s="403">
        <v>49701</v>
      </c>
      <c r="L807" s="270" t="s">
        <v>623</v>
      </c>
      <c r="M807" s="130" t="s">
        <v>36</v>
      </c>
    </row>
    <row r="808" spans="1:13" x14ac:dyDescent="0.25">
      <c r="A808" s="122">
        <v>413</v>
      </c>
      <c r="B808" s="122">
        <v>76527</v>
      </c>
      <c r="C808" s="124" t="s">
        <v>2755</v>
      </c>
      <c r="D808" s="122" t="s">
        <v>481</v>
      </c>
      <c r="E808" s="150" t="s">
        <v>217</v>
      </c>
      <c r="F808" s="126" t="s">
        <v>369</v>
      </c>
      <c r="G808" s="271"/>
      <c r="H808" s="123">
        <v>41607</v>
      </c>
      <c r="I808" s="122">
        <v>1</v>
      </c>
      <c r="J808" s="402">
        <v>44597</v>
      </c>
      <c r="K808" s="403">
        <v>44597</v>
      </c>
      <c r="L808" s="270" t="s">
        <v>623</v>
      </c>
      <c r="M808" s="130" t="s">
        <v>36</v>
      </c>
    </row>
    <row r="809" spans="1:13" x14ac:dyDescent="0.25">
      <c r="A809" s="122">
        <v>414</v>
      </c>
      <c r="B809" s="122">
        <v>68701</v>
      </c>
      <c r="C809" s="124" t="s">
        <v>2695</v>
      </c>
      <c r="D809" s="122" t="s">
        <v>476</v>
      </c>
      <c r="E809" s="150" t="s">
        <v>217</v>
      </c>
      <c r="F809" s="126" t="s">
        <v>371</v>
      </c>
      <c r="G809" s="271" t="s">
        <v>489</v>
      </c>
      <c r="H809" s="123">
        <v>41583</v>
      </c>
      <c r="I809" s="122">
        <v>1</v>
      </c>
      <c r="J809" s="402">
        <v>44597</v>
      </c>
      <c r="K809" s="403">
        <v>44597</v>
      </c>
      <c r="L809" s="270" t="s">
        <v>623</v>
      </c>
      <c r="M809" s="130" t="s">
        <v>36</v>
      </c>
    </row>
    <row r="810" spans="1:13" x14ac:dyDescent="0.25">
      <c r="A810" s="122">
        <v>416</v>
      </c>
      <c r="B810" s="122">
        <v>72917</v>
      </c>
      <c r="C810" s="124" t="s">
        <v>2756</v>
      </c>
      <c r="D810" s="122" t="s">
        <v>474</v>
      </c>
      <c r="E810" s="150" t="s">
        <v>580</v>
      </c>
      <c r="F810" s="126" t="s">
        <v>371</v>
      </c>
      <c r="G810" s="271"/>
      <c r="H810" s="123">
        <v>41598</v>
      </c>
      <c r="I810" s="122">
        <v>1</v>
      </c>
      <c r="J810" s="402">
        <v>25800</v>
      </c>
      <c r="K810" s="403">
        <v>25800</v>
      </c>
      <c r="L810" s="270" t="s">
        <v>623</v>
      </c>
      <c r="M810" s="130" t="s">
        <v>36</v>
      </c>
    </row>
    <row r="811" spans="1:13" x14ac:dyDescent="0.25">
      <c r="A811" s="122">
        <v>417</v>
      </c>
      <c r="B811" s="122">
        <v>76777</v>
      </c>
      <c r="C811" s="124" t="s">
        <v>2757</v>
      </c>
      <c r="D811" s="122" t="s">
        <v>376</v>
      </c>
      <c r="E811" s="150" t="s">
        <v>537</v>
      </c>
      <c r="F811" s="126" t="s">
        <v>527</v>
      </c>
      <c r="G811" s="271" t="s">
        <v>554</v>
      </c>
      <c r="H811" s="123">
        <v>41610</v>
      </c>
      <c r="I811" s="122">
        <v>1</v>
      </c>
      <c r="J811" s="402">
        <v>30429</v>
      </c>
      <c r="K811" s="403">
        <v>30429</v>
      </c>
      <c r="L811" s="270" t="s">
        <v>623</v>
      </c>
      <c r="M811" s="130" t="s">
        <v>36</v>
      </c>
    </row>
    <row r="812" spans="1:13" x14ac:dyDescent="0.25">
      <c r="A812" s="122">
        <v>420</v>
      </c>
      <c r="B812" s="122">
        <v>77816</v>
      </c>
      <c r="C812" s="124" t="s">
        <v>1246</v>
      </c>
      <c r="D812" s="122" t="s">
        <v>1978</v>
      </c>
      <c r="E812" s="150" t="s">
        <v>116</v>
      </c>
      <c r="F812" s="126" t="s">
        <v>594</v>
      </c>
      <c r="G812" s="271" t="s">
        <v>489</v>
      </c>
      <c r="H812" s="123">
        <v>41613</v>
      </c>
      <c r="I812" s="122">
        <v>1</v>
      </c>
      <c r="J812" s="402">
        <v>5274</v>
      </c>
      <c r="K812" s="403">
        <v>5274</v>
      </c>
      <c r="L812" s="270" t="s">
        <v>623</v>
      </c>
      <c r="M812" s="130" t="s">
        <v>36</v>
      </c>
    </row>
    <row r="813" spans="1:13" x14ac:dyDescent="0.25">
      <c r="A813" s="122">
        <v>421</v>
      </c>
      <c r="B813" s="122">
        <v>76753</v>
      </c>
      <c r="C813" s="124" t="s">
        <v>2758</v>
      </c>
      <c r="D813" s="122" t="s">
        <v>476</v>
      </c>
      <c r="E813" s="150" t="s">
        <v>580</v>
      </c>
      <c r="F813" s="126" t="s">
        <v>371</v>
      </c>
      <c r="G813" s="271"/>
      <c r="H813" s="123">
        <v>41610</v>
      </c>
      <c r="I813" s="122">
        <v>1</v>
      </c>
      <c r="J813" s="402">
        <v>25800</v>
      </c>
      <c r="K813" s="403">
        <v>25800</v>
      </c>
      <c r="L813" s="270" t="s">
        <v>623</v>
      </c>
      <c r="M813" s="130" t="s">
        <v>36</v>
      </c>
    </row>
    <row r="814" spans="1:13" x14ac:dyDescent="0.25">
      <c r="A814" s="122">
        <v>422</v>
      </c>
      <c r="B814" s="122">
        <v>76928</v>
      </c>
      <c r="C814" s="124" t="s">
        <v>2701</v>
      </c>
      <c r="D814" s="122" t="s">
        <v>476</v>
      </c>
      <c r="E814" s="150" t="s">
        <v>115</v>
      </c>
      <c r="F814" s="126" t="s">
        <v>442</v>
      </c>
      <c r="G814" s="271"/>
      <c r="H814" s="123">
        <v>41611</v>
      </c>
      <c r="I814" s="122">
        <v>1</v>
      </c>
      <c r="J814" s="402">
        <v>33370</v>
      </c>
      <c r="K814" s="403">
        <v>33370</v>
      </c>
      <c r="L814" s="270" t="s">
        <v>623</v>
      </c>
      <c r="M814" s="130" t="s">
        <v>36</v>
      </c>
    </row>
    <row r="815" spans="1:13" x14ac:dyDescent="0.25">
      <c r="A815" s="122">
        <v>423</v>
      </c>
      <c r="B815" s="122">
        <v>77141</v>
      </c>
      <c r="C815" s="124" t="s">
        <v>2759</v>
      </c>
      <c r="D815" s="122" t="s">
        <v>484</v>
      </c>
      <c r="E815" s="150" t="s">
        <v>537</v>
      </c>
      <c r="F815" s="126" t="s">
        <v>594</v>
      </c>
      <c r="G815" s="271" t="s">
        <v>554</v>
      </c>
      <c r="H815" s="123">
        <v>41611</v>
      </c>
      <c r="I815" s="122">
        <v>1</v>
      </c>
      <c r="J815" s="402">
        <v>30429</v>
      </c>
      <c r="K815" s="403">
        <v>30429</v>
      </c>
      <c r="L815" s="270" t="s">
        <v>623</v>
      </c>
      <c r="M815" s="130" t="s">
        <v>36</v>
      </c>
    </row>
    <row r="816" spans="1:13" x14ac:dyDescent="0.25">
      <c r="A816" s="122">
        <v>424</v>
      </c>
      <c r="B816" s="122">
        <v>77640</v>
      </c>
      <c r="C816" s="124" t="s">
        <v>2760</v>
      </c>
      <c r="D816" s="122" t="s">
        <v>474</v>
      </c>
      <c r="E816" s="150" t="s">
        <v>580</v>
      </c>
      <c r="F816" s="126" t="s">
        <v>371</v>
      </c>
      <c r="G816" s="271"/>
      <c r="H816" s="123">
        <v>41612</v>
      </c>
      <c r="I816" s="122">
        <v>1</v>
      </c>
      <c r="J816" s="402">
        <v>25800</v>
      </c>
      <c r="K816" s="403">
        <v>25800</v>
      </c>
      <c r="L816" s="270" t="s">
        <v>623</v>
      </c>
      <c r="M816" s="130" t="s">
        <v>36</v>
      </c>
    </row>
    <row r="817" spans="1:13" x14ac:dyDescent="0.25">
      <c r="A817" s="122">
        <v>425</v>
      </c>
      <c r="B817" s="122">
        <v>77434</v>
      </c>
      <c r="C817" s="124" t="s">
        <v>2689</v>
      </c>
      <c r="D817" s="122" t="s">
        <v>476</v>
      </c>
      <c r="E817" s="150" t="s">
        <v>577</v>
      </c>
      <c r="F817" s="126" t="s">
        <v>419</v>
      </c>
      <c r="G817" s="271" t="s">
        <v>629</v>
      </c>
      <c r="H817" s="123">
        <v>41611</v>
      </c>
      <c r="I817" s="122">
        <v>1</v>
      </c>
      <c r="J817" s="402">
        <v>49701</v>
      </c>
      <c r="K817" s="403">
        <v>49701</v>
      </c>
      <c r="L817" s="270" t="s">
        <v>623</v>
      </c>
      <c r="M817" s="130" t="s">
        <v>36</v>
      </c>
    </row>
    <row r="818" spans="1:13" x14ac:dyDescent="0.25">
      <c r="A818" s="122">
        <v>428</v>
      </c>
      <c r="B818" s="122">
        <v>81117</v>
      </c>
      <c r="C818" s="124" t="s">
        <v>2761</v>
      </c>
      <c r="D818" s="122" t="s">
        <v>484</v>
      </c>
      <c r="E818" s="150" t="s">
        <v>217</v>
      </c>
      <c r="F818" s="126" t="s">
        <v>369</v>
      </c>
      <c r="G818" s="271" t="s">
        <v>489</v>
      </c>
      <c r="H818" s="123">
        <v>41621</v>
      </c>
      <c r="I818" s="122">
        <v>1</v>
      </c>
      <c r="J818" s="402">
        <v>44597</v>
      </c>
      <c r="K818" s="403">
        <v>44597</v>
      </c>
      <c r="L818" s="270" t="s">
        <v>623</v>
      </c>
      <c r="M818" s="130" t="s">
        <v>36</v>
      </c>
    </row>
    <row r="819" spans="1:13" x14ac:dyDescent="0.25">
      <c r="A819" s="122">
        <v>429</v>
      </c>
      <c r="B819" s="122">
        <v>81072</v>
      </c>
      <c r="C819" s="124" t="s">
        <v>2762</v>
      </c>
      <c r="D819" s="122" t="s">
        <v>484</v>
      </c>
      <c r="E819" s="150" t="s">
        <v>580</v>
      </c>
      <c r="F819" s="126" t="s">
        <v>371</v>
      </c>
      <c r="G819" s="271"/>
      <c r="H819" s="123">
        <v>41624</v>
      </c>
      <c r="I819" s="122">
        <v>1</v>
      </c>
      <c r="J819" s="402">
        <v>25800</v>
      </c>
      <c r="K819" s="403">
        <v>25800</v>
      </c>
      <c r="L819" s="270" t="s">
        <v>623</v>
      </c>
      <c r="M819" s="130" t="s">
        <v>36</v>
      </c>
    </row>
    <row r="820" spans="1:13" x14ac:dyDescent="0.25">
      <c r="A820" s="122">
        <v>430</v>
      </c>
      <c r="B820" s="122">
        <v>80194</v>
      </c>
      <c r="C820" s="124" t="s">
        <v>2763</v>
      </c>
      <c r="D820" s="122" t="s">
        <v>505</v>
      </c>
      <c r="E820" s="150" t="s">
        <v>580</v>
      </c>
      <c r="F820" s="126" t="s">
        <v>371</v>
      </c>
      <c r="G820" s="271"/>
      <c r="H820" s="123">
        <v>41620</v>
      </c>
      <c r="I820" s="122">
        <v>1</v>
      </c>
      <c r="J820" s="402">
        <v>25800</v>
      </c>
      <c r="K820" s="403">
        <v>25800</v>
      </c>
      <c r="L820" s="270" t="s">
        <v>623</v>
      </c>
      <c r="M820" s="130" t="s">
        <v>36</v>
      </c>
    </row>
    <row r="821" spans="1:13" x14ac:dyDescent="0.25">
      <c r="A821" s="122">
        <v>431</v>
      </c>
      <c r="B821" s="122">
        <v>79966</v>
      </c>
      <c r="C821" s="124" t="s">
        <v>1393</v>
      </c>
      <c r="D821" s="122" t="s">
        <v>476</v>
      </c>
      <c r="E821" s="150" t="s">
        <v>115</v>
      </c>
      <c r="F821" s="126" t="s">
        <v>2764</v>
      </c>
      <c r="G821" s="271" t="s">
        <v>2097</v>
      </c>
      <c r="H821" s="123">
        <v>41619</v>
      </c>
      <c r="I821" s="122">
        <v>3</v>
      </c>
      <c r="J821" s="402">
        <v>33370</v>
      </c>
      <c r="K821" s="403">
        <v>100110</v>
      </c>
      <c r="L821" s="270" t="s">
        <v>623</v>
      </c>
      <c r="M821" s="130" t="s">
        <v>36</v>
      </c>
    </row>
    <row r="822" spans="1:13" x14ac:dyDescent="0.25">
      <c r="A822" s="122">
        <v>432</v>
      </c>
      <c r="B822" s="122">
        <v>79836</v>
      </c>
      <c r="C822" s="124" t="s">
        <v>2716</v>
      </c>
      <c r="D822" s="122" t="s">
        <v>484</v>
      </c>
      <c r="E822" s="150" t="s">
        <v>116</v>
      </c>
      <c r="F822" s="126" t="s">
        <v>527</v>
      </c>
      <c r="G822" s="271" t="s">
        <v>489</v>
      </c>
      <c r="H822" s="123">
        <v>41619</v>
      </c>
      <c r="I822" s="122">
        <v>1</v>
      </c>
      <c r="J822" s="402">
        <v>5274</v>
      </c>
      <c r="K822" s="403">
        <v>5274</v>
      </c>
      <c r="L822" s="270" t="s">
        <v>623</v>
      </c>
      <c r="M822" s="130" t="s">
        <v>36</v>
      </c>
    </row>
    <row r="823" spans="1:13" x14ac:dyDescent="0.25">
      <c r="A823" s="122">
        <v>433</v>
      </c>
      <c r="B823" s="122">
        <v>79746</v>
      </c>
      <c r="C823" s="124" t="s">
        <v>2765</v>
      </c>
      <c r="D823" s="122" t="s">
        <v>484</v>
      </c>
      <c r="E823" s="150" t="s">
        <v>116</v>
      </c>
      <c r="F823" s="126" t="s">
        <v>419</v>
      </c>
      <c r="G823" s="271" t="s">
        <v>557</v>
      </c>
      <c r="H823" s="123">
        <v>41619</v>
      </c>
      <c r="I823" s="122">
        <v>1</v>
      </c>
      <c r="J823" s="402">
        <v>5274</v>
      </c>
      <c r="K823" s="403">
        <v>5274</v>
      </c>
      <c r="L823" s="270" t="s">
        <v>623</v>
      </c>
      <c r="M823" s="130" t="s">
        <v>36</v>
      </c>
    </row>
    <row r="824" spans="1:13" x14ac:dyDescent="0.25">
      <c r="A824" s="122">
        <v>436</v>
      </c>
      <c r="B824" s="122">
        <v>79471</v>
      </c>
      <c r="C824" s="124" t="s">
        <v>2746</v>
      </c>
      <c r="D824" s="122" t="s">
        <v>476</v>
      </c>
      <c r="E824" s="150" t="s">
        <v>115</v>
      </c>
      <c r="F824" s="126" t="s">
        <v>562</v>
      </c>
      <c r="G824" s="271" t="s">
        <v>629</v>
      </c>
      <c r="H824" s="123">
        <v>41618</v>
      </c>
      <c r="I824" s="122">
        <v>1</v>
      </c>
      <c r="J824" s="402">
        <v>33370</v>
      </c>
      <c r="K824" s="403">
        <v>33370</v>
      </c>
      <c r="L824" s="270" t="s">
        <v>623</v>
      </c>
      <c r="M824" s="130" t="s">
        <v>36</v>
      </c>
    </row>
    <row r="825" spans="1:13" x14ac:dyDescent="0.25">
      <c r="A825" s="122">
        <v>437</v>
      </c>
      <c r="B825" s="122">
        <v>78667</v>
      </c>
      <c r="C825" s="124" t="s">
        <v>2766</v>
      </c>
      <c r="D825" s="122" t="s">
        <v>474</v>
      </c>
      <c r="E825" s="150" t="s">
        <v>580</v>
      </c>
      <c r="F825" s="126" t="s">
        <v>371</v>
      </c>
      <c r="G825" s="271"/>
      <c r="H825" s="123">
        <v>41614</v>
      </c>
      <c r="I825" s="122">
        <v>1</v>
      </c>
      <c r="J825" s="402">
        <v>25800</v>
      </c>
      <c r="K825" s="403">
        <v>25800</v>
      </c>
      <c r="L825" s="270" t="s">
        <v>623</v>
      </c>
      <c r="M825" s="130" t="s">
        <v>36</v>
      </c>
    </row>
    <row r="826" spans="1:13" x14ac:dyDescent="0.25">
      <c r="A826" s="122">
        <v>438</v>
      </c>
      <c r="B826" s="122">
        <v>81621</v>
      </c>
      <c r="C826" s="124" t="s">
        <v>495</v>
      </c>
      <c r="D826" s="122" t="s">
        <v>491</v>
      </c>
      <c r="E826" s="150" t="s">
        <v>116</v>
      </c>
      <c r="F826" s="126" t="s">
        <v>2767</v>
      </c>
      <c r="G826" s="271" t="s">
        <v>573</v>
      </c>
      <c r="H826" s="123">
        <v>41625</v>
      </c>
      <c r="I826" s="122">
        <v>5</v>
      </c>
      <c r="J826" s="402">
        <v>5274</v>
      </c>
      <c r="K826" s="403">
        <v>26370</v>
      </c>
      <c r="L826" s="270" t="s">
        <v>623</v>
      </c>
      <c r="M826" s="130" t="s">
        <v>36</v>
      </c>
    </row>
    <row r="827" spans="1:13" x14ac:dyDescent="0.25">
      <c r="A827" s="122">
        <v>438</v>
      </c>
      <c r="B827" s="122">
        <v>81995</v>
      </c>
      <c r="C827" s="124" t="s">
        <v>2768</v>
      </c>
      <c r="D827" s="122" t="s">
        <v>484</v>
      </c>
      <c r="E827" s="150" t="s">
        <v>217</v>
      </c>
      <c r="F827" s="126" t="s">
        <v>485</v>
      </c>
      <c r="G827" s="271" t="s">
        <v>703</v>
      </c>
      <c r="H827" s="123">
        <v>41625</v>
      </c>
      <c r="I827" s="122">
        <v>2</v>
      </c>
      <c r="J827" s="402">
        <v>44597</v>
      </c>
      <c r="K827" s="403">
        <v>89194</v>
      </c>
      <c r="L827" s="270" t="s">
        <v>623</v>
      </c>
      <c r="M827" s="130" t="s">
        <v>36</v>
      </c>
    </row>
    <row r="828" spans="1:13" x14ac:dyDescent="0.25">
      <c r="A828" s="122">
        <v>438</v>
      </c>
      <c r="B828" s="122">
        <v>82721</v>
      </c>
      <c r="C828" s="124" t="s">
        <v>2769</v>
      </c>
      <c r="D828" s="122" t="s">
        <v>484</v>
      </c>
      <c r="E828" s="150" t="s">
        <v>580</v>
      </c>
      <c r="F828" s="126" t="s">
        <v>371</v>
      </c>
      <c r="G828" s="271"/>
      <c r="H828" s="123">
        <v>41628</v>
      </c>
      <c r="I828" s="122">
        <v>1</v>
      </c>
      <c r="J828" s="402">
        <v>25800</v>
      </c>
      <c r="K828" s="403">
        <v>25800</v>
      </c>
      <c r="L828" s="270" t="s">
        <v>623</v>
      </c>
      <c r="M828" s="130" t="s">
        <v>36</v>
      </c>
    </row>
    <row r="829" spans="1:13" x14ac:dyDescent="0.25">
      <c r="A829" s="122">
        <v>438</v>
      </c>
      <c r="B829" s="122">
        <v>83401</v>
      </c>
      <c r="C829" s="124" t="s">
        <v>2770</v>
      </c>
      <c r="D829" s="122" t="s">
        <v>476</v>
      </c>
      <c r="E829" s="150" t="s">
        <v>217</v>
      </c>
      <c r="F829" s="126" t="s">
        <v>371</v>
      </c>
      <c r="G829" s="271" t="s">
        <v>2771</v>
      </c>
      <c r="H829" s="123">
        <v>41628</v>
      </c>
      <c r="I829" s="122">
        <v>1</v>
      </c>
      <c r="J829" s="402">
        <v>44597</v>
      </c>
      <c r="K829" s="403">
        <v>44597</v>
      </c>
      <c r="L829" s="270" t="s">
        <v>623</v>
      </c>
      <c r="M829" s="130" t="s">
        <v>36</v>
      </c>
    </row>
    <row r="830" spans="1:13" x14ac:dyDescent="0.25">
      <c r="A830" s="122">
        <v>438</v>
      </c>
      <c r="B830" s="122">
        <v>84374</v>
      </c>
      <c r="C830" s="124" t="s">
        <v>2772</v>
      </c>
      <c r="D830" s="122" t="s">
        <v>476</v>
      </c>
      <c r="E830" s="150" t="s">
        <v>115</v>
      </c>
      <c r="F830" s="126" t="s">
        <v>415</v>
      </c>
      <c r="G830" s="271" t="s">
        <v>629</v>
      </c>
      <c r="H830" s="123">
        <v>41634</v>
      </c>
      <c r="I830" s="122">
        <v>1</v>
      </c>
      <c r="J830" s="402">
        <v>33370</v>
      </c>
      <c r="K830" s="403">
        <v>33370</v>
      </c>
      <c r="L830" s="270" t="s">
        <v>623</v>
      </c>
      <c r="M830" s="130" t="s">
        <v>36</v>
      </c>
    </row>
    <row r="831" spans="1:13" x14ac:dyDescent="0.25">
      <c r="A831" s="122">
        <v>438</v>
      </c>
      <c r="B831" s="122">
        <v>84378</v>
      </c>
      <c r="C831" s="124" t="s">
        <v>2722</v>
      </c>
      <c r="D831" s="122" t="s">
        <v>476</v>
      </c>
      <c r="E831" s="150" t="s">
        <v>115</v>
      </c>
      <c r="F831" s="126" t="s">
        <v>472</v>
      </c>
      <c r="G831" s="271" t="s">
        <v>2165</v>
      </c>
      <c r="H831" s="123">
        <v>41634</v>
      </c>
      <c r="I831" s="122">
        <v>1</v>
      </c>
      <c r="J831" s="402">
        <v>33370</v>
      </c>
      <c r="K831" s="403">
        <v>33370</v>
      </c>
      <c r="L831" s="270" t="s">
        <v>623</v>
      </c>
      <c r="M831" s="130" t="s">
        <v>36</v>
      </c>
    </row>
    <row r="832" spans="1:13" x14ac:dyDescent="0.25">
      <c r="A832" s="122">
        <v>438</v>
      </c>
      <c r="B832" s="122">
        <v>84343</v>
      </c>
      <c r="C832" s="124" t="s">
        <v>2773</v>
      </c>
      <c r="D832" s="122" t="s">
        <v>484</v>
      </c>
      <c r="E832" s="150" t="s">
        <v>217</v>
      </c>
      <c r="F832" s="126" t="s">
        <v>371</v>
      </c>
      <c r="G832" s="271" t="s">
        <v>721</v>
      </c>
      <c r="H832" s="123">
        <v>41634</v>
      </c>
      <c r="I832" s="122">
        <v>1</v>
      </c>
      <c r="J832" s="402">
        <v>44597</v>
      </c>
      <c r="K832" s="403">
        <v>44597</v>
      </c>
      <c r="L832" s="270" t="s">
        <v>623</v>
      </c>
      <c r="M832" s="130" t="s">
        <v>36</v>
      </c>
    </row>
    <row r="833" spans="1:13" x14ac:dyDescent="0.25">
      <c r="A833" s="122">
        <v>438</v>
      </c>
      <c r="B833" s="122">
        <v>84343</v>
      </c>
      <c r="C833" s="124" t="s">
        <v>2773</v>
      </c>
      <c r="D833" s="122" t="s">
        <v>484</v>
      </c>
      <c r="E833" s="150" t="s">
        <v>682</v>
      </c>
      <c r="F833" s="126" t="s">
        <v>369</v>
      </c>
      <c r="G833" s="271" t="s">
        <v>721</v>
      </c>
      <c r="H833" s="123">
        <v>41634</v>
      </c>
      <c r="I833" s="122">
        <v>1</v>
      </c>
      <c r="J833" s="402">
        <v>55058</v>
      </c>
      <c r="K833" s="403">
        <v>55058</v>
      </c>
      <c r="L833" s="270" t="s">
        <v>623</v>
      </c>
      <c r="M833" s="130" t="s">
        <v>36</v>
      </c>
    </row>
    <row r="834" spans="1:13" x14ac:dyDescent="0.25">
      <c r="A834" s="122">
        <v>438</v>
      </c>
      <c r="B834" s="122">
        <v>84780</v>
      </c>
      <c r="C834" s="124" t="s">
        <v>2774</v>
      </c>
      <c r="D834" s="122" t="s">
        <v>476</v>
      </c>
      <c r="E834" s="150" t="s">
        <v>217</v>
      </c>
      <c r="F834" s="126" t="s">
        <v>485</v>
      </c>
      <c r="G834" s="271" t="s">
        <v>703</v>
      </c>
      <c r="H834" s="123">
        <v>41635</v>
      </c>
      <c r="I834" s="122">
        <v>2</v>
      </c>
      <c r="J834" s="402">
        <v>44597</v>
      </c>
      <c r="K834" s="403">
        <v>89194</v>
      </c>
      <c r="L834" s="270" t="s">
        <v>623</v>
      </c>
      <c r="M834" s="130" t="s">
        <v>36</v>
      </c>
    </row>
    <row r="835" spans="1:13" x14ac:dyDescent="0.25">
      <c r="A835" s="122">
        <v>438</v>
      </c>
      <c r="B835" s="122">
        <v>84749</v>
      </c>
      <c r="C835" s="124" t="s">
        <v>1324</v>
      </c>
      <c r="D835" s="122" t="s">
        <v>484</v>
      </c>
      <c r="E835" s="150" t="s">
        <v>115</v>
      </c>
      <c r="F835" s="126" t="s">
        <v>400</v>
      </c>
      <c r="G835" s="271"/>
      <c r="H835" s="123">
        <v>41635</v>
      </c>
      <c r="I835" s="122">
        <v>2</v>
      </c>
      <c r="J835" s="402">
        <v>33370</v>
      </c>
      <c r="K835" s="403">
        <v>66740</v>
      </c>
      <c r="L835" s="270" t="s">
        <v>623</v>
      </c>
      <c r="M835" s="130" t="s">
        <v>36</v>
      </c>
    </row>
    <row r="836" spans="1:13" x14ac:dyDescent="0.25">
      <c r="A836" s="122">
        <v>438</v>
      </c>
      <c r="B836" s="122">
        <v>84672</v>
      </c>
      <c r="C836" s="124" t="s">
        <v>2775</v>
      </c>
      <c r="D836" s="122" t="s">
        <v>476</v>
      </c>
      <c r="E836" s="150" t="s">
        <v>217</v>
      </c>
      <c r="F836" s="126" t="s">
        <v>485</v>
      </c>
      <c r="G836" s="271" t="s">
        <v>489</v>
      </c>
      <c r="H836" s="123">
        <v>41635</v>
      </c>
      <c r="I836" s="122">
        <v>2</v>
      </c>
      <c r="J836" s="402">
        <v>44597</v>
      </c>
      <c r="K836" s="403">
        <v>89194</v>
      </c>
      <c r="L836" s="270" t="s">
        <v>623</v>
      </c>
      <c r="M836" s="130" t="s">
        <v>36</v>
      </c>
    </row>
    <row r="837" spans="1:13" x14ac:dyDescent="0.25">
      <c r="A837" s="122">
        <v>438</v>
      </c>
      <c r="B837" s="122">
        <v>84699</v>
      </c>
      <c r="C837" s="124" t="s">
        <v>1276</v>
      </c>
      <c r="D837" s="122" t="s">
        <v>476</v>
      </c>
      <c r="E837" s="150" t="s">
        <v>115</v>
      </c>
      <c r="F837" s="126" t="s">
        <v>472</v>
      </c>
      <c r="G837" s="271" t="s">
        <v>563</v>
      </c>
      <c r="H837" s="123">
        <v>41635</v>
      </c>
      <c r="I837" s="122">
        <v>1</v>
      </c>
      <c r="J837" s="402">
        <v>33370</v>
      </c>
      <c r="K837" s="403">
        <v>33370</v>
      </c>
      <c r="L837" s="270" t="s">
        <v>623</v>
      </c>
      <c r="M837" s="130" t="s">
        <v>36</v>
      </c>
    </row>
    <row r="838" spans="1:13" x14ac:dyDescent="0.25">
      <c r="A838" s="122">
        <v>438</v>
      </c>
      <c r="B838" s="122">
        <v>84576</v>
      </c>
      <c r="C838" s="124" t="s">
        <v>2714</v>
      </c>
      <c r="D838" s="122" t="s">
        <v>476</v>
      </c>
      <c r="E838" s="150" t="s">
        <v>217</v>
      </c>
      <c r="F838" s="126" t="s">
        <v>485</v>
      </c>
      <c r="G838" s="271" t="s">
        <v>2035</v>
      </c>
      <c r="H838" s="123">
        <v>41634</v>
      </c>
      <c r="I838" s="122">
        <v>2</v>
      </c>
      <c r="J838" s="402">
        <v>44597</v>
      </c>
      <c r="K838" s="403">
        <v>89194</v>
      </c>
      <c r="L838" s="270" t="s">
        <v>623</v>
      </c>
      <c r="M838" s="130" t="s">
        <v>36</v>
      </c>
    </row>
    <row r="839" spans="1:13" x14ac:dyDescent="0.25">
      <c r="A839" s="122">
        <v>438</v>
      </c>
      <c r="B839" s="122">
        <v>85026</v>
      </c>
      <c r="C839" s="124" t="s">
        <v>2689</v>
      </c>
      <c r="D839" s="122" t="s">
        <v>476</v>
      </c>
      <c r="E839" s="150" t="s">
        <v>115</v>
      </c>
      <c r="F839" s="126" t="s">
        <v>562</v>
      </c>
      <c r="G839" s="271" t="s">
        <v>629</v>
      </c>
      <c r="H839" s="123">
        <v>41635</v>
      </c>
      <c r="I839" s="122">
        <v>1</v>
      </c>
      <c r="J839" s="402">
        <v>33370</v>
      </c>
      <c r="K839" s="403">
        <v>33370</v>
      </c>
      <c r="L839" s="270" t="s">
        <v>623</v>
      </c>
      <c r="M839" s="130" t="s">
        <v>36</v>
      </c>
    </row>
    <row r="840" spans="1:13" x14ac:dyDescent="0.25">
      <c r="A840" s="122">
        <v>438</v>
      </c>
      <c r="B840" s="122">
        <v>85008</v>
      </c>
      <c r="C840" s="124" t="s">
        <v>2776</v>
      </c>
      <c r="D840" s="122" t="s">
        <v>474</v>
      </c>
      <c r="E840" s="150" t="s">
        <v>580</v>
      </c>
      <c r="F840" s="126" t="s">
        <v>371</v>
      </c>
      <c r="G840" s="271"/>
      <c r="H840" s="123">
        <v>41638</v>
      </c>
      <c r="I840" s="122">
        <v>1</v>
      </c>
      <c r="J840" s="402">
        <v>25800</v>
      </c>
      <c r="K840" s="403">
        <v>25800</v>
      </c>
      <c r="L840" s="270" t="s">
        <v>623</v>
      </c>
      <c r="M840" s="130" t="s">
        <v>36</v>
      </c>
    </row>
    <row r="841" spans="1:13" x14ac:dyDescent="0.25">
      <c r="A841" s="122">
        <v>438</v>
      </c>
      <c r="B841" s="122">
        <v>85002</v>
      </c>
      <c r="C841" s="124" t="s">
        <v>2777</v>
      </c>
      <c r="D841" s="122" t="s">
        <v>1234</v>
      </c>
      <c r="E841" s="150" t="s">
        <v>217</v>
      </c>
      <c r="F841" s="126" t="s">
        <v>371</v>
      </c>
      <c r="G841" s="271" t="s">
        <v>489</v>
      </c>
      <c r="H841" s="123">
        <v>41638</v>
      </c>
      <c r="I841" s="122">
        <v>1</v>
      </c>
      <c r="J841" s="402">
        <v>44597</v>
      </c>
      <c r="K841" s="403">
        <v>44597</v>
      </c>
      <c r="L841" s="270" t="s">
        <v>623</v>
      </c>
      <c r="M841" s="130" t="s">
        <v>36</v>
      </c>
    </row>
    <row r="842" spans="1:13" x14ac:dyDescent="0.25">
      <c r="A842" s="122">
        <v>438</v>
      </c>
      <c r="B842" s="122">
        <v>85232</v>
      </c>
      <c r="C842" s="124" t="s">
        <v>2778</v>
      </c>
      <c r="D842" s="122" t="s">
        <v>476</v>
      </c>
      <c r="E842" s="150" t="s">
        <v>217</v>
      </c>
      <c r="F842" s="126" t="s">
        <v>371</v>
      </c>
      <c r="G842" s="271" t="s">
        <v>721</v>
      </c>
      <c r="H842" s="123">
        <v>41639</v>
      </c>
      <c r="I842" s="122">
        <v>1</v>
      </c>
      <c r="J842" s="402">
        <v>44597</v>
      </c>
      <c r="K842" s="403">
        <v>44597</v>
      </c>
      <c r="L842" s="270" t="s">
        <v>623</v>
      </c>
      <c r="M842" s="130" t="s">
        <v>36</v>
      </c>
    </row>
    <row r="843" spans="1:13" x14ac:dyDescent="0.25">
      <c r="A843" s="303"/>
      <c r="B843" s="304"/>
      <c r="C843" s="305"/>
      <c r="D843" s="304"/>
      <c r="E843" s="304"/>
      <c r="F843" s="308"/>
      <c r="G843" s="308"/>
      <c r="I843" s="304"/>
      <c r="J843" s="304"/>
    </row>
    <row r="844" spans="1:13" x14ac:dyDescent="0.25">
      <c r="A844" s="303"/>
      <c r="B844" s="304"/>
      <c r="C844" s="305"/>
      <c r="D844" s="304"/>
      <c r="E844" s="306" t="s">
        <v>2300</v>
      </c>
      <c r="F844" s="307">
        <v>3624379</v>
      </c>
      <c r="G844" s="308"/>
      <c r="I844" s="304"/>
      <c r="J844" s="360" t="s">
        <v>2060</v>
      </c>
      <c r="K844" s="309">
        <v>16783895</v>
      </c>
      <c r="L844" s="311"/>
      <c r="M844" s="311" t="s">
        <v>2301</v>
      </c>
    </row>
    <row r="845" spans="1:13" x14ac:dyDescent="0.25">
      <c r="A845" s="303"/>
      <c r="B845" s="304"/>
      <c r="C845" s="305"/>
      <c r="D845" s="304"/>
      <c r="E845" s="306" t="s">
        <v>2302</v>
      </c>
      <c r="F845" s="312">
        <v>472981.4595</v>
      </c>
      <c r="G845" s="308"/>
      <c r="I845" s="304"/>
      <c r="J845" s="361" t="s">
        <v>2303</v>
      </c>
      <c r="K845" s="313">
        <v>1584905</v>
      </c>
      <c r="M845" s="315"/>
    </row>
    <row r="848" spans="1:13" s="134" customFormat="1" ht="36.75" customHeight="1" x14ac:dyDescent="0.25">
      <c r="A848" s="652" t="s">
        <v>2779</v>
      </c>
      <c r="B848" s="652"/>
      <c r="C848" s="652"/>
      <c r="D848" s="652"/>
      <c r="E848" s="652"/>
      <c r="F848" s="652"/>
      <c r="G848" s="652"/>
      <c r="H848" s="652"/>
      <c r="I848" s="652"/>
      <c r="J848" s="652"/>
      <c r="K848" s="652"/>
      <c r="L848" s="652"/>
      <c r="M848" s="652"/>
    </row>
    <row r="849" spans="1:13" ht="18.75" customHeight="1" x14ac:dyDescent="0.25">
      <c r="A849" s="223" t="s">
        <v>2051</v>
      </c>
      <c r="B849" s="223" t="s">
        <v>2780</v>
      </c>
      <c r="C849" s="223" t="s">
        <v>2052</v>
      </c>
      <c r="D849" s="223" t="s">
        <v>2053</v>
      </c>
      <c r="E849" s="223" t="s">
        <v>2054</v>
      </c>
      <c r="F849" s="223" t="s">
        <v>2055</v>
      </c>
      <c r="G849" s="223" t="s">
        <v>2056</v>
      </c>
      <c r="H849" s="224" t="s">
        <v>2057</v>
      </c>
      <c r="I849" s="223" t="s">
        <v>2058</v>
      </c>
      <c r="J849" s="223" t="s">
        <v>2059</v>
      </c>
      <c r="K849" s="223" t="s">
        <v>2060</v>
      </c>
      <c r="L849" s="223" t="s">
        <v>2061</v>
      </c>
      <c r="M849" s="223" t="s">
        <v>2305</v>
      </c>
    </row>
    <row r="850" spans="1:13" s="240" customFormat="1" ht="15" customHeight="1" x14ac:dyDescent="0.25">
      <c r="A850" s="135">
        <v>1</v>
      </c>
      <c r="B850" s="135">
        <v>41673</v>
      </c>
      <c r="C850" s="137" t="s">
        <v>2781</v>
      </c>
      <c r="D850" s="135" t="s">
        <v>1960</v>
      </c>
      <c r="E850" s="172" t="s">
        <v>537</v>
      </c>
      <c r="F850" s="139" t="s">
        <v>2514</v>
      </c>
      <c r="G850" s="177" t="s">
        <v>2782</v>
      </c>
      <c r="H850" s="136">
        <v>41472</v>
      </c>
      <c r="I850" s="135">
        <v>2</v>
      </c>
      <c r="J850" s="363">
        <v>30429</v>
      </c>
      <c r="K850" s="363">
        <v>60858</v>
      </c>
      <c r="L850" s="226" t="s">
        <v>760</v>
      </c>
      <c r="M850" s="130" t="s">
        <v>41</v>
      </c>
    </row>
    <row r="851" spans="1:13" s="240" customFormat="1" ht="15" customHeight="1" x14ac:dyDescent="0.25">
      <c r="A851" s="135">
        <v>2</v>
      </c>
      <c r="B851" s="135">
        <v>41515</v>
      </c>
      <c r="C851" s="137" t="s">
        <v>2783</v>
      </c>
      <c r="D851" s="135" t="s">
        <v>2784</v>
      </c>
      <c r="E851" s="172" t="s">
        <v>2785</v>
      </c>
      <c r="F851" s="139" t="s">
        <v>387</v>
      </c>
      <c r="G851" s="177"/>
      <c r="H851" s="136">
        <v>41472</v>
      </c>
      <c r="I851" s="135">
        <v>2</v>
      </c>
      <c r="J851" s="363">
        <v>53758.36</v>
      </c>
      <c r="K851" s="363">
        <v>107516.72</v>
      </c>
      <c r="L851" s="226" t="s">
        <v>760</v>
      </c>
      <c r="M851" s="130" t="s">
        <v>41</v>
      </c>
    </row>
    <row r="852" spans="1:13" s="240" customFormat="1" ht="15" customHeight="1" x14ac:dyDescent="0.25">
      <c r="A852" s="135">
        <v>3</v>
      </c>
      <c r="B852" s="135">
        <v>41296</v>
      </c>
      <c r="C852" s="137" t="s">
        <v>2786</v>
      </c>
      <c r="D852" s="135" t="s">
        <v>2787</v>
      </c>
      <c r="E852" s="172" t="s">
        <v>537</v>
      </c>
      <c r="F852" s="139" t="s">
        <v>511</v>
      </c>
      <c r="G852" s="177" t="s">
        <v>569</v>
      </c>
      <c r="H852" s="136">
        <v>41470</v>
      </c>
      <c r="I852" s="135">
        <v>1</v>
      </c>
      <c r="J852" s="363">
        <v>30429</v>
      </c>
      <c r="K852" s="363">
        <v>30429</v>
      </c>
      <c r="L852" s="226" t="s">
        <v>760</v>
      </c>
      <c r="M852" s="130" t="s">
        <v>41</v>
      </c>
    </row>
    <row r="853" spans="1:13" s="240" customFormat="1" ht="15" customHeight="1" x14ac:dyDescent="0.25">
      <c r="A853" s="135">
        <v>4</v>
      </c>
      <c r="B853" s="135">
        <v>40587</v>
      </c>
      <c r="C853" s="137" t="s">
        <v>2788</v>
      </c>
      <c r="D853" s="135" t="s">
        <v>1960</v>
      </c>
      <c r="E853" s="172" t="s">
        <v>537</v>
      </c>
      <c r="F853" s="139" t="s">
        <v>404</v>
      </c>
      <c r="G853" s="177" t="s">
        <v>583</v>
      </c>
      <c r="H853" s="136">
        <v>41467</v>
      </c>
      <c r="I853" s="135">
        <v>1</v>
      </c>
      <c r="J853" s="363">
        <v>30429</v>
      </c>
      <c r="K853" s="363">
        <v>30429</v>
      </c>
      <c r="L853" s="226" t="s">
        <v>760</v>
      </c>
      <c r="M853" s="130" t="s">
        <v>41</v>
      </c>
    </row>
    <row r="854" spans="1:13" s="240" customFormat="1" ht="15" customHeight="1" x14ac:dyDescent="0.25">
      <c r="A854" s="135">
        <v>5</v>
      </c>
      <c r="B854" s="135">
        <v>42335</v>
      </c>
      <c r="C854" s="137" t="s">
        <v>2789</v>
      </c>
      <c r="D854" s="135" t="s">
        <v>1960</v>
      </c>
      <c r="E854" s="172" t="s">
        <v>537</v>
      </c>
      <c r="F854" s="139" t="s">
        <v>1098</v>
      </c>
      <c r="G854" s="177" t="s">
        <v>583</v>
      </c>
      <c r="H854" s="136">
        <v>41477</v>
      </c>
      <c r="I854" s="135">
        <v>2</v>
      </c>
      <c r="J854" s="363">
        <v>30429</v>
      </c>
      <c r="K854" s="363">
        <v>60858</v>
      </c>
      <c r="L854" s="226" t="s">
        <v>760</v>
      </c>
      <c r="M854" s="130" t="s">
        <v>41</v>
      </c>
    </row>
    <row r="855" spans="1:13" s="240" customFormat="1" ht="15" customHeight="1" x14ac:dyDescent="0.25">
      <c r="A855" s="135">
        <v>6</v>
      </c>
      <c r="B855" s="135">
        <v>43108</v>
      </c>
      <c r="C855" s="137" t="s">
        <v>2790</v>
      </c>
      <c r="D855" s="135" t="s">
        <v>1940</v>
      </c>
      <c r="E855" s="172" t="s">
        <v>537</v>
      </c>
      <c r="F855" s="139" t="s">
        <v>417</v>
      </c>
      <c r="G855" s="177" t="s">
        <v>554</v>
      </c>
      <c r="H855" s="136">
        <v>41480</v>
      </c>
      <c r="I855" s="135">
        <v>1</v>
      </c>
      <c r="J855" s="363">
        <v>30429</v>
      </c>
      <c r="K855" s="363">
        <v>30429</v>
      </c>
      <c r="L855" s="226" t="s">
        <v>760</v>
      </c>
      <c r="M855" s="130" t="s">
        <v>41</v>
      </c>
    </row>
    <row r="856" spans="1:13" s="240" customFormat="1" ht="15" customHeight="1" x14ac:dyDescent="0.25">
      <c r="A856" s="135">
        <v>7</v>
      </c>
      <c r="B856" s="135">
        <v>40772</v>
      </c>
      <c r="C856" s="137" t="s">
        <v>2791</v>
      </c>
      <c r="D856" s="135" t="s">
        <v>2792</v>
      </c>
      <c r="E856" s="172" t="s">
        <v>228</v>
      </c>
      <c r="F856" s="139" t="s">
        <v>410</v>
      </c>
      <c r="G856" s="177" t="s">
        <v>2067</v>
      </c>
      <c r="H856" s="136">
        <v>41467</v>
      </c>
      <c r="I856" s="135">
        <v>1</v>
      </c>
      <c r="J856" s="363">
        <v>5274</v>
      </c>
      <c r="K856" s="363">
        <v>5274</v>
      </c>
      <c r="L856" s="226" t="s">
        <v>760</v>
      </c>
      <c r="M856" s="130" t="s">
        <v>41</v>
      </c>
    </row>
    <row r="857" spans="1:13" s="240" customFormat="1" ht="15" customHeight="1" x14ac:dyDescent="0.25">
      <c r="A857" s="135">
        <v>8</v>
      </c>
      <c r="B857" s="135">
        <v>42339</v>
      </c>
      <c r="C857" s="137" t="s">
        <v>2793</v>
      </c>
      <c r="D857" s="135" t="s">
        <v>1940</v>
      </c>
      <c r="E857" s="172" t="s">
        <v>537</v>
      </c>
      <c r="F857" s="139" t="s">
        <v>645</v>
      </c>
      <c r="G857" s="177" t="s">
        <v>554</v>
      </c>
      <c r="H857" s="136">
        <v>41477</v>
      </c>
      <c r="I857" s="135">
        <v>1</v>
      </c>
      <c r="J857" s="363">
        <v>30429</v>
      </c>
      <c r="K857" s="363">
        <v>30429</v>
      </c>
      <c r="L857" s="226" t="s">
        <v>760</v>
      </c>
      <c r="M857" s="130" t="s">
        <v>41</v>
      </c>
    </row>
    <row r="858" spans="1:13" s="240" customFormat="1" ht="15" customHeight="1" x14ac:dyDescent="0.25">
      <c r="A858" s="135">
        <v>9</v>
      </c>
      <c r="B858" s="135">
        <v>42460</v>
      </c>
      <c r="C858" s="137" t="s">
        <v>2794</v>
      </c>
      <c r="D858" s="135" t="s">
        <v>1940</v>
      </c>
      <c r="E858" s="172" t="s">
        <v>115</v>
      </c>
      <c r="F858" s="139" t="s">
        <v>562</v>
      </c>
      <c r="G858" s="177" t="s">
        <v>554</v>
      </c>
      <c r="H858" s="136">
        <v>41477</v>
      </c>
      <c r="I858" s="135">
        <v>1</v>
      </c>
      <c r="J858" s="363">
        <v>33370</v>
      </c>
      <c r="K858" s="363">
        <v>33370</v>
      </c>
      <c r="L858" s="226" t="s">
        <v>760</v>
      </c>
      <c r="M858" s="130" t="s">
        <v>41</v>
      </c>
    </row>
    <row r="859" spans="1:13" s="240" customFormat="1" ht="15" customHeight="1" x14ac:dyDescent="0.25">
      <c r="A859" s="135">
        <v>10</v>
      </c>
      <c r="B859" s="135">
        <v>40327</v>
      </c>
      <c r="C859" s="137" t="s">
        <v>2795</v>
      </c>
      <c r="D859" s="135" t="s">
        <v>2792</v>
      </c>
      <c r="E859" s="172" t="s">
        <v>537</v>
      </c>
      <c r="F859" s="139" t="s">
        <v>431</v>
      </c>
      <c r="G859" s="177" t="s">
        <v>554</v>
      </c>
      <c r="H859" s="136">
        <v>41466</v>
      </c>
      <c r="I859" s="135">
        <v>1</v>
      </c>
      <c r="J859" s="363">
        <v>30429</v>
      </c>
      <c r="K859" s="363">
        <v>30429</v>
      </c>
      <c r="L859" s="226" t="s">
        <v>760</v>
      </c>
      <c r="M859" s="130" t="s">
        <v>41</v>
      </c>
    </row>
    <row r="860" spans="1:13" s="240" customFormat="1" ht="15" customHeight="1" x14ac:dyDescent="0.25">
      <c r="A860" s="135">
        <v>11</v>
      </c>
      <c r="B860" s="135">
        <v>42984</v>
      </c>
      <c r="C860" s="137" t="s">
        <v>2796</v>
      </c>
      <c r="D860" s="135" t="s">
        <v>2792</v>
      </c>
      <c r="E860" s="172" t="s">
        <v>537</v>
      </c>
      <c r="F860" s="139" t="s">
        <v>527</v>
      </c>
      <c r="G860" s="177" t="s">
        <v>569</v>
      </c>
      <c r="H860" s="136">
        <v>41480</v>
      </c>
      <c r="I860" s="135">
        <v>1</v>
      </c>
      <c r="J860" s="363">
        <v>30429</v>
      </c>
      <c r="K860" s="363">
        <v>30429</v>
      </c>
      <c r="L860" s="226" t="s">
        <v>760</v>
      </c>
      <c r="M860" s="130" t="s">
        <v>41</v>
      </c>
    </row>
    <row r="861" spans="1:13" s="240" customFormat="1" ht="15" customHeight="1" x14ac:dyDescent="0.25">
      <c r="A861" s="135">
        <v>12</v>
      </c>
      <c r="B861" s="135">
        <v>43924</v>
      </c>
      <c r="C861" s="137" t="s">
        <v>2797</v>
      </c>
      <c r="D861" s="135" t="s">
        <v>1940</v>
      </c>
      <c r="E861" s="172" t="s">
        <v>537</v>
      </c>
      <c r="F861" s="139" t="s">
        <v>431</v>
      </c>
      <c r="G861" s="177" t="s">
        <v>2798</v>
      </c>
      <c r="H861" s="136">
        <v>41484</v>
      </c>
      <c r="I861" s="135">
        <v>1</v>
      </c>
      <c r="J861" s="363">
        <v>30429</v>
      </c>
      <c r="K861" s="363">
        <v>30429</v>
      </c>
      <c r="L861" s="226" t="s">
        <v>760</v>
      </c>
      <c r="M861" s="130" t="s">
        <v>41</v>
      </c>
    </row>
    <row r="862" spans="1:13" s="240" customFormat="1" ht="15" customHeight="1" x14ac:dyDescent="0.25">
      <c r="A862" s="135">
        <v>13</v>
      </c>
      <c r="B862" s="135">
        <v>40583</v>
      </c>
      <c r="C862" s="137" t="s">
        <v>2799</v>
      </c>
      <c r="D862" s="135" t="s">
        <v>1940</v>
      </c>
      <c r="E862" s="172" t="s">
        <v>537</v>
      </c>
      <c r="F862" s="139" t="s">
        <v>417</v>
      </c>
      <c r="G862" s="177" t="s">
        <v>569</v>
      </c>
      <c r="H862" s="136">
        <v>41467</v>
      </c>
      <c r="I862" s="135">
        <v>1</v>
      </c>
      <c r="J862" s="363">
        <v>30429</v>
      </c>
      <c r="K862" s="363">
        <v>30429</v>
      </c>
      <c r="L862" s="226" t="s">
        <v>760</v>
      </c>
      <c r="M862" s="130" t="s">
        <v>41</v>
      </c>
    </row>
    <row r="863" spans="1:13" s="240" customFormat="1" ht="15" customHeight="1" x14ac:dyDescent="0.25">
      <c r="A863" s="135">
        <v>14</v>
      </c>
      <c r="B863" s="135">
        <v>42337</v>
      </c>
      <c r="C863" s="137" t="s">
        <v>2800</v>
      </c>
      <c r="D863" s="135" t="s">
        <v>2792</v>
      </c>
      <c r="E863" s="172" t="s">
        <v>537</v>
      </c>
      <c r="F863" s="139" t="s">
        <v>419</v>
      </c>
      <c r="G863" s="177" t="s">
        <v>554</v>
      </c>
      <c r="H863" s="136">
        <v>41477</v>
      </c>
      <c r="I863" s="135">
        <v>1</v>
      </c>
      <c r="J863" s="363">
        <v>30429</v>
      </c>
      <c r="K863" s="363">
        <v>30429</v>
      </c>
      <c r="L863" s="226" t="s">
        <v>760</v>
      </c>
      <c r="M863" s="130" t="s">
        <v>41</v>
      </c>
    </row>
    <row r="864" spans="1:13" s="240" customFormat="1" ht="15" customHeight="1" x14ac:dyDescent="0.25">
      <c r="A864" s="135">
        <v>15</v>
      </c>
      <c r="B864" s="135">
        <v>40669</v>
      </c>
      <c r="C864" s="137" t="s">
        <v>2801</v>
      </c>
      <c r="D864" s="135" t="s">
        <v>1940</v>
      </c>
      <c r="E864" s="172" t="s">
        <v>537</v>
      </c>
      <c r="F864" s="139" t="s">
        <v>511</v>
      </c>
      <c r="G864" s="177" t="s">
        <v>554</v>
      </c>
      <c r="H864" s="136">
        <v>41467</v>
      </c>
      <c r="I864" s="135">
        <v>1</v>
      </c>
      <c r="J864" s="363">
        <v>30429</v>
      </c>
      <c r="K864" s="363">
        <v>30429</v>
      </c>
      <c r="L864" s="226" t="s">
        <v>760</v>
      </c>
      <c r="M864" s="130" t="s">
        <v>41</v>
      </c>
    </row>
    <row r="865" spans="1:13" s="240" customFormat="1" ht="15" customHeight="1" x14ac:dyDescent="0.25">
      <c r="A865" s="135">
        <v>16</v>
      </c>
      <c r="B865" s="135">
        <v>42338</v>
      </c>
      <c r="C865" s="137" t="s">
        <v>2802</v>
      </c>
      <c r="D865" s="135" t="s">
        <v>1940</v>
      </c>
      <c r="E865" s="172" t="s">
        <v>537</v>
      </c>
      <c r="F865" s="139" t="s">
        <v>431</v>
      </c>
      <c r="G865" s="177" t="s">
        <v>554</v>
      </c>
      <c r="H865" s="136">
        <v>41477</v>
      </c>
      <c r="I865" s="135">
        <v>1</v>
      </c>
      <c r="J865" s="363">
        <v>30429</v>
      </c>
      <c r="K865" s="363">
        <v>30429</v>
      </c>
      <c r="L865" s="226" t="s">
        <v>760</v>
      </c>
      <c r="M865" s="130" t="s">
        <v>41</v>
      </c>
    </row>
    <row r="866" spans="1:13" s="240" customFormat="1" ht="15" customHeight="1" x14ac:dyDescent="0.25">
      <c r="A866" s="135">
        <v>17</v>
      </c>
      <c r="B866" s="135">
        <v>40305</v>
      </c>
      <c r="C866" s="137" t="s">
        <v>2803</v>
      </c>
      <c r="D866" s="135" t="s">
        <v>2792</v>
      </c>
      <c r="E866" s="172" t="s">
        <v>210</v>
      </c>
      <c r="F866" s="139" t="s">
        <v>417</v>
      </c>
      <c r="G866" s="177"/>
      <c r="H866" s="136">
        <v>41466</v>
      </c>
      <c r="I866" s="135">
        <v>1</v>
      </c>
      <c r="J866" s="363">
        <v>14099</v>
      </c>
      <c r="K866" s="363">
        <v>14099</v>
      </c>
      <c r="L866" s="226" t="s">
        <v>760</v>
      </c>
      <c r="M866" s="130" t="s">
        <v>41</v>
      </c>
    </row>
    <row r="867" spans="1:13" s="240" customFormat="1" ht="15" customHeight="1" thickBot="1" x14ac:dyDescent="0.25">
      <c r="A867" s="241">
        <v>18</v>
      </c>
      <c r="B867" s="241">
        <v>42553</v>
      </c>
      <c r="C867" s="242" t="s">
        <v>2803</v>
      </c>
      <c r="D867" s="241" t="s">
        <v>2792</v>
      </c>
      <c r="E867" s="229" t="s">
        <v>115</v>
      </c>
      <c r="F867" s="243" t="s">
        <v>417</v>
      </c>
      <c r="G867" s="230" t="s">
        <v>2510</v>
      </c>
      <c r="H867" s="244">
        <v>41478</v>
      </c>
      <c r="I867" s="241">
        <v>1</v>
      </c>
      <c r="J867" s="364">
        <v>33370</v>
      </c>
      <c r="K867" s="364">
        <v>33370</v>
      </c>
      <c r="L867" s="423" t="s">
        <v>760</v>
      </c>
      <c r="M867" s="130" t="s">
        <v>41</v>
      </c>
    </row>
    <row r="868" spans="1:13" s="134" customFormat="1" ht="15" customHeight="1" thickTop="1" x14ac:dyDescent="0.25">
      <c r="A868" s="375">
        <v>19</v>
      </c>
      <c r="B868" s="375">
        <v>44981</v>
      </c>
      <c r="C868" s="424" t="s">
        <v>2804</v>
      </c>
      <c r="D868" s="375" t="s">
        <v>1940</v>
      </c>
      <c r="E868" s="425" t="s">
        <v>537</v>
      </c>
      <c r="F868" s="426" t="s">
        <v>2805</v>
      </c>
      <c r="G868" s="427" t="s">
        <v>2526</v>
      </c>
      <c r="H868" s="428">
        <v>41486</v>
      </c>
      <c r="I868" s="375">
        <v>2</v>
      </c>
      <c r="J868" s="429">
        <v>30429</v>
      </c>
      <c r="K868" s="429">
        <v>60858</v>
      </c>
      <c r="L868" s="270" t="s">
        <v>788</v>
      </c>
      <c r="M868" s="130" t="s">
        <v>41</v>
      </c>
    </row>
    <row r="869" spans="1:13" s="134" customFormat="1" ht="15" customHeight="1" x14ac:dyDescent="0.25">
      <c r="A869" s="383">
        <v>20</v>
      </c>
      <c r="B869" s="383">
        <v>44680</v>
      </c>
      <c r="C869" s="430" t="s">
        <v>2806</v>
      </c>
      <c r="D869" s="383" t="s">
        <v>1940</v>
      </c>
      <c r="E869" s="431" t="s">
        <v>537</v>
      </c>
      <c r="F869" s="432" t="s">
        <v>527</v>
      </c>
      <c r="G869" s="433" t="s">
        <v>2807</v>
      </c>
      <c r="H869" s="434">
        <v>41486</v>
      </c>
      <c r="I869" s="383">
        <v>1</v>
      </c>
      <c r="J869" s="435">
        <v>30429</v>
      </c>
      <c r="K869" s="435">
        <v>30429</v>
      </c>
      <c r="L869" s="270" t="s">
        <v>788</v>
      </c>
      <c r="M869" s="130" t="s">
        <v>41</v>
      </c>
    </row>
    <row r="870" spans="1:13" s="134" customFormat="1" ht="15" customHeight="1" x14ac:dyDescent="0.25">
      <c r="A870" s="385">
        <v>21</v>
      </c>
      <c r="B870" s="385">
        <v>46249</v>
      </c>
      <c r="C870" s="436" t="s">
        <v>2791</v>
      </c>
      <c r="D870" s="385" t="s">
        <v>1940</v>
      </c>
      <c r="E870" s="437" t="s">
        <v>537</v>
      </c>
      <c r="F870" s="438" t="s">
        <v>442</v>
      </c>
      <c r="G870" s="439" t="s">
        <v>2808</v>
      </c>
      <c r="H870" s="440">
        <v>41493</v>
      </c>
      <c r="I870" s="385">
        <v>1</v>
      </c>
      <c r="J870" s="441">
        <v>30429</v>
      </c>
      <c r="K870" s="441">
        <v>30429</v>
      </c>
      <c r="L870" s="270" t="s">
        <v>788</v>
      </c>
      <c r="M870" s="130" t="s">
        <v>41</v>
      </c>
    </row>
    <row r="871" spans="1:13" s="134" customFormat="1" ht="15" customHeight="1" x14ac:dyDescent="0.25">
      <c r="A871" s="385">
        <v>22</v>
      </c>
      <c r="B871" s="385">
        <v>46554</v>
      </c>
      <c r="C871" s="436" t="s">
        <v>2809</v>
      </c>
      <c r="D871" s="385" t="s">
        <v>1960</v>
      </c>
      <c r="E871" s="437" t="s">
        <v>537</v>
      </c>
      <c r="F871" s="438" t="s">
        <v>594</v>
      </c>
      <c r="G871" s="439" t="s">
        <v>1253</v>
      </c>
      <c r="H871" s="440">
        <v>41494</v>
      </c>
      <c r="I871" s="385">
        <v>1</v>
      </c>
      <c r="J871" s="441">
        <v>30429</v>
      </c>
      <c r="K871" s="441">
        <v>30429</v>
      </c>
      <c r="L871" s="270" t="s">
        <v>788</v>
      </c>
      <c r="M871" s="130" t="s">
        <v>41</v>
      </c>
    </row>
    <row r="872" spans="1:13" s="134" customFormat="1" ht="15" customHeight="1" x14ac:dyDescent="0.25">
      <c r="A872" s="385">
        <v>23</v>
      </c>
      <c r="B872" s="385">
        <v>46877</v>
      </c>
      <c r="C872" s="436" t="s">
        <v>2810</v>
      </c>
      <c r="D872" s="385" t="s">
        <v>1940</v>
      </c>
      <c r="E872" s="437" t="s">
        <v>192</v>
      </c>
      <c r="F872" s="438" t="s">
        <v>2811</v>
      </c>
      <c r="G872" s="439" t="s">
        <v>569</v>
      </c>
      <c r="H872" s="440">
        <v>41495</v>
      </c>
      <c r="I872" s="385">
        <v>2</v>
      </c>
      <c r="J872" s="441">
        <v>57960</v>
      </c>
      <c r="K872" s="441">
        <v>115920</v>
      </c>
      <c r="L872" s="270" t="s">
        <v>788</v>
      </c>
      <c r="M872" s="130" t="s">
        <v>41</v>
      </c>
    </row>
    <row r="873" spans="1:13" s="134" customFormat="1" ht="15" customHeight="1" x14ac:dyDescent="0.25">
      <c r="A873" s="385">
        <v>24</v>
      </c>
      <c r="B873" s="385">
        <v>47030</v>
      </c>
      <c r="C873" s="436" t="s">
        <v>2812</v>
      </c>
      <c r="D873" s="385" t="s">
        <v>1940</v>
      </c>
      <c r="E873" s="437" t="s">
        <v>188</v>
      </c>
      <c r="F873" s="438" t="s">
        <v>527</v>
      </c>
      <c r="G873" s="439" t="s">
        <v>569</v>
      </c>
      <c r="H873" s="440">
        <v>41494</v>
      </c>
      <c r="I873" s="385">
        <v>1</v>
      </c>
      <c r="J873" s="441">
        <v>42601</v>
      </c>
      <c r="K873" s="441">
        <v>42601</v>
      </c>
      <c r="L873" s="270" t="s">
        <v>788</v>
      </c>
      <c r="M873" s="130" t="s">
        <v>41</v>
      </c>
    </row>
    <row r="874" spans="1:13" s="134" customFormat="1" ht="15" customHeight="1" x14ac:dyDescent="0.25">
      <c r="A874" s="385">
        <v>25</v>
      </c>
      <c r="B874" s="385">
        <v>46968</v>
      </c>
      <c r="C874" s="436" t="s">
        <v>2813</v>
      </c>
      <c r="D874" s="385" t="s">
        <v>1960</v>
      </c>
      <c r="E874" s="437" t="s">
        <v>115</v>
      </c>
      <c r="F874" s="438" t="s">
        <v>392</v>
      </c>
      <c r="G874" s="439" t="s">
        <v>629</v>
      </c>
      <c r="H874" s="440">
        <v>41494</v>
      </c>
      <c r="I874" s="385">
        <v>1</v>
      </c>
      <c r="J874" s="441">
        <v>33370</v>
      </c>
      <c r="K874" s="441">
        <v>33370</v>
      </c>
      <c r="L874" s="270" t="s">
        <v>788</v>
      </c>
      <c r="M874" s="130" t="s">
        <v>41</v>
      </c>
    </row>
    <row r="875" spans="1:13" s="134" customFormat="1" ht="15" customHeight="1" x14ac:dyDescent="0.25">
      <c r="A875" s="385">
        <v>26</v>
      </c>
      <c r="B875" s="385">
        <v>47035</v>
      </c>
      <c r="C875" s="436" t="s">
        <v>2814</v>
      </c>
      <c r="D875" s="385" t="s">
        <v>1940</v>
      </c>
      <c r="E875" s="437" t="s">
        <v>115</v>
      </c>
      <c r="F875" s="438" t="s">
        <v>511</v>
      </c>
      <c r="G875" s="439" t="s">
        <v>2815</v>
      </c>
      <c r="H875" s="440">
        <v>41498</v>
      </c>
      <c r="I875" s="385">
        <v>1</v>
      </c>
      <c r="J875" s="441">
        <v>33370</v>
      </c>
      <c r="K875" s="441">
        <v>33370</v>
      </c>
      <c r="L875" s="270" t="s">
        <v>788</v>
      </c>
      <c r="M875" s="130" t="s">
        <v>41</v>
      </c>
    </row>
    <row r="876" spans="1:13" s="134" customFormat="1" ht="15" customHeight="1" x14ac:dyDescent="0.25">
      <c r="A876" s="385">
        <v>27</v>
      </c>
      <c r="B876" s="385">
        <v>47548</v>
      </c>
      <c r="C876" s="436" t="s">
        <v>2816</v>
      </c>
      <c r="D876" s="385" t="s">
        <v>1940</v>
      </c>
      <c r="E876" s="437" t="s">
        <v>210</v>
      </c>
      <c r="F876" s="438" t="s">
        <v>383</v>
      </c>
      <c r="G876" s="439"/>
      <c r="H876" s="440">
        <v>41499</v>
      </c>
      <c r="I876" s="385">
        <v>1</v>
      </c>
      <c r="J876" s="441">
        <v>14099</v>
      </c>
      <c r="K876" s="441">
        <v>14099</v>
      </c>
      <c r="L876" s="270" t="s">
        <v>788</v>
      </c>
      <c r="M876" s="130" t="s">
        <v>41</v>
      </c>
    </row>
    <row r="877" spans="1:13" s="134" customFormat="1" ht="15" customHeight="1" x14ac:dyDescent="0.25">
      <c r="A877" s="385">
        <v>28</v>
      </c>
      <c r="B877" s="385">
        <v>47440</v>
      </c>
      <c r="C877" s="436" t="s">
        <v>2817</v>
      </c>
      <c r="D877" s="385" t="s">
        <v>1940</v>
      </c>
      <c r="E877" s="437" t="s">
        <v>217</v>
      </c>
      <c r="F877" s="438" t="s">
        <v>371</v>
      </c>
      <c r="G877" s="439" t="s">
        <v>2107</v>
      </c>
      <c r="H877" s="440">
        <v>41499</v>
      </c>
      <c r="I877" s="385">
        <v>1</v>
      </c>
      <c r="J877" s="441">
        <v>44597</v>
      </c>
      <c r="K877" s="441">
        <v>44597</v>
      </c>
      <c r="L877" s="270" t="s">
        <v>788</v>
      </c>
      <c r="M877" s="130" t="s">
        <v>41</v>
      </c>
    </row>
    <row r="878" spans="1:13" s="134" customFormat="1" ht="15" customHeight="1" x14ac:dyDescent="0.25">
      <c r="A878" s="385">
        <v>29</v>
      </c>
      <c r="B878" s="385">
        <v>47440</v>
      </c>
      <c r="C878" s="436" t="s">
        <v>2817</v>
      </c>
      <c r="D878" s="385" t="s">
        <v>1940</v>
      </c>
      <c r="E878" s="437" t="s">
        <v>682</v>
      </c>
      <c r="F878" s="438" t="s">
        <v>369</v>
      </c>
      <c r="G878" s="439" t="s">
        <v>2107</v>
      </c>
      <c r="H878" s="440">
        <v>41499</v>
      </c>
      <c r="I878" s="385">
        <v>1</v>
      </c>
      <c r="J878" s="441">
        <v>55058</v>
      </c>
      <c r="K878" s="441">
        <v>55058</v>
      </c>
      <c r="L878" s="270" t="s">
        <v>788</v>
      </c>
      <c r="M878" s="130" t="s">
        <v>41</v>
      </c>
    </row>
    <row r="879" spans="1:13" s="134" customFormat="1" ht="15" customHeight="1" x14ac:dyDescent="0.25">
      <c r="A879" s="385">
        <v>30</v>
      </c>
      <c r="B879" s="385">
        <v>48429</v>
      </c>
      <c r="C879" s="436" t="s">
        <v>2818</v>
      </c>
      <c r="D879" s="385" t="s">
        <v>1940</v>
      </c>
      <c r="E879" s="437" t="s">
        <v>537</v>
      </c>
      <c r="F879" s="438" t="s">
        <v>472</v>
      </c>
      <c r="G879" s="439" t="s">
        <v>554</v>
      </c>
      <c r="H879" s="440">
        <v>41505</v>
      </c>
      <c r="I879" s="385">
        <v>1</v>
      </c>
      <c r="J879" s="441">
        <v>30429</v>
      </c>
      <c r="K879" s="441">
        <v>30429</v>
      </c>
      <c r="L879" s="270" t="s">
        <v>788</v>
      </c>
      <c r="M879" s="130" t="s">
        <v>41</v>
      </c>
    </row>
    <row r="880" spans="1:13" s="134" customFormat="1" ht="15" customHeight="1" x14ac:dyDescent="0.25">
      <c r="A880" s="385">
        <v>31</v>
      </c>
      <c r="B880" s="385">
        <v>48442</v>
      </c>
      <c r="C880" s="436" t="s">
        <v>2802</v>
      </c>
      <c r="D880" s="385" t="s">
        <v>1940</v>
      </c>
      <c r="E880" s="437" t="s">
        <v>115</v>
      </c>
      <c r="F880" s="438" t="s">
        <v>419</v>
      </c>
      <c r="G880" s="439" t="s">
        <v>2815</v>
      </c>
      <c r="H880" s="440">
        <v>41505</v>
      </c>
      <c r="I880" s="385">
        <v>1</v>
      </c>
      <c r="J880" s="441">
        <v>33370</v>
      </c>
      <c r="K880" s="441">
        <v>33370</v>
      </c>
      <c r="L880" s="270" t="s">
        <v>788</v>
      </c>
      <c r="M880" s="130" t="s">
        <v>41</v>
      </c>
    </row>
    <row r="881" spans="1:13" s="134" customFormat="1" ht="15" customHeight="1" x14ac:dyDescent="0.25">
      <c r="A881" s="385">
        <v>32</v>
      </c>
      <c r="B881" s="385">
        <v>48444</v>
      </c>
      <c r="C881" s="436" t="s">
        <v>2819</v>
      </c>
      <c r="D881" s="385" t="s">
        <v>1940</v>
      </c>
      <c r="E881" s="437" t="s">
        <v>115</v>
      </c>
      <c r="F881" s="438" t="s">
        <v>594</v>
      </c>
      <c r="G881" s="439" t="s">
        <v>2526</v>
      </c>
      <c r="H881" s="440">
        <v>41502</v>
      </c>
      <c r="I881" s="385">
        <v>1</v>
      </c>
      <c r="J881" s="441">
        <v>33370</v>
      </c>
      <c r="K881" s="441">
        <v>33370</v>
      </c>
      <c r="L881" s="270" t="s">
        <v>788</v>
      </c>
      <c r="M881" s="130" t="s">
        <v>41</v>
      </c>
    </row>
    <row r="882" spans="1:13" s="134" customFormat="1" ht="15" customHeight="1" x14ac:dyDescent="0.25">
      <c r="A882" s="385">
        <v>33</v>
      </c>
      <c r="B882" s="385">
        <v>49201</v>
      </c>
      <c r="C882" s="436" t="s">
        <v>2820</v>
      </c>
      <c r="D882" s="385" t="s">
        <v>1940</v>
      </c>
      <c r="E882" s="437" t="s">
        <v>115</v>
      </c>
      <c r="F882" s="438" t="s">
        <v>472</v>
      </c>
      <c r="G882" s="439" t="s">
        <v>1966</v>
      </c>
      <c r="H882" s="440">
        <v>41507</v>
      </c>
      <c r="I882" s="385">
        <v>1</v>
      </c>
      <c r="J882" s="441">
        <v>33370</v>
      </c>
      <c r="K882" s="441">
        <v>33370</v>
      </c>
      <c r="L882" s="270" t="s">
        <v>788</v>
      </c>
      <c r="M882" s="130" t="s">
        <v>41</v>
      </c>
    </row>
    <row r="883" spans="1:13" s="134" customFormat="1" ht="15" customHeight="1" x14ac:dyDescent="0.25">
      <c r="A883" s="385">
        <v>34</v>
      </c>
      <c r="B883" s="385">
        <v>49289</v>
      </c>
      <c r="C883" s="436" t="s">
        <v>2821</v>
      </c>
      <c r="D883" s="385" t="s">
        <v>1940</v>
      </c>
      <c r="E883" s="437" t="s">
        <v>537</v>
      </c>
      <c r="F883" s="438" t="s">
        <v>562</v>
      </c>
      <c r="G883" s="439" t="s">
        <v>1948</v>
      </c>
      <c r="H883" s="440">
        <v>41507</v>
      </c>
      <c r="I883" s="385">
        <v>1</v>
      </c>
      <c r="J883" s="441">
        <v>30429</v>
      </c>
      <c r="K883" s="441">
        <v>30429</v>
      </c>
      <c r="L883" s="270" t="s">
        <v>788</v>
      </c>
      <c r="M883" s="130" t="s">
        <v>41</v>
      </c>
    </row>
    <row r="884" spans="1:13" s="134" customFormat="1" ht="15" customHeight="1" x14ac:dyDescent="0.25">
      <c r="A884" s="385">
        <v>35</v>
      </c>
      <c r="B884" s="385">
        <v>49810</v>
      </c>
      <c r="C884" s="436" t="s">
        <v>2822</v>
      </c>
      <c r="D884" s="385" t="s">
        <v>1940</v>
      </c>
      <c r="E884" s="437" t="s">
        <v>115</v>
      </c>
      <c r="F884" s="438" t="s">
        <v>407</v>
      </c>
      <c r="G884" s="439" t="s">
        <v>554</v>
      </c>
      <c r="H884" s="440">
        <v>41507</v>
      </c>
      <c r="I884" s="385">
        <v>1</v>
      </c>
      <c r="J884" s="441">
        <v>33370</v>
      </c>
      <c r="K884" s="441">
        <v>33370</v>
      </c>
      <c r="L884" s="270" t="s">
        <v>788</v>
      </c>
      <c r="M884" s="130" t="s">
        <v>41</v>
      </c>
    </row>
    <row r="885" spans="1:13" s="134" customFormat="1" ht="15" customHeight="1" x14ac:dyDescent="0.25">
      <c r="A885" s="385">
        <v>36</v>
      </c>
      <c r="B885" s="385">
        <v>50150</v>
      </c>
      <c r="C885" s="436" t="s">
        <v>2823</v>
      </c>
      <c r="D885" s="385" t="s">
        <v>2792</v>
      </c>
      <c r="E885" s="437" t="s">
        <v>188</v>
      </c>
      <c r="F885" s="438" t="s">
        <v>404</v>
      </c>
      <c r="G885" s="439" t="s">
        <v>2328</v>
      </c>
      <c r="H885" s="440">
        <v>41509</v>
      </c>
      <c r="I885" s="385">
        <v>1</v>
      </c>
      <c r="J885" s="441">
        <v>42601</v>
      </c>
      <c r="K885" s="441">
        <v>42601</v>
      </c>
      <c r="L885" s="270" t="s">
        <v>788</v>
      </c>
      <c r="M885" s="130" t="s">
        <v>41</v>
      </c>
    </row>
    <row r="886" spans="1:13" s="134" customFormat="1" ht="15" customHeight="1" x14ac:dyDescent="0.25">
      <c r="A886" s="385">
        <v>37</v>
      </c>
      <c r="B886" s="385">
        <v>49998</v>
      </c>
      <c r="C886" s="436" t="s">
        <v>2824</v>
      </c>
      <c r="D886" s="385" t="s">
        <v>1940</v>
      </c>
      <c r="E886" s="437" t="s">
        <v>682</v>
      </c>
      <c r="F886" s="438" t="s">
        <v>369</v>
      </c>
      <c r="G886" s="439" t="s">
        <v>1064</v>
      </c>
      <c r="H886" s="440">
        <v>41508</v>
      </c>
      <c r="I886" s="385">
        <v>1</v>
      </c>
      <c r="J886" s="441">
        <v>55058</v>
      </c>
      <c r="K886" s="441">
        <v>55058</v>
      </c>
      <c r="L886" s="270" t="s">
        <v>788</v>
      </c>
      <c r="M886" s="130" t="s">
        <v>41</v>
      </c>
    </row>
    <row r="887" spans="1:13" s="134" customFormat="1" ht="15" customHeight="1" x14ac:dyDescent="0.25">
      <c r="A887" s="385">
        <v>38</v>
      </c>
      <c r="B887" s="385">
        <v>50016</v>
      </c>
      <c r="C887" s="436" t="s">
        <v>1303</v>
      </c>
      <c r="D887" s="385" t="s">
        <v>1940</v>
      </c>
      <c r="E887" s="437" t="s">
        <v>682</v>
      </c>
      <c r="F887" s="438" t="s">
        <v>371</v>
      </c>
      <c r="G887" s="439" t="s">
        <v>2067</v>
      </c>
      <c r="H887" s="440">
        <v>41508</v>
      </c>
      <c r="I887" s="385">
        <v>1</v>
      </c>
      <c r="J887" s="441">
        <v>55058</v>
      </c>
      <c r="K887" s="441">
        <v>55058</v>
      </c>
      <c r="L887" s="270" t="s">
        <v>788</v>
      </c>
      <c r="M887" s="130" t="s">
        <v>41</v>
      </c>
    </row>
    <row r="888" spans="1:13" s="134" customFormat="1" ht="15" customHeight="1" x14ac:dyDescent="0.25">
      <c r="A888" s="385">
        <v>39</v>
      </c>
      <c r="B888" s="385">
        <v>51104</v>
      </c>
      <c r="C888" s="436" t="s">
        <v>2825</v>
      </c>
      <c r="D888" s="385" t="s">
        <v>1940</v>
      </c>
      <c r="E888" s="437" t="s">
        <v>115</v>
      </c>
      <c r="F888" s="438" t="s">
        <v>417</v>
      </c>
      <c r="G888" s="439" t="s">
        <v>2826</v>
      </c>
      <c r="H888" s="440">
        <v>41514</v>
      </c>
      <c r="I888" s="385">
        <v>1</v>
      </c>
      <c r="J888" s="441">
        <v>33370</v>
      </c>
      <c r="K888" s="441">
        <v>33370</v>
      </c>
      <c r="L888" s="270" t="s">
        <v>788</v>
      </c>
      <c r="M888" s="130" t="s">
        <v>41</v>
      </c>
    </row>
    <row r="889" spans="1:13" s="134" customFormat="1" ht="15" customHeight="1" thickBot="1" x14ac:dyDescent="0.3">
      <c r="A889" s="442">
        <v>40</v>
      </c>
      <c r="B889" s="442">
        <v>48371</v>
      </c>
      <c r="C889" s="443" t="s">
        <v>2827</v>
      </c>
      <c r="D889" s="442" t="s">
        <v>1940</v>
      </c>
      <c r="E889" s="444" t="s">
        <v>210</v>
      </c>
      <c r="F889" s="445" t="s">
        <v>434</v>
      </c>
      <c r="G889" s="446"/>
      <c r="H889" s="447">
        <v>41500</v>
      </c>
      <c r="I889" s="442">
        <v>1</v>
      </c>
      <c r="J889" s="448">
        <v>14099</v>
      </c>
      <c r="K889" s="448">
        <v>14099</v>
      </c>
      <c r="L889" s="449" t="s">
        <v>788</v>
      </c>
      <c r="M889" s="130" t="s">
        <v>41</v>
      </c>
    </row>
    <row r="890" spans="1:13" s="458" customFormat="1" ht="15" customHeight="1" x14ac:dyDescent="0.25">
      <c r="A890" s="450">
        <v>41</v>
      </c>
      <c r="B890" s="450">
        <v>52038</v>
      </c>
      <c r="C890" s="451" t="s">
        <v>2828</v>
      </c>
      <c r="D890" s="450" t="s">
        <v>2829</v>
      </c>
      <c r="E890" s="452" t="s">
        <v>2785</v>
      </c>
      <c r="F890" s="453" t="s">
        <v>387</v>
      </c>
      <c r="G890" s="454"/>
      <c r="H890" s="455">
        <v>41515</v>
      </c>
      <c r="I890" s="450">
        <v>2</v>
      </c>
      <c r="J890" s="456">
        <v>53758.36</v>
      </c>
      <c r="K890" s="457">
        <v>107516.72</v>
      </c>
      <c r="L890" s="270" t="s">
        <v>617</v>
      </c>
      <c r="M890" s="130" t="s">
        <v>41</v>
      </c>
    </row>
    <row r="891" spans="1:13" s="458" customFormat="1" ht="15" customHeight="1" x14ac:dyDescent="0.25">
      <c r="A891" s="459">
        <v>42</v>
      </c>
      <c r="B891" s="459">
        <v>51405</v>
      </c>
      <c r="C891" s="460" t="s">
        <v>2830</v>
      </c>
      <c r="D891" s="459" t="s">
        <v>1960</v>
      </c>
      <c r="E891" s="461" t="s">
        <v>537</v>
      </c>
      <c r="F891" s="462" t="s">
        <v>562</v>
      </c>
      <c r="G891" s="463" t="s">
        <v>2831</v>
      </c>
      <c r="H891" s="464">
        <v>41514</v>
      </c>
      <c r="I891" s="459">
        <v>1</v>
      </c>
      <c r="J891" s="456">
        <v>30429</v>
      </c>
      <c r="K891" s="456">
        <v>30429</v>
      </c>
      <c r="L891" s="270" t="s">
        <v>617</v>
      </c>
      <c r="M891" s="130" t="s">
        <v>41</v>
      </c>
    </row>
    <row r="892" spans="1:13" s="458" customFormat="1" ht="15" customHeight="1" x14ac:dyDescent="0.25">
      <c r="A892" s="459">
        <v>43</v>
      </c>
      <c r="B892" s="459">
        <v>51371</v>
      </c>
      <c r="C892" s="460" t="s">
        <v>2832</v>
      </c>
      <c r="D892" s="459" t="s">
        <v>1960</v>
      </c>
      <c r="E892" s="461" t="s">
        <v>537</v>
      </c>
      <c r="F892" s="462" t="s">
        <v>527</v>
      </c>
      <c r="G892" s="463" t="s">
        <v>583</v>
      </c>
      <c r="H892" s="464">
        <v>41514</v>
      </c>
      <c r="I892" s="459">
        <v>1</v>
      </c>
      <c r="J892" s="456">
        <v>30429</v>
      </c>
      <c r="K892" s="456">
        <v>30429</v>
      </c>
      <c r="L892" s="270" t="s">
        <v>617</v>
      </c>
      <c r="M892" s="130" t="s">
        <v>41</v>
      </c>
    </row>
    <row r="893" spans="1:13" s="458" customFormat="1" ht="15" customHeight="1" x14ac:dyDescent="0.25">
      <c r="A893" s="459">
        <v>44</v>
      </c>
      <c r="B893" s="459">
        <v>51577</v>
      </c>
      <c r="C893" s="460" t="s">
        <v>2833</v>
      </c>
      <c r="D893" s="459" t="s">
        <v>1960</v>
      </c>
      <c r="E893" s="461" t="s">
        <v>577</v>
      </c>
      <c r="F893" s="462" t="s">
        <v>1851</v>
      </c>
      <c r="G893" s="463" t="s">
        <v>563</v>
      </c>
      <c r="H893" s="464">
        <v>41514</v>
      </c>
      <c r="I893" s="459">
        <v>2</v>
      </c>
      <c r="J893" s="456">
        <v>49701</v>
      </c>
      <c r="K893" s="456">
        <v>99402</v>
      </c>
      <c r="L893" s="270" t="s">
        <v>617</v>
      </c>
      <c r="M893" s="130" t="s">
        <v>41</v>
      </c>
    </row>
    <row r="894" spans="1:13" s="458" customFormat="1" ht="15" customHeight="1" x14ac:dyDescent="0.25">
      <c r="A894" s="459">
        <v>45</v>
      </c>
      <c r="B894" s="459">
        <v>52048</v>
      </c>
      <c r="C894" s="460" t="s">
        <v>2788</v>
      </c>
      <c r="D894" s="459" t="s">
        <v>1960</v>
      </c>
      <c r="E894" s="461" t="s">
        <v>1132</v>
      </c>
      <c r="F894" s="462" t="s">
        <v>534</v>
      </c>
      <c r="G894" s="463" t="s">
        <v>2112</v>
      </c>
      <c r="H894" s="464">
        <v>41514</v>
      </c>
      <c r="I894" s="459">
        <v>1</v>
      </c>
      <c r="J894" s="456">
        <v>49701</v>
      </c>
      <c r="K894" s="456">
        <v>49701</v>
      </c>
      <c r="L894" s="270" t="s">
        <v>617</v>
      </c>
      <c r="M894" s="130" t="s">
        <v>41</v>
      </c>
    </row>
    <row r="895" spans="1:13" s="458" customFormat="1" ht="15" customHeight="1" x14ac:dyDescent="0.25">
      <c r="A895" s="459">
        <v>46</v>
      </c>
      <c r="B895" s="459">
        <v>50161</v>
      </c>
      <c r="C895" s="460" t="s">
        <v>2834</v>
      </c>
      <c r="D895" s="459" t="s">
        <v>2792</v>
      </c>
      <c r="E895" s="461" t="s">
        <v>115</v>
      </c>
      <c r="F895" s="462" t="s">
        <v>562</v>
      </c>
      <c r="G895" s="463" t="s">
        <v>2328</v>
      </c>
      <c r="H895" s="464">
        <v>41508</v>
      </c>
      <c r="I895" s="459">
        <v>1</v>
      </c>
      <c r="J895" s="456">
        <v>33370</v>
      </c>
      <c r="K895" s="456">
        <v>33370</v>
      </c>
      <c r="L895" s="270" t="s">
        <v>617</v>
      </c>
      <c r="M895" s="130" t="s">
        <v>41</v>
      </c>
    </row>
    <row r="896" spans="1:13" s="458" customFormat="1" ht="15" customHeight="1" x14ac:dyDescent="0.25">
      <c r="A896" s="459">
        <v>47</v>
      </c>
      <c r="B896" s="459">
        <v>49290</v>
      </c>
      <c r="C896" s="460" t="s">
        <v>2835</v>
      </c>
      <c r="D896" s="459" t="s">
        <v>1940</v>
      </c>
      <c r="E896" s="461" t="s">
        <v>537</v>
      </c>
      <c r="F896" s="462" t="s">
        <v>472</v>
      </c>
      <c r="G896" s="463" t="s">
        <v>1948</v>
      </c>
      <c r="H896" s="464">
        <v>41507</v>
      </c>
      <c r="I896" s="459">
        <v>1</v>
      </c>
      <c r="J896" s="456">
        <v>30429</v>
      </c>
      <c r="K896" s="456">
        <v>30429</v>
      </c>
      <c r="L896" s="270" t="s">
        <v>617</v>
      </c>
      <c r="M896" s="130" t="s">
        <v>41</v>
      </c>
    </row>
    <row r="897" spans="1:13" s="458" customFormat="1" ht="15" customHeight="1" x14ac:dyDescent="0.25">
      <c r="A897" s="459">
        <v>48</v>
      </c>
      <c r="B897" s="459">
        <v>40772</v>
      </c>
      <c r="C897" s="460" t="s">
        <v>2791</v>
      </c>
      <c r="D897" s="459" t="s">
        <v>2792</v>
      </c>
      <c r="E897" s="461" t="s">
        <v>2836</v>
      </c>
      <c r="F897" s="462" t="s">
        <v>410</v>
      </c>
      <c r="G897" s="463"/>
      <c r="H897" s="464">
        <v>41467</v>
      </c>
      <c r="I897" s="459">
        <v>1</v>
      </c>
      <c r="J897" s="456">
        <v>22315</v>
      </c>
      <c r="K897" s="456">
        <v>22315</v>
      </c>
      <c r="L897" s="270" t="s">
        <v>617</v>
      </c>
      <c r="M897" s="130" t="s">
        <v>41</v>
      </c>
    </row>
    <row r="898" spans="1:13" s="458" customFormat="1" ht="15" customHeight="1" x14ac:dyDescent="0.25">
      <c r="A898" s="459">
        <v>49</v>
      </c>
      <c r="B898" s="459">
        <v>48447</v>
      </c>
      <c r="C898" s="460" t="s">
        <v>2791</v>
      </c>
      <c r="D898" s="459" t="s">
        <v>2792</v>
      </c>
      <c r="E898" s="461" t="s">
        <v>188</v>
      </c>
      <c r="F898" s="462" t="s">
        <v>410</v>
      </c>
      <c r="G898" s="463" t="s">
        <v>2837</v>
      </c>
      <c r="H898" s="464">
        <v>41502</v>
      </c>
      <c r="I898" s="459">
        <v>1</v>
      </c>
      <c r="J898" s="456">
        <v>42601</v>
      </c>
      <c r="K898" s="456">
        <v>42601</v>
      </c>
      <c r="L898" s="270" t="s">
        <v>617</v>
      </c>
      <c r="M898" s="130" t="s">
        <v>41</v>
      </c>
    </row>
    <row r="899" spans="1:13" s="458" customFormat="1" ht="15" customHeight="1" x14ac:dyDescent="0.25">
      <c r="A899" s="459">
        <v>50</v>
      </c>
      <c r="B899" s="459">
        <v>46884</v>
      </c>
      <c r="C899" s="460" t="s">
        <v>2838</v>
      </c>
      <c r="D899" s="459" t="s">
        <v>2792</v>
      </c>
      <c r="E899" s="461" t="s">
        <v>115</v>
      </c>
      <c r="F899" s="462" t="s">
        <v>534</v>
      </c>
      <c r="G899" s="463" t="s">
        <v>658</v>
      </c>
      <c r="H899" s="464">
        <v>41494</v>
      </c>
      <c r="I899" s="459">
        <v>1</v>
      </c>
      <c r="J899" s="456">
        <v>33370</v>
      </c>
      <c r="K899" s="456">
        <v>33370</v>
      </c>
      <c r="L899" s="270" t="s">
        <v>617</v>
      </c>
      <c r="M899" s="130" t="s">
        <v>41</v>
      </c>
    </row>
    <row r="900" spans="1:13" s="458" customFormat="1" ht="15" customHeight="1" x14ac:dyDescent="0.25">
      <c r="A900" s="459">
        <v>51</v>
      </c>
      <c r="B900" s="459">
        <v>46884</v>
      </c>
      <c r="C900" s="460" t="s">
        <v>2838</v>
      </c>
      <c r="D900" s="459" t="s">
        <v>2792</v>
      </c>
      <c r="E900" s="461" t="s">
        <v>537</v>
      </c>
      <c r="F900" s="462" t="s">
        <v>472</v>
      </c>
      <c r="G900" s="463" t="s">
        <v>658</v>
      </c>
      <c r="H900" s="464">
        <v>41494</v>
      </c>
      <c r="I900" s="459">
        <v>1</v>
      </c>
      <c r="J900" s="456">
        <v>30429</v>
      </c>
      <c r="K900" s="456">
        <v>30429</v>
      </c>
      <c r="L900" s="270" t="s">
        <v>617</v>
      </c>
      <c r="M900" s="130" t="s">
        <v>41</v>
      </c>
    </row>
    <row r="901" spans="1:13" s="458" customFormat="1" ht="15" customHeight="1" x14ac:dyDescent="0.25">
      <c r="A901" s="459">
        <v>52</v>
      </c>
      <c r="B901" s="459">
        <v>53115</v>
      </c>
      <c r="C901" s="460" t="s">
        <v>2839</v>
      </c>
      <c r="D901" s="459" t="s">
        <v>1960</v>
      </c>
      <c r="E901" s="461" t="s">
        <v>537</v>
      </c>
      <c r="F901" s="462" t="s">
        <v>415</v>
      </c>
      <c r="G901" s="463"/>
      <c r="H901" s="464">
        <v>41520</v>
      </c>
      <c r="I901" s="459">
        <v>1</v>
      </c>
      <c r="J901" s="456">
        <v>30429</v>
      </c>
      <c r="K901" s="456">
        <v>30429</v>
      </c>
      <c r="L901" s="270" t="s">
        <v>617</v>
      </c>
      <c r="M901" s="130" t="s">
        <v>41</v>
      </c>
    </row>
    <row r="902" spans="1:13" s="458" customFormat="1" ht="15" customHeight="1" x14ac:dyDescent="0.25">
      <c r="A902" s="450">
        <v>53</v>
      </c>
      <c r="B902" s="450">
        <v>53246</v>
      </c>
      <c r="C902" s="451" t="s">
        <v>2789</v>
      </c>
      <c r="D902" s="450" t="s">
        <v>1960</v>
      </c>
      <c r="E902" s="452" t="s">
        <v>204</v>
      </c>
      <c r="F902" s="453" t="s">
        <v>568</v>
      </c>
      <c r="G902" s="454"/>
      <c r="H902" s="455">
        <v>41520</v>
      </c>
      <c r="I902" s="450">
        <v>1</v>
      </c>
      <c r="J902" s="457">
        <v>17244</v>
      </c>
      <c r="K902" s="457">
        <v>17244</v>
      </c>
      <c r="L902" s="270" t="s">
        <v>617</v>
      </c>
      <c r="M902" s="130" t="s">
        <v>41</v>
      </c>
    </row>
    <row r="903" spans="1:13" s="469" customFormat="1" ht="15" customHeight="1" x14ac:dyDescent="0.25">
      <c r="A903" s="465">
        <v>54</v>
      </c>
      <c r="B903" s="465">
        <v>53154</v>
      </c>
      <c r="C903" s="466" t="s">
        <v>2816</v>
      </c>
      <c r="D903" s="465" t="s">
        <v>1940</v>
      </c>
      <c r="E903" s="452" t="s">
        <v>115</v>
      </c>
      <c r="F903" s="467" t="s">
        <v>383</v>
      </c>
      <c r="G903" s="463" t="s">
        <v>554</v>
      </c>
      <c r="H903" s="468">
        <v>41520</v>
      </c>
      <c r="I903" s="465">
        <v>1</v>
      </c>
      <c r="J903" s="457">
        <v>33370</v>
      </c>
      <c r="K903" s="457">
        <v>33370</v>
      </c>
      <c r="L903" s="270" t="s">
        <v>617</v>
      </c>
      <c r="M903" s="130" t="s">
        <v>41</v>
      </c>
    </row>
    <row r="904" spans="1:13" s="458" customFormat="1" ht="15" customHeight="1" x14ac:dyDescent="0.25">
      <c r="A904" s="450">
        <v>55</v>
      </c>
      <c r="B904" s="450">
        <v>53110</v>
      </c>
      <c r="C904" s="451" t="s">
        <v>2833</v>
      </c>
      <c r="D904" s="450" t="s">
        <v>1960</v>
      </c>
      <c r="E904" s="452" t="s">
        <v>537</v>
      </c>
      <c r="F904" s="453" t="s">
        <v>419</v>
      </c>
      <c r="G904" s="454" t="s">
        <v>563</v>
      </c>
      <c r="H904" s="455">
        <v>41520</v>
      </c>
      <c r="I904" s="450">
        <v>1</v>
      </c>
      <c r="J904" s="457">
        <v>30429</v>
      </c>
      <c r="K904" s="457">
        <v>30429</v>
      </c>
      <c r="L904" s="270" t="s">
        <v>617</v>
      </c>
      <c r="M904" s="130" t="s">
        <v>41</v>
      </c>
    </row>
    <row r="905" spans="1:13" s="469" customFormat="1" ht="15" customHeight="1" x14ac:dyDescent="0.25">
      <c r="A905" s="465">
        <v>56</v>
      </c>
      <c r="B905" s="465">
        <v>49926</v>
      </c>
      <c r="C905" s="466" t="s">
        <v>2840</v>
      </c>
      <c r="D905" s="465" t="s">
        <v>1940</v>
      </c>
      <c r="E905" s="452" t="s">
        <v>115</v>
      </c>
      <c r="F905" s="467" t="s">
        <v>431</v>
      </c>
      <c r="G905" s="463" t="s">
        <v>650</v>
      </c>
      <c r="H905" s="468">
        <v>41522</v>
      </c>
      <c r="I905" s="465">
        <v>1</v>
      </c>
      <c r="J905" s="457">
        <v>33370</v>
      </c>
      <c r="K905" s="457">
        <v>33370</v>
      </c>
      <c r="L905" s="270" t="s">
        <v>617</v>
      </c>
      <c r="M905" s="130" t="s">
        <v>41</v>
      </c>
    </row>
    <row r="906" spans="1:13" s="458" customFormat="1" ht="15" customHeight="1" x14ac:dyDescent="0.25">
      <c r="A906" s="450">
        <v>57</v>
      </c>
      <c r="B906" s="450">
        <v>53780</v>
      </c>
      <c r="C906" s="451" t="s">
        <v>2841</v>
      </c>
      <c r="D906" s="450" t="s">
        <v>1940</v>
      </c>
      <c r="E906" s="452" t="s">
        <v>537</v>
      </c>
      <c r="F906" s="453" t="s">
        <v>415</v>
      </c>
      <c r="G906" s="454" t="s">
        <v>2476</v>
      </c>
      <c r="H906" s="455">
        <v>41522</v>
      </c>
      <c r="I906" s="450">
        <v>1</v>
      </c>
      <c r="J906" s="457">
        <v>30429</v>
      </c>
      <c r="K906" s="457">
        <v>30429</v>
      </c>
      <c r="L906" s="270" t="s">
        <v>617</v>
      </c>
      <c r="M906" s="130" t="s">
        <v>41</v>
      </c>
    </row>
    <row r="907" spans="1:13" s="458" customFormat="1" ht="15" customHeight="1" x14ac:dyDescent="0.25">
      <c r="A907" s="450">
        <v>58</v>
      </c>
      <c r="B907" s="450">
        <v>57055</v>
      </c>
      <c r="C907" s="451" t="s">
        <v>2833</v>
      </c>
      <c r="D907" s="450" t="s">
        <v>1960</v>
      </c>
      <c r="E907" s="452" t="s">
        <v>537</v>
      </c>
      <c r="F907" s="453" t="s">
        <v>511</v>
      </c>
      <c r="G907" s="454" t="s">
        <v>563</v>
      </c>
      <c r="H907" s="455">
        <v>41540</v>
      </c>
      <c r="I907" s="450">
        <v>1</v>
      </c>
      <c r="J907" s="457">
        <v>30429</v>
      </c>
      <c r="K907" s="457">
        <v>30429</v>
      </c>
      <c r="L907" s="270" t="s">
        <v>617</v>
      </c>
      <c r="M907" s="130" t="s">
        <v>41</v>
      </c>
    </row>
    <row r="908" spans="1:13" s="458" customFormat="1" ht="15" customHeight="1" x14ac:dyDescent="0.25">
      <c r="A908" s="450">
        <v>59</v>
      </c>
      <c r="B908" s="450">
        <v>56571</v>
      </c>
      <c r="C908" s="451" t="s">
        <v>2842</v>
      </c>
      <c r="D908" s="450" t="s">
        <v>1940</v>
      </c>
      <c r="E908" s="452" t="s">
        <v>537</v>
      </c>
      <c r="F908" s="453" t="s">
        <v>562</v>
      </c>
      <c r="G908" s="454" t="s">
        <v>554</v>
      </c>
      <c r="H908" s="455">
        <v>41533</v>
      </c>
      <c r="I908" s="450">
        <v>1</v>
      </c>
      <c r="J908" s="457">
        <v>30429</v>
      </c>
      <c r="K908" s="457">
        <v>30429</v>
      </c>
      <c r="L908" s="270" t="s">
        <v>617</v>
      </c>
      <c r="M908" s="130" t="s">
        <v>41</v>
      </c>
    </row>
    <row r="909" spans="1:13" s="458" customFormat="1" ht="15" customHeight="1" x14ac:dyDescent="0.25">
      <c r="A909" s="450">
        <v>60</v>
      </c>
      <c r="B909" s="450">
        <v>56570</v>
      </c>
      <c r="C909" s="451" t="s">
        <v>2843</v>
      </c>
      <c r="D909" s="450" t="s">
        <v>1940</v>
      </c>
      <c r="E909" s="452" t="s">
        <v>537</v>
      </c>
      <c r="F909" s="453" t="s">
        <v>431</v>
      </c>
      <c r="G909" s="454"/>
      <c r="H909" s="455">
        <v>41533</v>
      </c>
      <c r="I909" s="450">
        <v>1</v>
      </c>
      <c r="J909" s="457">
        <v>30429</v>
      </c>
      <c r="K909" s="457">
        <v>30429</v>
      </c>
      <c r="L909" s="270" t="s">
        <v>617</v>
      </c>
      <c r="M909" s="130" t="s">
        <v>41</v>
      </c>
    </row>
    <row r="910" spans="1:13" s="458" customFormat="1" ht="15" customHeight="1" x14ac:dyDescent="0.25">
      <c r="A910" s="450">
        <v>61</v>
      </c>
      <c r="B910" s="450">
        <v>55289</v>
      </c>
      <c r="C910" s="451" t="s">
        <v>2844</v>
      </c>
      <c r="D910" s="450" t="s">
        <v>1940</v>
      </c>
      <c r="E910" s="452" t="s">
        <v>537</v>
      </c>
      <c r="F910" s="453" t="s">
        <v>511</v>
      </c>
      <c r="G910" s="454" t="s">
        <v>569</v>
      </c>
      <c r="H910" s="455">
        <v>41528</v>
      </c>
      <c r="I910" s="450">
        <v>1</v>
      </c>
      <c r="J910" s="457">
        <v>30429</v>
      </c>
      <c r="K910" s="457">
        <v>30429</v>
      </c>
      <c r="L910" s="270" t="s">
        <v>617</v>
      </c>
      <c r="M910" s="130" t="s">
        <v>41</v>
      </c>
    </row>
    <row r="911" spans="1:13" s="458" customFormat="1" ht="15" customHeight="1" x14ac:dyDescent="0.25">
      <c r="A911" s="450">
        <v>62</v>
      </c>
      <c r="B911" s="450">
        <v>56954</v>
      </c>
      <c r="C911" s="451" t="s">
        <v>2845</v>
      </c>
      <c r="D911" s="450" t="s">
        <v>1960</v>
      </c>
      <c r="E911" s="452" t="s">
        <v>115</v>
      </c>
      <c r="F911" s="453" t="s">
        <v>417</v>
      </c>
      <c r="G911" s="454" t="s">
        <v>583</v>
      </c>
      <c r="H911" s="455">
        <v>41540</v>
      </c>
      <c r="I911" s="450">
        <v>1</v>
      </c>
      <c r="J911" s="457">
        <v>33370</v>
      </c>
      <c r="K911" s="457">
        <v>33370</v>
      </c>
      <c r="L911" s="270" t="s">
        <v>617</v>
      </c>
      <c r="M911" s="130" t="s">
        <v>41</v>
      </c>
    </row>
    <row r="912" spans="1:13" s="458" customFormat="1" ht="15" customHeight="1" x14ac:dyDescent="0.25">
      <c r="A912" s="450">
        <v>63</v>
      </c>
      <c r="B912" s="450">
        <v>54255</v>
      </c>
      <c r="C912" s="451" t="s">
        <v>2846</v>
      </c>
      <c r="D912" s="450" t="s">
        <v>1940</v>
      </c>
      <c r="E912" s="452" t="s">
        <v>188</v>
      </c>
      <c r="F912" s="453" t="s">
        <v>442</v>
      </c>
      <c r="G912" s="454" t="s">
        <v>554</v>
      </c>
      <c r="H912" s="455">
        <v>41525</v>
      </c>
      <c r="I912" s="450">
        <v>1</v>
      </c>
      <c r="J912" s="457">
        <v>42601</v>
      </c>
      <c r="K912" s="457">
        <v>42601</v>
      </c>
      <c r="L912" s="270" t="s">
        <v>617</v>
      </c>
      <c r="M912" s="130" t="s">
        <v>41</v>
      </c>
    </row>
    <row r="913" spans="1:13" s="458" customFormat="1" ht="15" customHeight="1" x14ac:dyDescent="0.25">
      <c r="A913" s="450">
        <v>64</v>
      </c>
      <c r="B913" s="450">
        <v>58488</v>
      </c>
      <c r="C913" s="451" t="s">
        <v>2847</v>
      </c>
      <c r="D913" s="450" t="s">
        <v>1940</v>
      </c>
      <c r="E913" s="452" t="s">
        <v>537</v>
      </c>
      <c r="F913" s="453" t="s">
        <v>527</v>
      </c>
      <c r="G913" s="454" t="s">
        <v>554</v>
      </c>
      <c r="H913" s="455">
        <v>41546</v>
      </c>
      <c r="I913" s="450">
        <v>1</v>
      </c>
      <c r="J913" s="457">
        <v>30429</v>
      </c>
      <c r="K913" s="457">
        <v>30429</v>
      </c>
      <c r="L913" s="270" t="s">
        <v>617</v>
      </c>
      <c r="M913" s="130" t="s">
        <v>41</v>
      </c>
    </row>
    <row r="914" spans="1:13" s="458" customFormat="1" ht="15" customHeight="1" x14ac:dyDescent="0.25">
      <c r="A914" s="459">
        <v>65</v>
      </c>
      <c r="B914" s="459">
        <v>58487</v>
      </c>
      <c r="C914" s="460" t="s">
        <v>2848</v>
      </c>
      <c r="D914" s="459" t="s">
        <v>1960</v>
      </c>
      <c r="E914" s="461" t="s">
        <v>537</v>
      </c>
      <c r="F914" s="462" t="s">
        <v>645</v>
      </c>
      <c r="G914" s="463" t="s">
        <v>554</v>
      </c>
      <c r="H914" s="464">
        <v>41545</v>
      </c>
      <c r="I914" s="459">
        <v>1</v>
      </c>
      <c r="J914" s="456">
        <v>30429</v>
      </c>
      <c r="K914" s="456">
        <v>30429</v>
      </c>
      <c r="L914" s="270" t="s">
        <v>617</v>
      </c>
      <c r="M914" s="130" t="s">
        <v>41</v>
      </c>
    </row>
    <row r="915" spans="1:13" s="458" customFormat="1" ht="15" customHeight="1" x14ac:dyDescent="0.25">
      <c r="A915" s="450">
        <v>66</v>
      </c>
      <c r="B915" s="450">
        <v>58622</v>
      </c>
      <c r="C915" s="451" t="s">
        <v>2849</v>
      </c>
      <c r="D915" s="450" t="s">
        <v>1960</v>
      </c>
      <c r="E915" s="452" t="s">
        <v>115</v>
      </c>
      <c r="F915" s="453" t="s">
        <v>404</v>
      </c>
      <c r="G915" s="454"/>
      <c r="H915" s="455">
        <v>41547</v>
      </c>
      <c r="I915" s="450">
        <v>1</v>
      </c>
      <c r="J915" s="457">
        <v>33370</v>
      </c>
      <c r="K915" s="457">
        <v>33370</v>
      </c>
      <c r="L915" s="270" t="s">
        <v>617</v>
      </c>
      <c r="M915" s="130" t="s">
        <v>41</v>
      </c>
    </row>
    <row r="916" spans="1:13" s="458" customFormat="1" ht="15" customHeight="1" x14ac:dyDescent="0.25">
      <c r="A916" s="450">
        <v>67</v>
      </c>
      <c r="B916" s="450">
        <v>59070</v>
      </c>
      <c r="C916" s="451" t="s">
        <v>2850</v>
      </c>
      <c r="D916" s="450" t="s">
        <v>1940</v>
      </c>
      <c r="E916" s="452" t="s">
        <v>537</v>
      </c>
      <c r="F916" s="453" t="s">
        <v>431</v>
      </c>
      <c r="G916" s="454" t="s">
        <v>554</v>
      </c>
      <c r="H916" s="455">
        <v>41547</v>
      </c>
      <c r="I916" s="450">
        <v>1</v>
      </c>
      <c r="J916" s="457">
        <v>30429</v>
      </c>
      <c r="K916" s="457">
        <v>30429</v>
      </c>
      <c r="L916" s="270" t="s">
        <v>617</v>
      </c>
      <c r="M916" s="130" t="s">
        <v>41</v>
      </c>
    </row>
    <row r="917" spans="1:13" s="458" customFormat="1" ht="15" customHeight="1" x14ac:dyDescent="0.25">
      <c r="A917" s="450">
        <v>68</v>
      </c>
      <c r="B917" s="450">
        <v>59153</v>
      </c>
      <c r="C917" s="451" t="s">
        <v>2851</v>
      </c>
      <c r="D917" s="450" t="s">
        <v>1960</v>
      </c>
      <c r="E917" s="452" t="s">
        <v>537</v>
      </c>
      <c r="F917" s="453" t="s">
        <v>431</v>
      </c>
      <c r="G917" s="454" t="s">
        <v>642</v>
      </c>
      <c r="H917" s="455">
        <v>41547</v>
      </c>
      <c r="I917" s="450">
        <v>1</v>
      </c>
      <c r="J917" s="457">
        <v>30429</v>
      </c>
      <c r="K917" s="457">
        <v>30429</v>
      </c>
      <c r="L917" s="270" t="s">
        <v>617</v>
      </c>
      <c r="M917" s="130" t="s">
        <v>41</v>
      </c>
    </row>
    <row r="918" spans="1:13" s="458" customFormat="1" ht="15" customHeight="1" thickBot="1" x14ac:dyDescent="0.3">
      <c r="A918" s="470">
        <v>69</v>
      </c>
      <c r="B918" s="470">
        <v>58944</v>
      </c>
      <c r="C918" s="471" t="s">
        <v>2841</v>
      </c>
      <c r="D918" s="470" t="s">
        <v>1940</v>
      </c>
      <c r="E918" s="472" t="s">
        <v>115</v>
      </c>
      <c r="F918" s="473" t="s">
        <v>419</v>
      </c>
      <c r="G918" s="474" t="s">
        <v>569</v>
      </c>
      <c r="H918" s="475">
        <v>41547</v>
      </c>
      <c r="I918" s="470">
        <v>1</v>
      </c>
      <c r="J918" s="476">
        <v>33370</v>
      </c>
      <c r="K918" s="476">
        <v>33370</v>
      </c>
      <c r="L918" s="477" t="s">
        <v>617</v>
      </c>
      <c r="M918" s="130" t="s">
        <v>41</v>
      </c>
    </row>
    <row r="919" spans="1:13" s="134" customFormat="1" ht="15" customHeight="1" thickTop="1" x14ac:dyDescent="0.25">
      <c r="A919" s="274">
        <v>70</v>
      </c>
      <c r="B919" s="274">
        <v>59768</v>
      </c>
      <c r="C919" s="275" t="s">
        <v>2852</v>
      </c>
      <c r="D919" s="274" t="s">
        <v>1940</v>
      </c>
      <c r="E919" s="276" t="s">
        <v>537</v>
      </c>
      <c r="F919" s="277" t="s">
        <v>527</v>
      </c>
      <c r="G919" s="278" t="s">
        <v>2453</v>
      </c>
      <c r="H919" s="279">
        <v>41548</v>
      </c>
      <c r="I919" s="274">
        <v>1</v>
      </c>
      <c r="J919" s="354">
        <v>30429</v>
      </c>
      <c r="K919" s="358">
        <v>30429</v>
      </c>
      <c r="L919" s="270" t="s">
        <v>620</v>
      </c>
      <c r="M919" s="130" t="s">
        <v>41</v>
      </c>
    </row>
    <row r="920" spans="1:13" s="134" customFormat="1" ht="15" customHeight="1" x14ac:dyDescent="0.25">
      <c r="A920" s="274">
        <v>71</v>
      </c>
      <c r="B920" s="274">
        <v>60596</v>
      </c>
      <c r="C920" s="275" t="s">
        <v>2853</v>
      </c>
      <c r="D920" s="274" t="s">
        <v>1940</v>
      </c>
      <c r="E920" s="276" t="s">
        <v>682</v>
      </c>
      <c r="F920" s="277" t="s">
        <v>371</v>
      </c>
      <c r="G920" s="278"/>
      <c r="H920" s="279">
        <v>41555</v>
      </c>
      <c r="I920" s="274">
        <v>1</v>
      </c>
      <c r="J920" s="354">
        <v>55058</v>
      </c>
      <c r="K920" s="358">
        <v>55058</v>
      </c>
      <c r="L920" s="270" t="s">
        <v>620</v>
      </c>
      <c r="M920" s="130" t="s">
        <v>41</v>
      </c>
    </row>
    <row r="921" spans="1:13" s="134" customFormat="1" ht="15" customHeight="1" x14ac:dyDescent="0.25">
      <c r="A921" s="274">
        <v>72</v>
      </c>
      <c r="B921" s="274">
        <v>60669</v>
      </c>
      <c r="C921" s="275" t="s">
        <v>2854</v>
      </c>
      <c r="D921" s="274" t="s">
        <v>1960</v>
      </c>
      <c r="E921" s="276" t="s">
        <v>537</v>
      </c>
      <c r="F921" s="277" t="s">
        <v>415</v>
      </c>
      <c r="G921" s="278" t="s">
        <v>583</v>
      </c>
      <c r="H921" s="279">
        <v>41554</v>
      </c>
      <c r="I921" s="274">
        <v>1</v>
      </c>
      <c r="J921" s="354">
        <v>30429</v>
      </c>
      <c r="K921" s="358">
        <v>30429</v>
      </c>
      <c r="L921" s="270" t="s">
        <v>620</v>
      </c>
      <c r="M921" s="130" t="s">
        <v>41</v>
      </c>
    </row>
    <row r="922" spans="1:13" s="134" customFormat="1" ht="15" customHeight="1" x14ac:dyDescent="0.25">
      <c r="A922" s="122">
        <v>73</v>
      </c>
      <c r="B922" s="274">
        <v>60668</v>
      </c>
      <c r="C922" s="275" t="s">
        <v>2855</v>
      </c>
      <c r="D922" s="274" t="s">
        <v>2856</v>
      </c>
      <c r="E922" s="276" t="s">
        <v>537</v>
      </c>
      <c r="F922" s="277" t="s">
        <v>415</v>
      </c>
      <c r="G922" s="278" t="s">
        <v>2084</v>
      </c>
      <c r="H922" s="279">
        <v>41554</v>
      </c>
      <c r="I922" s="274">
        <v>1</v>
      </c>
      <c r="J922" s="354">
        <v>30429</v>
      </c>
      <c r="K922" s="358">
        <v>30429</v>
      </c>
      <c r="L922" s="270" t="s">
        <v>620</v>
      </c>
      <c r="M922" s="130" t="s">
        <v>41</v>
      </c>
    </row>
    <row r="923" spans="1:13" s="134" customFormat="1" ht="15" customHeight="1" x14ac:dyDescent="0.25">
      <c r="A923" s="122">
        <v>74</v>
      </c>
      <c r="B923" s="274">
        <v>61058</v>
      </c>
      <c r="C923" s="275" t="s">
        <v>2857</v>
      </c>
      <c r="D923" s="274" t="s">
        <v>1940</v>
      </c>
      <c r="E923" s="276" t="s">
        <v>537</v>
      </c>
      <c r="F923" s="277" t="s">
        <v>417</v>
      </c>
      <c r="G923" s="278" t="s">
        <v>554</v>
      </c>
      <c r="H923" s="279">
        <v>41556</v>
      </c>
      <c r="I923" s="274">
        <v>1</v>
      </c>
      <c r="J923" s="354">
        <v>30429</v>
      </c>
      <c r="K923" s="358">
        <v>30429</v>
      </c>
      <c r="L923" s="270" t="s">
        <v>620</v>
      </c>
      <c r="M923" s="130" t="s">
        <v>41</v>
      </c>
    </row>
    <row r="924" spans="1:13" s="134" customFormat="1" ht="15" customHeight="1" x14ac:dyDescent="0.25">
      <c r="A924" s="122">
        <v>75</v>
      </c>
      <c r="B924" s="274">
        <v>61059</v>
      </c>
      <c r="C924" s="275" t="s">
        <v>2858</v>
      </c>
      <c r="D924" s="274" t="s">
        <v>1960</v>
      </c>
      <c r="E924" s="276" t="s">
        <v>537</v>
      </c>
      <c r="F924" s="277" t="s">
        <v>472</v>
      </c>
      <c r="G924" s="278" t="s">
        <v>583</v>
      </c>
      <c r="H924" s="279">
        <v>41556</v>
      </c>
      <c r="I924" s="274">
        <v>1</v>
      </c>
      <c r="J924" s="354">
        <v>30429</v>
      </c>
      <c r="K924" s="358">
        <v>30429</v>
      </c>
      <c r="L924" s="270" t="s">
        <v>620</v>
      </c>
      <c r="M924" s="130" t="s">
        <v>41</v>
      </c>
    </row>
    <row r="925" spans="1:13" s="134" customFormat="1" ht="15" customHeight="1" x14ac:dyDescent="0.25">
      <c r="A925" s="122">
        <v>76</v>
      </c>
      <c r="B925" s="274">
        <v>62854</v>
      </c>
      <c r="C925" s="275" t="s">
        <v>2859</v>
      </c>
      <c r="D925" s="274" t="s">
        <v>1960</v>
      </c>
      <c r="E925" s="276" t="s">
        <v>115</v>
      </c>
      <c r="F925" s="277" t="s">
        <v>442</v>
      </c>
      <c r="G925" s="278" t="s">
        <v>2860</v>
      </c>
      <c r="H925" s="279">
        <v>41561</v>
      </c>
      <c r="I925" s="274">
        <v>1</v>
      </c>
      <c r="J925" s="354">
        <v>33370</v>
      </c>
      <c r="K925" s="358">
        <v>33370</v>
      </c>
      <c r="L925" s="270" t="s">
        <v>620</v>
      </c>
      <c r="M925" s="130" t="s">
        <v>41</v>
      </c>
    </row>
    <row r="926" spans="1:13" s="134" customFormat="1" ht="15" customHeight="1" x14ac:dyDescent="0.25">
      <c r="A926" s="122">
        <v>77</v>
      </c>
      <c r="B926" s="274">
        <v>65252</v>
      </c>
      <c r="C926" s="275" t="s">
        <v>2861</v>
      </c>
      <c r="D926" s="274" t="s">
        <v>1940</v>
      </c>
      <c r="E926" s="276" t="s">
        <v>537</v>
      </c>
      <c r="F926" s="277" t="s">
        <v>442</v>
      </c>
      <c r="G926" s="278" t="s">
        <v>554</v>
      </c>
      <c r="H926" s="279">
        <v>41569</v>
      </c>
      <c r="I926" s="274">
        <v>1</v>
      </c>
      <c r="J926" s="354">
        <v>30429</v>
      </c>
      <c r="K926" s="358">
        <v>30429</v>
      </c>
      <c r="L926" s="270" t="s">
        <v>620</v>
      </c>
      <c r="M926" s="130" t="s">
        <v>41</v>
      </c>
    </row>
    <row r="927" spans="1:13" s="134" customFormat="1" ht="15" customHeight="1" x14ac:dyDescent="0.25">
      <c r="A927" s="122">
        <v>78</v>
      </c>
      <c r="B927" s="274">
        <v>65566</v>
      </c>
      <c r="C927" s="275" t="s">
        <v>2862</v>
      </c>
      <c r="D927" s="274" t="s">
        <v>1940</v>
      </c>
      <c r="E927" s="276" t="s">
        <v>682</v>
      </c>
      <c r="F927" s="277" t="s">
        <v>387</v>
      </c>
      <c r="G927" s="278"/>
      <c r="H927" s="279">
        <v>41570</v>
      </c>
      <c r="I927" s="274">
        <v>2</v>
      </c>
      <c r="J927" s="354">
        <v>55058</v>
      </c>
      <c r="K927" s="358">
        <v>110116</v>
      </c>
      <c r="L927" s="270" t="s">
        <v>620</v>
      </c>
      <c r="M927" s="130" t="s">
        <v>41</v>
      </c>
    </row>
    <row r="928" spans="1:13" s="134" customFormat="1" ht="15" customHeight="1" x14ac:dyDescent="0.25">
      <c r="A928" s="122">
        <v>79</v>
      </c>
      <c r="B928" s="274">
        <v>66673</v>
      </c>
      <c r="C928" s="275" t="s">
        <v>2863</v>
      </c>
      <c r="D928" s="274" t="s">
        <v>1940</v>
      </c>
      <c r="E928" s="276" t="s">
        <v>537</v>
      </c>
      <c r="F928" s="277" t="s">
        <v>511</v>
      </c>
      <c r="G928" s="278" t="s">
        <v>554</v>
      </c>
      <c r="H928" s="279">
        <v>41575</v>
      </c>
      <c r="I928" s="274">
        <v>1</v>
      </c>
      <c r="J928" s="354">
        <v>30429</v>
      </c>
      <c r="K928" s="358">
        <v>30429</v>
      </c>
      <c r="L928" s="270" t="s">
        <v>620</v>
      </c>
      <c r="M928" s="130" t="s">
        <v>41</v>
      </c>
    </row>
    <row r="929" spans="1:13" s="134" customFormat="1" ht="15" customHeight="1" x14ac:dyDescent="0.25">
      <c r="A929" s="122">
        <v>80</v>
      </c>
      <c r="B929" s="274">
        <v>67232</v>
      </c>
      <c r="C929" s="275" t="s">
        <v>2827</v>
      </c>
      <c r="D929" s="274" t="s">
        <v>1940</v>
      </c>
      <c r="E929" s="276" t="s">
        <v>115</v>
      </c>
      <c r="F929" s="277" t="s">
        <v>2864</v>
      </c>
      <c r="G929" s="278" t="s">
        <v>2453</v>
      </c>
      <c r="H929" s="279">
        <v>41576</v>
      </c>
      <c r="I929" s="274">
        <v>2</v>
      </c>
      <c r="J929" s="354">
        <v>33370</v>
      </c>
      <c r="K929" s="358">
        <v>66740</v>
      </c>
      <c r="L929" s="270" t="s">
        <v>620</v>
      </c>
      <c r="M929" s="130" t="s">
        <v>41</v>
      </c>
    </row>
    <row r="930" spans="1:13" s="134" customFormat="1" ht="15" customHeight="1" x14ac:dyDescent="0.25">
      <c r="A930" s="122">
        <v>81</v>
      </c>
      <c r="B930" s="274">
        <v>67483</v>
      </c>
      <c r="C930" s="275" t="s">
        <v>2865</v>
      </c>
      <c r="D930" s="274" t="s">
        <v>2866</v>
      </c>
      <c r="E930" s="276" t="s">
        <v>537</v>
      </c>
      <c r="F930" s="277" t="s">
        <v>527</v>
      </c>
      <c r="G930" s="278" t="s">
        <v>566</v>
      </c>
      <c r="H930" s="279">
        <v>41577</v>
      </c>
      <c r="I930" s="274">
        <v>1</v>
      </c>
      <c r="J930" s="354">
        <v>30429</v>
      </c>
      <c r="K930" s="358">
        <v>30429</v>
      </c>
      <c r="L930" s="270" t="s">
        <v>620</v>
      </c>
      <c r="M930" s="130" t="s">
        <v>41</v>
      </c>
    </row>
    <row r="931" spans="1:13" s="134" customFormat="1" ht="15" customHeight="1" x14ac:dyDescent="0.25">
      <c r="A931" s="122">
        <v>82</v>
      </c>
      <c r="B931" s="274">
        <v>69028</v>
      </c>
      <c r="C931" s="275" t="s">
        <v>2867</v>
      </c>
      <c r="D931" s="274" t="s">
        <v>1940</v>
      </c>
      <c r="E931" s="276" t="s">
        <v>188</v>
      </c>
      <c r="F931" s="277" t="s">
        <v>527</v>
      </c>
      <c r="G931" s="278" t="s">
        <v>569</v>
      </c>
      <c r="H931" s="279">
        <v>41585</v>
      </c>
      <c r="I931" s="274">
        <v>1</v>
      </c>
      <c r="J931" s="354">
        <v>42601</v>
      </c>
      <c r="K931" s="358">
        <v>42601</v>
      </c>
      <c r="L931" s="270" t="s">
        <v>960</v>
      </c>
      <c r="M931" s="130" t="s">
        <v>41</v>
      </c>
    </row>
    <row r="932" spans="1:13" s="134" customFormat="1" ht="15" customHeight="1" x14ac:dyDescent="0.25">
      <c r="A932" s="122">
        <v>83</v>
      </c>
      <c r="B932" s="274">
        <v>69345</v>
      </c>
      <c r="C932" s="275" t="s">
        <v>2868</v>
      </c>
      <c r="D932" s="274" t="s">
        <v>1940</v>
      </c>
      <c r="E932" s="276" t="s">
        <v>115</v>
      </c>
      <c r="F932" s="277" t="s">
        <v>527</v>
      </c>
      <c r="G932" s="278" t="s">
        <v>2869</v>
      </c>
      <c r="H932" s="279">
        <v>41589</v>
      </c>
      <c r="I932" s="274">
        <v>1</v>
      </c>
      <c r="J932" s="354">
        <v>33370</v>
      </c>
      <c r="K932" s="358">
        <v>33370</v>
      </c>
      <c r="L932" s="270" t="s">
        <v>960</v>
      </c>
      <c r="M932" s="130" t="s">
        <v>41</v>
      </c>
    </row>
    <row r="933" spans="1:13" s="134" customFormat="1" ht="15" customHeight="1" x14ac:dyDescent="0.25">
      <c r="A933" s="122">
        <v>84</v>
      </c>
      <c r="B933" s="274">
        <v>69080</v>
      </c>
      <c r="C933" s="275" t="s">
        <v>2870</v>
      </c>
      <c r="D933" s="274" t="s">
        <v>1940</v>
      </c>
      <c r="E933" s="276" t="s">
        <v>188</v>
      </c>
      <c r="F933" s="277" t="s">
        <v>2100</v>
      </c>
      <c r="G933" s="278" t="s">
        <v>2871</v>
      </c>
      <c r="H933" s="279">
        <v>41585</v>
      </c>
      <c r="I933" s="274">
        <v>4</v>
      </c>
      <c r="J933" s="354">
        <v>42601</v>
      </c>
      <c r="K933" s="358">
        <v>170404</v>
      </c>
      <c r="L933" s="270" t="s">
        <v>960</v>
      </c>
      <c r="M933" s="130" t="s">
        <v>41</v>
      </c>
    </row>
    <row r="934" spans="1:13" s="134" customFormat="1" ht="15" customHeight="1" x14ac:dyDescent="0.25">
      <c r="A934" s="122">
        <v>85</v>
      </c>
      <c r="B934" s="274">
        <v>68825</v>
      </c>
      <c r="C934" s="275" t="s">
        <v>2872</v>
      </c>
      <c r="D934" s="274" t="s">
        <v>1940</v>
      </c>
      <c r="E934" s="276" t="s">
        <v>537</v>
      </c>
      <c r="F934" s="277" t="s">
        <v>562</v>
      </c>
      <c r="G934" s="278" t="s">
        <v>554</v>
      </c>
      <c r="H934" s="279">
        <v>41584</v>
      </c>
      <c r="I934" s="274">
        <v>1</v>
      </c>
      <c r="J934" s="354">
        <v>30429</v>
      </c>
      <c r="K934" s="358">
        <v>30429</v>
      </c>
      <c r="L934" s="270" t="s">
        <v>960</v>
      </c>
      <c r="M934" s="130" t="s">
        <v>41</v>
      </c>
    </row>
    <row r="935" spans="1:13" s="134" customFormat="1" ht="15" customHeight="1" x14ac:dyDescent="0.25">
      <c r="A935" s="122">
        <v>86</v>
      </c>
      <c r="B935" s="274">
        <v>70457</v>
      </c>
      <c r="C935" s="275" t="s">
        <v>2873</v>
      </c>
      <c r="D935" s="274" t="s">
        <v>1940</v>
      </c>
      <c r="E935" s="276" t="s">
        <v>537</v>
      </c>
      <c r="F935" s="277" t="s">
        <v>472</v>
      </c>
      <c r="G935" s="278" t="s">
        <v>554</v>
      </c>
      <c r="H935" s="279">
        <v>41591</v>
      </c>
      <c r="I935" s="274">
        <v>1</v>
      </c>
      <c r="J935" s="354">
        <v>30429</v>
      </c>
      <c r="K935" s="358">
        <v>30429</v>
      </c>
      <c r="L935" s="270" t="s">
        <v>960</v>
      </c>
      <c r="M935" s="130" t="s">
        <v>41</v>
      </c>
    </row>
    <row r="936" spans="1:13" s="134" customFormat="1" ht="15" customHeight="1" x14ac:dyDescent="0.25">
      <c r="A936" s="122">
        <v>87</v>
      </c>
      <c r="B936" s="274">
        <v>71366</v>
      </c>
      <c r="C936" s="275" t="s">
        <v>2874</v>
      </c>
      <c r="D936" s="274" t="s">
        <v>1940</v>
      </c>
      <c r="E936" s="276" t="s">
        <v>682</v>
      </c>
      <c r="F936" s="277" t="s">
        <v>369</v>
      </c>
      <c r="G936" s="278"/>
      <c r="H936" s="279">
        <v>41593</v>
      </c>
      <c r="I936" s="274">
        <v>1</v>
      </c>
      <c r="J936" s="354">
        <v>55058</v>
      </c>
      <c r="K936" s="358">
        <v>55058</v>
      </c>
      <c r="L936" s="270" t="s">
        <v>960</v>
      </c>
      <c r="M936" s="130" t="s">
        <v>41</v>
      </c>
    </row>
    <row r="937" spans="1:13" s="134" customFormat="1" ht="15" customHeight="1" x14ac:dyDescent="0.25">
      <c r="A937" s="122">
        <v>88</v>
      </c>
      <c r="B937" s="274">
        <v>71245</v>
      </c>
      <c r="C937" s="275" t="s">
        <v>1943</v>
      </c>
      <c r="D937" s="274" t="s">
        <v>1940</v>
      </c>
      <c r="E937" s="276" t="s">
        <v>537</v>
      </c>
      <c r="F937" s="277" t="s">
        <v>402</v>
      </c>
      <c r="G937" s="278" t="s">
        <v>554</v>
      </c>
      <c r="H937" s="279">
        <v>41593</v>
      </c>
      <c r="I937" s="274">
        <v>2</v>
      </c>
      <c r="J937" s="354">
        <v>30429</v>
      </c>
      <c r="K937" s="358">
        <v>60858</v>
      </c>
      <c r="L937" s="270" t="s">
        <v>960</v>
      </c>
      <c r="M937" s="130" t="s">
        <v>41</v>
      </c>
    </row>
    <row r="938" spans="1:13" s="134" customFormat="1" ht="15" customHeight="1" x14ac:dyDescent="0.25">
      <c r="A938" s="122">
        <v>89</v>
      </c>
      <c r="B938" s="274">
        <v>71247</v>
      </c>
      <c r="C938" s="275" t="s">
        <v>2875</v>
      </c>
      <c r="D938" s="274" t="s">
        <v>1940</v>
      </c>
      <c r="E938" s="276" t="s">
        <v>537</v>
      </c>
      <c r="F938" s="277" t="s">
        <v>417</v>
      </c>
      <c r="G938" s="278" t="s">
        <v>554</v>
      </c>
      <c r="H938" s="279">
        <v>41593</v>
      </c>
      <c r="I938" s="274">
        <v>1</v>
      </c>
      <c r="J938" s="354">
        <v>30429</v>
      </c>
      <c r="K938" s="358">
        <v>30429</v>
      </c>
      <c r="L938" s="270" t="s">
        <v>960</v>
      </c>
      <c r="M938" s="130" t="s">
        <v>41</v>
      </c>
    </row>
    <row r="939" spans="1:13" s="134" customFormat="1" ht="15" customHeight="1" x14ac:dyDescent="0.25">
      <c r="A939" s="122">
        <v>90</v>
      </c>
      <c r="B939" s="274">
        <v>71776</v>
      </c>
      <c r="C939" s="275" t="s">
        <v>2876</v>
      </c>
      <c r="D939" s="274" t="s">
        <v>1940</v>
      </c>
      <c r="E939" s="276" t="s">
        <v>537</v>
      </c>
      <c r="F939" s="277" t="s">
        <v>415</v>
      </c>
      <c r="G939" s="278" t="s">
        <v>569</v>
      </c>
      <c r="H939" s="279">
        <v>41596</v>
      </c>
      <c r="I939" s="274">
        <v>1</v>
      </c>
      <c r="J939" s="354">
        <v>30429</v>
      </c>
      <c r="K939" s="358">
        <v>30429</v>
      </c>
      <c r="L939" s="270" t="s">
        <v>960</v>
      </c>
      <c r="M939" s="130" t="s">
        <v>41</v>
      </c>
    </row>
    <row r="940" spans="1:13" s="134" customFormat="1" ht="15" customHeight="1" x14ac:dyDescent="0.25">
      <c r="A940" s="122">
        <v>91</v>
      </c>
      <c r="B940" s="274">
        <v>73301</v>
      </c>
      <c r="C940" s="275" t="s">
        <v>2877</v>
      </c>
      <c r="D940" s="274" t="s">
        <v>1940</v>
      </c>
      <c r="E940" s="276" t="s">
        <v>537</v>
      </c>
      <c r="F940" s="277" t="s">
        <v>562</v>
      </c>
      <c r="G940" s="278" t="s">
        <v>554</v>
      </c>
      <c r="H940" s="279">
        <v>41600</v>
      </c>
      <c r="I940" s="274">
        <v>1</v>
      </c>
      <c r="J940" s="354">
        <v>30429</v>
      </c>
      <c r="K940" s="358">
        <v>30429</v>
      </c>
      <c r="L940" s="270" t="s">
        <v>960</v>
      </c>
      <c r="M940" s="130" t="s">
        <v>41</v>
      </c>
    </row>
    <row r="941" spans="1:13" s="134" customFormat="1" ht="15" customHeight="1" x14ac:dyDescent="0.25">
      <c r="A941" s="122">
        <v>92</v>
      </c>
      <c r="B941" s="274">
        <v>73985</v>
      </c>
      <c r="C941" s="275" t="s">
        <v>2878</v>
      </c>
      <c r="D941" s="274" t="s">
        <v>376</v>
      </c>
      <c r="E941" s="276" t="s">
        <v>188</v>
      </c>
      <c r="F941" s="277" t="s">
        <v>442</v>
      </c>
      <c r="G941" s="278" t="s">
        <v>2333</v>
      </c>
      <c r="H941" s="279">
        <v>41603</v>
      </c>
      <c r="I941" s="274">
        <v>1</v>
      </c>
      <c r="J941" s="354">
        <v>42601</v>
      </c>
      <c r="K941" s="358">
        <v>42601</v>
      </c>
      <c r="L941" s="270" t="s">
        <v>960</v>
      </c>
      <c r="M941" s="130" t="s">
        <v>41</v>
      </c>
    </row>
    <row r="942" spans="1:13" s="134" customFormat="1" ht="15" customHeight="1" x14ac:dyDescent="0.25">
      <c r="A942" s="122">
        <v>93</v>
      </c>
      <c r="B942" s="274">
        <v>74497</v>
      </c>
      <c r="C942" s="275" t="s">
        <v>2879</v>
      </c>
      <c r="D942" s="274" t="s">
        <v>1940</v>
      </c>
      <c r="E942" s="276" t="s">
        <v>537</v>
      </c>
      <c r="F942" s="277" t="s">
        <v>419</v>
      </c>
      <c r="G942" s="278" t="s">
        <v>554</v>
      </c>
      <c r="H942" s="279">
        <v>41605</v>
      </c>
      <c r="I942" s="274">
        <v>1</v>
      </c>
      <c r="J942" s="354">
        <v>30429</v>
      </c>
      <c r="K942" s="358">
        <v>30429</v>
      </c>
      <c r="L942" s="270" t="s">
        <v>960</v>
      </c>
      <c r="M942" s="130" t="s">
        <v>41</v>
      </c>
    </row>
    <row r="943" spans="1:13" s="134" customFormat="1" ht="15" customHeight="1" x14ac:dyDescent="0.25">
      <c r="A943" s="122">
        <v>94</v>
      </c>
      <c r="B943" s="274">
        <v>74761</v>
      </c>
      <c r="C943" s="275" t="s">
        <v>2841</v>
      </c>
      <c r="D943" s="274" t="s">
        <v>1940</v>
      </c>
      <c r="E943" s="276" t="s">
        <v>192</v>
      </c>
      <c r="F943" s="277" t="s">
        <v>400</v>
      </c>
      <c r="G943" s="278" t="s">
        <v>569</v>
      </c>
      <c r="H943" s="279">
        <v>41605</v>
      </c>
      <c r="I943" s="274">
        <v>2</v>
      </c>
      <c r="J943" s="354">
        <v>57960</v>
      </c>
      <c r="K943" s="358">
        <v>115920</v>
      </c>
      <c r="L943" s="270" t="s">
        <v>960</v>
      </c>
      <c r="M943" s="130" t="s">
        <v>41</v>
      </c>
    </row>
    <row r="944" spans="1:13" s="134" customFormat="1" ht="15" customHeight="1" thickBot="1" x14ac:dyDescent="0.3">
      <c r="A944" s="405">
        <v>95</v>
      </c>
      <c r="B944" s="282">
        <v>74931</v>
      </c>
      <c r="C944" s="283" t="s">
        <v>2880</v>
      </c>
      <c r="D944" s="282" t="s">
        <v>1940</v>
      </c>
      <c r="E944" s="284" t="s">
        <v>115</v>
      </c>
      <c r="F944" s="285" t="s">
        <v>431</v>
      </c>
      <c r="G944" s="286" t="s">
        <v>554</v>
      </c>
      <c r="H944" s="287">
        <v>41605</v>
      </c>
      <c r="I944" s="282">
        <v>1</v>
      </c>
      <c r="J944" s="478">
        <v>33370</v>
      </c>
      <c r="K944" s="479">
        <v>33370</v>
      </c>
      <c r="L944" s="413" t="s">
        <v>960</v>
      </c>
      <c r="M944" s="130" t="s">
        <v>41</v>
      </c>
    </row>
    <row r="945" spans="1:13" s="134" customFormat="1" ht="15" customHeight="1" x14ac:dyDescent="0.25">
      <c r="A945" s="480">
        <v>96</v>
      </c>
      <c r="B945" s="480">
        <v>78148</v>
      </c>
      <c r="C945" s="481" t="s">
        <v>2881</v>
      </c>
      <c r="D945" s="480" t="s">
        <v>1940</v>
      </c>
      <c r="E945" s="482" t="s">
        <v>537</v>
      </c>
      <c r="F945" s="483" t="s">
        <v>562</v>
      </c>
      <c r="G945" s="484" t="s">
        <v>554</v>
      </c>
      <c r="H945" s="485">
        <v>41614</v>
      </c>
      <c r="I945" s="480">
        <v>1</v>
      </c>
      <c r="J945" s="486">
        <v>30429</v>
      </c>
      <c r="K945" s="487">
        <v>30429</v>
      </c>
      <c r="L945" s="488" t="s">
        <v>623</v>
      </c>
      <c r="M945" s="130" t="s">
        <v>41</v>
      </c>
    </row>
    <row r="946" spans="1:13" s="134" customFormat="1" ht="15" customHeight="1" x14ac:dyDescent="0.25">
      <c r="A946" s="122">
        <v>97</v>
      </c>
      <c r="B946" s="274">
        <v>78059</v>
      </c>
      <c r="C946" s="275" t="s">
        <v>2882</v>
      </c>
      <c r="D946" s="274" t="s">
        <v>1940</v>
      </c>
      <c r="E946" s="276" t="s">
        <v>115</v>
      </c>
      <c r="F946" s="277" t="s">
        <v>404</v>
      </c>
      <c r="G946" s="278"/>
      <c r="H946" s="279">
        <v>41614</v>
      </c>
      <c r="I946" s="274">
        <v>1</v>
      </c>
      <c r="J946" s="354">
        <v>33370</v>
      </c>
      <c r="K946" s="358">
        <v>33370</v>
      </c>
      <c r="L946" s="270" t="s">
        <v>623</v>
      </c>
      <c r="M946" s="130" t="s">
        <v>41</v>
      </c>
    </row>
    <row r="947" spans="1:13" s="134" customFormat="1" ht="15" customHeight="1" x14ac:dyDescent="0.25">
      <c r="A947" s="122">
        <v>98</v>
      </c>
      <c r="B947" s="274">
        <v>78215</v>
      </c>
      <c r="C947" s="275" t="s">
        <v>1944</v>
      </c>
      <c r="D947" s="274" t="s">
        <v>1940</v>
      </c>
      <c r="E947" s="276" t="s">
        <v>115</v>
      </c>
      <c r="F947" s="277" t="s">
        <v>562</v>
      </c>
      <c r="G947" s="278"/>
      <c r="H947" s="279">
        <v>41614</v>
      </c>
      <c r="I947" s="274">
        <v>1</v>
      </c>
      <c r="J947" s="354">
        <v>33370</v>
      </c>
      <c r="K947" s="358">
        <v>33370</v>
      </c>
      <c r="L947" s="270" t="s">
        <v>623</v>
      </c>
      <c r="M947" s="130" t="s">
        <v>41</v>
      </c>
    </row>
    <row r="948" spans="1:13" s="134" customFormat="1" ht="15" customHeight="1" x14ac:dyDescent="0.25">
      <c r="A948" s="122">
        <v>99</v>
      </c>
      <c r="B948" s="274">
        <v>77853</v>
      </c>
      <c r="C948" s="275" t="s">
        <v>2883</v>
      </c>
      <c r="D948" s="274" t="s">
        <v>1940</v>
      </c>
      <c r="E948" s="276" t="s">
        <v>115</v>
      </c>
      <c r="F948" s="277" t="s">
        <v>2884</v>
      </c>
      <c r="G948" s="278" t="s">
        <v>554</v>
      </c>
      <c r="H948" s="279">
        <v>41613</v>
      </c>
      <c r="I948" s="274">
        <v>11</v>
      </c>
      <c r="J948" s="354">
        <v>33370</v>
      </c>
      <c r="K948" s="358">
        <v>367070</v>
      </c>
      <c r="L948" s="270" t="s">
        <v>623</v>
      </c>
      <c r="M948" s="130" t="s">
        <v>41</v>
      </c>
    </row>
    <row r="949" spans="1:13" s="134" customFormat="1" ht="15" customHeight="1" x14ac:dyDescent="0.25">
      <c r="A949" s="122">
        <v>100</v>
      </c>
      <c r="B949" s="274">
        <v>77772</v>
      </c>
      <c r="C949" s="275" t="s">
        <v>2885</v>
      </c>
      <c r="D949" s="274" t="s">
        <v>376</v>
      </c>
      <c r="E949" s="276" t="s">
        <v>115</v>
      </c>
      <c r="F949" s="277" t="s">
        <v>2886</v>
      </c>
      <c r="G949" s="278"/>
      <c r="H949" s="279">
        <v>41613</v>
      </c>
      <c r="I949" s="274">
        <v>6</v>
      </c>
      <c r="J949" s="354">
        <v>33370</v>
      </c>
      <c r="K949" s="358">
        <v>200220</v>
      </c>
      <c r="L949" s="270" t="s">
        <v>623</v>
      </c>
      <c r="M949" s="130" t="s">
        <v>41</v>
      </c>
    </row>
    <row r="950" spans="1:13" s="404" customFormat="1" ht="15" customHeight="1" x14ac:dyDescent="0.25">
      <c r="A950" s="274">
        <v>101</v>
      </c>
      <c r="B950" s="122">
        <v>77228</v>
      </c>
      <c r="C950" s="124" t="s">
        <v>2887</v>
      </c>
      <c r="D950" s="122" t="s">
        <v>1940</v>
      </c>
      <c r="E950" s="150" t="s">
        <v>537</v>
      </c>
      <c r="F950" s="126" t="s">
        <v>511</v>
      </c>
      <c r="G950" s="271" t="s">
        <v>554</v>
      </c>
      <c r="H950" s="123">
        <v>41611</v>
      </c>
      <c r="I950" s="122">
        <v>1</v>
      </c>
      <c r="J950" s="354">
        <v>30429</v>
      </c>
      <c r="K950" s="358">
        <v>30429</v>
      </c>
      <c r="L950" s="270" t="s">
        <v>623</v>
      </c>
      <c r="M950" s="130" t="s">
        <v>41</v>
      </c>
    </row>
    <row r="951" spans="1:13" s="134" customFormat="1" ht="15" customHeight="1" x14ac:dyDescent="0.25">
      <c r="A951" s="122">
        <v>102</v>
      </c>
      <c r="B951" s="274">
        <v>77097</v>
      </c>
      <c r="C951" s="275" t="s">
        <v>2888</v>
      </c>
      <c r="D951" s="274" t="s">
        <v>1940</v>
      </c>
      <c r="E951" s="276" t="s">
        <v>537</v>
      </c>
      <c r="F951" s="277" t="s">
        <v>562</v>
      </c>
      <c r="G951" s="278" t="s">
        <v>554</v>
      </c>
      <c r="H951" s="279">
        <v>41612</v>
      </c>
      <c r="I951" s="274">
        <v>1</v>
      </c>
      <c r="J951" s="354">
        <v>30429</v>
      </c>
      <c r="K951" s="358">
        <v>30429</v>
      </c>
      <c r="L951" s="270" t="s">
        <v>623</v>
      </c>
      <c r="M951" s="130" t="s">
        <v>41</v>
      </c>
    </row>
    <row r="952" spans="1:13" s="134" customFormat="1" ht="15" customHeight="1" x14ac:dyDescent="0.25">
      <c r="A952" s="122">
        <v>103</v>
      </c>
      <c r="B952" s="274">
        <v>77096</v>
      </c>
      <c r="C952" s="275" t="s">
        <v>2889</v>
      </c>
      <c r="D952" s="274" t="s">
        <v>1940</v>
      </c>
      <c r="E952" s="276" t="s">
        <v>537</v>
      </c>
      <c r="F952" s="277" t="s">
        <v>431</v>
      </c>
      <c r="G952" s="278" t="s">
        <v>554</v>
      </c>
      <c r="H952" s="279">
        <v>41612</v>
      </c>
      <c r="I952" s="274">
        <v>1</v>
      </c>
      <c r="J952" s="354">
        <v>30429</v>
      </c>
      <c r="K952" s="358">
        <v>30429</v>
      </c>
      <c r="L952" s="270" t="s">
        <v>623</v>
      </c>
      <c r="M952" s="130" t="s">
        <v>41</v>
      </c>
    </row>
    <row r="953" spans="1:13" s="134" customFormat="1" ht="15" customHeight="1" x14ac:dyDescent="0.25">
      <c r="A953" s="122">
        <v>104</v>
      </c>
      <c r="B953" s="274">
        <v>79035</v>
      </c>
      <c r="C953" s="275" t="s">
        <v>2890</v>
      </c>
      <c r="D953" s="274" t="s">
        <v>1940</v>
      </c>
      <c r="E953" s="276" t="s">
        <v>580</v>
      </c>
      <c r="F953" s="277" t="s">
        <v>371</v>
      </c>
      <c r="G953" s="278"/>
      <c r="H953" s="279">
        <v>41620</v>
      </c>
      <c r="I953" s="274">
        <v>1</v>
      </c>
      <c r="J953" s="354">
        <v>25800</v>
      </c>
      <c r="K953" s="358">
        <v>25800</v>
      </c>
      <c r="L953" s="270" t="s">
        <v>623</v>
      </c>
      <c r="M953" s="130" t="s">
        <v>41</v>
      </c>
    </row>
    <row r="954" spans="1:13" s="134" customFormat="1" ht="15" customHeight="1" x14ac:dyDescent="0.25">
      <c r="A954" s="122">
        <v>105</v>
      </c>
      <c r="B954" s="274">
        <v>79833</v>
      </c>
      <c r="C954" s="275" t="s">
        <v>2891</v>
      </c>
      <c r="D954" s="274" t="s">
        <v>1940</v>
      </c>
      <c r="E954" s="276" t="s">
        <v>537</v>
      </c>
      <c r="F954" s="277" t="s">
        <v>511</v>
      </c>
      <c r="G954" s="278" t="s">
        <v>554</v>
      </c>
      <c r="H954" s="279">
        <v>41620</v>
      </c>
      <c r="I954" s="274">
        <v>1</v>
      </c>
      <c r="J954" s="354">
        <v>30429</v>
      </c>
      <c r="K954" s="358">
        <v>30429</v>
      </c>
      <c r="L954" s="270" t="s">
        <v>623</v>
      </c>
      <c r="M954" s="130" t="s">
        <v>41</v>
      </c>
    </row>
    <row r="955" spans="1:13" s="134" customFormat="1" ht="15" customHeight="1" x14ac:dyDescent="0.25">
      <c r="A955" s="122">
        <v>106</v>
      </c>
      <c r="B955" s="274">
        <v>80297</v>
      </c>
      <c r="C955" s="275" t="s">
        <v>2892</v>
      </c>
      <c r="D955" s="274" t="s">
        <v>1940</v>
      </c>
      <c r="E955" s="276" t="s">
        <v>537</v>
      </c>
      <c r="F955" s="277" t="s">
        <v>562</v>
      </c>
      <c r="G955" s="278" t="s">
        <v>554</v>
      </c>
      <c r="H955" s="279">
        <v>41621</v>
      </c>
      <c r="I955" s="274">
        <v>1</v>
      </c>
      <c r="J955" s="354">
        <v>30429</v>
      </c>
      <c r="K955" s="358">
        <v>30429</v>
      </c>
      <c r="L955" s="270" t="s">
        <v>623</v>
      </c>
      <c r="M955" s="130" t="s">
        <v>41</v>
      </c>
    </row>
    <row r="956" spans="1:13" s="134" customFormat="1" ht="15" customHeight="1" x14ac:dyDescent="0.25">
      <c r="A956" s="122">
        <v>107</v>
      </c>
      <c r="B956" s="274">
        <v>80307</v>
      </c>
      <c r="C956" s="275" t="s">
        <v>2893</v>
      </c>
      <c r="D956" s="274" t="s">
        <v>1940</v>
      </c>
      <c r="E956" s="276" t="s">
        <v>537</v>
      </c>
      <c r="F956" s="277" t="s">
        <v>594</v>
      </c>
      <c r="G956" s="278" t="s">
        <v>2500</v>
      </c>
      <c r="H956" s="279">
        <v>41621</v>
      </c>
      <c r="I956" s="274">
        <v>1</v>
      </c>
      <c r="J956" s="354">
        <v>30429</v>
      </c>
      <c r="K956" s="358">
        <v>30429</v>
      </c>
      <c r="L956" s="270" t="s">
        <v>623</v>
      </c>
      <c r="M956" s="130" t="s">
        <v>41</v>
      </c>
    </row>
    <row r="957" spans="1:13" s="134" customFormat="1" ht="15" customHeight="1" x14ac:dyDescent="0.25">
      <c r="A957" s="122">
        <v>108</v>
      </c>
      <c r="B957" s="274">
        <v>82699</v>
      </c>
      <c r="C957" s="275" t="s">
        <v>2872</v>
      </c>
      <c r="D957" s="274" t="s">
        <v>1940</v>
      </c>
      <c r="E957" s="276" t="s">
        <v>217</v>
      </c>
      <c r="F957" s="277" t="s">
        <v>485</v>
      </c>
      <c r="G957" s="278"/>
      <c r="H957" s="279">
        <v>41631</v>
      </c>
      <c r="I957" s="274">
        <v>2</v>
      </c>
      <c r="J957" s="354">
        <v>44597</v>
      </c>
      <c r="K957" s="358">
        <v>89194</v>
      </c>
      <c r="L957" s="270" t="s">
        <v>623</v>
      </c>
      <c r="M957" s="130" t="s">
        <v>41</v>
      </c>
    </row>
    <row r="958" spans="1:13" s="134" customFormat="1" ht="15" customHeight="1" x14ac:dyDescent="0.25">
      <c r="A958" s="122">
        <v>109</v>
      </c>
      <c r="B958" s="274">
        <v>82829</v>
      </c>
      <c r="C958" s="275" t="s">
        <v>1943</v>
      </c>
      <c r="D958" s="274" t="s">
        <v>1940</v>
      </c>
      <c r="E958" s="276" t="s">
        <v>537</v>
      </c>
      <c r="F958" s="277" t="s">
        <v>527</v>
      </c>
      <c r="G958" s="278" t="s">
        <v>554</v>
      </c>
      <c r="H958" s="279">
        <v>41628</v>
      </c>
      <c r="I958" s="274">
        <v>1</v>
      </c>
      <c r="J958" s="354">
        <v>30429</v>
      </c>
      <c r="K958" s="358">
        <v>30429</v>
      </c>
      <c r="L958" s="270" t="s">
        <v>623</v>
      </c>
      <c r="M958" s="130" t="s">
        <v>41</v>
      </c>
    </row>
    <row r="959" spans="1:13" s="134" customFormat="1" ht="15" customHeight="1" x14ac:dyDescent="0.25">
      <c r="A959" s="122">
        <v>110</v>
      </c>
      <c r="B959" s="274">
        <v>84358</v>
      </c>
      <c r="C959" s="275" t="s">
        <v>2891</v>
      </c>
      <c r="D959" s="274" t="s">
        <v>1940</v>
      </c>
      <c r="E959" s="276" t="s">
        <v>115</v>
      </c>
      <c r="F959" s="277" t="s">
        <v>2065</v>
      </c>
      <c r="G959" s="278" t="s">
        <v>1941</v>
      </c>
      <c r="H959" s="279">
        <v>41635</v>
      </c>
      <c r="I959" s="274">
        <v>2</v>
      </c>
      <c r="J959" s="354">
        <v>33370</v>
      </c>
      <c r="K959" s="358">
        <v>66740</v>
      </c>
      <c r="L959" s="270" t="s">
        <v>623</v>
      </c>
      <c r="M959" s="130" t="s">
        <v>41</v>
      </c>
    </row>
    <row r="960" spans="1:13" x14ac:dyDescent="0.25">
      <c r="A960" s="303"/>
      <c r="B960" s="304"/>
      <c r="C960" s="305"/>
      <c r="D960" s="304"/>
      <c r="E960" s="304"/>
      <c r="F960" s="308"/>
      <c r="G960" s="308"/>
      <c r="I960" s="304"/>
      <c r="J960" s="304"/>
    </row>
    <row r="961" spans="1:13" x14ac:dyDescent="0.25">
      <c r="A961" s="303"/>
      <c r="B961" s="304"/>
      <c r="C961" s="305"/>
      <c r="D961" s="304"/>
      <c r="E961" s="306" t="s">
        <v>2300</v>
      </c>
      <c r="F961" s="307">
        <v>3624379</v>
      </c>
      <c r="G961" s="308"/>
      <c r="I961" s="304"/>
      <c r="J961" s="360" t="s">
        <v>2060</v>
      </c>
      <c r="K961" s="309">
        <v>4911822.4399999995</v>
      </c>
      <c r="L961" s="311"/>
      <c r="M961" s="311" t="s">
        <v>2301</v>
      </c>
    </row>
    <row r="962" spans="1:13" x14ac:dyDescent="0.25">
      <c r="A962" s="303"/>
      <c r="B962" s="304"/>
      <c r="C962" s="305"/>
      <c r="D962" s="304"/>
      <c r="E962" s="306" t="s">
        <v>2302</v>
      </c>
      <c r="F962" s="312">
        <v>472981.4595</v>
      </c>
      <c r="G962" s="308"/>
      <c r="I962" s="304"/>
      <c r="J962" s="361" t="s">
        <v>2303</v>
      </c>
      <c r="K962" s="313">
        <v>1795951.4399999995</v>
      </c>
      <c r="L962" s="489"/>
      <c r="M962" s="315"/>
    </row>
    <row r="964" spans="1:13" s="134" customFormat="1" ht="36.75" customHeight="1" x14ac:dyDescent="0.25">
      <c r="A964" s="652" t="s">
        <v>91</v>
      </c>
      <c r="B964" s="652"/>
      <c r="C964" s="652"/>
      <c r="D964" s="652"/>
      <c r="E964" s="652"/>
      <c r="F964" s="652"/>
      <c r="G964" s="652"/>
      <c r="H964" s="652"/>
      <c r="I964" s="652"/>
      <c r="J964" s="652"/>
      <c r="K964" s="652"/>
      <c r="L964" s="652"/>
      <c r="M964" s="652"/>
    </row>
    <row r="965" spans="1:13" ht="18.75" customHeight="1" x14ac:dyDescent="0.25">
      <c r="A965" s="223" t="s">
        <v>2051</v>
      </c>
      <c r="B965" s="223" t="s">
        <v>2780</v>
      </c>
      <c r="C965" s="223" t="s">
        <v>2052</v>
      </c>
      <c r="D965" s="223" t="s">
        <v>2053</v>
      </c>
      <c r="E965" s="223" t="s">
        <v>2054</v>
      </c>
      <c r="F965" s="223" t="s">
        <v>2055</v>
      </c>
      <c r="G965" s="223" t="s">
        <v>2056</v>
      </c>
      <c r="H965" s="224" t="s">
        <v>2057</v>
      </c>
      <c r="I965" s="223" t="s">
        <v>2058</v>
      </c>
      <c r="J965" s="224" t="s">
        <v>2059</v>
      </c>
      <c r="K965" s="223" t="s">
        <v>2060</v>
      </c>
      <c r="L965" s="223" t="s">
        <v>2061</v>
      </c>
      <c r="M965" s="223" t="s">
        <v>2305</v>
      </c>
    </row>
    <row r="966" spans="1:13" s="227" customFormat="1" ht="15" customHeight="1" x14ac:dyDescent="0.25">
      <c r="A966" s="174">
        <v>1</v>
      </c>
      <c r="B966" s="174">
        <v>32027</v>
      </c>
      <c r="C966" s="172" t="s">
        <v>2894</v>
      </c>
      <c r="D966" s="174" t="s">
        <v>1978</v>
      </c>
      <c r="E966" s="172" t="s">
        <v>223</v>
      </c>
      <c r="F966" s="177" t="s">
        <v>371</v>
      </c>
      <c r="G966" s="177" t="s">
        <v>554</v>
      </c>
      <c r="H966" s="175">
        <v>41431</v>
      </c>
      <c r="I966" s="174">
        <v>1</v>
      </c>
      <c r="J966" s="490">
        <v>40572</v>
      </c>
      <c r="K966" s="363">
        <v>40572</v>
      </c>
      <c r="L966" s="226" t="s">
        <v>608</v>
      </c>
      <c r="M966" s="130" t="s">
        <v>42</v>
      </c>
    </row>
    <row r="967" spans="1:13" s="227" customFormat="1" ht="15" customHeight="1" x14ac:dyDescent="0.25">
      <c r="A967" s="174">
        <v>2</v>
      </c>
      <c r="B967" s="174">
        <v>33336</v>
      </c>
      <c r="C967" s="172" t="s">
        <v>2895</v>
      </c>
      <c r="D967" s="174" t="s">
        <v>1978</v>
      </c>
      <c r="E967" s="172" t="s">
        <v>223</v>
      </c>
      <c r="F967" s="177" t="s">
        <v>371</v>
      </c>
      <c r="G967" s="174" t="s">
        <v>2101</v>
      </c>
      <c r="H967" s="175">
        <v>41438</v>
      </c>
      <c r="I967" s="174">
        <v>1</v>
      </c>
      <c r="J967" s="490">
        <v>40572</v>
      </c>
      <c r="K967" s="363">
        <v>40572</v>
      </c>
      <c r="L967" s="226" t="s">
        <v>608</v>
      </c>
      <c r="M967" s="130" t="s">
        <v>42</v>
      </c>
    </row>
    <row r="968" spans="1:13" s="227" customFormat="1" ht="15" customHeight="1" x14ac:dyDescent="0.25">
      <c r="A968" s="174">
        <v>3</v>
      </c>
      <c r="B968" s="174">
        <v>32025</v>
      </c>
      <c r="C968" s="172" t="s">
        <v>2896</v>
      </c>
      <c r="D968" s="174" t="s">
        <v>1990</v>
      </c>
      <c r="E968" s="172" t="s">
        <v>223</v>
      </c>
      <c r="F968" s="177" t="s">
        <v>371</v>
      </c>
      <c r="G968" s="177" t="s">
        <v>569</v>
      </c>
      <c r="H968" s="175">
        <v>41432</v>
      </c>
      <c r="I968" s="174">
        <v>1</v>
      </c>
      <c r="J968" s="490">
        <v>40572</v>
      </c>
      <c r="K968" s="363">
        <v>40572</v>
      </c>
      <c r="L968" s="226" t="s">
        <v>608</v>
      </c>
      <c r="M968" s="130" t="s">
        <v>42</v>
      </c>
    </row>
    <row r="969" spans="1:13" s="227" customFormat="1" ht="15" customHeight="1" x14ac:dyDescent="0.25">
      <c r="A969" s="174">
        <v>4</v>
      </c>
      <c r="B969" s="174">
        <v>34039</v>
      </c>
      <c r="C969" s="172" t="s">
        <v>2897</v>
      </c>
      <c r="D969" s="174" t="s">
        <v>1988</v>
      </c>
      <c r="E969" s="172" t="s">
        <v>537</v>
      </c>
      <c r="F969" s="177" t="s">
        <v>472</v>
      </c>
      <c r="G969" s="177" t="s">
        <v>583</v>
      </c>
      <c r="H969" s="175">
        <v>41439</v>
      </c>
      <c r="I969" s="174">
        <v>1</v>
      </c>
      <c r="J969" s="490">
        <v>30429</v>
      </c>
      <c r="K969" s="363">
        <v>30429</v>
      </c>
      <c r="L969" s="226" t="s">
        <v>608</v>
      </c>
      <c r="M969" s="130" t="s">
        <v>42</v>
      </c>
    </row>
    <row r="970" spans="1:13" s="227" customFormat="1" ht="15" customHeight="1" x14ac:dyDescent="0.25">
      <c r="A970" s="174">
        <v>5</v>
      </c>
      <c r="B970" s="174">
        <v>34201</v>
      </c>
      <c r="C970" s="172" t="s">
        <v>2898</v>
      </c>
      <c r="D970" s="174" t="s">
        <v>2899</v>
      </c>
      <c r="E970" s="172" t="s">
        <v>537</v>
      </c>
      <c r="F970" s="177">
        <v>3</v>
      </c>
      <c r="G970" s="177" t="s">
        <v>2900</v>
      </c>
      <c r="H970" s="175">
        <v>41439</v>
      </c>
      <c r="I970" s="174">
        <v>1</v>
      </c>
      <c r="J970" s="490">
        <v>30429</v>
      </c>
      <c r="K970" s="363">
        <v>30429</v>
      </c>
      <c r="L970" s="226" t="s">
        <v>608</v>
      </c>
      <c r="M970" s="130" t="s">
        <v>42</v>
      </c>
    </row>
    <row r="971" spans="1:13" s="227" customFormat="1" ht="15" customHeight="1" x14ac:dyDescent="0.25">
      <c r="A971" s="174">
        <v>6</v>
      </c>
      <c r="B971" s="174">
        <v>34229</v>
      </c>
      <c r="C971" s="172" t="s">
        <v>2037</v>
      </c>
      <c r="D971" s="174" t="s">
        <v>1978</v>
      </c>
      <c r="E971" s="172" t="s">
        <v>116</v>
      </c>
      <c r="F971" s="177" t="s">
        <v>2901</v>
      </c>
      <c r="G971" s="177" t="s">
        <v>2902</v>
      </c>
      <c r="H971" s="175">
        <v>41439</v>
      </c>
      <c r="I971" s="174">
        <v>5</v>
      </c>
      <c r="J971" s="490">
        <v>5274</v>
      </c>
      <c r="K971" s="363">
        <v>26370</v>
      </c>
      <c r="L971" s="226" t="s">
        <v>608</v>
      </c>
      <c r="M971" s="130" t="s">
        <v>42</v>
      </c>
    </row>
    <row r="972" spans="1:13" s="227" customFormat="1" ht="15" customHeight="1" x14ac:dyDescent="0.25">
      <c r="A972" s="174">
        <v>7</v>
      </c>
      <c r="B972" s="174">
        <v>35325</v>
      </c>
      <c r="C972" s="172" t="s">
        <v>2903</v>
      </c>
      <c r="D972" s="174" t="s">
        <v>1978</v>
      </c>
      <c r="E972" s="172" t="s">
        <v>116</v>
      </c>
      <c r="F972" s="177">
        <v>5</v>
      </c>
      <c r="G972" s="177" t="s">
        <v>2067</v>
      </c>
      <c r="H972" s="175">
        <v>41451</v>
      </c>
      <c r="I972" s="174">
        <v>1</v>
      </c>
      <c r="J972" s="490">
        <v>5274</v>
      </c>
      <c r="K972" s="363">
        <v>5274</v>
      </c>
      <c r="L972" s="226" t="s">
        <v>608</v>
      </c>
      <c r="M972" s="130" t="s">
        <v>42</v>
      </c>
    </row>
    <row r="973" spans="1:13" s="227" customFormat="1" ht="15" customHeight="1" x14ac:dyDescent="0.25">
      <c r="A973" s="174">
        <v>8</v>
      </c>
      <c r="B973" s="174">
        <v>35521</v>
      </c>
      <c r="C973" s="172" t="s">
        <v>2904</v>
      </c>
      <c r="D973" s="174" t="s">
        <v>2039</v>
      </c>
      <c r="E973" s="172" t="s">
        <v>537</v>
      </c>
      <c r="F973" s="177">
        <v>31</v>
      </c>
      <c r="G973" s="177" t="s">
        <v>569</v>
      </c>
      <c r="H973" s="175">
        <v>41446</v>
      </c>
      <c r="I973" s="174">
        <v>1</v>
      </c>
      <c r="J973" s="490">
        <v>30429</v>
      </c>
      <c r="K973" s="363">
        <v>30429</v>
      </c>
      <c r="L973" s="226" t="s">
        <v>608</v>
      </c>
      <c r="M973" s="130" t="s">
        <v>42</v>
      </c>
    </row>
    <row r="974" spans="1:13" s="227" customFormat="1" ht="15" customHeight="1" x14ac:dyDescent="0.25">
      <c r="A974" s="174">
        <v>9</v>
      </c>
      <c r="B974" s="174">
        <v>35444</v>
      </c>
      <c r="C974" s="172" t="s">
        <v>2905</v>
      </c>
      <c r="D974" s="174" t="s">
        <v>1988</v>
      </c>
      <c r="E974" s="172" t="s">
        <v>580</v>
      </c>
      <c r="F974" s="177" t="s">
        <v>371</v>
      </c>
      <c r="G974" s="177"/>
      <c r="H974" s="175">
        <v>41445</v>
      </c>
      <c r="I974" s="174">
        <v>1</v>
      </c>
      <c r="J974" s="490">
        <v>25800</v>
      </c>
      <c r="K974" s="363">
        <v>25800</v>
      </c>
      <c r="L974" s="226" t="s">
        <v>608</v>
      </c>
      <c r="M974" s="130" t="s">
        <v>42</v>
      </c>
    </row>
    <row r="975" spans="1:13" s="227" customFormat="1" ht="15" customHeight="1" x14ac:dyDescent="0.25">
      <c r="A975" s="174">
        <v>10</v>
      </c>
      <c r="B975" s="174">
        <v>35961</v>
      </c>
      <c r="C975" s="172" t="s">
        <v>1455</v>
      </c>
      <c r="D975" s="174" t="s">
        <v>1988</v>
      </c>
      <c r="E975" s="172" t="s">
        <v>116</v>
      </c>
      <c r="F975" s="177">
        <v>31</v>
      </c>
      <c r="G975" s="177" t="s">
        <v>2067</v>
      </c>
      <c r="H975" s="175">
        <v>41446</v>
      </c>
      <c r="I975" s="174">
        <v>1</v>
      </c>
      <c r="J975" s="490">
        <v>5274</v>
      </c>
      <c r="K975" s="363">
        <v>5274</v>
      </c>
      <c r="L975" s="226" t="s">
        <v>608</v>
      </c>
      <c r="M975" s="130" t="s">
        <v>42</v>
      </c>
    </row>
    <row r="976" spans="1:13" s="227" customFormat="1" ht="15" customHeight="1" x14ac:dyDescent="0.25">
      <c r="A976" s="174">
        <v>11</v>
      </c>
      <c r="B976" s="174">
        <v>36572</v>
      </c>
      <c r="C976" s="172" t="s">
        <v>2906</v>
      </c>
      <c r="D976" s="174" t="s">
        <v>1988</v>
      </c>
      <c r="E976" s="172" t="s">
        <v>577</v>
      </c>
      <c r="F976" s="177">
        <v>19</v>
      </c>
      <c r="G976" s="177" t="s">
        <v>2075</v>
      </c>
      <c r="H976" s="175">
        <v>41450</v>
      </c>
      <c r="I976" s="174">
        <v>1</v>
      </c>
      <c r="J976" s="490">
        <v>49701</v>
      </c>
      <c r="K976" s="363">
        <v>49701</v>
      </c>
      <c r="L976" s="226" t="s">
        <v>608</v>
      </c>
      <c r="M976" s="130" t="s">
        <v>42</v>
      </c>
    </row>
    <row r="977" spans="1:13" s="227" customFormat="1" ht="15" customHeight="1" thickBot="1" x14ac:dyDescent="0.3">
      <c r="A977" s="491">
        <v>12</v>
      </c>
      <c r="B977" s="491">
        <v>36604</v>
      </c>
      <c r="C977" s="389" t="s">
        <v>2907</v>
      </c>
      <c r="D977" s="491" t="s">
        <v>1988</v>
      </c>
      <c r="E977" s="389" t="s">
        <v>116</v>
      </c>
      <c r="F977" s="391">
        <v>19</v>
      </c>
      <c r="G977" s="391" t="s">
        <v>569</v>
      </c>
      <c r="H977" s="492">
        <v>41450</v>
      </c>
      <c r="I977" s="491">
        <v>1</v>
      </c>
      <c r="J977" s="493">
        <v>5274</v>
      </c>
      <c r="K977" s="493">
        <v>5274</v>
      </c>
      <c r="L977" s="226" t="s">
        <v>608</v>
      </c>
      <c r="M977" s="130" t="s">
        <v>42</v>
      </c>
    </row>
    <row r="978" spans="1:13" s="240" customFormat="1" ht="15" customHeight="1" x14ac:dyDescent="0.25">
      <c r="A978" s="494">
        <v>13</v>
      </c>
      <c r="B978" s="494">
        <v>440444</v>
      </c>
      <c r="C978" s="495" t="s">
        <v>2908</v>
      </c>
      <c r="D978" s="494" t="s">
        <v>1978</v>
      </c>
      <c r="E978" s="496" t="s">
        <v>537</v>
      </c>
      <c r="F978" s="497">
        <v>14</v>
      </c>
      <c r="G978" s="498" t="s">
        <v>554</v>
      </c>
      <c r="H978" s="499">
        <v>41484</v>
      </c>
      <c r="I978" s="494">
        <v>1</v>
      </c>
      <c r="J978" s="500">
        <v>30429</v>
      </c>
      <c r="K978" s="501">
        <v>30429</v>
      </c>
      <c r="L978" s="226" t="s">
        <v>760</v>
      </c>
      <c r="M978" s="130" t="s">
        <v>42</v>
      </c>
    </row>
    <row r="979" spans="1:13" s="240" customFormat="1" ht="15" customHeight="1" x14ac:dyDescent="0.25">
      <c r="A979" s="135">
        <v>14</v>
      </c>
      <c r="B979" s="135">
        <v>43385</v>
      </c>
      <c r="C979" s="137" t="s">
        <v>2909</v>
      </c>
      <c r="D979" s="135" t="s">
        <v>1990</v>
      </c>
      <c r="E979" s="172" t="s">
        <v>580</v>
      </c>
      <c r="F979" s="139" t="s">
        <v>371</v>
      </c>
      <c r="G979" s="177"/>
      <c r="H979" s="136">
        <v>41480</v>
      </c>
      <c r="I979" s="135">
        <v>1</v>
      </c>
      <c r="J979" s="490">
        <v>25800</v>
      </c>
      <c r="K979" s="363">
        <v>25800</v>
      </c>
      <c r="L979" s="226" t="s">
        <v>760</v>
      </c>
      <c r="M979" s="130" t="s">
        <v>42</v>
      </c>
    </row>
    <row r="980" spans="1:13" s="240" customFormat="1" ht="15" customHeight="1" x14ac:dyDescent="0.25">
      <c r="A980" s="135">
        <v>15</v>
      </c>
      <c r="B980" s="135">
        <v>42592</v>
      </c>
      <c r="C980" s="137" t="s">
        <v>2910</v>
      </c>
      <c r="D980" s="135" t="s">
        <v>1988</v>
      </c>
      <c r="E980" s="172" t="s">
        <v>580</v>
      </c>
      <c r="F980" s="139" t="s">
        <v>371</v>
      </c>
      <c r="G980" s="177"/>
      <c r="H980" s="136">
        <v>41477</v>
      </c>
      <c r="I980" s="135">
        <v>1</v>
      </c>
      <c r="J980" s="490">
        <v>25800</v>
      </c>
      <c r="K980" s="363">
        <v>25800</v>
      </c>
      <c r="L980" s="226" t="s">
        <v>760</v>
      </c>
      <c r="M980" s="130" t="s">
        <v>42</v>
      </c>
    </row>
    <row r="981" spans="1:13" s="240" customFormat="1" ht="15" customHeight="1" x14ac:dyDescent="0.25">
      <c r="A981" s="135">
        <v>16</v>
      </c>
      <c r="B981" s="135">
        <v>38689</v>
      </c>
      <c r="C981" s="137" t="s">
        <v>2000</v>
      </c>
      <c r="D981" s="135" t="s">
        <v>1978</v>
      </c>
      <c r="E981" s="172" t="s">
        <v>116</v>
      </c>
      <c r="F981" s="139">
        <v>5</v>
      </c>
      <c r="G981" s="177" t="s">
        <v>2067</v>
      </c>
      <c r="H981" s="136">
        <v>41460</v>
      </c>
      <c r="I981" s="135">
        <v>1</v>
      </c>
      <c r="J981" s="490">
        <v>5274</v>
      </c>
      <c r="K981" s="363">
        <v>5274</v>
      </c>
      <c r="L981" s="226" t="s">
        <v>760</v>
      </c>
      <c r="M981" s="130" t="s">
        <v>42</v>
      </c>
    </row>
    <row r="982" spans="1:13" s="240" customFormat="1" ht="15" customHeight="1" thickBot="1" x14ac:dyDescent="0.3">
      <c r="A982" s="502">
        <v>17</v>
      </c>
      <c r="B982" s="503">
        <v>41419</v>
      </c>
      <c r="C982" s="504" t="s">
        <v>2911</v>
      </c>
      <c r="D982" s="503" t="s">
        <v>1988</v>
      </c>
      <c r="E982" s="505" t="s">
        <v>537</v>
      </c>
      <c r="F982" s="506">
        <v>15</v>
      </c>
      <c r="G982" s="507" t="s">
        <v>563</v>
      </c>
      <c r="H982" s="508">
        <v>41472</v>
      </c>
      <c r="I982" s="503">
        <v>1</v>
      </c>
      <c r="J982" s="509">
        <v>30429</v>
      </c>
      <c r="K982" s="510">
        <v>30429</v>
      </c>
      <c r="L982" s="226" t="s">
        <v>760</v>
      </c>
      <c r="M982" s="130" t="s">
        <v>42</v>
      </c>
    </row>
    <row r="983" spans="1:13" s="134" customFormat="1" ht="15" customHeight="1" x14ac:dyDescent="0.25">
      <c r="A983" s="233">
        <v>18</v>
      </c>
      <c r="B983" s="233">
        <v>44026</v>
      </c>
      <c r="C983" s="234" t="s">
        <v>2912</v>
      </c>
      <c r="D983" s="233" t="s">
        <v>1988</v>
      </c>
      <c r="E983" s="235" t="s">
        <v>116</v>
      </c>
      <c r="F983" s="236">
        <v>12</v>
      </c>
      <c r="G983" s="237" t="s">
        <v>2067</v>
      </c>
      <c r="H983" s="238">
        <v>41486</v>
      </c>
      <c r="I983" s="233">
        <v>1</v>
      </c>
      <c r="J983" s="511">
        <v>5274</v>
      </c>
      <c r="K983" s="384">
        <v>5274</v>
      </c>
      <c r="L983" s="226" t="s">
        <v>788</v>
      </c>
      <c r="M983" s="130" t="s">
        <v>42</v>
      </c>
    </row>
    <row r="984" spans="1:13" s="134" customFormat="1" ht="15" customHeight="1" x14ac:dyDescent="0.25">
      <c r="A984" s="233">
        <v>19</v>
      </c>
      <c r="B984" s="233">
        <v>44027</v>
      </c>
      <c r="C984" s="234" t="s">
        <v>2913</v>
      </c>
      <c r="D984" s="233" t="s">
        <v>1988</v>
      </c>
      <c r="E984" s="235" t="s">
        <v>116</v>
      </c>
      <c r="F984" s="236">
        <v>13</v>
      </c>
      <c r="G984" s="237" t="s">
        <v>2067</v>
      </c>
      <c r="H984" s="238">
        <v>41486</v>
      </c>
      <c r="I984" s="233">
        <v>1</v>
      </c>
      <c r="J984" s="511">
        <v>5274</v>
      </c>
      <c r="K984" s="363">
        <v>5274</v>
      </c>
      <c r="L984" s="226" t="s">
        <v>788</v>
      </c>
      <c r="M984" s="130" t="s">
        <v>42</v>
      </c>
    </row>
    <row r="985" spans="1:13" s="134" customFormat="1" ht="15" customHeight="1" x14ac:dyDescent="0.25">
      <c r="A985" s="233">
        <v>20</v>
      </c>
      <c r="B985" s="135">
        <v>43449</v>
      </c>
      <c r="C985" s="137" t="s">
        <v>2914</v>
      </c>
      <c r="D985" s="135" t="s">
        <v>1978</v>
      </c>
      <c r="E985" s="172" t="s">
        <v>116</v>
      </c>
      <c r="F985" s="139">
        <v>9</v>
      </c>
      <c r="G985" s="177" t="s">
        <v>2067</v>
      </c>
      <c r="H985" s="136">
        <v>41484</v>
      </c>
      <c r="I985" s="135">
        <v>1</v>
      </c>
      <c r="J985" s="490">
        <v>5274</v>
      </c>
      <c r="K985" s="363">
        <v>5274</v>
      </c>
      <c r="L985" s="226" t="s">
        <v>788</v>
      </c>
      <c r="M985" s="130" t="s">
        <v>42</v>
      </c>
    </row>
    <row r="986" spans="1:13" s="134" customFormat="1" ht="15" customHeight="1" x14ac:dyDescent="0.25">
      <c r="A986" s="233">
        <v>21</v>
      </c>
      <c r="B986" s="135">
        <v>40521</v>
      </c>
      <c r="C986" s="137" t="s">
        <v>2915</v>
      </c>
      <c r="D986" s="135" t="s">
        <v>1978</v>
      </c>
      <c r="E986" s="172" t="s">
        <v>116</v>
      </c>
      <c r="F986" s="139">
        <v>11</v>
      </c>
      <c r="G986" s="177" t="s">
        <v>2067</v>
      </c>
      <c r="H986" s="136">
        <v>41472</v>
      </c>
      <c r="I986" s="135">
        <v>1</v>
      </c>
      <c r="J986" s="490">
        <v>5274</v>
      </c>
      <c r="K986" s="363">
        <v>5274</v>
      </c>
      <c r="L986" s="226" t="s">
        <v>788</v>
      </c>
      <c r="M986" s="130" t="s">
        <v>42</v>
      </c>
    </row>
    <row r="987" spans="1:13" s="134" customFormat="1" ht="15" customHeight="1" x14ac:dyDescent="0.25">
      <c r="A987" s="233">
        <v>22</v>
      </c>
      <c r="B987" s="135">
        <v>44025</v>
      </c>
      <c r="C987" s="137" t="s">
        <v>2916</v>
      </c>
      <c r="D987" s="135" t="s">
        <v>1988</v>
      </c>
      <c r="E987" s="172" t="s">
        <v>116</v>
      </c>
      <c r="F987" s="139" t="s">
        <v>2805</v>
      </c>
      <c r="G987" s="177" t="s">
        <v>2067</v>
      </c>
      <c r="H987" s="136">
        <v>41486</v>
      </c>
      <c r="I987" s="135">
        <v>2</v>
      </c>
      <c r="J987" s="490">
        <v>5274</v>
      </c>
      <c r="K987" s="363">
        <v>10548</v>
      </c>
      <c r="L987" s="226" t="s">
        <v>788</v>
      </c>
      <c r="M987" s="130" t="s">
        <v>42</v>
      </c>
    </row>
    <row r="988" spans="1:13" s="134" customFormat="1" ht="15" customHeight="1" x14ac:dyDescent="0.25">
      <c r="A988" s="233">
        <v>23</v>
      </c>
      <c r="B988" s="135">
        <v>44444</v>
      </c>
      <c r="C988" s="137" t="s">
        <v>2917</v>
      </c>
      <c r="D988" s="135" t="s">
        <v>1988</v>
      </c>
      <c r="E988" s="172" t="s">
        <v>537</v>
      </c>
      <c r="F988" s="139">
        <v>12</v>
      </c>
      <c r="G988" s="177" t="s">
        <v>583</v>
      </c>
      <c r="H988" s="136">
        <v>41485</v>
      </c>
      <c r="I988" s="135">
        <v>1</v>
      </c>
      <c r="J988" s="490">
        <v>30429</v>
      </c>
      <c r="K988" s="363">
        <v>30429</v>
      </c>
      <c r="L988" s="226" t="s">
        <v>788</v>
      </c>
      <c r="M988" s="130" t="s">
        <v>42</v>
      </c>
    </row>
    <row r="989" spans="1:13" s="134" customFormat="1" ht="15" customHeight="1" x14ac:dyDescent="0.25">
      <c r="A989" s="135">
        <v>24</v>
      </c>
      <c r="B989" s="135">
        <v>41240</v>
      </c>
      <c r="C989" s="137" t="s">
        <v>2918</v>
      </c>
      <c r="D989" s="135" t="s">
        <v>1988</v>
      </c>
      <c r="E989" s="172" t="s">
        <v>197</v>
      </c>
      <c r="F989" s="139" t="s">
        <v>2919</v>
      </c>
      <c r="G989" s="177"/>
      <c r="H989" s="136">
        <v>41470</v>
      </c>
      <c r="I989" s="135">
        <v>9</v>
      </c>
      <c r="J989" s="490">
        <v>2739</v>
      </c>
      <c r="K989" s="363">
        <v>24651</v>
      </c>
      <c r="L989" s="226" t="s">
        <v>788</v>
      </c>
      <c r="M989" s="130" t="s">
        <v>42</v>
      </c>
    </row>
    <row r="990" spans="1:13" s="134" customFormat="1" ht="15" customHeight="1" x14ac:dyDescent="0.25">
      <c r="A990" s="233">
        <v>25</v>
      </c>
      <c r="B990" s="135">
        <v>43301</v>
      </c>
      <c r="C990" s="137" t="s">
        <v>2920</v>
      </c>
      <c r="D990" s="135" t="s">
        <v>1988</v>
      </c>
      <c r="E990" s="172" t="s">
        <v>116</v>
      </c>
      <c r="F990" s="139">
        <v>4</v>
      </c>
      <c r="G990" s="177" t="s">
        <v>554</v>
      </c>
      <c r="H990" s="136">
        <v>41481</v>
      </c>
      <c r="I990" s="135">
        <v>1</v>
      </c>
      <c r="J990" s="490">
        <v>5274</v>
      </c>
      <c r="K990" s="363">
        <v>5274</v>
      </c>
      <c r="L990" s="226" t="s">
        <v>788</v>
      </c>
      <c r="M990" s="130" t="s">
        <v>42</v>
      </c>
    </row>
    <row r="991" spans="1:13" s="134" customFormat="1" ht="15" customHeight="1" x14ac:dyDescent="0.25">
      <c r="A991" s="233">
        <v>26</v>
      </c>
      <c r="B991" s="135">
        <v>44910</v>
      </c>
      <c r="C991" s="137" t="s">
        <v>2044</v>
      </c>
      <c r="D991" s="135" t="s">
        <v>1988</v>
      </c>
      <c r="E991" s="172" t="s">
        <v>116</v>
      </c>
      <c r="F991" s="139">
        <v>13</v>
      </c>
      <c r="G991" s="177" t="s">
        <v>2067</v>
      </c>
      <c r="H991" s="136">
        <v>41487</v>
      </c>
      <c r="I991" s="135">
        <v>1</v>
      </c>
      <c r="J991" s="490">
        <v>5274</v>
      </c>
      <c r="K991" s="363">
        <v>5274</v>
      </c>
      <c r="L991" s="226" t="s">
        <v>788</v>
      </c>
      <c r="M991" s="130" t="s">
        <v>42</v>
      </c>
    </row>
    <row r="992" spans="1:13" s="134" customFormat="1" ht="15" customHeight="1" x14ac:dyDescent="0.25">
      <c r="A992" s="233">
        <v>27</v>
      </c>
      <c r="B992" s="233">
        <v>45285</v>
      </c>
      <c r="C992" s="234" t="s">
        <v>2921</v>
      </c>
      <c r="D992" s="233" t="s">
        <v>1978</v>
      </c>
      <c r="E992" s="235" t="s">
        <v>217</v>
      </c>
      <c r="F992" s="236" t="s">
        <v>371</v>
      </c>
      <c r="G992" s="237" t="s">
        <v>2469</v>
      </c>
      <c r="H992" s="238">
        <v>41487</v>
      </c>
      <c r="I992" s="233">
        <v>1</v>
      </c>
      <c r="J992" s="511">
        <v>44597</v>
      </c>
      <c r="K992" s="384">
        <v>44597</v>
      </c>
      <c r="L992" s="226" t="s">
        <v>788</v>
      </c>
      <c r="M992" s="130" t="s">
        <v>42</v>
      </c>
    </row>
    <row r="993" spans="1:13" s="134" customFormat="1" ht="15" customHeight="1" x14ac:dyDescent="0.25">
      <c r="A993" s="233">
        <v>28</v>
      </c>
      <c r="B993" s="233">
        <v>45089</v>
      </c>
      <c r="C993" s="234" t="s">
        <v>2922</v>
      </c>
      <c r="D993" s="233" t="s">
        <v>1988</v>
      </c>
      <c r="E993" s="235" t="s">
        <v>580</v>
      </c>
      <c r="F993" s="236" t="s">
        <v>371</v>
      </c>
      <c r="G993" s="237"/>
      <c r="H993" s="238">
        <v>41492</v>
      </c>
      <c r="I993" s="233">
        <v>1</v>
      </c>
      <c r="J993" s="511">
        <v>25800</v>
      </c>
      <c r="K993" s="384">
        <v>25800</v>
      </c>
      <c r="L993" s="226" t="s">
        <v>788</v>
      </c>
      <c r="M993" s="130" t="s">
        <v>42</v>
      </c>
    </row>
    <row r="994" spans="1:13" s="134" customFormat="1" ht="15" customHeight="1" x14ac:dyDescent="0.25">
      <c r="A994" s="233">
        <v>29</v>
      </c>
      <c r="B994" s="233">
        <v>46197</v>
      </c>
      <c r="C994" s="234" t="s">
        <v>2923</v>
      </c>
      <c r="D994" s="233" t="s">
        <v>1988</v>
      </c>
      <c r="E994" s="235" t="s">
        <v>580</v>
      </c>
      <c r="F994" s="236" t="s">
        <v>371</v>
      </c>
      <c r="G994" s="237"/>
      <c r="H994" s="238">
        <v>41492</v>
      </c>
      <c r="I994" s="233">
        <v>1</v>
      </c>
      <c r="J994" s="511">
        <v>25800</v>
      </c>
      <c r="K994" s="384">
        <v>25800</v>
      </c>
      <c r="L994" s="226" t="s">
        <v>788</v>
      </c>
      <c r="M994" s="130" t="s">
        <v>42</v>
      </c>
    </row>
    <row r="995" spans="1:13" s="134" customFormat="1" ht="15" customHeight="1" x14ac:dyDescent="0.25">
      <c r="A995" s="233">
        <v>30</v>
      </c>
      <c r="B995" s="233">
        <v>46627</v>
      </c>
      <c r="C995" s="234" t="s">
        <v>1977</v>
      </c>
      <c r="D995" s="233" t="s">
        <v>1978</v>
      </c>
      <c r="E995" s="235" t="s">
        <v>116</v>
      </c>
      <c r="F995" s="236">
        <v>13</v>
      </c>
      <c r="G995" s="237" t="s">
        <v>2067</v>
      </c>
      <c r="H995" s="238">
        <v>41494</v>
      </c>
      <c r="I995" s="233">
        <v>1</v>
      </c>
      <c r="J995" s="511">
        <v>5274</v>
      </c>
      <c r="K995" s="384">
        <v>5274</v>
      </c>
      <c r="L995" s="226" t="s">
        <v>788</v>
      </c>
      <c r="M995" s="130" t="s">
        <v>42</v>
      </c>
    </row>
    <row r="996" spans="1:13" s="134" customFormat="1" ht="15" customHeight="1" x14ac:dyDescent="0.25">
      <c r="A996" s="233">
        <v>31</v>
      </c>
      <c r="B996" s="233">
        <v>47262</v>
      </c>
      <c r="C996" s="234" t="s">
        <v>2924</v>
      </c>
      <c r="D996" s="233" t="s">
        <v>2925</v>
      </c>
      <c r="E996" s="235" t="s">
        <v>537</v>
      </c>
      <c r="F996" s="236" t="s">
        <v>2410</v>
      </c>
      <c r="G996" s="237" t="s">
        <v>569</v>
      </c>
      <c r="H996" s="238">
        <v>41495</v>
      </c>
      <c r="I996" s="233">
        <v>2</v>
      </c>
      <c r="J996" s="511">
        <v>30429</v>
      </c>
      <c r="K996" s="384">
        <v>60858</v>
      </c>
      <c r="L996" s="226" t="s">
        <v>788</v>
      </c>
      <c r="M996" s="130" t="s">
        <v>42</v>
      </c>
    </row>
    <row r="997" spans="1:13" s="134" customFormat="1" ht="15" customHeight="1" x14ac:dyDescent="0.25">
      <c r="A997" s="233">
        <v>32</v>
      </c>
      <c r="B997" s="233">
        <v>48051</v>
      </c>
      <c r="C997" s="234" t="s">
        <v>2926</v>
      </c>
      <c r="D997" s="233" t="s">
        <v>1988</v>
      </c>
      <c r="E997" s="235" t="s">
        <v>192</v>
      </c>
      <c r="F997" s="236">
        <v>19</v>
      </c>
      <c r="G997" s="237" t="s">
        <v>2136</v>
      </c>
      <c r="H997" s="238">
        <v>41499</v>
      </c>
      <c r="I997" s="233">
        <v>1</v>
      </c>
      <c r="J997" s="511">
        <v>57960</v>
      </c>
      <c r="K997" s="384">
        <v>57960</v>
      </c>
      <c r="L997" s="226" t="s">
        <v>788</v>
      </c>
      <c r="M997" s="130" t="s">
        <v>42</v>
      </c>
    </row>
    <row r="998" spans="1:13" s="134" customFormat="1" ht="15" customHeight="1" x14ac:dyDescent="0.25">
      <c r="A998" s="135">
        <v>33</v>
      </c>
      <c r="B998" s="233">
        <v>48393</v>
      </c>
      <c r="C998" s="234" t="s">
        <v>2927</v>
      </c>
      <c r="D998" s="233" t="s">
        <v>1988</v>
      </c>
      <c r="E998" s="235" t="s">
        <v>580</v>
      </c>
      <c r="F998" s="236" t="s">
        <v>371</v>
      </c>
      <c r="G998" s="237"/>
      <c r="H998" s="238">
        <v>41500</v>
      </c>
      <c r="I998" s="233">
        <v>1</v>
      </c>
      <c r="J998" s="511">
        <v>25800</v>
      </c>
      <c r="K998" s="384">
        <v>25800</v>
      </c>
      <c r="L998" s="226" t="s">
        <v>788</v>
      </c>
      <c r="M998" s="130" t="s">
        <v>42</v>
      </c>
    </row>
    <row r="999" spans="1:13" s="134" customFormat="1" ht="15" customHeight="1" x14ac:dyDescent="0.25">
      <c r="A999" s="135">
        <v>34</v>
      </c>
      <c r="B999" s="233">
        <v>48273</v>
      </c>
      <c r="C999" s="234" t="s">
        <v>2928</v>
      </c>
      <c r="D999" s="233" t="s">
        <v>1988</v>
      </c>
      <c r="E999" s="235" t="s">
        <v>116</v>
      </c>
      <c r="F999" s="236">
        <v>15</v>
      </c>
      <c r="G999" s="237" t="s">
        <v>2067</v>
      </c>
      <c r="H999" s="238">
        <v>41502</v>
      </c>
      <c r="I999" s="233">
        <v>1</v>
      </c>
      <c r="J999" s="511">
        <v>5274</v>
      </c>
      <c r="K999" s="384">
        <v>5274</v>
      </c>
      <c r="L999" s="226" t="s">
        <v>788</v>
      </c>
      <c r="M999" s="130" t="s">
        <v>42</v>
      </c>
    </row>
    <row r="1000" spans="1:13" s="134" customFormat="1" ht="15" customHeight="1" x14ac:dyDescent="0.25">
      <c r="A1000" s="233">
        <v>35</v>
      </c>
      <c r="B1000" s="233">
        <v>48453</v>
      </c>
      <c r="C1000" s="234" t="s">
        <v>626</v>
      </c>
      <c r="D1000" s="233" t="s">
        <v>1978</v>
      </c>
      <c r="E1000" s="235" t="s">
        <v>116</v>
      </c>
      <c r="F1000" s="236">
        <v>4</v>
      </c>
      <c r="G1000" s="237" t="s">
        <v>2067</v>
      </c>
      <c r="H1000" s="238">
        <v>41501</v>
      </c>
      <c r="I1000" s="233">
        <v>1</v>
      </c>
      <c r="J1000" s="511">
        <v>5274</v>
      </c>
      <c r="K1000" s="384">
        <v>5274</v>
      </c>
      <c r="L1000" s="226" t="s">
        <v>788</v>
      </c>
      <c r="M1000" s="130" t="s">
        <v>42</v>
      </c>
    </row>
    <row r="1001" spans="1:13" s="134" customFormat="1" ht="15" customHeight="1" x14ac:dyDescent="0.25">
      <c r="A1001" s="135">
        <v>36</v>
      </c>
      <c r="B1001" s="233">
        <v>48427</v>
      </c>
      <c r="C1001" s="234" t="s">
        <v>2929</v>
      </c>
      <c r="D1001" s="233" t="s">
        <v>1990</v>
      </c>
      <c r="E1001" s="235" t="s">
        <v>537</v>
      </c>
      <c r="F1001" s="236">
        <v>19</v>
      </c>
      <c r="G1001" s="237" t="s">
        <v>629</v>
      </c>
      <c r="H1001" s="238">
        <v>41500</v>
      </c>
      <c r="I1001" s="233">
        <v>1</v>
      </c>
      <c r="J1001" s="511">
        <v>30429</v>
      </c>
      <c r="K1001" s="384">
        <v>30429</v>
      </c>
      <c r="L1001" s="226" t="s">
        <v>788</v>
      </c>
      <c r="M1001" s="130" t="s">
        <v>42</v>
      </c>
    </row>
    <row r="1002" spans="1:13" s="134" customFormat="1" ht="15" customHeight="1" x14ac:dyDescent="0.25">
      <c r="A1002" s="135">
        <v>37</v>
      </c>
      <c r="B1002" s="233">
        <v>48606</v>
      </c>
      <c r="C1002" s="234" t="s">
        <v>2930</v>
      </c>
      <c r="D1002" s="233" t="s">
        <v>1981</v>
      </c>
      <c r="E1002" s="235" t="s">
        <v>580</v>
      </c>
      <c r="F1002" s="236" t="s">
        <v>371</v>
      </c>
      <c r="G1002" s="237"/>
      <c r="H1002" s="238">
        <v>41502</v>
      </c>
      <c r="I1002" s="233">
        <v>1</v>
      </c>
      <c r="J1002" s="511">
        <v>25800</v>
      </c>
      <c r="K1002" s="384">
        <v>25800</v>
      </c>
      <c r="L1002" s="226" t="s">
        <v>788</v>
      </c>
      <c r="M1002" s="130" t="s">
        <v>42</v>
      </c>
    </row>
    <row r="1003" spans="1:13" s="134" customFormat="1" ht="15" customHeight="1" x14ac:dyDescent="0.25">
      <c r="A1003" s="135">
        <v>38</v>
      </c>
      <c r="B1003" s="233">
        <v>48883</v>
      </c>
      <c r="C1003" s="234" t="s">
        <v>2931</v>
      </c>
      <c r="D1003" s="233" t="s">
        <v>1988</v>
      </c>
      <c r="E1003" s="235" t="s">
        <v>116</v>
      </c>
      <c r="F1003" s="236">
        <v>10</v>
      </c>
      <c r="G1003" s="237" t="s">
        <v>560</v>
      </c>
      <c r="H1003" s="238">
        <v>41505</v>
      </c>
      <c r="I1003" s="233">
        <v>1</v>
      </c>
      <c r="J1003" s="511">
        <v>5274</v>
      </c>
      <c r="K1003" s="384">
        <v>5274</v>
      </c>
      <c r="L1003" s="226" t="s">
        <v>788</v>
      </c>
      <c r="M1003" s="130" t="s">
        <v>42</v>
      </c>
    </row>
    <row r="1004" spans="1:13" s="134" customFormat="1" ht="15" customHeight="1" x14ac:dyDescent="0.25">
      <c r="A1004" s="233">
        <v>39</v>
      </c>
      <c r="B1004" s="233">
        <v>49806</v>
      </c>
      <c r="C1004" s="234" t="s">
        <v>2932</v>
      </c>
      <c r="D1004" s="233" t="s">
        <v>1988</v>
      </c>
      <c r="E1004" s="235" t="s">
        <v>116</v>
      </c>
      <c r="F1004" s="236">
        <v>30</v>
      </c>
      <c r="G1004" s="237" t="s">
        <v>1059</v>
      </c>
      <c r="H1004" s="238">
        <v>41507</v>
      </c>
      <c r="I1004" s="233">
        <v>1</v>
      </c>
      <c r="J1004" s="511">
        <v>5274</v>
      </c>
      <c r="K1004" s="384">
        <v>5274</v>
      </c>
      <c r="L1004" s="226" t="s">
        <v>788</v>
      </c>
      <c r="M1004" s="130" t="s">
        <v>42</v>
      </c>
    </row>
    <row r="1005" spans="1:13" s="134" customFormat="1" ht="15" customHeight="1" x14ac:dyDescent="0.25">
      <c r="A1005" s="233">
        <v>40</v>
      </c>
      <c r="B1005" s="233">
        <v>49742</v>
      </c>
      <c r="C1005" s="234" t="s">
        <v>2933</v>
      </c>
      <c r="D1005" s="233" t="s">
        <v>1981</v>
      </c>
      <c r="E1005" s="235" t="s">
        <v>580</v>
      </c>
      <c r="F1005" s="236" t="s">
        <v>371</v>
      </c>
      <c r="G1005" s="237"/>
      <c r="H1005" s="238">
        <v>41507</v>
      </c>
      <c r="I1005" s="233">
        <v>1</v>
      </c>
      <c r="J1005" s="511">
        <v>25800</v>
      </c>
      <c r="K1005" s="384">
        <v>25800</v>
      </c>
      <c r="L1005" s="226" t="s">
        <v>788</v>
      </c>
      <c r="M1005" s="130" t="s">
        <v>42</v>
      </c>
    </row>
    <row r="1006" spans="1:13" s="134" customFormat="1" ht="15" customHeight="1" x14ac:dyDescent="0.25">
      <c r="A1006" s="233">
        <v>41</v>
      </c>
      <c r="B1006" s="233">
        <v>49478</v>
      </c>
      <c r="C1006" s="234" t="s">
        <v>2934</v>
      </c>
      <c r="D1006" s="233" t="s">
        <v>1988</v>
      </c>
      <c r="E1006" s="235" t="s">
        <v>537</v>
      </c>
      <c r="F1006" s="236">
        <v>30</v>
      </c>
      <c r="G1006" s="237" t="s">
        <v>629</v>
      </c>
      <c r="H1006" s="238">
        <v>41505</v>
      </c>
      <c r="I1006" s="233">
        <v>1</v>
      </c>
      <c r="J1006" s="511">
        <v>30429</v>
      </c>
      <c r="K1006" s="384">
        <v>30429</v>
      </c>
      <c r="L1006" s="226" t="s">
        <v>788</v>
      </c>
      <c r="M1006" s="130" t="s">
        <v>42</v>
      </c>
    </row>
    <row r="1007" spans="1:13" s="134" customFormat="1" ht="15" customHeight="1" x14ac:dyDescent="0.25">
      <c r="A1007" s="233">
        <v>42</v>
      </c>
      <c r="B1007" s="233">
        <v>49480</v>
      </c>
      <c r="C1007" s="234" t="s">
        <v>2935</v>
      </c>
      <c r="D1007" s="233" t="s">
        <v>1988</v>
      </c>
      <c r="E1007" s="235" t="s">
        <v>537</v>
      </c>
      <c r="F1007" s="236">
        <v>3</v>
      </c>
      <c r="G1007" s="237" t="s">
        <v>560</v>
      </c>
      <c r="H1007" s="238">
        <v>41505</v>
      </c>
      <c r="I1007" s="233">
        <v>1</v>
      </c>
      <c r="J1007" s="511">
        <v>30429</v>
      </c>
      <c r="K1007" s="384">
        <v>30429</v>
      </c>
      <c r="L1007" s="226" t="s">
        <v>788</v>
      </c>
      <c r="M1007" s="130" t="s">
        <v>42</v>
      </c>
    </row>
    <row r="1008" spans="1:13" s="134" customFormat="1" ht="15" customHeight="1" x14ac:dyDescent="0.25">
      <c r="A1008" s="233">
        <v>43</v>
      </c>
      <c r="B1008" s="233">
        <v>50182</v>
      </c>
      <c r="C1008" s="234" t="s">
        <v>1977</v>
      </c>
      <c r="D1008" s="233" t="s">
        <v>1978</v>
      </c>
      <c r="E1008" s="235" t="s">
        <v>237</v>
      </c>
      <c r="F1008" s="236" t="s">
        <v>371</v>
      </c>
      <c r="G1008" s="237"/>
      <c r="H1008" s="238">
        <v>41508</v>
      </c>
      <c r="I1008" s="233">
        <v>1</v>
      </c>
      <c r="J1008" s="511">
        <v>10401</v>
      </c>
      <c r="K1008" s="384">
        <v>10401</v>
      </c>
      <c r="L1008" s="226" t="s">
        <v>788</v>
      </c>
      <c r="M1008" s="130" t="s">
        <v>42</v>
      </c>
    </row>
    <row r="1009" spans="1:13" s="134" customFormat="1" ht="15" customHeight="1" x14ac:dyDescent="0.25">
      <c r="A1009" s="233">
        <v>44</v>
      </c>
      <c r="B1009" s="233">
        <v>50387</v>
      </c>
      <c r="C1009" s="234" t="s">
        <v>2908</v>
      </c>
      <c r="D1009" s="233" t="s">
        <v>1978</v>
      </c>
      <c r="E1009" s="235" t="s">
        <v>116</v>
      </c>
      <c r="F1009" s="236">
        <v>30</v>
      </c>
      <c r="G1009" s="237" t="s">
        <v>2067</v>
      </c>
      <c r="H1009" s="238">
        <v>41509</v>
      </c>
      <c r="I1009" s="233">
        <v>1</v>
      </c>
      <c r="J1009" s="511">
        <v>5274</v>
      </c>
      <c r="K1009" s="384">
        <v>5274</v>
      </c>
      <c r="L1009" s="226" t="s">
        <v>788</v>
      </c>
      <c r="M1009" s="130" t="s">
        <v>42</v>
      </c>
    </row>
    <row r="1010" spans="1:13" s="134" customFormat="1" ht="15" customHeight="1" x14ac:dyDescent="0.25">
      <c r="A1010" s="135">
        <v>45</v>
      </c>
      <c r="B1010" s="135">
        <v>50912</v>
      </c>
      <c r="C1010" s="137" t="s">
        <v>2936</v>
      </c>
      <c r="D1010" s="135" t="s">
        <v>1988</v>
      </c>
      <c r="E1010" s="172" t="s">
        <v>580</v>
      </c>
      <c r="F1010" s="139" t="s">
        <v>371</v>
      </c>
      <c r="G1010" s="177"/>
      <c r="H1010" s="136">
        <v>41512</v>
      </c>
      <c r="I1010" s="135">
        <v>1</v>
      </c>
      <c r="J1010" s="490">
        <v>25800</v>
      </c>
      <c r="K1010" s="363">
        <v>25800</v>
      </c>
      <c r="L1010" s="226" t="s">
        <v>788</v>
      </c>
      <c r="M1010" s="130" t="s">
        <v>42</v>
      </c>
    </row>
    <row r="1011" spans="1:13" s="134" customFormat="1" ht="15" customHeight="1" x14ac:dyDescent="0.25">
      <c r="A1011" s="233">
        <v>46</v>
      </c>
      <c r="B1011" s="233">
        <v>52424</v>
      </c>
      <c r="C1011" s="234" t="s">
        <v>2928</v>
      </c>
      <c r="D1011" s="233" t="s">
        <v>1988</v>
      </c>
      <c r="E1011" s="235" t="s">
        <v>537</v>
      </c>
      <c r="F1011" s="236">
        <v>3</v>
      </c>
      <c r="G1011" s="237" t="s">
        <v>563</v>
      </c>
      <c r="H1011" s="238">
        <v>41515</v>
      </c>
      <c r="I1011" s="233">
        <v>1</v>
      </c>
      <c r="J1011" s="511">
        <v>30429</v>
      </c>
      <c r="K1011" s="384">
        <v>30429</v>
      </c>
      <c r="L1011" s="226" t="s">
        <v>788</v>
      </c>
      <c r="M1011" s="130" t="s">
        <v>42</v>
      </c>
    </row>
    <row r="1012" spans="1:13" s="134" customFormat="1" ht="15" customHeight="1" thickBot="1" x14ac:dyDescent="0.3">
      <c r="A1012" s="512">
        <v>47</v>
      </c>
      <c r="B1012" s="512">
        <v>52712</v>
      </c>
      <c r="C1012" s="513" t="s">
        <v>2937</v>
      </c>
      <c r="D1012" s="512" t="s">
        <v>1978</v>
      </c>
      <c r="E1012" s="514" t="s">
        <v>116</v>
      </c>
      <c r="F1012" s="515">
        <v>5</v>
      </c>
      <c r="G1012" s="516" t="s">
        <v>2938</v>
      </c>
      <c r="H1012" s="517">
        <v>41516</v>
      </c>
      <c r="I1012" s="512">
        <v>1</v>
      </c>
      <c r="J1012" s="518">
        <v>5274</v>
      </c>
      <c r="K1012" s="519">
        <v>5274</v>
      </c>
      <c r="L1012" s="226" t="s">
        <v>788</v>
      </c>
      <c r="M1012" s="130" t="s">
        <v>42</v>
      </c>
    </row>
    <row r="1013" spans="1:13" s="134" customFormat="1" ht="15" customHeight="1" x14ac:dyDescent="0.25">
      <c r="A1013" s="494">
        <v>48</v>
      </c>
      <c r="B1013" s="494">
        <v>59277</v>
      </c>
      <c r="C1013" s="495" t="s">
        <v>2939</v>
      </c>
      <c r="D1013" s="494" t="s">
        <v>2925</v>
      </c>
      <c r="E1013" s="496" t="s">
        <v>188</v>
      </c>
      <c r="F1013" s="497" t="s">
        <v>472</v>
      </c>
      <c r="G1013" s="498" t="s">
        <v>554</v>
      </c>
      <c r="H1013" s="499">
        <v>41547</v>
      </c>
      <c r="I1013" s="494">
        <v>1</v>
      </c>
      <c r="J1013" s="500">
        <v>42601</v>
      </c>
      <c r="K1013" s="501">
        <v>42601</v>
      </c>
      <c r="L1013" s="339" t="s">
        <v>617</v>
      </c>
      <c r="M1013" s="130" t="s">
        <v>42</v>
      </c>
    </row>
    <row r="1014" spans="1:13" s="134" customFormat="1" ht="15" customHeight="1" x14ac:dyDescent="0.25">
      <c r="A1014" s="233">
        <v>49</v>
      </c>
      <c r="B1014" s="233">
        <v>46193</v>
      </c>
      <c r="C1014" s="234" t="s">
        <v>2940</v>
      </c>
      <c r="D1014" s="233" t="s">
        <v>1988</v>
      </c>
      <c r="E1014" s="235" t="s">
        <v>577</v>
      </c>
      <c r="F1014" s="236" t="s">
        <v>2941</v>
      </c>
      <c r="G1014" s="237" t="s">
        <v>563</v>
      </c>
      <c r="H1014" s="238">
        <v>41492</v>
      </c>
      <c r="I1014" s="233">
        <v>2</v>
      </c>
      <c r="J1014" s="511">
        <v>49701</v>
      </c>
      <c r="K1014" s="384">
        <v>99402</v>
      </c>
      <c r="L1014" s="339" t="s">
        <v>617</v>
      </c>
      <c r="M1014" s="130" t="s">
        <v>42</v>
      </c>
    </row>
    <row r="1015" spans="1:13" s="134" customFormat="1" ht="15" customHeight="1" x14ac:dyDescent="0.25">
      <c r="A1015" s="233">
        <v>50</v>
      </c>
      <c r="B1015" s="233">
        <v>53514</v>
      </c>
      <c r="C1015" s="234" t="s">
        <v>2942</v>
      </c>
      <c r="D1015" s="233" t="s">
        <v>1988</v>
      </c>
      <c r="E1015" s="235" t="s">
        <v>537</v>
      </c>
      <c r="F1015" s="236">
        <v>14</v>
      </c>
      <c r="G1015" s="237" t="s">
        <v>629</v>
      </c>
      <c r="H1015" s="238">
        <v>41520</v>
      </c>
      <c r="I1015" s="233">
        <v>1</v>
      </c>
      <c r="J1015" s="511">
        <v>30429</v>
      </c>
      <c r="K1015" s="384">
        <v>30429</v>
      </c>
      <c r="L1015" s="339" t="s">
        <v>617</v>
      </c>
      <c r="M1015" s="130" t="s">
        <v>42</v>
      </c>
    </row>
    <row r="1016" spans="1:13" s="134" customFormat="1" ht="15" customHeight="1" x14ac:dyDescent="0.25">
      <c r="A1016" s="233">
        <v>51</v>
      </c>
      <c r="B1016" s="233">
        <v>51948</v>
      </c>
      <c r="C1016" s="234" t="s">
        <v>2943</v>
      </c>
      <c r="D1016" s="233" t="s">
        <v>1988</v>
      </c>
      <c r="E1016" s="235" t="s">
        <v>537</v>
      </c>
      <c r="F1016" s="236">
        <v>14</v>
      </c>
      <c r="G1016" s="237" t="s">
        <v>563</v>
      </c>
      <c r="H1016" s="238">
        <v>41514</v>
      </c>
      <c r="I1016" s="233">
        <v>1</v>
      </c>
      <c r="J1016" s="511">
        <v>30429</v>
      </c>
      <c r="K1016" s="384">
        <v>30429</v>
      </c>
      <c r="L1016" s="339" t="s">
        <v>617</v>
      </c>
      <c r="M1016" s="130" t="s">
        <v>42</v>
      </c>
    </row>
    <row r="1017" spans="1:13" s="134" customFormat="1" ht="15" customHeight="1" x14ac:dyDescent="0.25">
      <c r="A1017" s="233">
        <v>52</v>
      </c>
      <c r="B1017" s="233">
        <v>57500</v>
      </c>
      <c r="C1017" s="234" t="s">
        <v>2944</v>
      </c>
      <c r="D1017" s="233" t="s">
        <v>1981</v>
      </c>
      <c r="E1017" s="235" t="s">
        <v>537</v>
      </c>
      <c r="F1017" s="236">
        <v>14</v>
      </c>
      <c r="G1017" s="237" t="s">
        <v>1253</v>
      </c>
      <c r="H1017" s="238">
        <v>41540</v>
      </c>
      <c r="I1017" s="233">
        <v>1</v>
      </c>
      <c r="J1017" s="511">
        <v>30429</v>
      </c>
      <c r="K1017" s="384">
        <v>30429</v>
      </c>
      <c r="L1017" s="339" t="s">
        <v>617</v>
      </c>
      <c r="M1017" s="130" t="s">
        <v>42</v>
      </c>
    </row>
    <row r="1018" spans="1:13" s="134" customFormat="1" ht="15" customHeight="1" x14ac:dyDescent="0.25">
      <c r="A1018" s="233">
        <v>53</v>
      </c>
      <c r="B1018" s="233">
        <v>57516</v>
      </c>
      <c r="C1018" s="234" t="s">
        <v>2945</v>
      </c>
      <c r="D1018" s="233" t="s">
        <v>2925</v>
      </c>
      <c r="E1018" s="235" t="s">
        <v>116</v>
      </c>
      <c r="F1018" s="236">
        <v>4</v>
      </c>
      <c r="G1018" s="237" t="s">
        <v>1340</v>
      </c>
      <c r="H1018" s="238">
        <v>41541</v>
      </c>
      <c r="I1018" s="233">
        <v>1</v>
      </c>
      <c r="J1018" s="511">
        <v>5274</v>
      </c>
      <c r="K1018" s="384">
        <v>5274</v>
      </c>
      <c r="L1018" s="339" t="s">
        <v>617</v>
      </c>
      <c r="M1018" s="130" t="s">
        <v>42</v>
      </c>
    </row>
    <row r="1019" spans="1:13" s="134" customFormat="1" ht="15" customHeight="1" x14ac:dyDescent="0.25">
      <c r="A1019" s="233">
        <v>54</v>
      </c>
      <c r="B1019" s="233">
        <v>57809</v>
      </c>
      <c r="C1019" s="234" t="s">
        <v>2908</v>
      </c>
      <c r="D1019" s="233" t="s">
        <v>1978</v>
      </c>
      <c r="E1019" s="235" t="s">
        <v>115</v>
      </c>
      <c r="F1019" s="236" t="s">
        <v>527</v>
      </c>
      <c r="G1019" s="237"/>
      <c r="H1019" s="238">
        <v>41541</v>
      </c>
      <c r="I1019" s="233">
        <v>1</v>
      </c>
      <c r="J1019" s="511">
        <v>33370</v>
      </c>
      <c r="K1019" s="384">
        <v>33370</v>
      </c>
      <c r="L1019" s="339" t="s">
        <v>617</v>
      </c>
      <c r="M1019" s="130" t="s">
        <v>42</v>
      </c>
    </row>
    <row r="1020" spans="1:13" s="134" customFormat="1" ht="15" customHeight="1" x14ac:dyDescent="0.25">
      <c r="A1020" s="233">
        <v>55</v>
      </c>
      <c r="B1020" s="233">
        <v>57239</v>
      </c>
      <c r="C1020" s="234" t="s">
        <v>2946</v>
      </c>
      <c r="D1020" s="233" t="s">
        <v>1981</v>
      </c>
      <c r="E1020" s="235" t="s">
        <v>580</v>
      </c>
      <c r="F1020" s="236" t="s">
        <v>371</v>
      </c>
      <c r="G1020" s="237"/>
      <c r="H1020" s="238">
        <v>41538</v>
      </c>
      <c r="I1020" s="233">
        <v>1</v>
      </c>
      <c r="J1020" s="511">
        <v>25800</v>
      </c>
      <c r="K1020" s="384">
        <v>25800</v>
      </c>
      <c r="L1020" s="339" t="s">
        <v>617</v>
      </c>
      <c r="M1020" s="130" t="s">
        <v>42</v>
      </c>
    </row>
    <row r="1021" spans="1:13" s="134" customFormat="1" ht="15" customHeight="1" x14ac:dyDescent="0.25">
      <c r="A1021" s="233">
        <v>56</v>
      </c>
      <c r="B1021" s="233">
        <v>54941</v>
      </c>
      <c r="C1021" s="234" t="s">
        <v>2947</v>
      </c>
      <c r="D1021" s="233" t="s">
        <v>1988</v>
      </c>
      <c r="E1021" s="235" t="s">
        <v>580</v>
      </c>
      <c r="F1021" s="236" t="s">
        <v>371</v>
      </c>
      <c r="G1021" s="237"/>
      <c r="H1021" s="238">
        <v>41526</v>
      </c>
      <c r="I1021" s="233">
        <v>1</v>
      </c>
      <c r="J1021" s="511">
        <v>25800</v>
      </c>
      <c r="K1021" s="384">
        <v>25800</v>
      </c>
      <c r="L1021" s="339" t="s">
        <v>617</v>
      </c>
      <c r="M1021" s="130" t="s">
        <v>42</v>
      </c>
    </row>
    <row r="1022" spans="1:13" s="134" customFormat="1" ht="15" customHeight="1" x14ac:dyDescent="0.25">
      <c r="A1022" s="233">
        <v>57</v>
      </c>
      <c r="B1022" s="233">
        <v>57498</v>
      </c>
      <c r="C1022" s="234" t="s">
        <v>2948</v>
      </c>
      <c r="D1022" s="233" t="s">
        <v>2949</v>
      </c>
      <c r="E1022" s="235" t="s">
        <v>580</v>
      </c>
      <c r="F1022" s="236" t="s">
        <v>371</v>
      </c>
      <c r="G1022" s="237"/>
      <c r="H1022" s="238">
        <v>41534</v>
      </c>
      <c r="I1022" s="233">
        <v>1</v>
      </c>
      <c r="J1022" s="511">
        <v>25800</v>
      </c>
      <c r="K1022" s="384">
        <v>25800</v>
      </c>
      <c r="L1022" s="339" t="s">
        <v>617</v>
      </c>
      <c r="M1022" s="130" t="s">
        <v>42</v>
      </c>
    </row>
    <row r="1023" spans="1:13" s="134" customFormat="1" ht="15" customHeight="1" x14ac:dyDescent="0.25">
      <c r="A1023" s="233">
        <v>58</v>
      </c>
      <c r="B1023" s="233">
        <v>54702</v>
      </c>
      <c r="C1023" s="234" t="s">
        <v>2950</v>
      </c>
      <c r="D1023" s="233" t="s">
        <v>1984</v>
      </c>
      <c r="E1023" s="235" t="s">
        <v>197</v>
      </c>
      <c r="F1023" s="236" t="s">
        <v>2015</v>
      </c>
      <c r="G1023" s="237"/>
      <c r="H1023" s="238">
        <v>41526</v>
      </c>
      <c r="I1023" s="233">
        <v>6</v>
      </c>
      <c r="J1023" s="511">
        <v>2739</v>
      </c>
      <c r="K1023" s="384">
        <v>16434</v>
      </c>
      <c r="L1023" s="339" t="s">
        <v>617</v>
      </c>
      <c r="M1023" s="130" t="s">
        <v>42</v>
      </c>
    </row>
    <row r="1024" spans="1:13" s="134" customFormat="1" ht="15" customHeight="1" x14ac:dyDescent="0.25">
      <c r="A1024" s="233">
        <v>59</v>
      </c>
      <c r="B1024" s="233">
        <v>57782</v>
      </c>
      <c r="C1024" s="234" t="s">
        <v>2951</v>
      </c>
      <c r="D1024" s="233" t="s">
        <v>1990</v>
      </c>
      <c r="E1024" s="235" t="s">
        <v>580</v>
      </c>
      <c r="F1024" s="236" t="s">
        <v>371</v>
      </c>
      <c r="G1024" s="237"/>
      <c r="H1024" s="238">
        <v>41541</v>
      </c>
      <c r="I1024" s="233">
        <v>1</v>
      </c>
      <c r="J1024" s="511">
        <v>25800</v>
      </c>
      <c r="K1024" s="384">
        <v>25800</v>
      </c>
      <c r="L1024" s="339" t="s">
        <v>617</v>
      </c>
      <c r="M1024" s="130" t="s">
        <v>42</v>
      </c>
    </row>
    <row r="1025" spans="1:13" s="134" customFormat="1" ht="15" customHeight="1" x14ac:dyDescent="0.25">
      <c r="A1025" s="233">
        <v>60</v>
      </c>
      <c r="B1025" s="233">
        <v>57554</v>
      </c>
      <c r="C1025" s="234" t="s">
        <v>1404</v>
      </c>
      <c r="D1025" s="233" t="s">
        <v>1988</v>
      </c>
      <c r="E1025" s="235" t="s">
        <v>116</v>
      </c>
      <c r="F1025" s="236">
        <v>18</v>
      </c>
      <c r="G1025" s="237" t="s">
        <v>2067</v>
      </c>
      <c r="H1025" s="238">
        <v>41541</v>
      </c>
      <c r="I1025" s="233">
        <v>1</v>
      </c>
      <c r="J1025" s="511">
        <v>5274</v>
      </c>
      <c r="K1025" s="384">
        <v>5274</v>
      </c>
      <c r="L1025" s="339" t="s">
        <v>617</v>
      </c>
      <c r="M1025" s="130" t="s">
        <v>42</v>
      </c>
    </row>
    <row r="1026" spans="1:13" s="134" customFormat="1" ht="15" customHeight="1" x14ac:dyDescent="0.25">
      <c r="A1026" s="233">
        <v>61</v>
      </c>
      <c r="B1026" s="233">
        <v>58611</v>
      </c>
      <c r="C1026" s="234" t="s">
        <v>2914</v>
      </c>
      <c r="D1026" s="233" t="s">
        <v>1978</v>
      </c>
      <c r="E1026" s="235" t="s">
        <v>192</v>
      </c>
      <c r="F1026" s="236" t="s">
        <v>410</v>
      </c>
      <c r="G1026" s="237" t="s">
        <v>2097</v>
      </c>
      <c r="H1026" s="238">
        <v>41544</v>
      </c>
      <c r="I1026" s="233">
        <v>1</v>
      </c>
      <c r="J1026" s="511">
        <v>57960</v>
      </c>
      <c r="K1026" s="384">
        <v>57960</v>
      </c>
      <c r="L1026" s="339" t="s">
        <v>617</v>
      </c>
      <c r="M1026" s="130" t="s">
        <v>42</v>
      </c>
    </row>
    <row r="1027" spans="1:13" s="134" customFormat="1" ht="15" customHeight="1" x14ac:dyDescent="0.25">
      <c r="A1027" s="233">
        <v>62</v>
      </c>
      <c r="B1027" s="233">
        <v>57675</v>
      </c>
      <c r="C1027" s="234" t="s">
        <v>1933</v>
      </c>
      <c r="D1027" s="233" t="s">
        <v>1990</v>
      </c>
      <c r="E1027" s="235" t="s">
        <v>580</v>
      </c>
      <c r="F1027" s="236" t="s">
        <v>371</v>
      </c>
      <c r="G1027" s="237"/>
      <c r="H1027" s="238">
        <v>41541</v>
      </c>
      <c r="I1027" s="233">
        <v>1</v>
      </c>
      <c r="J1027" s="511">
        <v>25800</v>
      </c>
      <c r="K1027" s="384">
        <v>25800</v>
      </c>
      <c r="L1027" s="339" t="s">
        <v>617</v>
      </c>
      <c r="M1027" s="130" t="s">
        <v>42</v>
      </c>
    </row>
    <row r="1028" spans="1:13" s="134" customFormat="1" ht="15" customHeight="1" x14ac:dyDescent="0.25">
      <c r="A1028" s="233">
        <v>63</v>
      </c>
      <c r="B1028" s="233">
        <v>54823</v>
      </c>
      <c r="C1028" s="234" t="s">
        <v>2952</v>
      </c>
      <c r="D1028" s="233" t="s">
        <v>2925</v>
      </c>
      <c r="E1028" s="235" t="s">
        <v>217</v>
      </c>
      <c r="F1028" s="236" t="s">
        <v>387</v>
      </c>
      <c r="G1028" s="237" t="s">
        <v>1250</v>
      </c>
      <c r="H1028" s="238">
        <v>41523</v>
      </c>
      <c r="I1028" s="233">
        <v>2</v>
      </c>
      <c r="J1028" s="511">
        <v>44597</v>
      </c>
      <c r="K1028" s="384">
        <v>89194</v>
      </c>
      <c r="L1028" s="339" t="s">
        <v>617</v>
      </c>
      <c r="M1028" s="130" t="s">
        <v>42</v>
      </c>
    </row>
    <row r="1029" spans="1:13" s="134" customFormat="1" ht="15" customHeight="1" x14ac:dyDescent="0.25">
      <c r="A1029" s="233">
        <v>64</v>
      </c>
      <c r="B1029" s="233">
        <v>53641</v>
      </c>
      <c r="C1029" s="234" t="s">
        <v>2953</v>
      </c>
      <c r="D1029" s="233" t="s">
        <v>1981</v>
      </c>
      <c r="E1029" s="235" t="s">
        <v>580</v>
      </c>
      <c r="F1029" s="236" t="s">
        <v>371</v>
      </c>
      <c r="G1029" s="237"/>
      <c r="H1029" s="238">
        <v>41520</v>
      </c>
      <c r="I1029" s="233">
        <v>1</v>
      </c>
      <c r="J1029" s="511">
        <v>25800</v>
      </c>
      <c r="K1029" s="384">
        <v>25800</v>
      </c>
      <c r="L1029" s="339" t="s">
        <v>617</v>
      </c>
      <c r="M1029" s="130" t="s">
        <v>42</v>
      </c>
    </row>
    <row r="1030" spans="1:13" s="134" customFormat="1" ht="15" customHeight="1" x14ac:dyDescent="0.25">
      <c r="A1030" s="233">
        <v>65</v>
      </c>
      <c r="B1030" s="233">
        <v>53668</v>
      </c>
      <c r="C1030" s="234" t="s">
        <v>2954</v>
      </c>
      <c r="D1030" s="233" t="s">
        <v>2925</v>
      </c>
      <c r="E1030" s="235" t="s">
        <v>217</v>
      </c>
      <c r="F1030" s="236" t="s">
        <v>371</v>
      </c>
      <c r="G1030" s="237" t="s">
        <v>489</v>
      </c>
      <c r="H1030" s="238">
        <v>41520</v>
      </c>
      <c r="I1030" s="233">
        <v>1</v>
      </c>
      <c r="J1030" s="511">
        <v>44597</v>
      </c>
      <c r="K1030" s="384">
        <v>44597</v>
      </c>
      <c r="L1030" s="339" t="s">
        <v>617</v>
      </c>
      <c r="M1030" s="130" t="s">
        <v>42</v>
      </c>
    </row>
    <row r="1031" spans="1:13" s="134" customFormat="1" ht="15" customHeight="1" x14ac:dyDescent="0.25">
      <c r="A1031" s="233">
        <v>66</v>
      </c>
      <c r="B1031" s="233">
        <v>53085</v>
      </c>
      <c r="C1031" s="234" t="s">
        <v>2955</v>
      </c>
      <c r="D1031" s="233" t="s">
        <v>1978</v>
      </c>
      <c r="E1031" s="235" t="s">
        <v>116</v>
      </c>
      <c r="F1031" s="236">
        <v>8</v>
      </c>
      <c r="G1031" s="237" t="s">
        <v>489</v>
      </c>
      <c r="H1031" s="238">
        <v>41519</v>
      </c>
      <c r="I1031" s="233">
        <v>1</v>
      </c>
      <c r="J1031" s="511">
        <v>5274</v>
      </c>
      <c r="K1031" s="384">
        <v>5274</v>
      </c>
      <c r="L1031" s="339" t="s">
        <v>617</v>
      </c>
      <c r="M1031" s="130" t="s">
        <v>42</v>
      </c>
    </row>
    <row r="1032" spans="1:13" s="134" customFormat="1" ht="15" customHeight="1" x14ac:dyDescent="0.25">
      <c r="A1032" s="233">
        <v>67</v>
      </c>
      <c r="B1032" s="233">
        <v>58394</v>
      </c>
      <c r="C1032" s="234" t="s">
        <v>2956</v>
      </c>
      <c r="D1032" s="233" t="s">
        <v>1981</v>
      </c>
      <c r="E1032" s="235" t="s">
        <v>580</v>
      </c>
      <c r="F1032" s="236" t="s">
        <v>371</v>
      </c>
      <c r="G1032" s="237"/>
      <c r="H1032" s="238">
        <v>41543</v>
      </c>
      <c r="I1032" s="233">
        <v>1</v>
      </c>
      <c r="J1032" s="511">
        <v>25800</v>
      </c>
      <c r="K1032" s="384">
        <v>25800</v>
      </c>
      <c r="L1032" s="339" t="s">
        <v>617</v>
      </c>
      <c r="M1032" s="130" t="s">
        <v>42</v>
      </c>
    </row>
    <row r="1033" spans="1:13" s="134" customFormat="1" ht="15" customHeight="1" x14ac:dyDescent="0.25">
      <c r="A1033" s="233">
        <v>68</v>
      </c>
      <c r="B1033" s="233">
        <v>53186</v>
      </c>
      <c r="C1033" s="234" t="s">
        <v>2957</v>
      </c>
      <c r="D1033" s="233" t="s">
        <v>1981</v>
      </c>
      <c r="E1033" s="235" t="s">
        <v>580</v>
      </c>
      <c r="F1033" s="236" t="s">
        <v>371</v>
      </c>
      <c r="G1033" s="237"/>
      <c r="H1033" s="238">
        <v>41488</v>
      </c>
      <c r="I1033" s="233">
        <v>1</v>
      </c>
      <c r="J1033" s="511">
        <v>25800</v>
      </c>
      <c r="K1033" s="384">
        <v>25800</v>
      </c>
      <c r="L1033" s="339" t="s">
        <v>617</v>
      </c>
      <c r="M1033" s="130" t="s">
        <v>42</v>
      </c>
    </row>
    <row r="1034" spans="1:13" s="134" customFormat="1" ht="15" customHeight="1" x14ac:dyDescent="0.25">
      <c r="A1034" s="233">
        <v>69</v>
      </c>
      <c r="B1034" s="233">
        <v>57223</v>
      </c>
      <c r="C1034" s="234" t="s">
        <v>2920</v>
      </c>
      <c r="D1034" s="233" t="s">
        <v>1988</v>
      </c>
      <c r="E1034" s="235" t="s">
        <v>115</v>
      </c>
      <c r="F1034" s="236">
        <v>4</v>
      </c>
      <c r="G1034" s="237" t="s">
        <v>563</v>
      </c>
      <c r="H1034" s="238">
        <v>41540</v>
      </c>
      <c r="I1034" s="233">
        <v>1</v>
      </c>
      <c r="J1034" s="511">
        <v>33370</v>
      </c>
      <c r="K1034" s="384">
        <v>33370</v>
      </c>
      <c r="L1034" s="339" t="s">
        <v>617</v>
      </c>
      <c r="M1034" s="130" t="s">
        <v>42</v>
      </c>
    </row>
    <row r="1035" spans="1:13" s="134" customFormat="1" ht="15" customHeight="1" x14ac:dyDescent="0.25">
      <c r="A1035" s="233">
        <v>70</v>
      </c>
      <c r="B1035" s="233">
        <v>42287</v>
      </c>
      <c r="C1035" s="234" t="s">
        <v>2958</v>
      </c>
      <c r="D1035" s="233" t="s">
        <v>1988</v>
      </c>
      <c r="E1035" s="235" t="s">
        <v>116</v>
      </c>
      <c r="F1035" s="236" t="s">
        <v>592</v>
      </c>
      <c r="G1035" s="237" t="s">
        <v>1059</v>
      </c>
      <c r="H1035" s="238">
        <v>41477</v>
      </c>
      <c r="I1035" s="233">
        <v>2</v>
      </c>
      <c r="J1035" s="511">
        <v>5274</v>
      </c>
      <c r="K1035" s="384">
        <v>10548</v>
      </c>
      <c r="L1035" s="339" t="s">
        <v>617</v>
      </c>
      <c r="M1035" s="130" t="s">
        <v>42</v>
      </c>
    </row>
    <row r="1036" spans="1:13" s="134" customFormat="1" ht="15" customHeight="1" x14ac:dyDescent="0.25">
      <c r="A1036" s="233">
        <v>71</v>
      </c>
      <c r="B1036" s="233">
        <v>51585</v>
      </c>
      <c r="C1036" s="234" t="s">
        <v>2044</v>
      </c>
      <c r="D1036" s="233" t="s">
        <v>1988</v>
      </c>
      <c r="E1036" s="235" t="s">
        <v>116</v>
      </c>
      <c r="F1036" s="236">
        <v>4</v>
      </c>
      <c r="G1036" s="237" t="s">
        <v>2067</v>
      </c>
      <c r="H1036" s="238">
        <v>41514</v>
      </c>
      <c r="I1036" s="233">
        <v>1</v>
      </c>
      <c r="J1036" s="511">
        <v>5274</v>
      </c>
      <c r="K1036" s="384">
        <v>5274</v>
      </c>
      <c r="L1036" s="339" t="s">
        <v>617</v>
      </c>
      <c r="M1036" s="130" t="s">
        <v>42</v>
      </c>
    </row>
    <row r="1037" spans="1:13" s="134" customFormat="1" ht="15" customHeight="1" thickBot="1" x14ac:dyDescent="0.3">
      <c r="A1037" s="502">
        <v>72</v>
      </c>
      <c r="B1037" s="502">
        <v>56383</v>
      </c>
      <c r="C1037" s="520" t="s">
        <v>2959</v>
      </c>
      <c r="D1037" s="512" t="s">
        <v>1981</v>
      </c>
      <c r="E1037" s="514" t="s">
        <v>116</v>
      </c>
      <c r="F1037" s="515">
        <v>5</v>
      </c>
      <c r="G1037" s="516" t="s">
        <v>2960</v>
      </c>
      <c r="H1037" s="517">
        <v>41530</v>
      </c>
      <c r="I1037" s="512">
        <v>1</v>
      </c>
      <c r="J1037" s="518">
        <v>5274</v>
      </c>
      <c r="K1037" s="519">
        <v>5274</v>
      </c>
      <c r="L1037" s="339" t="s">
        <v>617</v>
      </c>
      <c r="M1037" s="130" t="s">
        <v>42</v>
      </c>
    </row>
    <row r="1038" spans="1:13" s="134" customFormat="1" ht="15" customHeight="1" x14ac:dyDescent="0.25">
      <c r="A1038" s="480">
        <v>73</v>
      </c>
      <c r="B1038" s="480">
        <v>63127</v>
      </c>
      <c r="C1038" s="481" t="s">
        <v>2961</v>
      </c>
      <c r="D1038" s="122" t="s">
        <v>1981</v>
      </c>
      <c r="E1038" s="150" t="s">
        <v>580</v>
      </c>
      <c r="F1038" s="126" t="s">
        <v>371</v>
      </c>
      <c r="G1038" s="271"/>
      <c r="H1038" s="123">
        <v>41562</v>
      </c>
      <c r="I1038" s="122">
        <v>1</v>
      </c>
      <c r="J1038" s="521">
        <v>25800</v>
      </c>
      <c r="K1038" s="403">
        <v>25800</v>
      </c>
      <c r="L1038" s="270" t="s">
        <v>620</v>
      </c>
      <c r="M1038" s="130" t="s">
        <v>42</v>
      </c>
    </row>
    <row r="1039" spans="1:13" s="134" customFormat="1" ht="15" customHeight="1" x14ac:dyDescent="0.25">
      <c r="A1039" s="274">
        <v>74</v>
      </c>
      <c r="B1039" s="274">
        <v>57712</v>
      </c>
      <c r="C1039" s="275" t="s">
        <v>2962</v>
      </c>
      <c r="D1039" s="122" t="s">
        <v>1988</v>
      </c>
      <c r="E1039" s="150" t="s">
        <v>116</v>
      </c>
      <c r="F1039" s="126" t="s">
        <v>2963</v>
      </c>
      <c r="G1039" s="271" t="s">
        <v>2471</v>
      </c>
      <c r="H1039" s="123">
        <v>41541</v>
      </c>
      <c r="I1039" s="122">
        <v>2</v>
      </c>
      <c r="J1039" s="521">
        <v>5274</v>
      </c>
      <c r="K1039" s="403">
        <v>10548</v>
      </c>
      <c r="L1039" s="270" t="s">
        <v>620</v>
      </c>
      <c r="M1039" s="130" t="s">
        <v>42</v>
      </c>
    </row>
    <row r="1040" spans="1:13" s="134" customFormat="1" ht="15" customHeight="1" x14ac:dyDescent="0.25">
      <c r="A1040" s="274">
        <v>75</v>
      </c>
      <c r="B1040" s="274">
        <v>64488</v>
      </c>
      <c r="C1040" s="275" t="s">
        <v>2964</v>
      </c>
      <c r="D1040" s="122" t="s">
        <v>2949</v>
      </c>
      <c r="E1040" s="150" t="s">
        <v>580</v>
      </c>
      <c r="F1040" s="126" t="s">
        <v>371</v>
      </c>
      <c r="G1040" s="271"/>
      <c r="H1040" s="123">
        <v>41564</v>
      </c>
      <c r="I1040" s="122">
        <v>1</v>
      </c>
      <c r="J1040" s="521">
        <v>25800</v>
      </c>
      <c r="K1040" s="403">
        <v>25800</v>
      </c>
      <c r="L1040" s="270" t="s">
        <v>620</v>
      </c>
      <c r="M1040" s="130" t="s">
        <v>42</v>
      </c>
    </row>
    <row r="1041" spans="1:13" s="134" customFormat="1" ht="15" customHeight="1" x14ac:dyDescent="0.25">
      <c r="A1041" s="274">
        <v>76</v>
      </c>
      <c r="B1041" s="274">
        <v>54617</v>
      </c>
      <c r="C1041" s="275" t="s">
        <v>2965</v>
      </c>
      <c r="D1041" s="122" t="s">
        <v>1988</v>
      </c>
      <c r="E1041" s="150" t="s">
        <v>537</v>
      </c>
      <c r="F1041" s="126">
        <v>30</v>
      </c>
      <c r="G1041" s="271" t="s">
        <v>563</v>
      </c>
      <c r="H1041" s="123">
        <v>41523</v>
      </c>
      <c r="I1041" s="122">
        <v>1</v>
      </c>
      <c r="J1041" s="521">
        <v>30429</v>
      </c>
      <c r="K1041" s="403">
        <v>30429</v>
      </c>
      <c r="L1041" s="270" t="s">
        <v>620</v>
      </c>
      <c r="M1041" s="130" t="s">
        <v>42</v>
      </c>
    </row>
    <row r="1042" spans="1:13" s="134" customFormat="1" ht="15" customHeight="1" x14ac:dyDescent="0.25">
      <c r="A1042" s="274">
        <v>77</v>
      </c>
      <c r="B1042" s="274">
        <v>63401</v>
      </c>
      <c r="C1042" s="275" t="s">
        <v>2966</v>
      </c>
      <c r="D1042" s="122" t="s">
        <v>862</v>
      </c>
      <c r="E1042" s="150" t="s">
        <v>580</v>
      </c>
      <c r="F1042" s="126" t="s">
        <v>371</v>
      </c>
      <c r="G1042" s="271"/>
      <c r="H1042" s="123">
        <v>41562</v>
      </c>
      <c r="I1042" s="122">
        <v>1</v>
      </c>
      <c r="J1042" s="521">
        <v>25800</v>
      </c>
      <c r="K1042" s="403">
        <v>25800</v>
      </c>
      <c r="L1042" s="270" t="s">
        <v>620</v>
      </c>
      <c r="M1042" s="130" t="s">
        <v>42</v>
      </c>
    </row>
    <row r="1043" spans="1:13" s="134" customFormat="1" ht="15" customHeight="1" x14ac:dyDescent="0.25">
      <c r="A1043" s="274">
        <v>78</v>
      </c>
      <c r="B1043" s="274">
        <v>65673</v>
      </c>
      <c r="C1043" s="275" t="s">
        <v>2967</v>
      </c>
      <c r="D1043" s="122" t="s">
        <v>1988</v>
      </c>
      <c r="E1043" s="150" t="s">
        <v>580</v>
      </c>
      <c r="F1043" s="126" t="s">
        <v>371</v>
      </c>
      <c r="G1043" s="271"/>
      <c r="H1043" s="123">
        <v>41569</v>
      </c>
      <c r="I1043" s="122">
        <v>1</v>
      </c>
      <c r="J1043" s="521">
        <v>25800</v>
      </c>
      <c r="K1043" s="403">
        <v>25800</v>
      </c>
      <c r="L1043" s="270" t="s">
        <v>620</v>
      </c>
      <c r="M1043" s="130" t="s">
        <v>42</v>
      </c>
    </row>
    <row r="1044" spans="1:13" s="134" customFormat="1" ht="15" customHeight="1" x14ac:dyDescent="0.25">
      <c r="A1044" s="274">
        <v>79</v>
      </c>
      <c r="B1044" s="274">
        <v>65190</v>
      </c>
      <c r="C1044" s="275" t="s">
        <v>2029</v>
      </c>
      <c r="D1044" s="122" t="s">
        <v>1978</v>
      </c>
      <c r="E1044" s="150" t="s">
        <v>116</v>
      </c>
      <c r="F1044" s="126" t="s">
        <v>383</v>
      </c>
      <c r="G1044" s="271" t="s">
        <v>489</v>
      </c>
      <c r="H1044" s="123">
        <v>41569</v>
      </c>
      <c r="I1044" s="122">
        <v>1</v>
      </c>
      <c r="J1044" s="521">
        <v>5274</v>
      </c>
      <c r="K1044" s="403">
        <v>5274</v>
      </c>
      <c r="L1044" s="270" t="s">
        <v>620</v>
      </c>
      <c r="M1044" s="130" t="s">
        <v>42</v>
      </c>
    </row>
    <row r="1045" spans="1:13" s="134" customFormat="1" ht="15" customHeight="1" x14ac:dyDescent="0.25">
      <c r="A1045" s="522">
        <v>80</v>
      </c>
      <c r="B1045" s="274">
        <v>49365</v>
      </c>
      <c r="C1045" s="275" t="s">
        <v>2968</v>
      </c>
      <c r="D1045" s="122" t="s">
        <v>1988</v>
      </c>
      <c r="E1045" s="150" t="s">
        <v>116</v>
      </c>
      <c r="F1045" s="126">
        <v>14</v>
      </c>
      <c r="G1045" s="271" t="s">
        <v>2067</v>
      </c>
      <c r="H1045" s="123">
        <v>41505</v>
      </c>
      <c r="I1045" s="122">
        <v>1</v>
      </c>
      <c r="J1045" s="521">
        <v>5274</v>
      </c>
      <c r="K1045" s="403">
        <v>5274</v>
      </c>
      <c r="L1045" s="270" t="s">
        <v>620</v>
      </c>
      <c r="M1045" s="130" t="s">
        <v>42</v>
      </c>
    </row>
    <row r="1046" spans="1:13" s="134" customFormat="1" ht="15" customHeight="1" x14ac:dyDescent="0.25">
      <c r="A1046" s="274">
        <v>81</v>
      </c>
      <c r="B1046" s="274">
        <v>54252</v>
      </c>
      <c r="C1046" s="275" t="s">
        <v>2968</v>
      </c>
      <c r="D1046" s="122" t="s">
        <v>1988</v>
      </c>
      <c r="E1046" s="150" t="s">
        <v>116</v>
      </c>
      <c r="F1046" s="126">
        <v>14</v>
      </c>
      <c r="G1046" s="271"/>
      <c r="H1046" s="123">
        <v>41526</v>
      </c>
      <c r="I1046" s="122">
        <v>1</v>
      </c>
      <c r="J1046" s="521">
        <v>5274</v>
      </c>
      <c r="K1046" s="403">
        <v>5274</v>
      </c>
      <c r="L1046" s="270" t="s">
        <v>620</v>
      </c>
      <c r="M1046" s="130" t="s">
        <v>42</v>
      </c>
    </row>
    <row r="1047" spans="1:13" s="134" customFormat="1" ht="15" customHeight="1" x14ac:dyDescent="0.25">
      <c r="A1047" s="274">
        <v>82</v>
      </c>
      <c r="B1047" s="274">
        <v>62514</v>
      </c>
      <c r="C1047" s="275" t="s">
        <v>2931</v>
      </c>
      <c r="D1047" s="122" t="s">
        <v>1988</v>
      </c>
      <c r="E1047" s="150" t="s">
        <v>1132</v>
      </c>
      <c r="F1047" s="126" t="s">
        <v>407</v>
      </c>
      <c r="G1047" s="271" t="s">
        <v>563</v>
      </c>
      <c r="H1047" s="123">
        <v>41557</v>
      </c>
      <c r="I1047" s="122">
        <v>1</v>
      </c>
      <c r="J1047" s="521">
        <v>49701</v>
      </c>
      <c r="K1047" s="403">
        <v>49701</v>
      </c>
      <c r="L1047" s="270" t="s">
        <v>620</v>
      </c>
      <c r="M1047" s="130" t="s">
        <v>42</v>
      </c>
    </row>
    <row r="1048" spans="1:13" s="134" customFormat="1" ht="15" customHeight="1" x14ac:dyDescent="0.25">
      <c r="A1048" s="274">
        <v>83</v>
      </c>
      <c r="B1048" s="274">
        <v>59978</v>
      </c>
      <c r="C1048" s="275" t="s">
        <v>2945</v>
      </c>
      <c r="D1048" s="122" t="s">
        <v>2925</v>
      </c>
      <c r="E1048" s="150" t="s">
        <v>210</v>
      </c>
      <c r="F1048" s="126" t="s">
        <v>417</v>
      </c>
      <c r="G1048" s="271"/>
      <c r="H1048" s="123">
        <v>41550</v>
      </c>
      <c r="I1048" s="122">
        <v>1</v>
      </c>
      <c r="J1048" s="521">
        <v>14099</v>
      </c>
      <c r="K1048" s="403">
        <v>14099</v>
      </c>
      <c r="L1048" s="270" t="s">
        <v>620</v>
      </c>
      <c r="M1048" s="130" t="s">
        <v>42</v>
      </c>
    </row>
    <row r="1049" spans="1:13" s="134" customFormat="1" ht="15" customHeight="1" x14ac:dyDescent="0.25">
      <c r="A1049" s="274">
        <v>84</v>
      </c>
      <c r="B1049" s="274">
        <v>62479</v>
      </c>
      <c r="C1049" s="275" t="s">
        <v>2945</v>
      </c>
      <c r="D1049" s="122" t="s">
        <v>2925</v>
      </c>
      <c r="E1049" s="150" t="s">
        <v>115</v>
      </c>
      <c r="F1049" s="126" t="s">
        <v>417</v>
      </c>
      <c r="G1049" s="271" t="s">
        <v>2969</v>
      </c>
      <c r="H1049" s="123">
        <v>41557</v>
      </c>
      <c r="I1049" s="122">
        <v>1</v>
      </c>
      <c r="J1049" s="521">
        <v>33370</v>
      </c>
      <c r="K1049" s="403">
        <v>33370</v>
      </c>
      <c r="L1049" s="270" t="s">
        <v>620</v>
      </c>
      <c r="M1049" s="130" t="s">
        <v>42</v>
      </c>
    </row>
    <row r="1050" spans="1:13" s="134" customFormat="1" ht="15" customHeight="1" x14ac:dyDescent="0.25">
      <c r="A1050" s="274">
        <v>85</v>
      </c>
      <c r="B1050" s="274">
        <v>64571</v>
      </c>
      <c r="C1050" s="275" t="s">
        <v>2970</v>
      </c>
      <c r="D1050" s="122" t="s">
        <v>1978</v>
      </c>
      <c r="E1050" s="150" t="s">
        <v>116</v>
      </c>
      <c r="F1050" s="126" t="s">
        <v>2971</v>
      </c>
      <c r="G1050" s="271" t="s">
        <v>489</v>
      </c>
      <c r="H1050" s="123">
        <v>41565</v>
      </c>
      <c r="I1050" s="122">
        <v>4</v>
      </c>
      <c r="J1050" s="521">
        <v>5274</v>
      </c>
      <c r="K1050" s="403">
        <v>21096</v>
      </c>
      <c r="L1050" s="270" t="s">
        <v>620</v>
      </c>
      <c r="M1050" s="130" t="s">
        <v>42</v>
      </c>
    </row>
    <row r="1051" spans="1:13" s="134" customFormat="1" ht="15" customHeight="1" x14ac:dyDescent="0.25">
      <c r="A1051" s="274">
        <v>86</v>
      </c>
      <c r="B1051" s="274">
        <v>57671</v>
      </c>
      <c r="C1051" s="275" t="s">
        <v>2972</v>
      </c>
      <c r="D1051" s="122" t="s">
        <v>1978</v>
      </c>
      <c r="E1051" s="150" t="s">
        <v>116</v>
      </c>
      <c r="F1051" s="126">
        <v>3</v>
      </c>
      <c r="G1051" s="271" t="s">
        <v>2067</v>
      </c>
      <c r="H1051" s="123">
        <v>41540</v>
      </c>
      <c r="I1051" s="122">
        <v>1</v>
      </c>
      <c r="J1051" s="521">
        <v>5274</v>
      </c>
      <c r="K1051" s="403">
        <v>5274</v>
      </c>
      <c r="L1051" s="270" t="s">
        <v>620</v>
      </c>
      <c r="M1051" s="130" t="s">
        <v>42</v>
      </c>
    </row>
    <row r="1052" spans="1:13" s="134" customFormat="1" ht="15" customHeight="1" x14ac:dyDescent="0.25">
      <c r="A1052" s="274">
        <v>87</v>
      </c>
      <c r="B1052" s="274">
        <v>65076</v>
      </c>
      <c r="C1052" s="275" t="s">
        <v>2972</v>
      </c>
      <c r="D1052" s="122" t="s">
        <v>1975</v>
      </c>
      <c r="E1052" s="150" t="s">
        <v>115</v>
      </c>
      <c r="F1052" s="126" t="s">
        <v>472</v>
      </c>
      <c r="G1052" s="271" t="s">
        <v>597</v>
      </c>
      <c r="H1052" s="123">
        <v>41568</v>
      </c>
      <c r="I1052" s="122">
        <v>1</v>
      </c>
      <c r="J1052" s="521">
        <v>33370</v>
      </c>
      <c r="K1052" s="403">
        <v>33370</v>
      </c>
      <c r="L1052" s="270" t="s">
        <v>620</v>
      </c>
      <c r="M1052" s="130" t="s">
        <v>42</v>
      </c>
    </row>
    <row r="1053" spans="1:13" s="134" customFormat="1" ht="15" customHeight="1" x14ac:dyDescent="0.25">
      <c r="A1053" s="274">
        <v>88</v>
      </c>
      <c r="B1053" s="274">
        <v>65076</v>
      </c>
      <c r="C1053" s="275" t="s">
        <v>2972</v>
      </c>
      <c r="D1053" s="122" t="s">
        <v>1975</v>
      </c>
      <c r="E1053" s="150" t="s">
        <v>188</v>
      </c>
      <c r="F1053" s="126" t="s">
        <v>431</v>
      </c>
      <c r="G1053" s="271" t="s">
        <v>597</v>
      </c>
      <c r="H1053" s="123">
        <v>41568</v>
      </c>
      <c r="I1053" s="122">
        <v>1</v>
      </c>
      <c r="J1053" s="521">
        <v>42601</v>
      </c>
      <c r="K1053" s="403">
        <v>42601</v>
      </c>
      <c r="L1053" s="270" t="s">
        <v>620</v>
      </c>
      <c r="M1053" s="130" t="s">
        <v>42</v>
      </c>
    </row>
    <row r="1054" spans="1:13" s="134" customFormat="1" ht="15" customHeight="1" x14ac:dyDescent="0.25">
      <c r="A1054" s="274">
        <v>89</v>
      </c>
      <c r="B1054" s="274">
        <v>62457</v>
      </c>
      <c r="C1054" s="275" t="s">
        <v>2973</v>
      </c>
      <c r="D1054" s="122" t="s">
        <v>2925</v>
      </c>
      <c r="E1054" s="150" t="s">
        <v>537</v>
      </c>
      <c r="F1054" s="126" t="s">
        <v>562</v>
      </c>
      <c r="G1054" s="271" t="s">
        <v>569</v>
      </c>
      <c r="H1054" s="123">
        <v>41557</v>
      </c>
      <c r="I1054" s="122">
        <v>1</v>
      </c>
      <c r="J1054" s="521">
        <v>30429</v>
      </c>
      <c r="K1054" s="403">
        <v>30429</v>
      </c>
      <c r="L1054" s="270" t="s">
        <v>620</v>
      </c>
      <c r="M1054" s="130" t="s">
        <v>42</v>
      </c>
    </row>
    <row r="1055" spans="1:13" s="134" customFormat="1" ht="15" customHeight="1" x14ac:dyDescent="0.25">
      <c r="A1055" s="274">
        <v>90</v>
      </c>
      <c r="B1055" s="274">
        <v>63323</v>
      </c>
      <c r="C1055" s="275" t="s">
        <v>2974</v>
      </c>
      <c r="D1055" s="122" t="s">
        <v>1988</v>
      </c>
      <c r="E1055" s="150" t="s">
        <v>210</v>
      </c>
      <c r="F1055" s="126" t="s">
        <v>392</v>
      </c>
      <c r="G1055" s="271"/>
      <c r="H1055" s="123">
        <v>41562</v>
      </c>
      <c r="I1055" s="122">
        <v>1</v>
      </c>
      <c r="J1055" s="521">
        <v>14099</v>
      </c>
      <c r="K1055" s="403">
        <v>14099</v>
      </c>
      <c r="L1055" s="270" t="s">
        <v>620</v>
      </c>
      <c r="M1055" s="130" t="s">
        <v>42</v>
      </c>
    </row>
    <row r="1056" spans="1:13" s="134" customFormat="1" ht="15" customHeight="1" x14ac:dyDescent="0.25">
      <c r="A1056" s="274">
        <v>91</v>
      </c>
      <c r="B1056" s="274">
        <v>60946</v>
      </c>
      <c r="C1056" s="275" t="s">
        <v>2975</v>
      </c>
      <c r="D1056" s="122" t="s">
        <v>862</v>
      </c>
      <c r="E1056" s="150" t="s">
        <v>580</v>
      </c>
      <c r="F1056" s="126" t="s">
        <v>371</v>
      </c>
      <c r="G1056" s="271"/>
      <c r="H1056" s="123">
        <v>41552</v>
      </c>
      <c r="I1056" s="122">
        <v>1</v>
      </c>
      <c r="J1056" s="521">
        <v>25800</v>
      </c>
      <c r="K1056" s="403">
        <v>25800</v>
      </c>
      <c r="L1056" s="270" t="s">
        <v>620</v>
      </c>
      <c r="M1056" s="130" t="s">
        <v>42</v>
      </c>
    </row>
    <row r="1057" spans="1:13" s="134" customFormat="1" ht="15" customHeight="1" x14ac:dyDescent="0.25">
      <c r="A1057" s="274">
        <v>92</v>
      </c>
      <c r="B1057" s="274">
        <v>64510</v>
      </c>
      <c r="C1057" s="275" t="s">
        <v>2976</v>
      </c>
      <c r="D1057" s="122" t="s">
        <v>1975</v>
      </c>
      <c r="E1057" s="150" t="s">
        <v>116</v>
      </c>
      <c r="F1057" s="126" t="s">
        <v>400</v>
      </c>
      <c r="G1057" s="271" t="s">
        <v>569</v>
      </c>
      <c r="H1057" s="123">
        <v>41565</v>
      </c>
      <c r="I1057" s="122">
        <v>2</v>
      </c>
      <c r="J1057" s="521">
        <v>5274</v>
      </c>
      <c r="K1057" s="403">
        <v>10548</v>
      </c>
      <c r="L1057" s="270" t="s">
        <v>620</v>
      </c>
      <c r="M1057" s="130" t="s">
        <v>42</v>
      </c>
    </row>
    <row r="1058" spans="1:13" s="134" customFormat="1" ht="15" customHeight="1" x14ac:dyDescent="0.25">
      <c r="A1058" s="274">
        <v>93</v>
      </c>
      <c r="B1058" s="274">
        <v>65097</v>
      </c>
      <c r="C1058" s="275" t="s">
        <v>2977</v>
      </c>
      <c r="D1058" s="122" t="s">
        <v>1990</v>
      </c>
      <c r="E1058" s="150" t="s">
        <v>580</v>
      </c>
      <c r="F1058" s="126" t="s">
        <v>371</v>
      </c>
      <c r="G1058" s="271"/>
      <c r="H1058" s="123">
        <v>41569</v>
      </c>
      <c r="I1058" s="122">
        <v>1</v>
      </c>
      <c r="J1058" s="521">
        <v>25800</v>
      </c>
      <c r="K1058" s="403">
        <v>25800</v>
      </c>
      <c r="L1058" s="270" t="s">
        <v>620</v>
      </c>
      <c r="M1058" s="130" t="s">
        <v>42</v>
      </c>
    </row>
    <row r="1059" spans="1:13" s="134" customFormat="1" ht="15" customHeight="1" x14ac:dyDescent="0.25">
      <c r="A1059" s="274">
        <v>94</v>
      </c>
      <c r="B1059" s="274">
        <v>58731</v>
      </c>
      <c r="C1059" s="275" t="s">
        <v>2978</v>
      </c>
      <c r="D1059" s="122" t="s">
        <v>1998</v>
      </c>
      <c r="E1059" s="150" t="s">
        <v>580</v>
      </c>
      <c r="F1059" s="126" t="s">
        <v>371</v>
      </c>
      <c r="G1059" s="271"/>
      <c r="H1059" s="123">
        <v>41547</v>
      </c>
      <c r="I1059" s="122">
        <v>1</v>
      </c>
      <c r="J1059" s="521">
        <v>25800</v>
      </c>
      <c r="K1059" s="403">
        <v>25800</v>
      </c>
      <c r="L1059" s="270" t="s">
        <v>620</v>
      </c>
      <c r="M1059" s="130" t="s">
        <v>42</v>
      </c>
    </row>
    <row r="1060" spans="1:13" s="134" customFormat="1" ht="15" customHeight="1" x14ac:dyDescent="0.25">
      <c r="A1060" s="274">
        <v>95</v>
      </c>
      <c r="B1060" s="274">
        <v>53971</v>
      </c>
      <c r="C1060" s="275" t="s">
        <v>2979</v>
      </c>
      <c r="D1060" s="122" t="s">
        <v>1988</v>
      </c>
      <c r="E1060" s="150" t="s">
        <v>116</v>
      </c>
      <c r="F1060" s="126">
        <v>18</v>
      </c>
      <c r="G1060" s="271"/>
      <c r="H1060" s="123">
        <v>41521</v>
      </c>
      <c r="I1060" s="122">
        <v>1</v>
      </c>
      <c r="J1060" s="521">
        <v>5274</v>
      </c>
      <c r="K1060" s="403">
        <v>5274</v>
      </c>
      <c r="L1060" s="270" t="s">
        <v>620</v>
      </c>
      <c r="M1060" s="130" t="s">
        <v>42</v>
      </c>
    </row>
    <row r="1061" spans="1:13" s="134" customFormat="1" ht="15" customHeight="1" x14ac:dyDescent="0.25">
      <c r="A1061" s="274">
        <v>96</v>
      </c>
      <c r="B1061" s="274">
        <v>63077</v>
      </c>
      <c r="C1061" s="275" t="s">
        <v>2979</v>
      </c>
      <c r="D1061" s="122" t="s">
        <v>1975</v>
      </c>
      <c r="E1061" s="150" t="s">
        <v>116</v>
      </c>
      <c r="F1061" s="126" t="s">
        <v>434</v>
      </c>
      <c r="G1061" s="271" t="s">
        <v>569</v>
      </c>
      <c r="H1061" s="123">
        <v>41561</v>
      </c>
      <c r="I1061" s="122">
        <v>1</v>
      </c>
      <c r="J1061" s="521">
        <v>5274</v>
      </c>
      <c r="K1061" s="403">
        <v>5274</v>
      </c>
      <c r="L1061" s="270" t="s">
        <v>620</v>
      </c>
      <c r="M1061" s="130" t="s">
        <v>42</v>
      </c>
    </row>
    <row r="1062" spans="1:13" s="134" customFormat="1" ht="15" customHeight="1" x14ac:dyDescent="0.25">
      <c r="A1062" s="274">
        <v>97</v>
      </c>
      <c r="B1062" s="274">
        <v>60867</v>
      </c>
      <c r="C1062" s="275" t="s">
        <v>2980</v>
      </c>
      <c r="D1062" s="122" t="s">
        <v>1990</v>
      </c>
      <c r="E1062" s="150" t="s">
        <v>580</v>
      </c>
      <c r="F1062" s="126" t="s">
        <v>371</v>
      </c>
      <c r="G1062" s="271"/>
      <c r="H1062" s="123">
        <v>41551</v>
      </c>
      <c r="I1062" s="122">
        <v>1</v>
      </c>
      <c r="J1062" s="521">
        <v>25800</v>
      </c>
      <c r="K1062" s="403">
        <v>25800</v>
      </c>
      <c r="L1062" s="270" t="s">
        <v>620</v>
      </c>
      <c r="M1062" s="130" t="s">
        <v>42</v>
      </c>
    </row>
    <row r="1063" spans="1:13" s="134" customFormat="1" ht="15" customHeight="1" x14ac:dyDescent="0.25">
      <c r="A1063" s="274">
        <v>98</v>
      </c>
      <c r="B1063" s="274">
        <v>61237</v>
      </c>
      <c r="C1063" s="275" t="s">
        <v>2981</v>
      </c>
      <c r="D1063" s="122" t="s">
        <v>2925</v>
      </c>
      <c r="E1063" s="150" t="s">
        <v>537</v>
      </c>
      <c r="F1063" s="126" t="s">
        <v>419</v>
      </c>
      <c r="G1063" s="271" t="s">
        <v>554</v>
      </c>
      <c r="H1063" s="123">
        <v>41554</v>
      </c>
      <c r="I1063" s="122">
        <v>1</v>
      </c>
      <c r="J1063" s="521">
        <v>30429</v>
      </c>
      <c r="K1063" s="403">
        <v>30429</v>
      </c>
      <c r="L1063" s="270" t="s">
        <v>620</v>
      </c>
      <c r="M1063" s="130" t="s">
        <v>42</v>
      </c>
    </row>
    <row r="1064" spans="1:13" s="134" customFormat="1" ht="15" customHeight="1" x14ac:dyDescent="0.25">
      <c r="A1064" s="274">
        <v>99</v>
      </c>
      <c r="B1064" s="274">
        <v>65186</v>
      </c>
      <c r="C1064" s="275" t="s">
        <v>2981</v>
      </c>
      <c r="D1064" s="122" t="s">
        <v>1975</v>
      </c>
      <c r="E1064" s="150" t="s">
        <v>537</v>
      </c>
      <c r="F1064" s="126" t="s">
        <v>645</v>
      </c>
      <c r="G1064" s="271" t="s">
        <v>554</v>
      </c>
      <c r="H1064" s="123">
        <v>41568</v>
      </c>
      <c r="I1064" s="122">
        <v>1</v>
      </c>
      <c r="J1064" s="521">
        <v>30429</v>
      </c>
      <c r="K1064" s="403">
        <v>30429</v>
      </c>
      <c r="L1064" s="270" t="s">
        <v>620</v>
      </c>
      <c r="M1064" s="130" t="s">
        <v>42</v>
      </c>
    </row>
    <row r="1065" spans="1:13" s="134" customFormat="1" ht="15" customHeight="1" x14ac:dyDescent="0.25">
      <c r="A1065" s="274">
        <v>100</v>
      </c>
      <c r="B1065" s="274">
        <v>35088</v>
      </c>
      <c r="C1065" s="275" t="s">
        <v>2904</v>
      </c>
      <c r="D1065" s="122" t="s">
        <v>1978</v>
      </c>
      <c r="E1065" s="150" t="s">
        <v>116</v>
      </c>
      <c r="F1065" s="126">
        <v>20</v>
      </c>
      <c r="G1065" s="271" t="s">
        <v>2067</v>
      </c>
      <c r="H1065" s="123">
        <v>41449</v>
      </c>
      <c r="I1065" s="122">
        <v>1</v>
      </c>
      <c r="J1065" s="521">
        <v>5274</v>
      </c>
      <c r="K1065" s="403">
        <v>5274</v>
      </c>
      <c r="L1065" s="270" t="s">
        <v>620</v>
      </c>
      <c r="M1065" s="130" t="s">
        <v>42</v>
      </c>
    </row>
    <row r="1066" spans="1:13" s="134" customFormat="1" ht="15" customHeight="1" x14ac:dyDescent="0.25">
      <c r="A1066" s="274">
        <v>101</v>
      </c>
      <c r="B1066" s="274">
        <v>57027</v>
      </c>
      <c r="C1066" s="275" t="s">
        <v>2982</v>
      </c>
      <c r="D1066" s="122" t="s">
        <v>1988</v>
      </c>
      <c r="E1066" s="150" t="s">
        <v>116</v>
      </c>
      <c r="F1066" s="126" t="s">
        <v>596</v>
      </c>
      <c r="G1066" s="271"/>
      <c r="H1066" s="123">
        <v>41534</v>
      </c>
      <c r="I1066" s="122">
        <v>2</v>
      </c>
      <c r="J1066" s="521">
        <v>5274</v>
      </c>
      <c r="K1066" s="403">
        <v>10548</v>
      </c>
      <c r="L1066" s="270" t="s">
        <v>620</v>
      </c>
      <c r="M1066" s="130" t="s">
        <v>42</v>
      </c>
    </row>
    <row r="1067" spans="1:13" s="134" customFormat="1" ht="15" customHeight="1" x14ac:dyDescent="0.25">
      <c r="A1067" s="274">
        <v>102</v>
      </c>
      <c r="B1067" s="274">
        <v>64689</v>
      </c>
      <c r="C1067" s="275" t="s">
        <v>2983</v>
      </c>
      <c r="D1067" s="122" t="s">
        <v>1981</v>
      </c>
      <c r="E1067" s="150" t="s">
        <v>580</v>
      </c>
      <c r="F1067" s="126" t="s">
        <v>371</v>
      </c>
      <c r="G1067" s="271"/>
      <c r="H1067" s="123">
        <v>41565</v>
      </c>
      <c r="I1067" s="122">
        <v>1</v>
      </c>
      <c r="J1067" s="521">
        <v>25800</v>
      </c>
      <c r="K1067" s="403">
        <v>25800</v>
      </c>
      <c r="L1067" s="270" t="s">
        <v>620</v>
      </c>
      <c r="M1067" s="130" t="s">
        <v>42</v>
      </c>
    </row>
    <row r="1068" spans="1:13" s="134" customFormat="1" ht="15" customHeight="1" x14ac:dyDescent="0.25">
      <c r="A1068" s="274">
        <v>103</v>
      </c>
      <c r="B1068" s="274">
        <v>63004</v>
      </c>
      <c r="C1068" s="275" t="s">
        <v>550</v>
      </c>
      <c r="D1068" s="122" t="s">
        <v>1978</v>
      </c>
      <c r="E1068" s="150" t="s">
        <v>116</v>
      </c>
      <c r="F1068" s="126" t="s">
        <v>1851</v>
      </c>
      <c r="G1068" s="271" t="s">
        <v>554</v>
      </c>
      <c r="H1068" s="123">
        <v>41561</v>
      </c>
      <c r="I1068" s="122">
        <v>2</v>
      </c>
      <c r="J1068" s="521">
        <v>5274</v>
      </c>
      <c r="K1068" s="403">
        <v>10548</v>
      </c>
      <c r="L1068" s="270" t="s">
        <v>620</v>
      </c>
      <c r="M1068" s="130" t="s">
        <v>42</v>
      </c>
    </row>
    <row r="1069" spans="1:13" s="134" customFormat="1" ht="15" customHeight="1" x14ac:dyDescent="0.25">
      <c r="A1069" s="274">
        <v>104</v>
      </c>
      <c r="B1069" s="274">
        <v>59504</v>
      </c>
      <c r="C1069" s="275" t="s">
        <v>2984</v>
      </c>
      <c r="D1069" s="122" t="s">
        <v>2925</v>
      </c>
      <c r="E1069" s="150" t="s">
        <v>188</v>
      </c>
      <c r="F1069" s="126" t="s">
        <v>530</v>
      </c>
      <c r="G1069" s="271" t="s">
        <v>2985</v>
      </c>
      <c r="H1069" s="123">
        <v>41548</v>
      </c>
      <c r="I1069" s="122">
        <v>1</v>
      </c>
      <c r="J1069" s="521">
        <v>42601</v>
      </c>
      <c r="K1069" s="403">
        <v>42601</v>
      </c>
      <c r="L1069" s="270" t="s">
        <v>620</v>
      </c>
      <c r="M1069" s="130" t="s">
        <v>42</v>
      </c>
    </row>
    <row r="1070" spans="1:13" s="134" customFormat="1" ht="15" customHeight="1" x14ac:dyDescent="0.25">
      <c r="A1070" s="274">
        <v>105</v>
      </c>
      <c r="B1070" s="274">
        <v>64031</v>
      </c>
      <c r="C1070" s="275" t="s">
        <v>1995</v>
      </c>
      <c r="D1070" s="122" t="s">
        <v>1988</v>
      </c>
      <c r="E1070" s="150" t="s">
        <v>116</v>
      </c>
      <c r="F1070" s="126" t="s">
        <v>445</v>
      </c>
      <c r="G1070" s="271" t="s">
        <v>569</v>
      </c>
      <c r="H1070" s="123">
        <v>41563</v>
      </c>
      <c r="I1070" s="122">
        <v>1</v>
      </c>
      <c r="J1070" s="521">
        <v>5274</v>
      </c>
      <c r="K1070" s="403">
        <v>5274</v>
      </c>
      <c r="L1070" s="270" t="s">
        <v>620</v>
      </c>
      <c r="M1070" s="130" t="s">
        <v>42</v>
      </c>
    </row>
    <row r="1071" spans="1:13" s="134" customFormat="1" ht="15" customHeight="1" x14ac:dyDescent="0.25">
      <c r="A1071" s="274">
        <v>106</v>
      </c>
      <c r="B1071" s="274">
        <v>61533</v>
      </c>
      <c r="C1071" s="275" t="s">
        <v>2986</v>
      </c>
      <c r="D1071" s="122" t="s">
        <v>1988</v>
      </c>
      <c r="E1071" s="150" t="s">
        <v>537</v>
      </c>
      <c r="F1071" s="126" t="s">
        <v>2941</v>
      </c>
      <c r="G1071" s="271" t="s">
        <v>554</v>
      </c>
      <c r="H1071" s="123">
        <v>41556</v>
      </c>
      <c r="I1071" s="122">
        <v>2</v>
      </c>
      <c r="J1071" s="521">
        <v>30429</v>
      </c>
      <c r="K1071" s="403">
        <v>60858</v>
      </c>
      <c r="L1071" s="270" t="s">
        <v>620</v>
      </c>
      <c r="M1071" s="130" t="s">
        <v>42</v>
      </c>
    </row>
    <row r="1072" spans="1:13" s="134" customFormat="1" ht="15" customHeight="1" x14ac:dyDescent="0.25">
      <c r="A1072" s="274">
        <v>107</v>
      </c>
      <c r="B1072" s="274">
        <v>54834</v>
      </c>
      <c r="C1072" s="275" t="s">
        <v>2987</v>
      </c>
      <c r="D1072" s="122" t="s">
        <v>1978</v>
      </c>
      <c r="E1072" s="150" t="s">
        <v>217</v>
      </c>
      <c r="F1072" s="126" t="s">
        <v>371</v>
      </c>
      <c r="G1072" s="271" t="s">
        <v>2135</v>
      </c>
      <c r="H1072" s="123">
        <v>41523</v>
      </c>
      <c r="I1072" s="122">
        <v>1</v>
      </c>
      <c r="J1072" s="521">
        <v>44597</v>
      </c>
      <c r="K1072" s="403">
        <v>44597</v>
      </c>
      <c r="L1072" s="270" t="s">
        <v>620</v>
      </c>
      <c r="M1072" s="130" t="s">
        <v>42</v>
      </c>
    </row>
    <row r="1073" spans="1:13" s="134" customFormat="1" ht="15" customHeight="1" x14ac:dyDescent="0.25">
      <c r="A1073" s="274">
        <v>108</v>
      </c>
      <c r="B1073" s="274">
        <v>66208</v>
      </c>
      <c r="C1073" s="275" t="s">
        <v>2988</v>
      </c>
      <c r="D1073" s="122" t="s">
        <v>2189</v>
      </c>
      <c r="E1073" s="150" t="s">
        <v>2989</v>
      </c>
      <c r="F1073" s="126" t="s">
        <v>371</v>
      </c>
      <c r="G1073" s="271"/>
      <c r="H1073" s="123">
        <v>41568</v>
      </c>
      <c r="I1073" s="122">
        <v>1</v>
      </c>
      <c r="J1073" s="521">
        <v>18764</v>
      </c>
      <c r="K1073" s="403">
        <v>18764</v>
      </c>
      <c r="L1073" s="270" t="s">
        <v>620</v>
      </c>
      <c r="M1073" s="130" t="s">
        <v>42</v>
      </c>
    </row>
    <row r="1074" spans="1:13" s="134" customFormat="1" ht="15" customHeight="1" x14ac:dyDescent="0.25">
      <c r="A1074" s="274">
        <v>109</v>
      </c>
      <c r="B1074" s="274">
        <v>62127</v>
      </c>
      <c r="C1074" s="275" t="s">
        <v>2990</v>
      </c>
      <c r="D1074" s="122" t="s">
        <v>1981</v>
      </c>
      <c r="E1074" s="150" t="s">
        <v>537</v>
      </c>
      <c r="F1074" s="126" t="s">
        <v>527</v>
      </c>
      <c r="G1074" s="271" t="s">
        <v>2991</v>
      </c>
      <c r="H1074" s="123">
        <v>41556</v>
      </c>
      <c r="I1074" s="122">
        <v>1</v>
      </c>
      <c r="J1074" s="521">
        <v>30429</v>
      </c>
      <c r="K1074" s="403">
        <v>30429</v>
      </c>
      <c r="L1074" s="270" t="s">
        <v>620</v>
      </c>
      <c r="M1074" s="130" t="s">
        <v>42</v>
      </c>
    </row>
    <row r="1075" spans="1:13" s="134" customFormat="1" ht="15" customHeight="1" x14ac:dyDescent="0.25">
      <c r="A1075" s="274">
        <v>110</v>
      </c>
      <c r="B1075" s="274">
        <v>55865</v>
      </c>
      <c r="C1075" s="275" t="s">
        <v>2992</v>
      </c>
      <c r="D1075" s="122" t="s">
        <v>1981</v>
      </c>
      <c r="E1075" s="150" t="s">
        <v>580</v>
      </c>
      <c r="F1075" s="126" t="s">
        <v>371</v>
      </c>
      <c r="G1075" s="271"/>
      <c r="H1075" s="123">
        <v>41528</v>
      </c>
      <c r="I1075" s="122">
        <v>1</v>
      </c>
      <c r="J1075" s="521">
        <v>25800</v>
      </c>
      <c r="K1075" s="403">
        <v>25800</v>
      </c>
      <c r="L1075" s="270" t="s">
        <v>620</v>
      </c>
      <c r="M1075" s="130" t="s">
        <v>42</v>
      </c>
    </row>
    <row r="1076" spans="1:13" s="134" customFormat="1" ht="15" customHeight="1" x14ac:dyDescent="0.25">
      <c r="A1076" s="274">
        <v>111</v>
      </c>
      <c r="B1076" s="274">
        <v>62176</v>
      </c>
      <c r="C1076" s="275" t="s">
        <v>2993</v>
      </c>
      <c r="D1076" s="122" t="s">
        <v>1990</v>
      </c>
      <c r="E1076" s="150" t="s">
        <v>580</v>
      </c>
      <c r="F1076" s="126" t="s">
        <v>371</v>
      </c>
      <c r="G1076" s="271"/>
      <c r="H1076" s="123">
        <v>41557</v>
      </c>
      <c r="I1076" s="122">
        <v>1</v>
      </c>
      <c r="J1076" s="521">
        <v>25800</v>
      </c>
      <c r="K1076" s="403">
        <v>25800</v>
      </c>
      <c r="L1076" s="270" t="s">
        <v>620</v>
      </c>
      <c r="M1076" s="130" t="s">
        <v>42</v>
      </c>
    </row>
    <row r="1077" spans="1:13" s="134" customFormat="1" ht="15" customHeight="1" x14ac:dyDescent="0.25">
      <c r="A1077" s="274">
        <v>112</v>
      </c>
      <c r="B1077" s="274">
        <v>62972</v>
      </c>
      <c r="C1077" s="275" t="s">
        <v>2994</v>
      </c>
      <c r="D1077" s="122" t="s">
        <v>1998</v>
      </c>
      <c r="E1077" s="150" t="s">
        <v>580</v>
      </c>
      <c r="F1077" s="126" t="s">
        <v>371</v>
      </c>
      <c r="G1077" s="271"/>
      <c r="H1077" s="123">
        <v>41561</v>
      </c>
      <c r="I1077" s="122">
        <v>1</v>
      </c>
      <c r="J1077" s="521">
        <v>25800</v>
      </c>
      <c r="K1077" s="403">
        <v>25800</v>
      </c>
      <c r="L1077" s="270" t="s">
        <v>620</v>
      </c>
      <c r="M1077" s="130" t="s">
        <v>42</v>
      </c>
    </row>
    <row r="1078" spans="1:13" s="134" customFormat="1" ht="15" customHeight="1" x14ac:dyDescent="0.25">
      <c r="A1078" s="274">
        <v>113</v>
      </c>
      <c r="B1078" s="274">
        <v>59518</v>
      </c>
      <c r="C1078" s="275" t="s">
        <v>2995</v>
      </c>
      <c r="D1078" s="122" t="s">
        <v>1978</v>
      </c>
      <c r="E1078" s="150" t="s">
        <v>115</v>
      </c>
      <c r="F1078" s="126" t="s">
        <v>417</v>
      </c>
      <c r="G1078" s="271" t="s">
        <v>2075</v>
      </c>
      <c r="H1078" s="123">
        <v>41547</v>
      </c>
      <c r="I1078" s="122">
        <v>1</v>
      </c>
      <c r="J1078" s="521">
        <v>33370</v>
      </c>
      <c r="K1078" s="403">
        <v>33370</v>
      </c>
      <c r="L1078" s="270" t="s">
        <v>620</v>
      </c>
      <c r="M1078" s="130" t="s">
        <v>42</v>
      </c>
    </row>
    <row r="1079" spans="1:13" s="134" customFormat="1" ht="15" customHeight="1" x14ac:dyDescent="0.25">
      <c r="A1079" s="274">
        <v>114</v>
      </c>
      <c r="B1079" s="274">
        <v>66914</v>
      </c>
      <c r="C1079" s="275" t="s">
        <v>2996</v>
      </c>
      <c r="D1079" s="122" t="s">
        <v>1981</v>
      </c>
      <c r="E1079" s="150" t="s">
        <v>580</v>
      </c>
      <c r="F1079" s="126" t="s">
        <v>371</v>
      </c>
      <c r="G1079" s="271"/>
      <c r="H1079" s="123">
        <v>41576</v>
      </c>
      <c r="I1079" s="122">
        <v>1</v>
      </c>
      <c r="J1079" s="521">
        <v>25800</v>
      </c>
      <c r="K1079" s="403">
        <v>25800</v>
      </c>
      <c r="L1079" s="270" t="s">
        <v>620</v>
      </c>
      <c r="M1079" s="130" t="s">
        <v>42</v>
      </c>
    </row>
    <row r="1080" spans="1:13" s="134" customFormat="1" ht="15" customHeight="1" x14ac:dyDescent="0.25">
      <c r="A1080" s="274">
        <v>115</v>
      </c>
      <c r="B1080" s="274">
        <v>65257</v>
      </c>
      <c r="C1080" s="275" t="s">
        <v>2997</v>
      </c>
      <c r="D1080" s="122" t="s">
        <v>1988</v>
      </c>
      <c r="E1080" s="150" t="s">
        <v>115</v>
      </c>
      <c r="F1080" s="126" t="s">
        <v>527</v>
      </c>
      <c r="G1080" s="271" t="s">
        <v>563</v>
      </c>
      <c r="H1080" s="123">
        <v>41569</v>
      </c>
      <c r="I1080" s="122">
        <v>1</v>
      </c>
      <c r="J1080" s="521">
        <v>33370</v>
      </c>
      <c r="K1080" s="403">
        <v>33370</v>
      </c>
      <c r="L1080" s="270" t="s">
        <v>620</v>
      </c>
      <c r="M1080" s="130" t="s">
        <v>42</v>
      </c>
    </row>
    <row r="1081" spans="1:13" s="134" customFormat="1" ht="15" customHeight="1" x14ac:dyDescent="0.25">
      <c r="A1081" s="274">
        <v>116</v>
      </c>
      <c r="B1081" s="274">
        <v>64130</v>
      </c>
      <c r="C1081" s="275" t="s">
        <v>2998</v>
      </c>
      <c r="D1081" s="122" t="s">
        <v>2925</v>
      </c>
      <c r="E1081" s="150" t="s">
        <v>537</v>
      </c>
      <c r="F1081" s="126" t="s">
        <v>645</v>
      </c>
      <c r="G1081" s="271" t="s">
        <v>569</v>
      </c>
      <c r="H1081" s="123">
        <v>41564</v>
      </c>
      <c r="I1081" s="122">
        <v>1</v>
      </c>
      <c r="J1081" s="521">
        <v>30429</v>
      </c>
      <c r="K1081" s="403">
        <v>30429</v>
      </c>
      <c r="L1081" s="270" t="s">
        <v>620</v>
      </c>
      <c r="M1081" s="130" t="s">
        <v>42</v>
      </c>
    </row>
    <row r="1082" spans="1:13" s="134" customFormat="1" ht="15" customHeight="1" x14ac:dyDescent="0.25">
      <c r="A1082" s="282">
        <v>117</v>
      </c>
      <c r="B1082" s="282">
        <v>62932</v>
      </c>
      <c r="C1082" s="283" t="s">
        <v>2999</v>
      </c>
      <c r="D1082" s="122" t="s">
        <v>1998</v>
      </c>
      <c r="E1082" s="150" t="s">
        <v>580</v>
      </c>
      <c r="F1082" s="126" t="s">
        <v>371</v>
      </c>
      <c r="G1082" s="271"/>
      <c r="H1082" s="123">
        <v>41561</v>
      </c>
      <c r="I1082" s="122">
        <v>1</v>
      </c>
      <c r="J1082" s="521">
        <v>25800</v>
      </c>
      <c r="K1082" s="403">
        <v>25800</v>
      </c>
      <c r="L1082" s="270" t="s">
        <v>620</v>
      </c>
      <c r="M1082" s="130" t="s">
        <v>42</v>
      </c>
    </row>
    <row r="1083" spans="1:13" s="145" customFormat="1" ht="15" customHeight="1" x14ac:dyDescent="0.25">
      <c r="A1083" s="233">
        <v>118</v>
      </c>
      <c r="B1083" s="233">
        <v>69197</v>
      </c>
      <c r="C1083" s="234" t="s">
        <v>2912</v>
      </c>
      <c r="D1083" s="135" t="s">
        <v>1988</v>
      </c>
      <c r="E1083" s="172" t="s">
        <v>115</v>
      </c>
      <c r="F1083" s="139" t="s">
        <v>442</v>
      </c>
      <c r="G1083" s="326"/>
      <c r="H1083" s="136">
        <v>41584</v>
      </c>
      <c r="I1083" s="135">
        <v>1</v>
      </c>
      <c r="J1083" s="523">
        <v>33370</v>
      </c>
      <c r="K1083" s="524">
        <v>33370</v>
      </c>
      <c r="L1083" s="226" t="s">
        <v>960</v>
      </c>
      <c r="M1083" s="130" t="s">
        <v>42</v>
      </c>
    </row>
    <row r="1084" spans="1:13" s="145" customFormat="1" ht="15" customHeight="1" x14ac:dyDescent="0.25">
      <c r="A1084" s="233">
        <v>119</v>
      </c>
      <c r="B1084" s="135">
        <v>57078</v>
      </c>
      <c r="C1084" s="137" t="s">
        <v>3000</v>
      </c>
      <c r="D1084" s="135" t="s">
        <v>2949</v>
      </c>
      <c r="E1084" s="172" t="s">
        <v>580</v>
      </c>
      <c r="F1084" s="139" t="s">
        <v>371</v>
      </c>
      <c r="G1084" s="326"/>
      <c r="H1084" s="136">
        <v>41534</v>
      </c>
      <c r="I1084" s="135">
        <v>1</v>
      </c>
      <c r="J1084" s="523">
        <v>25800</v>
      </c>
      <c r="K1084" s="524">
        <v>25800</v>
      </c>
      <c r="L1084" s="226" t="s">
        <v>960</v>
      </c>
      <c r="M1084" s="130" t="s">
        <v>42</v>
      </c>
    </row>
    <row r="1085" spans="1:13" s="145" customFormat="1" ht="15" customHeight="1" x14ac:dyDescent="0.25">
      <c r="A1085" s="233">
        <v>120</v>
      </c>
      <c r="B1085" s="233">
        <v>71636</v>
      </c>
      <c r="C1085" s="234" t="s">
        <v>3001</v>
      </c>
      <c r="D1085" s="135" t="s">
        <v>1978</v>
      </c>
      <c r="E1085" s="172" t="s">
        <v>116</v>
      </c>
      <c r="F1085" s="139" t="s">
        <v>392</v>
      </c>
      <c r="G1085" s="326" t="s">
        <v>489</v>
      </c>
      <c r="H1085" s="136">
        <v>41596</v>
      </c>
      <c r="I1085" s="135">
        <v>1</v>
      </c>
      <c r="J1085" s="523">
        <v>5274</v>
      </c>
      <c r="K1085" s="524">
        <v>5274</v>
      </c>
      <c r="L1085" s="226" t="s">
        <v>960</v>
      </c>
      <c r="M1085" s="130" t="s">
        <v>42</v>
      </c>
    </row>
    <row r="1086" spans="1:13" s="145" customFormat="1" ht="15" customHeight="1" x14ac:dyDescent="0.25">
      <c r="A1086" s="233">
        <v>121</v>
      </c>
      <c r="B1086" s="233">
        <v>71916</v>
      </c>
      <c r="C1086" s="234" t="s">
        <v>2976</v>
      </c>
      <c r="D1086" s="135" t="s">
        <v>1975</v>
      </c>
      <c r="E1086" s="172" t="s">
        <v>192</v>
      </c>
      <c r="F1086" s="139" t="s">
        <v>400</v>
      </c>
      <c r="G1086" s="326" t="s">
        <v>566</v>
      </c>
      <c r="H1086" s="136">
        <v>41596</v>
      </c>
      <c r="I1086" s="135">
        <v>2</v>
      </c>
      <c r="J1086" s="523">
        <v>57960</v>
      </c>
      <c r="K1086" s="524">
        <v>115920</v>
      </c>
      <c r="L1086" s="226" t="s">
        <v>960</v>
      </c>
      <c r="M1086" s="130" t="s">
        <v>42</v>
      </c>
    </row>
    <row r="1087" spans="1:13" s="145" customFormat="1" ht="15" customHeight="1" x14ac:dyDescent="0.25">
      <c r="A1087" s="233">
        <v>122</v>
      </c>
      <c r="B1087" s="233">
        <v>66674</v>
      </c>
      <c r="C1087" s="234" t="s">
        <v>3002</v>
      </c>
      <c r="D1087" s="135" t="s">
        <v>1975</v>
      </c>
      <c r="E1087" s="172" t="s">
        <v>537</v>
      </c>
      <c r="F1087" s="139" t="s">
        <v>873</v>
      </c>
      <c r="G1087" s="326" t="s">
        <v>583</v>
      </c>
      <c r="H1087" s="136">
        <v>41572</v>
      </c>
      <c r="I1087" s="135">
        <v>2</v>
      </c>
      <c r="J1087" s="523">
        <v>30429</v>
      </c>
      <c r="K1087" s="524">
        <v>60858</v>
      </c>
      <c r="L1087" s="226" t="s">
        <v>960</v>
      </c>
      <c r="M1087" s="130" t="s">
        <v>42</v>
      </c>
    </row>
    <row r="1088" spans="1:13" s="145" customFormat="1" ht="15" customHeight="1" x14ac:dyDescent="0.25">
      <c r="A1088" s="233">
        <v>123</v>
      </c>
      <c r="B1088" s="233">
        <v>68544</v>
      </c>
      <c r="C1088" s="234" t="s">
        <v>3003</v>
      </c>
      <c r="D1088" s="135" t="s">
        <v>1975</v>
      </c>
      <c r="E1088" s="172" t="s">
        <v>116</v>
      </c>
      <c r="F1088" s="139" t="s">
        <v>3004</v>
      </c>
      <c r="G1088" s="326" t="s">
        <v>569</v>
      </c>
      <c r="H1088" s="136">
        <v>41583</v>
      </c>
      <c r="I1088" s="135">
        <v>2</v>
      </c>
      <c r="J1088" s="523">
        <v>5274</v>
      </c>
      <c r="K1088" s="524">
        <v>10548</v>
      </c>
      <c r="L1088" s="226" t="s">
        <v>960</v>
      </c>
      <c r="M1088" s="130" t="s">
        <v>42</v>
      </c>
    </row>
    <row r="1089" spans="1:13" s="145" customFormat="1" ht="15" customHeight="1" x14ac:dyDescent="0.25">
      <c r="A1089" s="233">
        <v>124</v>
      </c>
      <c r="B1089" s="233">
        <v>73123</v>
      </c>
      <c r="C1089" s="234" t="s">
        <v>3005</v>
      </c>
      <c r="D1089" s="135" t="s">
        <v>1988</v>
      </c>
      <c r="E1089" s="172" t="s">
        <v>116</v>
      </c>
      <c r="F1089" s="139" t="s">
        <v>3006</v>
      </c>
      <c r="G1089" s="326" t="s">
        <v>569</v>
      </c>
      <c r="H1089" s="136">
        <v>41599</v>
      </c>
      <c r="I1089" s="135">
        <v>2</v>
      </c>
      <c r="J1089" s="523">
        <v>5274</v>
      </c>
      <c r="K1089" s="524">
        <v>10548</v>
      </c>
      <c r="L1089" s="226" t="s">
        <v>960</v>
      </c>
      <c r="M1089" s="130" t="s">
        <v>42</v>
      </c>
    </row>
    <row r="1090" spans="1:13" s="145" customFormat="1" ht="15" customHeight="1" x14ac:dyDescent="0.25">
      <c r="A1090" s="233">
        <v>125</v>
      </c>
      <c r="B1090" s="233">
        <v>61956</v>
      </c>
      <c r="C1090" s="234" t="s">
        <v>2982</v>
      </c>
      <c r="D1090" s="135" t="s">
        <v>1988</v>
      </c>
      <c r="E1090" s="172" t="s">
        <v>537</v>
      </c>
      <c r="F1090" s="139" t="s">
        <v>415</v>
      </c>
      <c r="G1090" s="326" t="s">
        <v>629</v>
      </c>
      <c r="H1090" s="136">
        <v>41557</v>
      </c>
      <c r="I1090" s="135">
        <v>1</v>
      </c>
      <c r="J1090" s="523">
        <v>30429</v>
      </c>
      <c r="K1090" s="524">
        <v>30429</v>
      </c>
      <c r="L1090" s="226" t="s">
        <v>960</v>
      </c>
      <c r="M1090" s="130" t="s">
        <v>42</v>
      </c>
    </row>
    <row r="1091" spans="1:13" s="145" customFormat="1" ht="15" customHeight="1" x14ac:dyDescent="0.25">
      <c r="A1091" s="233">
        <v>126</v>
      </c>
      <c r="B1091" s="233">
        <v>70228</v>
      </c>
      <c r="C1091" s="234" t="s">
        <v>3007</v>
      </c>
      <c r="D1091" s="135" t="s">
        <v>862</v>
      </c>
      <c r="E1091" s="172" t="s">
        <v>580</v>
      </c>
      <c r="F1091" s="139" t="s">
        <v>371</v>
      </c>
      <c r="G1091" s="326"/>
      <c r="H1091" s="136">
        <v>41590</v>
      </c>
      <c r="I1091" s="135">
        <v>1</v>
      </c>
      <c r="J1091" s="523">
        <v>25800</v>
      </c>
      <c r="K1091" s="524">
        <v>25800</v>
      </c>
      <c r="L1091" s="226" t="s">
        <v>960</v>
      </c>
      <c r="M1091" s="130" t="s">
        <v>42</v>
      </c>
    </row>
    <row r="1092" spans="1:13" s="145" customFormat="1" ht="15" customHeight="1" x14ac:dyDescent="0.25">
      <c r="A1092" s="233">
        <v>127</v>
      </c>
      <c r="B1092" s="233">
        <v>70067</v>
      </c>
      <c r="C1092" s="234" t="s">
        <v>3008</v>
      </c>
      <c r="D1092" s="135" t="s">
        <v>1975</v>
      </c>
      <c r="E1092" s="172" t="s">
        <v>192</v>
      </c>
      <c r="F1092" s="139" t="s">
        <v>434</v>
      </c>
      <c r="G1092" s="326" t="s">
        <v>1285</v>
      </c>
      <c r="H1092" s="136">
        <v>41589</v>
      </c>
      <c r="I1092" s="135">
        <v>1</v>
      </c>
      <c r="J1092" s="523">
        <v>57960</v>
      </c>
      <c r="K1092" s="524">
        <v>57960</v>
      </c>
      <c r="L1092" s="226" t="s">
        <v>960</v>
      </c>
      <c r="M1092" s="130" t="s">
        <v>42</v>
      </c>
    </row>
    <row r="1093" spans="1:13" s="145" customFormat="1" ht="15" customHeight="1" x14ac:dyDescent="0.25">
      <c r="A1093" s="233">
        <v>128</v>
      </c>
      <c r="B1093" s="233">
        <v>69352</v>
      </c>
      <c r="C1093" s="234" t="s">
        <v>1995</v>
      </c>
      <c r="D1093" s="135" t="s">
        <v>1988</v>
      </c>
      <c r="E1093" s="172" t="s">
        <v>210</v>
      </c>
      <c r="F1093" s="139" t="s">
        <v>445</v>
      </c>
      <c r="G1093" s="326"/>
      <c r="H1093" s="136">
        <v>41586</v>
      </c>
      <c r="I1093" s="135">
        <v>1</v>
      </c>
      <c r="J1093" s="523">
        <v>14099</v>
      </c>
      <c r="K1093" s="524">
        <v>14099</v>
      </c>
      <c r="L1093" s="226" t="s">
        <v>960</v>
      </c>
      <c r="M1093" s="130" t="s">
        <v>42</v>
      </c>
    </row>
    <row r="1094" spans="1:13" s="145" customFormat="1" ht="15" customHeight="1" x14ac:dyDescent="0.25">
      <c r="A1094" s="233">
        <v>129</v>
      </c>
      <c r="B1094" s="233">
        <v>74407</v>
      </c>
      <c r="C1094" s="234" t="s">
        <v>1995</v>
      </c>
      <c r="D1094" s="135" t="s">
        <v>1988</v>
      </c>
      <c r="E1094" s="172" t="s">
        <v>116</v>
      </c>
      <c r="F1094" s="139" t="s">
        <v>410</v>
      </c>
      <c r="G1094" s="326" t="s">
        <v>569</v>
      </c>
      <c r="H1094" s="136">
        <v>41603</v>
      </c>
      <c r="I1094" s="135">
        <v>1</v>
      </c>
      <c r="J1094" s="523">
        <v>5274</v>
      </c>
      <c r="K1094" s="524">
        <v>5274</v>
      </c>
      <c r="L1094" s="226" t="s">
        <v>960</v>
      </c>
      <c r="M1094" s="130" t="s">
        <v>42</v>
      </c>
    </row>
    <row r="1095" spans="1:13" s="145" customFormat="1" ht="15" customHeight="1" x14ac:dyDescent="0.25">
      <c r="A1095" s="233">
        <v>130</v>
      </c>
      <c r="B1095" s="233">
        <v>71037</v>
      </c>
      <c r="C1095" s="234" t="s">
        <v>3009</v>
      </c>
      <c r="D1095" s="135" t="s">
        <v>1988</v>
      </c>
      <c r="E1095" s="172" t="s">
        <v>537</v>
      </c>
      <c r="F1095" s="139" t="s">
        <v>442</v>
      </c>
      <c r="G1095" s="326" t="s">
        <v>583</v>
      </c>
      <c r="H1095" s="136">
        <v>41591</v>
      </c>
      <c r="I1095" s="135">
        <v>1</v>
      </c>
      <c r="J1095" s="523">
        <v>30429</v>
      </c>
      <c r="K1095" s="524">
        <v>30429</v>
      </c>
      <c r="L1095" s="226" t="s">
        <v>960</v>
      </c>
      <c r="M1095" s="130" t="s">
        <v>42</v>
      </c>
    </row>
    <row r="1096" spans="1:13" s="145" customFormat="1" ht="15" customHeight="1" x14ac:dyDescent="0.25">
      <c r="A1096" s="233">
        <v>131</v>
      </c>
      <c r="B1096" s="233">
        <v>75159</v>
      </c>
      <c r="C1096" s="234" t="s">
        <v>3009</v>
      </c>
      <c r="D1096" s="135" t="s">
        <v>1988</v>
      </c>
      <c r="E1096" s="172" t="s">
        <v>116</v>
      </c>
      <c r="F1096" s="139" t="s">
        <v>445</v>
      </c>
      <c r="G1096" s="326" t="s">
        <v>569</v>
      </c>
      <c r="H1096" s="136">
        <v>41605</v>
      </c>
      <c r="I1096" s="135">
        <v>1</v>
      </c>
      <c r="J1096" s="523">
        <v>5274</v>
      </c>
      <c r="K1096" s="524">
        <v>5274</v>
      </c>
      <c r="L1096" s="226" t="s">
        <v>960</v>
      </c>
      <c r="M1096" s="130" t="s">
        <v>42</v>
      </c>
    </row>
    <row r="1097" spans="1:13" s="145" customFormat="1" ht="15" customHeight="1" x14ac:dyDescent="0.25">
      <c r="A1097" s="233">
        <v>132</v>
      </c>
      <c r="B1097" s="233">
        <v>73204</v>
      </c>
      <c r="C1097" s="234" t="s">
        <v>1404</v>
      </c>
      <c r="D1097" s="135" t="s">
        <v>1988</v>
      </c>
      <c r="E1097" s="172" t="s">
        <v>115</v>
      </c>
      <c r="F1097" s="139" t="s">
        <v>511</v>
      </c>
      <c r="G1097" s="326" t="s">
        <v>3010</v>
      </c>
      <c r="H1097" s="136">
        <v>41598</v>
      </c>
      <c r="I1097" s="135">
        <v>1</v>
      </c>
      <c r="J1097" s="523">
        <v>33370</v>
      </c>
      <c r="K1097" s="524">
        <v>33370</v>
      </c>
      <c r="L1097" s="226" t="s">
        <v>960</v>
      </c>
      <c r="M1097" s="130" t="s">
        <v>42</v>
      </c>
    </row>
    <row r="1098" spans="1:13" s="145" customFormat="1" ht="15" customHeight="1" x14ac:dyDescent="0.25">
      <c r="A1098" s="233">
        <v>133</v>
      </c>
      <c r="B1098" s="233">
        <v>74208</v>
      </c>
      <c r="C1098" s="234" t="s">
        <v>2020</v>
      </c>
      <c r="D1098" s="135" t="s">
        <v>1975</v>
      </c>
      <c r="E1098" s="172" t="s">
        <v>537</v>
      </c>
      <c r="F1098" s="139" t="s">
        <v>392</v>
      </c>
      <c r="G1098" s="326" t="s">
        <v>554</v>
      </c>
      <c r="H1098" s="136">
        <v>41603</v>
      </c>
      <c r="I1098" s="135">
        <v>1</v>
      </c>
      <c r="J1098" s="523">
        <v>30429</v>
      </c>
      <c r="K1098" s="524">
        <v>30429</v>
      </c>
      <c r="L1098" s="226" t="s">
        <v>960</v>
      </c>
      <c r="M1098" s="130" t="s">
        <v>42</v>
      </c>
    </row>
    <row r="1099" spans="1:13" s="145" customFormat="1" ht="15" customHeight="1" x14ac:dyDescent="0.25">
      <c r="A1099" s="233">
        <v>134</v>
      </c>
      <c r="B1099" s="233">
        <v>70144</v>
      </c>
      <c r="C1099" s="234" t="s">
        <v>3011</v>
      </c>
      <c r="D1099" s="135" t="s">
        <v>1975</v>
      </c>
      <c r="E1099" s="172" t="s">
        <v>537</v>
      </c>
      <c r="F1099" s="139" t="s">
        <v>442</v>
      </c>
      <c r="G1099" s="326" t="s">
        <v>569</v>
      </c>
      <c r="H1099" s="136">
        <v>41589</v>
      </c>
      <c r="I1099" s="135">
        <v>1</v>
      </c>
      <c r="J1099" s="523">
        <v>30429</v>
      </c>
      <c r="K1099" s="524">
        <v>30429</v>
      </c>
      <c r="L1099" s="226" t="s">
        <v>960</v>
      </c>
      <c r="M1099" s="130" t="s">
        <v>42</v>
      </c>
    </row>
    <row r="1100" spans="1:13" s="145" customFormat="1" ht="15" customHeight="1" x14ac:dyDescent="0.25">
      <c r="A1100" s="233">
        <v>135</v>
      </c>
      <c r="B1100" s="233">
        <v>76528</v>
      </c>
      <c r="C1100" s="234" t="s">
        <v>3011</v>
      </c>
      <c r="D1100" s="135" t="s">
        <v>1975</v>
      </c>
      <c r="E1100" s="172" t="s">
        <v>115</v>
      </c>
      <c r="F1100" s="139" t="s">
        <v>419</v>
      </c>
      <c r="G1100" s="326" t="s">
        <v>1285</v>
      </c>
      <c r="H1100" s="136">
        <v>41610</v>
      </c>
      <c r="I1100" s="135">
        <v>1</v>
      </c>
      <c r="J1100" s="523">
        <v>33370</v>
      </c>
      <c r="K1100" s="524">
        <v>33370</v>
      </c>
      <c r="L1100" s="226" t="s">
        <v>960</v>
      </c>
      <c r="M1100" s="130" t="s">
        <v>42</v>
      </c>
    </row>
    <row r="1101" spans="1:13" s="145" customFormat="1" ht="15" customHeight="1" x14ac:dyDescent="0.25">
      <c r="A1101" s="233">
        <v>136</v>
      </c>
      <c r="B1101" s="233">
        <v>68225</v>
      </c>
      <c r="C1101" s="234" t="s">
        <v>3012</v>
      </c>
      <c r="D1101" s="135" t="s">
        <v>1975</v>
      </c>
      <c r="E1101" s="172" t="s">
        <v>116</v>
      </c>
      <c r="F1101" s="139" t="s">
        <v>419</v>
      </c>
      <c r="G1101" s="326" t="s">
        <v>569</v>
      </c>
      <c r="H1101" s="136">
        <v>41582</v>
      </c>
      <c r="I1101" s="135">
        <v>1</v>
      </c>
      <c r="J1101" s="523">
        <v>5274</v>
      </c>
      <c r="K1101" s="524">
        <v>5274</v>
      </c>
      <c r="L1101" s="226" t="s">
        <v>960</v>
      </c>
      <c r="M1101" s="130" t="s">
        <v>42</v>
      </c>
    </row>
    <row r="1102" spans="1:13" s="145" customFormat="1" ht="15" customHeight="1" x14ac:dyDescent="0.25">
      <c r="A1102" s="233">
        <v>137</v>
      </c>
      <c r="B1102" s="233">
        <v>71637</v>
      </c>
      <c r="C1102" s="234" t="s">
        <v>3013</v>
      </c>
      <c r="D1102" s="135" t="s">
        <v>1988</v>
      </c>
      <c r="E1102" s="172" t="s">
        <v>580</v>
      </c>
      <c r="F1102" s="139" t="s">
        <v>371</v>
      </c>
      <c r="G1102" s="326"/>
      <c r="H1102" s="136">
        <v>41592</v>
      </c>
      <c r="I1102" s="135">
        <v>1</v>
      </c>
      <c r="J1102" s="523">
        <v>25800</v>
      </c>
      <c r="K1102" s="524">
        <v>25800</v>
      </c>
      <c r="L1102" s="226" t="s">
        <v>960</v>
      </c>
      <c r="M1102" s="130" t="s">
        <v>42</v>
      </c>
    </row>
    <row r="1103" spans="1:13" s="145" customFormat="1" ht="15" customHeight="1" x14ac:dyDescent="0.25">
      <c r="A1103" s="233">
        <v>138</v>
      </c>
      <c r="B1103" s="233">
        <v>53541</v>
      </c>
      <c r="C1103" s="234" t="s">
        <v>3014</v>
      </c>
      <c r="D1103" s="135" t="s">
        <v>2925</v>
      </c>
      <c r="E1103" s="172" t="s">
        <v>116</v>
      </c>
      <c r="F1103" s="139">
        <v>30</v>
      </c>
      <c r="G1103" s="326" t="s">
        <v>554</v>
      </c>
      <c r="H1103" s="136">
        <v>41520</v>
      </c>
      <c r="I1103" s="135">
        <v>1</v>
      </c>
      <c r="J1103" s="523">
        <v>5274</v>
      </c>
      <c r="K1103" s="524">
        <v>5274</v>
      </c>
      <c r="L1103" s="226" t="s">
        <v>960</v>
      </c>
      <c r="M1103" s="130" t="s">
        <v>42</v>
      </c>
    </row>
    <row r="1104" spans="1:13" s="145" customFormat="1" ht="15" customHeight="1" x14ac:dyDescent="0.25">
      <c r="A1104" s="233">
        <v>139</v>
      </c>
      <c r="B1104" s="233">
        <v>60242</v>
      </c>
      <c r="C1104" s="234" t="s">
        <v>3015</v>
      </c>
      <c r="D1104" s="135" t="s">
        <v>2925</v>
      </c>
      <c r="E1104" s="172" t="s">
        <v>116</v>
      </c>
      <c r="F1104" s="139" t="s">
        <v>527</v>
      </c>
      <c r="G1104" s="326" t="s">
        <v>554</v>
      </c>
      <c r="H1104" s="136">
        <v>41551</v>
      </c>
      <c r="I1104" s="135">
        <v>1</v>
      </c>
      <c r="J1104" s="523">
        <v>5274</v>
      </c>
      <c r="K1104" s="524">
        <v>5274</v>
      </c>
      <c r="L1104" s="226" t="s">
        <v>960</v>
      </c>
      <c r="M1104" s="130" t="s">
        <v>42</v>
      </c>
    </row>
    <row r="1105" spans="1:13" s="145" customFormat="1" ht="15" customHeight="1" x14ac:dyDescent="0.25">
      <c r="A1105" s="233">
        <v>140</v>
      </c>
      <c r="B1105" s="233">
        <v>70068</v>
      </c>
      <c r="C1105" s="234" t="s">
        <v>3015</v>
      </c>
      <c r="D1105" s="135" t="s">
        <v>1975</v>
      </c>
      <c r="E1105" s="172" t="s">
        <v>115</v>
      </c>
      <c r="F1105" s="139" t="s">
        <v>527</v>
      </c>
      <c r="G1105" s="326" t="s">
        <v>2136</v>
      </c>
      <c r="H1105" s="136">
        <v>41589</v>
      </c>
      <c r="I1105" s="135">
        <v>1</v>
      </c>
      <c r="J1105" s="523">
        <v>33370</v>
      </c>
      <c r="K1105" s="524">
        <v>33370</v>
      </c>
      <c r="L1105" s="226" t="s">
        <v>960</v>
      </c>
      <c r="M1105" s="130" t="s">
        <v>42</v>
      </c>
    </row>
    <row r="1106" spans="1:13" s="145" customFormat="1" ht="15" customHeight="1" x14ac:dyDescent="0.25">
      <c r="A1106" s="233">
        <v>141</v>
      </c>
      <c r="B1106" s="233">
        <v>68145</v>
      </c>
      <c r="C1106" s="234" t="s">
        <v>3016</v>
      </c>
      <c r="D1106" s="135" t="s">
        <v>1998</v>
      </c>
      <c r="E1106" s="172" t="s">
        <v>580</v>
      </c>
      <c r="F1106" s="139" t="s">
        <v>371</v>
      </c>
      <c r="G1106" s="326"/>
      <c r="H1106" s="136">
        <v>41582</v>
      </c>
      <c r="I1106" s="135">
        <v>1</v>
      </c>
      <c r="J1106" s="523">
        <v>25800</v>
      </c>
      <c r="K1106" s="524">
        <v>25800</v>
      </c>
      <c r="L1106" s="226" t="s">
        <v>960</v>
      </c>
      <c r="M1106" s="130" t="s">
        <v>42</v>
      </c>
    </row>
    <row r="1107" spans="1:13" s="145" customFormat="1" ht="15" customHeight="1" x14ac:dyDescent="0.25">
      <c r="A1107" s="233">
        <v>142</v>
      </c>
      <c r="B1107" s="233">
        <v>65697</v>
      </c>
      <c r="C1107" s="234" t="s">
        <v>3017</v>
      </c>
      <c r="D1107" s="135" t="s">
        <v>1988</v>
      </c>
      <c r="E1107" s="172" t="s">
        <v>116</v>
      </c>
      <c r="F1107" s="139" t="s">
        <v>445</v>
      </c>
      <c r="G1107" s="326" t="s">
        <v>569</v>
      </c>
      <c r="H1107" s="136">
        <v>41570</v>
      </c>
      <c r="I1107" s="135">
        <v>1</v>
      </c>
      <c r="J1107" s="523">
        <v>5274</v>
      </c>
      <c r="K1107" s="524">
        <v>5274</v>
      </c>
      <c r="L1107" s="226" t="s">
        <v>960</v>
      </c>
      <c r="M1107" s="130" t="s">
        <v>42</v>
      </c>
    </row>
    <row r="1108" spans="1:13" s="145" customFormat="1" ht="15" customHeight="1" thickBot="1" x14ac:dyDescent="0.3">
      <c r="A1108" s="512">
        <v>143</v>
      </c>
      <c r="B1108" s="512">
        <v>78817</v>
      </c>
      <c r="C1108" s="513" t="s">
        <v>3018</v>
      </c>
      <c r="D1108" s="387" t="s">
        <v>1978</v>
      </c>
      <c r="E1108" s="389" t="s">
        <v>116</v>
      </c>
      <c r="F1108" s="390" t="s">
        <v>417</v>
      </c>
      <c r="G1108" s="525" t="s">
        <v>489</v>
      </c>
      <c r="H1108" s="392">
        <v>41606</v>
      </c>
      <c r="I1108" s="387">
        <v>1</v>
      </c>
      <c r="J1108" s="526">
        <v>5274</v>
      </c>
      <c r="K1108" s="527">
        <v>5274</v>
      </c>
      <c r="L1108" s="528" t="s">
        <v>960</v>
      </c>
      <c r="M1108" s="130" t="s">
        <v>42</v>
      </c>
    </row>
    <row r="1109" spans="1:13" s="134" customFormat="1" ht="15" customHeight="1" x14ac:dyDescent="0.25">
      <c r="A1109" s="529">
        <v>144</v>
      </c>
      <c r="B1109" s="480">
        <v>71688</v>
      </c>
      <c r="C1109" s="481" t="s">
        <v>3019</v>
      </c>
      <c r="D1109" s="480" t="s">
        <v>1998</v>
      </c>
      <c r="E1109" s="482" t="s">
        <v>580</v>
      </c>
      <c r="F1109" s="483" t="s">
        <v>371</v>
      </c>
      <c r="G1109" s="484"/>
      <c r="H1109" s="485">
        <v>41593</v>
      </c>
      <c r="I1109" s="480">
        <v>1</v>
      </c>
      <c r="J1109" s="530">
        <v>25800</v>
      </c>
      <c r="K1109" s="487">
        <v>25800</v>
      </c>
      <c r="L1109" s="531" t="s">
        <v>623</v>
      </c>
      <c r="M1109" s="130" t="s">
        <v>42</v>
      </c>
    </row>
    <row r="1110" spans="1:13" x14ac:dyDescent="0.25">
      <c r="A1110" s="532">
        <v>145</v>
      </c>
      <c r="B1110" s="274">
        <v>68595</v>
      </c>
      <c r="C1110" s="275" t="s">
        <v>3020</v>
      </c>
      <c r="D1110" s="274" t="s">
        <v>1998</v>
      </c>
      <c r="E1110" s="276" t="s">
        <v>580</v>
      </c>
      <c r="F1110" s="277" t="s">
        <v>371</v>
      </c>
      <c r="G1110" s="278"/>
      <c r="H1110" s="279">
        <v>41583</v>
      </c>
      <c r="I1110" s="274">
        <v>1</v>
      </c>
      <c r="J1110" s="533">
        <v>25800</v>
      </c>
      <c r="K1110" s="358">
        <v>25800</v>
      </c>
      <c r="L1110" s="359" t="s">
        <v>623</v>
      </c>
      <c r="M1110" s="130" t="s">
        <v>42</v>
      </c>
    </row>
    <row r="1111" spans="1:13" s="535" customFormat="1" x14ac:dyDescent="0.25">
      <c r="A1111" s="534">
        <v>147</v>
      </c>
      <c r="B1111" s="274">
        <v>71667</v>
      </c>
      <c r="C1111" s="275" t="s">
        <v>3021</v>
      </c>
      <c r="D1111" s="274" t="s">
        <v>1975</v>
      </c>
      <c r="E1111" s="276" t="s">
        <v>116</v>
      </c>
      <c r="F1111" s="277" t="s">
        <v>530</v>
      </c>
      <c r="G1111" s="278" t="s">
        <v>569</v>
      </c>
      <c r="H1111" s="279">
        <v>41596</v>
      </c>
      <c r="I1111" s="274">
        <v>1</v>
      </c>
      <c r="J1111" s="533">
        <v>5274</v>
      </c>
      <c r="K1111" s="358">
        <v>5274</v>
      </c>
      <c r="L1111" s="359" t="s">
        <v>623</v>
      </c>
      <c r="M1111" s="130" t="s">
        <v>42</v>
      </c>
    </row>
    <row r="1112" spans="1:13" x14ac:dyDescent="0.25">
      <c r="A1112" s="534">
        <v>148</v>
      </c>
      <c r="B1112" s="274">
        <v>72195</v>
      </c>
      <c r="C1112" s="275" t="s">
        <v>3022</v>
      </c>
      <c r="D1112" s="274" t="s">
        <v>1990</v>
      </c>
      <c r="E1112" s="276" t="s">
        <v>580</v>
      </c>
      <c r="F1112" s="277" t="s">
        <v>371</v>
      </c>
      <c r="G1112" s="278"/>
      <c r="H1112" s="279">
        <v>41596</v>
      </c>
      <c r="I1112" s="274">
        <v>1</v>
      </c>
      <c r="J1112" s="533">
        <v>25800</v>
      </c>
      <c r="K1112" s="358">
        <v>25800</v>
      </c>
      <c r="L1112" s="359" t="s">
        <v>623</v>
      </c>
      <c r="M1112" s="130" t="s">
        <v>42</v>
      </c>
    </row>
    <row r="1113" spans="1:13" x14ac:dyDescent="0.25">
      <c r="A1113" s="534">
        <v>149</v>
      </c>
      <c r="B1113" s="274">
        <v>69847</v>
      </c>
      <c r="C1113" s="275" t="s">
        <v>3023</v>
      </c>
      <c r="D1113" s="274" t="s">
        <v>1975</v>
      </c>
      <c r="E1113" s="276" t="s">
        <v>537</v>
      </c>
      <c r="F1113" s="277" t="s">
        <v>472</v>
      </c>
      <c r="G1113" s="278" t="s">
        <v>569</v>
      </c>
      <c r="H1113" s="279">
        <v>41589</v>
      </c>
      <c r="I1113" s="274">
        <v>1</v>
      </c>
      <c r="J1113" s="533">
        <v>30429</v>
      </c>
      <c r="K1113" s="358">
        <v>30429</v>
      </c>
      <c r="L1113" s="359" t="s">
        <v>623</v>
      </c>
      <c r="M1113" s="130" t="s">
        <v>42</v>
      </c>
    </row>
    <row r="1114" spans="1:13" x14ac:dyDescent="0.25">
      <c r="A1114" s="534">
        <v>152</v>
      </c>
      <c r="B1114" s="274">
        <v>73088</v>
      </c>
      <c r="C1114" s="275" t="s">
        <v>3024</v>
      </c>
      <c r="D1114" s="274" t="s">
        <v>2949</v>
      </c>
      <c r="E1114" s="276" t="s">
        <v>580</v>
      </c>
      <c r="F1114" s="277" t="s">
        <v>371</v>
      </c>
      <c r="G1114" s="278"/>
      <c r="H1114" s="279">
        <v>41600</v>
      </c>
      <c r="I1114" s="274">
        <v>1</v>
      </c>
      <c r="J1114" s="533">
        <v>25800</v>
      </c>
      <c r="K1114" s="358">
        <v>25800</v>
      </c>
      <c r="L1114" s="359" t="s">
        <v>623</v>
      </c>
      <c r="M1114" s="130" t="s">
        <v>42</v>
      </c>
    </row>
    <row r="1115" spans="1:13" s="535" customFormat="1" x14ac:dyDescent="0.25">
      <c r="A1115" s="534">
        <v>153</v>
      </c>
      <c r="B1115" s="274">
        <v>68541</v>
      </c>
      <c r="C1115" s="275" t="s">
        <v>2041</v>
      </c>
      <c r="D1115" s="274" t="s">
        <v>1988</v>
      </c>
      <c r="E1115" s="276" t="s">
        <v>116</v>
      </c>
      <c r="F1115" s="277" t="s">
        <v>417</v>
      </c>
      <c r="G1115" s="278" t="s">
        <v>569</v>
      </c>
      <c r="H1115" s="279">
        <v>41583</v>
      </c>
      <c r="I1115" s="274">
        <v>1</v>
      </c>
      <c r="J1115" s="533">
        <v>5274</v>
      </c>
      <c r="K1115" s="358">
        <v>5274</v>
      </c>
      <c r="L1115" s="359" t="s">
        <v>623</v>
      </c>
      <c r="M1115" s="130" t="s">
        <v>42</v>
      </c>
    </row>
    <row r="1116" spans="1:13" s="535" customFormat="1" x14ac:dyDescent="0.25">
      <c r="A1116" s="536">
        <v>154</v>
      </c>
      <c r="B1116" s="274">
        <v>74121</v>
      </c>
      <c r="C1116" s="275" t="s">
        <v>3025</v>
      </c>
      <c r="D1116" s="274" t="s">
        <v>1975</v>
      </c>
      <c r="E1116" s="276" t="s">
        <v>116</v>
      </c>
      <c r="F1116" s="277" t="s">
        <v>594</v>
      </c>
      <c r="G1116" s="278" t="s">
        <v>554</v>
      </c>
      <c r="H1116" s="279">
        <v>41603</v>
      </c>
      <c r="I1116" s="274">
        <v>1</v>
      </c>
      <c r="J1116" s="533">
        <v>5274</v>
      </c>
      <c r="K1116" s="358">
        <v>5274</v>
      </c>
      <c r="L1116" s="359" t="s">
        <v>623</v>
      </c>
      <c r="M1116" s="130" t="s">
        <v>42</v>
      </c>
    </row>
    <row r="1117" spans="1:13" s="134" customFormat="1" ht="15" customHeight="1" x14ac:dyDescent="0.25">
      <c r="A1117" s="534">
        <v>155</v>
      </c>
      <c r="B1117" s="274">
        <v>76783</v>
      </c>
      <c r="C1117" s="275" t="s">
        <v>3026</v>
      </c>
      <c r="D1117" s="274" t="s">
        <v>1975</v>
      </c>
      <c r="E1117" s="276" t="s">
        <v>537</v>
      </c>
      <c r="F1117" s="277" t="s">
        <v>562</v>
      </c>
      <c r="G1117" s="278" t="s">
        <v>554</v>
      </c>
      <c r="H1117" s="279">
        <v>41610</v>
      </c>
      <c r="I1117" s="274">
        <v>1</v>
      </c>
      <c r="J1117" s="533">
        <v>30429</v>
      </c>
      <c r="K1117" s="358">
        <v>30429</v>
      </c>
      <c r="L1117" s="359" t="s">
        <v>623</v>
      </c>
      <c r="M1117" s="130" t="s">
        <v>42</v>
      </c>
    </row>
    <row r="1118" spans="1:13" s="134" customFormat="1" ht="15" customHeight="1" x14ac:dyDescent="0.25">
      <c r="A1118" s="534">
        <v>156</v>
      </c>
      <c r="B1118" s="274">
        <v>76596</v>
      </c>
      <c r="C1118" s="275" t="s">
        <v>3027</v>
      </c>
      <c r="D1118" s="274" t="s">
        <v>1975</v>
      </c>
      <c r="E1118" s="276" t="s">
        <v>537</v>
      </c>
      <c r="F1118" s="277" t="s">
        <v>527</v>
      </c>
      <c r="G1118" s="278" t="s">
        <v>569</v>
      </c>
      <c r="H1118" s="279">
        <v>41610</v>
      </c>
      <c r="I1118" s="274">
        <v>1</v>
      </c>
      <c r="J1118" s="533">
        <v>30429</v>
      </c>
      <c r="K1118" s="358">
        <v>30429</v>
      </c>
      <c r="L1118" s="359" t="s">
        <v>623</v>
      </c>
      <c r="M1118" s="130" t="s">
        <v>42</v>
      </c>
    </row>
    <row r="1119" spans="1:13" s="134" customFormat="1" ht="15" customHeight="1" x14ac:dyDescent="0.25">
      <c r="A1119" s="534">
        <v>157</v>
      </c>
      <c r="B1119" s="274">
        <v>77192</v>
      </c>
      <c r="C1119" s="275" t="s">
        <v>3028</v>
      </c>
      <c r="D1119" s="274" t="s">
        <v>1988</v>
      </c>
      <c r="E1119" s="276" t="s">
        <v>217</v>
      </c>
      <c r="F1119" s="277" t="s">
        <v>369</v>
      </c>
      <c r="G1119" s="278" t="s">
        <v>489</v>
      </c>
      <c r="H1119" s="279">
        <v>41611</v>
      </c>
      <c r="I1119" s="274">
        <v>1</v>
      </c>
      <c r="J1119" s="533">
        <v>44597</v>
      </c>
      <c r="K1119" s="358">
        <v>44597</v>
      </c>
      <c r="L1119" s="359" t="s">
        <v>623</v>
      </c>
      <c r="M1119" s="130" t="s">
        <v>42</v>
      </c>
    </row>
    <row r="1120" spans="1:13" s="134" customFormat="1" ht="15" customHeight="1" x14ac:dyDescent="0.25">
      <c r="A1120" s="534">
        <v>159</v>
      </c>
      <c r="B1120" s="274">
        <v>76743</v>
      </c>
      <c r="C1120" s="275" t="s">
        <v>3029</v>
      </c>
      <c r="D1120" s="274" t="s">
        <v>1975</v>
      </c>
      <c r="E1120" s="276" t="s">
        <v>580</v>
      </c>
      <c r="F1120" s="277" t="s">
        <v>371</v>
      </c>
      <c r="G1120" s="278"/>
      <c r="H1120" s="279">
        <v>41610</v>
      </c>
      <c r="I1120" s="274">
        <v>1</v>
      </c>
      <c r="J1120" s="533">
        <v>25800</v>
      </c>
      <c r="K1120" s="358">
        <v>25800</v>
      </c>
      <c r="L1120" s="359" t="s">
        <v>623</v>
      </c>
      <c r="M1120" s="130" t="s">
        <v>42</v>
      </c>
    </row>
    <row r="1121" spans="1:13" s="134" customFormat="1" ht="14.25" customHeight="1" x14ac:dyDescent="0.25">
      <c r="A1121" s="534">
        <v>160</v>
      </c>
      <c r="B1121" s="274">
        <v>77437</v>
      </c>
      <c r="C1121" s="275" t="s">
        <v>2912</v>
      </c>
      <c r="D1121" s="274" t="s">
        <v>1988</v>
      </c>
      <c r="E1121" s="276" t="s">
        <v>217</v>
      </c>
      <c r="F1121" s="277" t="s">
        <v>371</v>
      </c>
      <c r="G1121" s="278" t="s">
        <v>489</v>
      </c>
      <c r="H1121" s="279">
        <v>41612</v>
      </c>
      <c r="I1121" s="274">
        <v>1</v>
      </c>
      <c r="J1121" s="533">
        <v>44597</v>
      </c>
      <c r="K1121" s="358">
        <v>44597</v>
      </c>
      <c r="L1121" s="359" t="s">
        <v>623</v>
      </c>
      <c r="M1121" s="130" t="s">
        <v>42</v>
      </c>
    </row>
    <row r="1122" spans="1:13" s="134" customFormat="1" ht="15" customHeight="1" x14ac:dyDescent="0.25">
      <c r="A1122" s="534">
        <v>161</v>
      </c>
      <c r="B1122" s="274">
        <v>81075</v>
      </c>
      <c r="C1122" s="275" t="s">
        <v>3030</v>
      </c>
      <c r="D1122" s="274" t="s">
        <v>2949</v>
      </c>
      <c r="E1122" s="276" t="s">
        <v>580</v>
      </c>
      <c r="F1122" s="277" t="s">
        <v>371</v>
      </c>
      <c r="G1122" s="278"/>
      <c r="H1122" s="279">
        <v>41621</v>
      </c>
      <c r="I1122" s="274">
        <v>1</v>
      </c>
      <c r="J1122" s="533">
        <v>25800</v>
      </c>
      <c r="K1122" s="358">
        <v>25800</v>
      </c>
      <c r="L1122" s="359" t="s">
        <v>623</v>
      </c>
      <c r="M1122" s="130" t="s">
        <v>42</v>
      </c>
    </row>
    <row r="1123" spans="1:13" s="185" customFormat="1" ht="15" customHeight="1" x14ac:dyDescent="0.25">
      <c r="A1123" s="534">
        <v>162</v>
      </c>
      <c r="B1123" s="274">
        <v>81041</v>
      </c>
      <c r="C1123" s="275" t="s">
        <v>1974</v>
      </c>
      <c r="D1123" s="274" t="s">
        <v>1975</v>
      </c>
      <c r="E1123" s="276" t="s">
        <v>116</v>
      </c>
      <c r="F1123" s="277" t="s">
        <v>431</v>
      </c>
      <c r="G1123" s="278" t="s">
        <v>554</v>
      </c>
      <c r="H1123" s="279">
        <v>41624</v>
      </c>
      <c r="I1123" s="274">
        <v>1</v>
      </c>
      <c r="J1123" s="533">
        <v>5274</v>
      </c>
      <c r="K1123" s="358">
        <v>5274</v>
      </c>
      <c r="L1123" s="359" t="s">
        <v>623</v>
      </c>
      <c r="M1123" s="130" t="s">
        <v>42</v>
      </c>
    </row>
    <row r="1124" spans="1:13" s="134" customFormat="1" ht="15" customHeight="1" x14ac:dyDescent="0.25">
      <c r="A1124" s="534">
        <v>163</v>
      </c>
      <c r="B1124" s="274">
        <v>81033</v>
      </c>
      <c r="C1124" s="275" t="s">
        <v>2004</v>
      </c>
      <c r="D1124" s="274" t="s">
        <v>1975</v>
      </c>
      <c r="E1124" s="276" t="s">
        <v>116</v>
      </c>
      <c r="F1124" s="277" t="s">
        <v>392</v>
      </c>
      <c r="G1124" s="278" t="s">
        <v>554</v>
      </c>
      <c r="H1124" s="279">
        <v>41624</v>
      </c>
      <c r="I1124" s="274">
        <v>2</v>
      </c>
      <c r="J1124" s="533">
        <v>5274</v>
      </c>
      <c r="K1124" s="358">
        <v>10548</v>
      </c>
      <c r="L1124" s="359" t="s">
        <v>623</v>
      </c>
      <c r="M1124" s="130" t="s">
        <v>42</v>
      </c>
    </row>
    <row r="1125" spans="1:13" s="134" customFormat="1" ht="15" customHeight="1" x14ac:dyDescent="0.25">
      <c r="A1125" s="534">
        <v>165</v>
      </c>
      <c r="B1125" s="274">
        <v>80454</v>
      </c>
      <c r="C1125" s="275" t="s">
        <v>3031</v>
      </c>
      <c r="D1125" s="274" t="s">
        <v>1981</v>
      </c>
      <c r="E1125" s="276" t="s">
        <v>580</v>
      </c>
      <c r="F1125" s="277" t="s">
        <v>371</v>
      </c>
      <c r="G1125" s="278"/>
      <c r="H1125" s="279">
        <v>41621</v>
      </c>
      <c r="I1125" s="274">
        <v>1</v>
      </c>
      <c r="J1125" s="533">
        <v>25800</v>
      </c>
      <c r="K1125" s="358">
        <v>25800</v>
      </c>
      <c r="L1125" s="359" t="s">
        <v>623</v>
      </c>
      <c r="M1125" s="130" t="s">
        <v>42</v>
      </c>
    </row>
    <row r="1126" spans="1:13" s="134" customFormat="1" ht="15" customHeight="1" x14ac:dyDescent="0.25">
      <c r="A1126" s="534">
        <v>166</v>
      </c>
      <c r="B1126" s="274">
        <v>80359</v>
      </c>
      <c r="C1126" s="275" t="s">
        <v>3032</v>
      </c>
      <c r="D1126" s="274" t="s">
        <v>1988</v>
      </c>
      <c r="E1126" s="276" t="s">
        <v>192</v>
      </c>
      <c r="F1126" s="277" t="s">
        <v>392</v>
      </c>
      <c r="G1126" s="278" t="s">
        <v>563</v>
      </c>
      <c r="H1126" s="279">
        <v>41620</v>
      </c>
      <c r="I1126" s="274">
        <v>1</v>
      </c>
      <c r="J1126" s="533">
        <v>57960</v>
      </c>
      <c r="K1126" s="358">
        <v>57960</v>
      </c>
      <c r="L1126" s="359" t="s">
        <v>623</v>
      </c>
      <c r="M1126" s="130" t="s">
        <v>42</v>
      </c>
    </row>
    <row r="1127" spans="1:13" s="134" customFormat="1" ht="15" customHeight="1" x14ac:dyDescent="0.25">
      <c r="A1127" s="534">
        <v>167</v>
      </c>
      <c r="B1127" s="274">
        <v>80025</v>
      </c>
      <c r="C1127" s="275" t="s">
        <v>3033</v>
      </c>
      <c r="D1127" s="274" t="s">
        <v>1990</v>
      </c>
      <c r="E1127" s="276" t="s">
        <v>537</v>
      </c>
      <c r="F1127" s="277" t="s">
        <v>404</v>
      </c>
      <c r="G1127" s="278" t="s">
        <v>560</v>
      </c>
      <c r="H1127" s="279">
        <v>41619</v>
      </c>
      <c r="I1127" s="274">
        <v>1</v>
      </c>
      <c r="J1127" s="533">
        <v>30429</v>
      </c>
      <c r="K1127" s="358">
        <v>30429</v>
      </c>
      <c r="L1127" s="359" t="s">
        <v>623</v>
      </c>
      <c r="M1127" s="130" t="s">
        <v>42</v>
      </c>
    </row>
    <row r="1128" spans="1:13" s="134" customFormat="1" ht="15" customHeight="1" x14ac:dyDescent="0.25">
      <c r="A1128" s="534">
        <v>168</v>
      </c>
      <c r="B1128" s="274">
        <v>79502</v>
      </c>
      <c r="C1128" s="275" t="s">
        <v>3034</v>
      </c>
      <c r="D1128" s="274" t="s">
        <v>1988</v>
      </c>
      <c r="E1128" s="276" t="s">
        <v>217</v>
      </c>
      <c r="F1128" s="277" t="s">
        <v>485</v>
      </c>
      <c r="G1128" s="278" t="s">
        <v>489</v>
      </c>
      <c r="H1128" s="279">
        <v>41618</v>
      </c>
      <c r="I1128" s="274">
        <v>2</v>
      </c>
      <c r="J1128" s="533">
        <v>44597</v>
      </c>
      <c r="K1128" s="358">
        <v>89194</v>
      </c>
      <c r="L1128" s="359" t="s">
        <v>623</v>
      </c>
      <c r="M1128" s="130" t="s">
        <v>42</v>
      </c>
    </row>
    <row r="1129" spans="1:13" s="185" customFormat="1" ht="15" customHeight="1" x14ac:dyDescent="0.25">
      <c r="A1129" s="534">
        <v>169</v>
      </c>
      <c r="B1129" s="274">
        <v>79458</v>
      </c>
      <c r="C1129" s="275" t="s">
        <v>3035</v>
      </c>
      <c r="D1129" s="274" t="s">
        <v>1988</v>
      </c>
      <c r="E1129" s="276" t="s">
        <v>537</v>
      </c>
      <c r="F1129" s="277" t="s">
        <v>415</v>
      </c>
      <c r="G1129" s="278" t="s">
        <v>566</v>
      </c>
      <c r="H1129" s="279">
        <v>41618</v>
      </c>
      <c r="I1129" s="274">
        <v>1</v>
      </c>
      <c r="J1129" s="533">
        <v>30429</v>
      </c>
      <c r="K1129" s="358">
        <v>30429</v>
      </c>
      <c r="L1129" s="359" t="s">
        <v>623</v>
      </c>
      <c r="M1129" s="130" t="s">
        <v>42</v>
      </c>
    </row>
    <row r="1130" spans="1:13" s="134" customFormat="1" ht="15" customHeight="1" x14ac:dyDescent="0.25">
      <c r="A1130" s="534">
        <v>170</v>
      </c>
      <c r="B1130" s="274">
        <v>79220</v>
      </c>
      <c r="C1130" s="275" t="s">
        <v>3036</v>
      </c>
      <c r="D1130" s="274" t="s">
        <v>1981</v>
      </c>
      <c r="E1130" s="276" t="s">
        <v>580</v>
      </c>
      <c r="F1130" s="277" t="s">
        <v>371</v>
      </c>
      <c r="G1130" s="278"/>
      <c r="H1130" s="279">
        <v>41617</v>
      </c>
      <c r="I1130" s="274">
        <v>1</v>
      </c>
      <c r="J1130" s="533">
        <v>25800</v>
      </c>
      <c r="K1130" s="358">
        <v>25800</v>
      </c>
      <c r="L1130" s="359" t="s">
        <v>623</v>
      </c>
      <c r="M1130" s="130" t="s">
        <v>42</v>
      </c>
    </row>
    <row r="1131" spans="1:13" s="134" customFormat="1" ht="15" customHeight="1" x14ac:dyDescent="0.25">
      <c r="A1131" s="534">
        <v>171</v>
      </c>
      <c r="B1131" s="274">
        <v>81746</v>
      </c>
      <c r="C1131" s="275" t="s">
        <v>3037</v>
      </c>
      <c r="D1131" s="274" t="s">
        <v>1975</v>
      </c>
      <c r="E1131" s="276" t="s">
        <v>188</v>
      </c>
      <c r="F1131" s="277" t="s">
        <v>431</v>
      </c>
      <c r="G1131" s="278" t="s">
        <v>597</v>
      </c>
      <c r="H1131" s="279">
        <v>41625</v>
      </c>
      <c r="I1131" s="274">
        <v>1</v>
      </c>
      <c r="J1131" s="533">
        <v>42601</v>
      </c>
      <c r="K1131" s="358">
        <v>42601</v>
      </c>
      <c r="L1131" s="359" t="s">
        <v>623</v>
      </c>
      <c r="M1131" s="130" t="s">
        <v>42</v>
      </c>
    </row>
    <row r="1132" spans="1:13" s="134" customFormat="1" ht="15" customHeight="1" x14ac:dyDescent="0.25">
      <c r="A1132" s="534">
        <v>172</v>
      </c>
      <c r="B1132" s="274">
        <v>81741</v>
      </c>
      <c r="C1132" s="275" t="s">
        <v>3009</v>
      </c>
      <c r="D1132" s="274" t="s">
        <v>1988</v>
      </c>
      <c r="E1132" s="276" t="s">
        <v>210</v>
      </c>
      <c r="F1132" s="277" t="s">
        <v>445</v>
      </c>
      <c r="G1132" s="278" t="s">
        <v>569</v>
      </c>
      <c r="H1132" s="279">
        <v>41625</v>
      </c>
      <c r="I1132" s="274">
        <v>1</v>
      </c>
      <c r="J1132" s="533">
        <v>14099</v>
      </c>
      <c r="K1132" s="358">
        <v>14099</v>
      </c>
      <c r="L1132" s="359" t="s">
        <v>623</v>
      </c>
      <c r="M1132" s="130" t="s">
        <v>42</v>
      </c>
    </row>
    <row r="1133" spans="1:13" s="134" customFormat="1" ht="15" customHeight="1" x14ac:dyDescent="0.25">
      <c r="A1133" s="534">
        <v>173</v>
      </c>
      <c r="B1133" s="274">
        <v>81496</v>
      </c>
      <c r="C1133" s="275" t="s">
        <v>3038</v>
      </c>
      <c r="D1133" s="274" t="s">
        <v>1975</v>
      </c>
      <c r="E1133" s="276" t="s">
        <v>197</v>
      </c>
      <c r="F1133" s="277" t="s">
        <v>812</v>
      </c>
      <c r="G1133" s="278"/>
      <c r="H1133" s="279">
        <v>41625</v>
      </c>
      <c r="I1133" s="274">
        <v>3</v>
      </c>
      <c r="J1133" s="533">
        <v>2739</v>
      </c>
      <c r="K1133" s="358">
        <v>8217</v>
      </c>
      <c r="L1133" s="359" t="s">
        <v>623</v>
      </c>
      <c r="M1133" s="130" t="s">
        <v>42</v>
      </c>
    </row>
    <row r="1134" spans="1:13" s="134" customFormat="1" ht="15" customHeight="1" x14ac:dyDescent="0.25">
      <c r="A1134" s="534">
        <v>174</v>
      </c>
      <c r="B1134" s="274">
        <v>81253</v>
      </c>
      <c r="C1134" s="275" t="s">
        <v>2958</v>
      </c>
      <c r="D1134" s="274" t="s">
        <v>1975</v>
      </c>
      <c r="E1134" s="276" t="s">
        <v>116</v>
      </c>
      <c r="F1134" s="277" t="s">
        <v>431</v>
      </c>
      <c r="G1134" s="278" t="s">
        <v>569</v>
      </c>
      <c r="H1134" s="279">
        <v>41624</v>
      </c>
      <c r="I1134" s="274">
        <v>1</v>
      </c>
      <c r="J1134" s="533">
        <v>5274</v>
      </c>
      <c r="K1134" s="358">
        <v>5274</v>
      </c>
      <c r="L1134" s="359" t="s">
        <v>623</v>
      </c>
      <c r="M1134" s="130" t="s">
        <v>42</v>
      </c>
    </row>
    <row r="1135" spans="1:13" s="134" customFormat="1" ht="15" customHeight="1" x14ac:dyDescent="0.25">
      <c r="A1135" s="534">
        <v>176</v>
      </c>
      <c r="B1135" s="274">
        <v>81268</v>
      </c>
      <c r="C1135" s="275" t="s">
        <v>3039</v>
      </c>
      <c r="D1135" s="274" t="s">
        <v>1998</v>
      </c>
      <c r="E1135" s="276" t="s">
        <v>580</v>
      </c>
      <c r="F1135" s="277" t="s">
        <v>371</v>
      </c>
      <c r="G1135" s="278"/>
      <c r="H1135" s="279">
        <v>41624</v>
      </c>
      <c r="I1135" s="274">
        <v>1</v>
      </c>
      <c r="J1135" s="533">
        <v>25800</v>
      </c>
      <c r="K1135" s="358">
        <v>25800</v>
      </c>
      <c r="L1135" s="359" t="s">
        <v>623</v>
      </c>
      <c r="M1135" s="130" t="s">
        <v>42</v>
      </c>
    </row>
    <row r="1136" spans="1:13" s="134" customFormat="1" ht="15" customHeight="1" x14ac:dyDescent="0.25">
      <c r="A1136" s="534">
        <v>177</v>
      </c>
      <c r="B1136" s="274">
        <v>83779</v>
      </c>
      <c r="C1136" s="275" t="s">
        <v>3018</v>
      </c>
      <c r="D1136" s="274" t="s">
        <v>1990</v>
      </c>
      <c r="E1136" s="276" t="s">
        <v>537</v>
      </c>
      <c r="F1136" s="277" t="s">
        <v>562</v>
      </c>
      <c r="G1136" s="278" t="s">
        <v>1285</v>
      </c>
      <c r="H1136" s="279">
        <v>41631</v>
      </c>
      <c r="I1136" s="274">
        <v>1</v>
      </c>
      <c r="J1136" s="533">
        <v>30429</v>
      </c>
      <c r="K1136" s="358">
        <v>30429</v>
      </c>
      <c r="L1136" s="359" t="s">
        <v>623</v>
      </c>
      <c r="M1136" s="130" t="s">
        <v>42</v>
      </c>
    </row>
    <row r="1137" spans="1:13" s="134" customFormat="1" ht="15" customHeight="1" x14ac:dyDescent="0.25">
      <c r="A1137" s="534">
        <v>181</v>
      </c>
      <c r="B1137" s="274">
        <v>84000</v>
      </c>
      <c r="C1137" s="275" t="s">
        <v>3040</v>
      </c>
      <c r="D1137" s="274" t="s">
        <v>1988</v>
      </c>
      <c r="E1137" s="276" t="s">
        <v>537</v>
      </c>
      <c r="F1137" s="277" t="s">
        <v>645</v>
      </c>
      <c r="G1137" s="278" t="s">
        <v>560</v>
      </c>
      <c r="H1137" s="279">
        <v>41635</v>
      </c>
      <c r="I1137" s="274">
        <v>1</v>
      </c>
      <c r="J1137" s="533">
        <v>30429</v>
      </c>
      <c r="K1137" s="358">
        <v>30429</v>
      </c>
      <c r="L1137" s="359" t="s">
        <v>623</v>
      </c>
      <c r="M1137" s="130" t="s">
        <v>42</v>
      </c>
    </row>
    <row r="1138" spans="1:13" s="134" customFormat="1" ht="15" customHeight="1" x14ac:dyDescent="0.25">
      <c r="A1138" s="534">
        <v>182</v>
      </c>
      <c r="B1138" s="274">
        <v>84605</v>
      </c>
      <c r="C1138" s="275" t="s">
        <v>3041</v>
      </c>
      <c r="D1138" s="274" t="s">
        <v>1978</v>
      </c>
      <c r="E1138" s="276" t="s">
        <v>192</v>
      </c>
      <c r="F1138" s="277" t="s">
        <v>1642</v>
      </c>
      <c r="G1138" s="278" t="s">
        <v>563</v>
      </c>
      <c r="H1138" s="279">
        <v>41634</v>
      </c>
      <c r="I1138" s="274">
        <v>4</v>
      </c>
      <c r="J1138" s="533">
        <v>57960</v>
      </c>
      <c r="K1138" s="358">
        <v>231840</v>
      </c>
      <c r="L1138" s="359" t="s">
        <v>623</v>
      </c>
      <c r="M1138" s="130" t="s">
        <v>42</v>
      </c>
    </row>
    <row r="1139" spans="1:13" s="134" customFormat="1" ht="15" customHeight="1" x14ac:dyDescent="0.25">
      <c r="A1139" s="534">
        <v>183</v>
      </c>
      <c r="B1139" s="274">
        <v>85018</v>
      </c>
      <c r="C1139" s="275" t="s">
        <v>2920</v>
      </c>
      <c r="D1139" s="274" t="s">
        <v>1988</v>
      </c>
      <c r="E1139" s="276" t="s">
        <v>580</v>
      </c>
      <c r="F1139" s="277" t="s">
        <v>371</v>
      </c>
      <c r="G1139" s="278" t="s">
        <v>563</v>
      </c>
      <c r="H1139" s="279">
        <v>41635</v>
      </c>
      <c r="I1139" s="274">
        <v>1</v>
      </c>
      <c r="J1139" s="533">
        <v>25800</v>
      </c>
      <c r="K1139" s="358">
        <v>25800</v>
      </c>
      <c r="L1139" s="359" t="s">
        <v>623</v>
      </c>
      <c r="M1139" s="130" t="s">
        <v>42</v>
      </c>
    </row>
    <row r="1140" spans="1:13" s="134" customFormat="1" ht="15" customHeight="1" thickBot="1" x14ac:dyDescent="0.3">
      <c r="A1140" s="537">
        <v>178</v>
      </c>
      <c r="B1140" s="291">
        <v>83585</v>
      </c>
      <c r="C1140" s="292" t="s">
        <v>2042</v>
      </c>
      <c r="D1140" s="291" t="s">
        <v>1978</v>
      </c>
      <c r="E1140" s="293" t="s">
        <v>116</v>
      </c>
      <c r="F1140" s="294" t="s">
        <v>1023</v>
      </c>
      <c r="G1140" s="295" t="s">
        <v>489</v>
      </c>
      <c r="H1140" s="296">
        <v>41632</v>
      </c>
      <c r="I1140" s="291">
        <v>3</v>
      </c>
      <c r="J1140" s="538">
        <v>5274</v>
      </c>
      <c r="K1140" s="539">
        <v>15822</v>
      </c>
      <c r="L1140" s="540" t="s">
        <v>623</v>
      </c>
      <c r="M1140" s="130" t="s">
        <v>42</v>
      </c>
    </row>
    <row r="1141" spans="1:13" x14ac:dyDescent="0.25">
      <c r="A1141" s="303"/>
      <c r="B1141" s="304"/>
      <c r="C1141" s="305"/>
      <c r="D1141" s="304"/>
      <c r="E1141" s="304"/>
      <c r="F1141" s="308"/>
      <c r="G1141" s="308"/>
      <c r="I1141" s="304"/>
      <c r="L1141" s="217"/>
    </row>
    <row r="1142" spans="1:13" x14ac:dyDescent="0.25">
      <c r="A1142" s="303"/>
      <c r="B1142" s="304"/>
      <c r="C1142" s="305"/>
      <c r="D1142" s="304"/>
      <c r="E1142" s="306" t="s">
        <v>2300</v>
      </c>
      <c r="F1142" s="307">
        <v>3624379</v>
      </c>
      <c r="G1142" s="308"/>
      <c r="I1142" s="304"/>
      <c r="J1142" s="360" t="s">
        <v>2060</v>
      </c>
      <c r="K1142" s="309">
        <v>4581906</v>
      </c>
      <c r="L1142" s="310"/>
      <c r="M1142" s="311" t="s">
        <v>2301</v>
      </c>
    </row>
    <row r="1143" spans="1:13" x14ac:dyDescent="0.25">
      <c r="A1143" s="303"/>
      <c r="B1143" s="304"/>
      <c r="C1143" s="305"/>
      <c r="D1143" s="304"/>
      <c r="E1143" s="306" t="s">
        <v>2302</v>
      </c>
      <c r="F1143" s="312">
        <v>472981.4595</v>
      </c>
      <c r="G1143" s="308"/>
      <c r="I1143" s="304"/>
      <c r="J1143" s="361" t="s">
        <v>2303</v>
      </c>
      <c r="K1143" s="313">
        <v>1056848</v>
      </c>
      <c r="L1143" s="314"/>
      <c r="M1143" s="315"/>
    </row>
    <row r="1144" spans="1:13" x14ac:dyDescent="0.25">
      <c r="L1144" s="217"/>
    </row>
    <row r="1145" spans="1:13" ht="19.5" x14ac:dyDescent="0.25">
      <c r="A1145" s="653" t="s">
        <v>1015</v>
      </c>
      <c r="B1145" s="653"/>
      <c r="C1145" s="653"/>
      <c r="D1145" s="653"/>
      <c r="E1145" s="653"/>
      <c r="F1145" s="653"/>
      <c r="G1145" s="653"/>
      <c r="H1145" s="653"/>
      <c r="I1145" s="653"/>
      <c r="J1145" s="653"/>
      <c r="K1145" s="653"/>
      <c r="L1145" s="541"/>
    </row>
    <row r="1146" spans="1:13" x14ac:dyDescent="0.25">
      <c r="A1146" s="220"/>
      <c r="B1146" s="220"/>
      <c r="C1146" s="220"/>
      <c r="D1146" s="220"/>
      <c r="E1146" s="220"/>
      <c r="F1146" s="220"/>
      <c r="G1146" s="220"/>
      <c r="H1146" s="220"/>
      <c r="I1146" s="220"/>
      <c r="J1146" s="220"/>
    </row>
    <row r="1147" spans="1:13" x14ac:dyDescent="0.25">
      <c r="A1147" s="542" t="s">
        <v>2051</v>
      </c>
      <c r="B1147" s="542" t="s">
        <v>2780</v>
      </c>
      <c r="C1147" s="542" t="s">
        <v>2052</v>
      </c>
      <c r="D1147" s="542" t="s">
        <v>2053</v>
      </c>
      <c r="E1147" s="542" t="s">
        <v>2054</v>
      </c>
      <c r="F1147" s="542" t="s">
        <v>2055</v>
      </c>
      <c r="G1147" s="542" t="s">
        <v>2056</v>
      </c>
      <c r="H1147" s="543" t="s">
        <v>2057</v>
      </c>
      <c r="I1147" s="542" t="s">
        <v>2058</v>
      </c>
      <c r="J1147" s="542"/>
      <c r="K1147" s="542" t="s">
        <v>3042</v>
      </c>
      <c r="L1147" s="542" t="s">
        <v>0</v>
      </c>
      <c r="M1147" s="542" t="s">
        <v>2305</v>
      </c>
    </row>
    <row r="1148" spans="1:13" x14ac:dyDescent="0.25">
      <c r="A1148" s="135">
        <v>1</v>
      </c>
      <c r="B1148" s="135">
        <v>35766</v>
      </c>
      <c r="C1148" s="137" t="s">
        <v>3043</v>
      </c>
      <c r="D1148" s="135" t="s">
        <v>491</v>
      </c>
      <c r="E1148" s="137" t="s">
        <v>116</v>
      </c>
      <c r="F1148" s="139" t="s">
        <v>592</v>
      </c>
      <c r="G1148" s="544" t="s">
        <v>2067</v>
      </c>
      <c r="H1148" s="136">
        <v>41446</v>
      </c>
      <c r="I1148" s="135">
        <v>2</v>
      </c>
      <c r="J1148" s="135"/>
      <c r="K1148" s="545">
        <v>0</v>
      </c>
      <c r="L1148" s="546" t="s">
        <v>36</v>
      </c>
      <c r="M1148" s="156"/>
    </row>
    <row r="1149" spans="1:13" x14ac:dyDescent="0.25">
      <c r="A1149" s="135">
        <v>2</v>
      </c>
      <c r="B1149" s="135">
        <v>35977</v>
      </c>
      <c r="C1149" s="137" t="s">
        <v>3044</v>
      </c>
      <c r="D1149" s="135" t="s">
        <v>491</v>
      </c>
      <c r="E1149" s="137" t="s">
        <v>116</v>
      </c>
      <c r="F1149" s="139" t="s">
        <v>3045</v>
      </c>
      <c r="G1149" s="544" t="s">
        <v>2067</v>
      </c>
      <c r="H1149" s="136">
        <v>41446</v>
      </c>
      <c r="I1149" s="135">
        <v>3</v>
      </c>
      <c r="J1149" s="135"/>
      <c r="K1149" s="545">
        <v>0</v>
      </c>
      <c r="L1149" s="546" t="s">
        <v>36</v>
      </c>
      <c r="M1149" s="156"/>
    </row>
    <row r="1150" spans="1:13" x14ac:dyDescent="0.25">
      <c r="A1150" s="135">
        <v>3</v>
      </c>
      <c r="B1150" s="135">
        <v>38559</v>
      </c>
      <c r="C1150" s="137" t="s">
        <v>3044</v>
      </c>
      <c r="D1150" s="135" t="s">
        <v>491</v>
      </c>
      <c r="E1150" s="137" t="s">
        <v>116</v>
      </c>
      <c r="F1150" s="139" t="s">
        <v>472</v>
      </c>
      <c r="G1150" s="544" t="s">
        <v>2067</v>
      </c>
      <c r="H1150" s="136">
        <v>41459</v>
      </c>
      <c r="I1150" s="135">
        <v>3</v>
      </c>
      <c r="J1150" s="135"/>
      <c r="K1150" s="545">
        <v>0</v>
      </c>
      <c r="L1150" s="546" t="s">
        <v>36</v>
      </c>
      <c r="M1150" s="156"/>
    </row>
    <row r="1151" spans="1:13" x14ac:dyDescent="0.25">
      <c r="A1151" s="135">
        <v>4</v>
      </c>
      <c r="B1151" s="135">
        <v>39322</v>
      </c>
      <c r="C1151" s="137" t="s">
        <v>3046</v>
      </c>
      <c r="D1151" s="135" t="s">
        <v>491</v>
      </c>
      <c r="E1151" s="137" t="s">
        <v>116</v>
      </c>
      <c r="F1151" s="139" t="s">
        <v>3047</v>
      </c>
      <c r="G1151" s="544" t="s">
        <v>2067</v>
      </c>
      <c r="H1151" s="136">
        <v>41460</v>
      </c>
      <c r="I1151" s="135">
        <v>16</v>
      </c>
      <c r="J1151" s="135"/>
      <c r="K1151" s="545">
        <v>0</v>
      </c>
      <c r="L1151" s="546" t="s">
        <v>36</v>
      </c>
      <c r="M1151" s="156"/>
    </row>
    <row r="1152" spans="1:13" s="145" customFormat="1" ht="15" customHeight="1" x14ac:dyDescent="0.25">
      <c r="A1152" s="233">
        <v>1</v>
      </c>
      <c r="B1152" s="233">
        <v>46082</v>
      </c>
      <c r="C1152" s="234" t="s">
        <v>2182</v>
      </c>
      <c r="D1152" s="233" t="s">
        <v>1978</v>
      </c>
      <c r="E1152" s="235" t="s">
        <v>116</v>
      </c>
      <c r="F1152" s="233">
        <v>13</v>
      </c>
      <c r="G1152" s="356" t="s">
        <v>2067</v>
      </c>
      <c r="H1152" s="238">
        <v>41492</v>
      </c>
      <c r="I1152" s="233">
        <v>1</v>
      </c>
      <c r="J1152" s="547">
        <v>5274</v>
      </c>
      <c r="K1152" s="355" t="s">
        <v>1570</v>
      </c>
      <c r="L1152" s="546" t="s">
        <v>42</v>
      </c>
      <c r="M1152" s="548"/>
    </row>
    <row r="1153" spans="1:28" s="145" customFormat="1" ht="15" customHeight="1" x14ac:dyDescent="0.25">
      <c r="A1153" s="233">
        <v>2</v>
      </c>
      <c r="B1153" s="233">
        <v>61054</v>
      </c>
      <c r="C1153" s="234" t="s">
        <v>3048</v>
      </c>
      <c r="D1153" s="233" t="s">
        <v>1984</v>
      </c>
      <c r="E1153" s="235" t="s">
        <v>580</v>
      </c>
      <c r="F1153" s="236" t="s">
        <v>371</v>
      </c>
      <c r="G1153" s="356"/>
      <c r="H1153" s="238">
        <v>41554</v>
      </c>
      <c r="I1153" s="233">
        <v>1</v>
      </c>
      <c r="J1153" s="547">
        <v>25800</v>
      </c>
      <c r="K1153" s="355" t="s">
        <v>1570</v>
      </c>
      <c r="L1153" s="546" t="s">
        <v>42</v>
      </c>
      <c r="M1153" s="548"/>
    </row>
    <row r="1154" spans="1:28" x14ac:dyDescent="0.25">
      <c r="A1154" s="549">
        <v>1</v>
      </c>
      <c r="B1154" s="549">
        <v>79619</v>
      </c>
      <c r="C1154" s="550" t="s">
        <v>1415</v>
      </c>
      <c r="D1154" s="549" t="s">
        <v>491</v>
      </c>
      <c r="E1154" s="550" t="s">
        <v>116</v>
      </c>
      <c r="F1154" s="551">
        <v>41618</v>
      </c>
      <c r="G1154" s="552" t="s">
        <v>442</v>
      </c>
      <c r="H1154" s="553" t="s">
        <v>718</v>
      </c>
      <c r="I1154" s="554">
        <v>1</v>
      </c>
      <c r="J1154" s="555">
        <v>5274</v>
      </c>
      <c r="K1154" s="555" t="s">
        <v>1018</v>
      </c>
      <c r="L1154" s="556" t="s">
        <v>36</v>
      </c>
      <c r="M1154" s="156"/>
    </row>
    <row r="1155" spans="1:28" x14ac:dyDescent="0.25">
      <c r="A1155" s="549">
        <v>2</v>
      </c>
      <c r="B1155" s="549">
        <v>79617</v>
      </c>
      <c r="C1155" s="550" t="s">
        <v>2047</v>
      </c>
      <c r="D1155" s="549" t="s">
        <v>491</v>
      </c>
      <c r="E1155" s="550" t="s">
        <v>116</v>
      </c>
      <c r="F1155" s="551">
        <v>41618</v>
      </c>
      <c r="G1155" s="552" t="s">
        <v>442</v>
      </c>
      <c r="H1155" s="553" t="s">
        <v>489</v>
      </c>
      <c r="I1155" s="554">
        <v>1</v>
      </c>
      <c r="J1155" s="555">
        <v>5274</v>
      </c>
      <c r="K1155" s="555" t="s">
        <v>1018</v>
      </c>
      <c r="L1155" s="556" t="s">
        <v>36</v>
      </c>
      <c r="M1155" s="156"/>
    </row>
    <row r="1156" spans="1:28" s="185" customFormat="1" ht="15" customHeight="1" outlineLevel="1" x14ac:dyDescent="0.25">
      <c r="A1156" s="557">
        <v>1</v>
      </c>
      <c r="B1156" s="557">
        <v>80315</v>
      </c>
      <c r="C1156" s="165" t="s">
        <v>2329</v>
      </c>
      <c r="D1156" s="557" t="s">
        <v>1014</v>
      </c>
      <c r="E1156" s="165" t="s">
        <v>192</v>
      </c>
      <c r="F1156" s="558">
        <v>41621</v>
      </c>
      <c r="G1156" s="559" t="s">
        <v>2330</v>
      </c>
      <c r="H1156" s="560" t="s">
        <v>1017</v>
      </c>
      <c r="I1156" s="561">
        <v>12</v>
      </c>
      <c r="J1156" s="210">
        <v>57960</v>
      </c>
      <c r="K1156" s="210" t="s">
        <v>1018</v>
      </c>
      <c r="L1156" s="562" t="s">
        <v>34</v>
      </c>
      <c r="M1156" s="563"/>
    </row>
    <row r="1157" spans="1:28" s="185" customFormat="1" ht="15" customHeight="1" outlineLevel="1" x14ac:dyDescent="0.25">
      <c r="A1157" s="557">
        <v>4</v>
      </c>
      <c r="B1157" s="557">
        <v>91302</v>
      </c>
      <c r="C1157" s="165" t="s">
        <v>495</v>
      </c>
      <c r="D1157" s="557" t="s">
        <v>491</v>
      </c>
      <c r="E1157" s="165" t="s">
        <v>192</v>
      </c>
      <c r="F1157" s="558">
        <v>41663</v>
      </c>
      <c r="G1157" s="559" t="s">
        <v>410</v>
      </c>
      <c r="H1157" s="560" t="s">
        <v>1017</v>
      </c>
      <c r="I1157" s="561">
        <v>1</v>
      </c>
      <c r="J1157" s="210">
        <v>57960</v>
      </c>
      <c r="K1157" s="210" t="s">
        <v>1018</v>
      </c>
      <c r="L1157" s="562" t="s">
        <v>34</v>
      </c>
      <c r="M1157" s="563"/>
    </row>
    <row r="1158" spans="1:28" s="404" customFormat="1" ht="15" customHeight="1" outlineLevel="1" x14ac:dyDescent="0.2">
      <c r="A1158" s="564">
        <v>1</v>
      </c>
      <c r="B1158" s="564">
        <v>72173</v>
      </c>
      <c r="C1158" s="565" t="s">
        <v>3049</v>
      </c>
      <c r="D1158" s="564" t="s">
        <v>1014</v>
      </c>
      <c r="E1158" s="565" t="s">
        <v>188</v>
      </c>
      <c r="F1158" s="558">
        <v>41596</v>
      </c>
      <c r="G1158" s="559" t="s">
        <v>3050</v>
      </c>
      <c r="H1158" s="560"/>
      <c r="I1158" s="561">
        <v>3</v>
      </c>
      <c r="J1158" s="566">
        <v>42601</v>
      </c>
      <c r="K1158" s="210" t="s">
        <v>1018</v>
      </c>
      <c r="L1158" s="567" t="s">
        <v>34</v>
      </c>
      <c r="M1158" s="568"/>
      <c r="N1158" s="569"/>
      <c r="O1158" s="570"/>
      <c r="P1158" s="570"/>
      <c r="Q1158" s="570"/>
      <c r="R1158" s="570"/>
      <c r="S1158" s="570"/>
      <c r="T1158" s="570"/>
      <c r="U1158" s="570"/>
      <c r="V1158" s="570"/>
      <c r="W1158" s="570"/>
      <c r="X1158" s="570"/>
      <c r="Y1158" s="570"/>
      <c r="Z1158" s="570"/>
      <c r="AA1158" s="570"/>
      <c r="AB1158" s="570"/>
    </row>
    <row r="1159" spans="1:28" s="404" customFormat="1" ht="15" customHeight="1" outlineLevel="1" x14ac:dyDescent="0.2">
      <c r="A1159" s="564">
        <v>2</v>
      </c>
      <c r="B1159" s="564">
        <v>72173</v>
      </c>
      <c r="C1159" s="565" t="s">
        <v>3049</v>
      </c>
      <c r="D1159" s="564" t="s">
        <v>1014</v>
      </c>
      <c r="E1159" s="565" t="s">
        <v>115</v>
      </c>
      <c r="F1159" s="558">
        <v>41596</v>
      </c>
      <c r="G1159" s="559" t="s">
        <v>538</v>
      </c>
      <c r="H1159" s="560"/>
      <c r="I1159" s="561">
        <v>1</v>
      </c>
      <c r="J1159" s="566">
        <v>33370</v>
      </c>
      <c r="K1159" s="210" t="s">
        <v>1018</v>
      </c>
      <c r="L1159" s="567" t="s">
        <v>34</v>
      </c>
      <c r="M1159" s="568"/>
      <c r="N1159" s="569"/>
      <c r="O1159" s="570"/>
      <c r="P1159" s="570"/>
      <c r="Q1159" s="570"/>
      <c r="R1159" s="570"/>
      <c r="S1159" s="570"/>
      <c r="T1159" s="570"/>
      <c r="U1159" s="570"/>
      <c r="V1159" s="570"/>
      <c r="W1159" s="570"/>
      <c r="X1159" s="570"/>
      <c r="Y1159" s="570"/>
      <c r="Z1159" s="570"/>
      <c r="AA1159" s="570"/>
      <c r="AB1159" s="570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COYANCURA</vt:lpstr>
      <vt:lpstr>ESTACION CENTRAL</vt:lpstr>
      <vt:lpstr>LA CONCEPCION</vt:lpstr>
      <vt:lpstr>LA FLORIDA</vt:lpstr>
      <vt:lpstr>MAIPU</vt:lpstr>
      <vt:lpstr>MONEDA</vt:lpstr>
      <vt:lpstr>PUERTO MONTT</vt:lpstr>
      <vt:lpstr>SAN BERNARDO</vt:lpstr>
      <vt:lpstr>SANTA LUCIA</vt:lpstr>
      <vt:lpstr>PLANILLA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2015-01-20T18:59:47Z</cp:lastPrinted>
  <dcterms:created xsi:type="dcterms:W3CDTF">2014-12-18T14:07:09Z</dcterms:created>
  <dcterms:modified xsi:type="dcterms:W3CDTF">2015-01-26T10:41:40Z</dcterms:modified>
</cp:coreProperties>
</file>