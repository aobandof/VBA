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19320" windowHeight="7905" tabRatio="843" firstSheet="1" activeTab="6"/>
  </bookViews>
  <sheets>
    <sheet name="PUERTO MONTT" sheetId="21" r:id="rId1"/>
    <sheet name="ESTACION CENTRAL" sheetId="15" r:id="rId2"/>
    <sheet name="LA FLORIDA" sheetId="16" r:id="rId3"/>
    <sheet name="MAIPU" sheetId="17" r:id="rId4"/>
    <sheet name="MONEDA" sheetId="18" r:id="rId5"/>
    <sheet name="SAN BERNARDO" sheetId="20" r:id="rId6"/>
    <sheet name="SANTA LUCIA" sheetId="19" r:id="rId7"/>
    <sheet name="PLANILLA" sheetId="11" r:id="rId8"/>
    <sheet name="FACTURACION" sheetId="3" r:id="rId9"/>
    <sheet name="ARANCEL" sheetId="9" r:id="rId10"/>
    <sheet name="DATOS" sheetId="1" r:id="rId11"/>
  </sheets>
  <functionGroups builtInGroupCount="18"/>
  <definedNames>
    <definedName name="_xlnm._FilterDatabase" localSheetId="9" hidden="1">ARANCEL!$A$1:$F$1</definedName>
    <definedName name="_xlnm._FilterDatabase" localSheetId="10" hidden="1">DATOS!$A$1:$M$1</definedName>
    <definedName name="_xlnm._FilterDatabase" localSheetId="1" hidden="1">'ESTACION CENTRAL'!$A$10:$M$10</definedName>
    <definedName name="_xlnm._FilterDatabase" localSheetId="8" hidden="1">FACTURACION!$A$1:$J$1</definedName>
    <definedName name="_xlnm._FilterDatabase" localSheetId="2" hidden="1">'LA FLORIDA'!$A$10:$M$10</definedName>
    <definedName name="_xlnm._FilterDatabase" localSheetId="3" hidden="1">MAIPU!$A$10:$M$10</definedName>
    <definedName name="_xlnm._FilterDatabase" localSheetId="4" hidden="1">MONEDA!$A$10:$M$10</definedName>
    <definedName name="_xlnm._FilterDatabase" localSheetId="7" hidden="1">PLANILLA!$A$10:$M$10</definedName>
    <definedName name="_xlnm._FilterDatabase" localSheetId="0" hidden="1">'PUERTO MONTT'!$A$10:$M$10</definedName>
    <definedName name="_xlnm._FilterDatabase" localSheetId="5" hidden="1">'SAN BERNARDO'!$A$10:$M$10</definedName>
    <definedName name="_xlnm._FilterDatabase" localSheetId="6" hidden="1">'SANTA LUCIA'!$A$10:$M$10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21" l="1"/>
  <c r="J22" i="21"/>
  <c r="K21" i="21"/>
  <c r="J21" i="21"/>
  <c r="K20" i="21"/>
  <c r="J20" i="21"/>
  <c r="J12" i="21"/>
  <c r="K12" i="21" s="1"/>
  <c r="K19" i="21"/>
  <c r="J19" i="2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1" i="20"/>
  <c r="K18" i="20"/>
  <c r="J18" i="20"/>
  <c r="K17" i="20"/>
  <c r="J17" i="20"/>
  <c r="K16" i="20"/>
  <c r="J16" i="20"/>
  <c r="K15" i="20"/>
  <c r="J15" i="20"/>
  <c r="K14" i="20"/>
  <c r="J14" i="20"/>
  <c r="K13" i="20"/>
  <c r="J13" i="20"/>
  <c r="J12" i="20"/>
  <c r="K12" i="20" s="1"/>
  <c r="I8" i="20"/>
  <c r="C8" i="20"/>
  <c r="I7" i="20"/>
  <c r="C7" i="20"/>
  <c r="I6" i="20"/>
  <c r="C6" i="20"/>
  <c r="I5" i="20"/>
  <c r="C5" i="20"/>
  <c r="I4" i="20"/>
  <c r="C4" i="20"/>
  <c r="I3" i="20"/>
  <c r="C3" i="20"/>
  <c r="K37" i="19" l="1"/>
  <c r="J37" i="19"/>
  <c r="K18" i="19"/>
  <c r="J18" i="19"/>
  <c r="K17" i="19"/>
  <c r="J17" i="19"/>
  <c r="K16" i="19"/>
  <c r="J16" i="19"/>
  <c r="K15" i="19"/>
  <c r="J15" i="19"/>
  <c r="K14" i="19"/>
  <c r="J14" i="19"/>
  <c r="J13" i="19"/>
  <c r="K13" i="19" s="1"/>
  <c r="J12" i="19"/>
  <c r="K12" i="19" s="1"/>
  <c r="J11" i="19"/>
  <c r="K11" i="19" s="1"/>
  <c r="I8" i="19"/>
  <c r="C8" i="19"/>
  <c r="I7" i="19"/>
  <c r="C7" i="19"/>
  <c r="I6" i="19"/>
  <c r="C6" i="19"/>
  <c r="I5" i="19"/>
  <c r="C5" i="19"/>
  <c r="I4" i="19"/>
  <c r="C4" i="19"/>
  <c r="I3" i="19"/>
  <c r="C3" i="19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J12" i="18"/>
  <c r="K12" i="18" s="1"/>
  <c r="J11" i="18"/>
  <c r="K11" i="18" s="1"/>
  <c r="I8" i="18"/>
  <c r="C8" i="18"/>
  <c r="I7" i="18"/>
  <c r="C7" i="18"/>
  <c r="I6" i="18"/>
  <c r="C6" i="18"/>
  <c r="I5" i="18"/>
  <c r="C5" i="18"/>
  <c r="I4" i="18"/>
  <c r="C4" i="18"/>
  <c r="I3" i="18"/>
  <c r="C3" i="18"/>
  <c r="K18" i="17"/>
  <c r="J18" i="17"/>
  <c r="K17" i="17"/>
  <c r="J16" i="17"/>
  <c r="K16" i="17" s="1"/>
  <c r="K13" i="11"/>
  <c r="K21" i="17" l="1"/>
  <c r="J21" i="17"/>
  <c r="K20" i="17"/>
  <c r="J20" i="17"/>
  <c r="K19" i="17"/>
  <c r="J19" i="17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K18" i="16" l="1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J11" i="16"/>
  <c r="K11" i="16" s="1"/>
  <c r="I8" i="16"/>
  <c r="C8" i="16"/>
  <c r="I7" i="16"/>
  <c r="C7" i="16"/>
  <c r="I6" i="16"/>
  <c r="C6" i="16"/>
  <c r="I5" i="16"/>
  <c r="C5" i="16"/>
  <c r="I4" i="16"/>
  <c r="C4" i="16"/>
  <c r="I3" i="16"/>
  <c r="C3" i="16"/>
  <c r="K18" i="15"/>
  <c r="J18" i="15"/>
  <c r="K17" i="15"/>
  <c r="J17" i="15"/>
  <c r="K16" i="15"/>
  <c r="J16" i="15"/>
  <c r="K15" i="15"/>
  <c r="J15" i="15"/>
  <c r="K14" i="15"/>
  <c r="J14" i="15"/>
  <c r="K13" i="15"/>
  <c r="J13" i="15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23" i="11" l="1"/>
  <c r="J12" i="11"/>
  <c r="K12" i="11" s="1"/>
  <c r="J13" i="1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sharedStrings.xml><?xml version="1.0" encoding="utf-8"?>
<sst xmlns="http://schemas.openxmlformats.org/spreadsheetml/2006/main" count="1342" uniqueCount="586">
  <si>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</si>
  <si>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</si>
  <si>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</si>
  <si>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</si>
  <si>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</si>
  <si>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</si>
  <si>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</si>
  <si>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</si>
  <si>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</si>
  <si>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</si>
  <si>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</si>
  <si>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</si>
  <si>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</si>
  <si>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</si>
  <si>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</si>
  <si>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</si>
  <si>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</si>
  <si>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</si>
  <si>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</si>
  <si>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</si>
  <si>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</si>
  <si>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</si>
  <si>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</si>
  <si>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</si>
  <si>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</si>
  <si>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</si>
  <si>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</si>
  <si>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</si>
  <si>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</si>
  <si>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</si>
  <si>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</si>
  <si>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</si>
  <si>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</si>
  <si>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</si>
  <si>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</si>
  <si>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</si>
  <si>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</si>
  <si>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</si>
  <si>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</si>
  <si>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</si>
  <si>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</si>
  <si>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</si>
  <si>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</si>
  <si>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</si>
  <si>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</si>
  <si>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</si>
  <si>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</si>
  <si>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</si>
  <si>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</si>
  <si>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</si>
  <si>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</si>
  <si>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</si>
  <si>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</si>
  <si>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</si>
  <si>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</si>
  <si>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</si>
  <si>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</si>
  <si>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</si>
  <si>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</si>
  <si>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</si>
  <si>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</si>
  <si>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</si>
  <si>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</si>
  <si>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</si>
  <si>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</si>
  <si>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</si>
  <si>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</si>
  <si>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</si>
  <si>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</si>
  <si>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</si>
  <si>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</si>
  <si>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</si>
  <si>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</si>
  <si>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</si>
  <si>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</si>
  <si>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</si>
  <si>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</si>
  <si>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</si>
  <si>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</si>
  <si>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</si>
  <si>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</si>
  <si>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</si>
  <si>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</si>
  <si>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</si>
  <si>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</si>
  <si>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</si>
  <si>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</si>
  <si>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</si>
  <si>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</si>
  <si>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</si>
  <si>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</si>
  <si>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</si>
  <si>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</si>
  <si>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</si>
  <si>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</si>
  <si>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</si>
  <si>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</si>
  <si>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</si>
  <si>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</si>
  <si>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</si>
  <si>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</si>
  <si>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</si>
  <si>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</si>
  <si>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</si>
  <si>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</si>
  <si>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</si>
  <si>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</si>
  <si>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</si>
  <si>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</si>
  <si>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</si>
  <si>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</si>
  <si>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</si>
  <si>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</si>
  <si>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</si>
  <si>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</si>
  <si>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</si>
  <si>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</si>
  <si>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</si>
  <si>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</si>
  <si>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</si>
  <si>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</si>
  <si>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</si>
  <si>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</si>
  <si>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</si>
  <si>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</si>
  <si>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</si>
  <si>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</si>
  <si>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</si>
  <si>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</si>
  <si>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</si>
  <si>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</si>
  <si>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</si>
  <si>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</si>
  <si>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</si>
  <si>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</si>
  <si>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</si>
  <si>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</si>
  <si>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</si>
  <si>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</si>
  <si>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</si>
  <si>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</si>
  <si>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</si>
  <si>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</si>
  <si>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</si>
  <si>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</si>
  <si>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</si>
  <si>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</si>
  <si>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</si>
  <si>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</si>
  <si>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</si>
  <si>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</si>
  <si>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</si>
  <si>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</si>
  <si>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</si>
  <si>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</si>
  <si>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</si>
  <si>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</si>
  <si>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</si>
  <si>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</si>
  <si>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</si>
  <si>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</si>
  <si>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</si>
  <si>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</si>
  <si>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</si>
  <si>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</si>
  <si>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</si>
  <si>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</si>
  <si>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</si>
  <si>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</si>
  <si>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</si>
  <si>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</si>
  <si>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</si>
  <si>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</si>
  <si>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</si>
  <si>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</si>
  <si>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</si>
  <si>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</si>
  <si>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</si>
  <si>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</si>
  <si>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</si>
  <si>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</si>
  <si>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</si>
  <si>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</si>
  <si>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</si>
  <si>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</si>
  <si>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</si>
  <si>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</si>
  <si>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</si>
  <si>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</si>
  <si>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</si>
  <si>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</si>
  <si>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</si>
  <si>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</si>
  <si>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</si>
  <si>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</si>
  <si>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</si>
  <si>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</si>
  <si>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</si>
  <si>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</si>
  <si>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</si>
  <si>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</si>
  <si>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</si>
  <si>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</si>
  <si>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</si>
  <si>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</si>
  <si>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</si>
  <si>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</si>
  <si>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</si>
  <si>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</si>
  <si>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</si>
  <si>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</si>
  <si>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</si>
  <si>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</si>
  <si>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</si>
  <si>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</si>
  <si>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</si>
  <si>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</si>
  <si>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</si>
  <si>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</si>
  <si>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</si>
  <si>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</si>
  <si>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</si>
  <si>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</si>
  <si>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</si>
  <si>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</si>
  <si>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</si>
  <si>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</si>
  <si>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</si>
  <si>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</si>
  <si>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</si>
  <si>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</si>
  <si>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</si>
  <si>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</si>
  <si>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</si>
  <si>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</si>
  <si>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</si>
  <si>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</si>
  <si>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</si>
  <si>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</si>
  <si>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</si>
  <si>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</si>
  <si>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</si>
  <si>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</si>
  <si>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</si>
  <si>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</si>
  <si>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</si>
  <si>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</si>
  <si>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</si>
  <si>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</si>
  <si>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</si>
  <si>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</si>
  <si>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</si>
  <si>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</si>
  <si>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</si>
  <si>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</si>
  <si>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</si>
  <si>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</si>
  <si>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</si>
  <si>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</si>
  <si>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</si>
  <si>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</si>
  <si>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</si>
  <si>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</si>
  <si>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</si>
  <si>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</si>
  <si>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</si>
  <si>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</si>
  <si>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</si>
  <si>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</si>
  <si>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</si>
  <si>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</si>
  <si>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</si>
  <si>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</si>
  <si>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</si>
  <si>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</si>
  <si>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</si>
  <si>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</si>
  <si>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</si>
  <si>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</si>
  <si>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</si>
  <si>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</si>
  <si>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</si>
  <si>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</si>
  <si>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</si>
  <si>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</si>
  <si>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</si>
  <si>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</si>
  <si>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</si>
  <si>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</si>
  <si>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</si>
  <si>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</si>
  <si>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</si>
  <si>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</si>
  <si>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</si>
  <si>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</si>
  <si>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</si>
  <si>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</si>
  <si>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</si>
  <si>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</si>
  <si>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</si>
  <si>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</si>
  <si>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</si>
  <si>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</si>
  <si>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</si>
  <si>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</si>
  <si>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</si>
  <si>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</si>
  <si>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</si>
  <si>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</si>
  <si>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</si>
  <si>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</si>
  <si>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</si>
  <si>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</si>
  <si>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</si>
  <si>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</si>
  <si>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</si>
  <si>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</si>
  <si>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</si>
  <si>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</si>
  <si>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</si>
  <si>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</si>
  <si>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</si>
  <si>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</si>
  <si>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</si>
  <si>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</si>
  <si>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</si>
  <si>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</si>
  <si>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</si>
  <si>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</si>
  <si>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</si>
  <si>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</si>
  <si>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</si>
  <si>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</si>
  <si>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</si>
  <si>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</si>
  <si>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</si>
  <si>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</si>
  <si>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</si>
  <si>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</si>
  <si>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</si>
  <si>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</si>
  <si>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</si>
  <si>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</si>
  <si>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</si>
  <si>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</si>
  <si>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</si>
  <si>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</si>
  <si>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</si>
  <si>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</si>
  <si>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</si>
  <si>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</si>
  <si>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</si>
  <si>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</si>
  <si>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</si>
  <si>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</si>
  <si>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</si>
  <si>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</si>
  <si>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</si>
  <si>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</si>
  <si>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</si>
  <si>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</si>
  <si>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</si>
  <si>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</si>
  <si>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</si>
  <si>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</si>
  <si>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</si>
  <si>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</si>
  <si>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</si>
  <si>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</si>
  <si>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</si>
  <si>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</si>
  <si>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</si>
  <si>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</si>
  <si>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</si>
  <si>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</si>
  <si>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</si>
  <si>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</si>
  <si>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</si>
  <si>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</si>
  <si>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</si>
  <si>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</si>
  <si>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</si>
  <si>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</si>
  <si>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</si>
  <si>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</si>
  <si>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VALENZUELA ANOICA o JAQUELINE</t>
  </si>
  <si>
    <t>CATALINA BLANLOT</t>
  </si>
  <si>
    <t>DESCUENTO APARATOLOGIA PARA HABITO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</si>
  <si>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</si>
  <si>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</si>
  <si>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</si>
  <si>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</si>
  <si>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</si>
  <si>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</si>
  <si>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</si>
  <si>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</si>
  <si>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</si>
  <si>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</si>
  <si>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</si>
  <si>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</si>
  <si>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</si>
  <si>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</si>
  <si>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</si>
  <si>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</si>
  <si>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</si>
  <si>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</si>
  <si>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</si>
  <si>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</si>
  <si>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</si>
  <si>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</si>
  <si>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</si>
  <si>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</si>
  <si>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</si>
  <si>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</si>
  <si>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</si>
  <si>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</si>
  <si>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</si>
  <si>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</si>
  <si>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</si>
  <si>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</si>
  <si>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</si>
  <si>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</si>
  <si>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</si>
  <si>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</si>
  <si>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</si>
  <si>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</si>
  <si>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</si>
  <si>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</si>
  <si>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</si>
  <si>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</si>
  <si>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</si>
  <si>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</si>
  <si>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</si>
  <si>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</si>
  <si>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</si>
  <si>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</si>
  <si>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</si>
  <si>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</si>
  <si>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</si>
  <si>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</si>
  <si>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</si>
  <si>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</si>
  <si>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</si>
  <si>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</si>
  <si>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</si>
  <si>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</si>
  <si>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</si>
  <si>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</si>
  <si>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</si>
  <si>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</si>
  <si>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</si>
  <si>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</si>
  <si>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</si>
  <si>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83500 / 85471</t>
  </si>
  <si>
    <t>82611 / 85245</t>
  </si>
  <si>
    <t>BASE (ESTRUCTURA)/ ARTICULACION BASE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</si>
  <si>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</si>
  <si>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</si>
  <si>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</si>
  <si>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</si>
  <si>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</si>
  <si>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</si>
  <si>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</si>
  <si>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</si>
  <si>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</si>
  <si>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</si>
  <si>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</si>
  <si>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</si>
  <si>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</si>
  <si>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</si>
  <si>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</si>
  <si>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</si>
  <si>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CASQUETE SUSTITUCION</t>
  </si>
  <si>
    <t>DIAZ ROSA</t>
  </si>
  <si>
    <t>ARAYA RICARDO</t>
  </si>
  <si>
    <t>CASTILLO</t>
  </si>
  <si>
    <t>68673/81180</t>
  </si>
  <si>
    <t>MUÑOZ NELSON</t>
  </si>
  <si>
    <t>BASE (ESTRUCTURA) / ARTICULACION BASE</t>
  </si>
  <si>
    <t>CARDENAS VERONICA</t>
  </si>
  <si>
    <t>REYES MARIA</t>
  </si>
  <si>
    <t>VIZCARRA EVELYN</t>
  </si>
  <si>
    <t>80558/82703</t>
  </si>
  <si>
    <t>POINEPIL FERNANDA</t>
  </si>
  <si>
    <t>80587 / 83539</t>
  </si>
  <si>
    <t>SAAVEDRA ALEJANDRA</t>
  </si>
  <si>
    <t>80059 / 83910</t>
  </si>
  <si>
    <t>VILLA MYRIAM</t>
  </si>
  <si>
    <t>CIFUENTE JAIL</t>
  </si>
  <si>
    <t>ROMERO ADA</t>
  </si>
  <si>
    <t>MUÑOZ MARIA SOLEDAD</t>
  </si>
  <si>
    <t>CASQUETE CEMENTADO</t>
  </si>
  <si>
    <t>ARANEDA SANDRA</t>
  </si>
  <si>
    <t>DOMINGUEZ JUAN</t>
  </si>
  <si>
    <t>83280 / 85804</t>
  </si>
  <si>
    <t>NOVOA PATRICIA</t>
  </si>
  <si>
    <t>ARELLANO JORGE</t>
  </si>
  <si>
    <t>3</t>
  </si>
  <si>
    <t>GONZALEZ ERIKA</t>
  </si>
  <si>
    <t>GOMEZ</t>
  </si>
  <si>
    <t>PLACA ALTURA O RODETE</t>
  </si>
  <si>
    <t>CUBETA INDIVIDUAL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</si>
  <si>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</si>
  <si>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</si>
  <si>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</si>
  <si>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</si>
  <si>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</si>
  <si>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</si>
  <si>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</si>
  <si>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</si>
  <si>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</si>
  <si>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</si>
  <si>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</si>
  <si>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</si>
  <si>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</si>
  <si>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</si>
  <si>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</si>
  <si>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</si>
  <si>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</si>
  <si>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</si>
  <si>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</si>
  <si>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</si>
  <si>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</si>
  <si>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</si>
  <si>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</si>
  <si>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</si>
  <si>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</si>
  <si>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</si>
  <si>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</si>
  <si>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</si>
  <si>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</si>
  <si>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</si>
  <si>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</si>
  <si>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</si>
  <si>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</si>
  <si>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</si>
  <si>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</si>
  <si>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</si>
  <si>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</si>
  <si>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</si>
  <si>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</si>
  <si>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</si>
  <si>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</si>
  <si>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</si>
  <si>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</si>
  <si>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</si>
  <si>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60299/62584/64920</t>
  </si>
  <si>
    <t>VASQUEZ EUGENIA</t>
  </si>
  <si>
    <t>TRIVIÑO JAIME</t>
  </si>
  <si>
    <t>GONZALEZ</t>
  </si>
  <si>
    <t xml:space="preserve">SUP </t>
  </si>
  <si>
    <t>PINEDA MAURICIO</t>
  </si>
  <si>
    <t>67166 / 81566</t>
  </si>
  <si>
    <t>WRILE ROSALVA</t>
  </si>
  <si>
    <t>ALBORNOZ MARCOS</t>
  </si>
  <si>
    <t>WEBER</t>
  </si>
  <si>
    <t>30</t>
  </si>
  <si>
    <t>80463 / 83274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</si>
  <si>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</si>
  <si>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</si>
  <si>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</si>
  <si>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</si>
  <si>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</si>
  <si>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</si>
  <si>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</si>
  <si>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</si>
  <si>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</si>
  <si>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</si>
  <si>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</si>
  <si>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</si>
  <si>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</si>
  <si>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</si>
  <si>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>SE HIZO EN NOV. Y NO LE SIRVIO, DEVOLUCION</t>
  </si>
  <si>
    <t xml:space="preserve">GAETE MANUELA </t>
  </si>
  <si>
    <t>VIERA</t>
  </si>
  <si>
    <t>SEPULVEDA CECILIA</t>
  </si>
  <si>
    <t>CANALES PATRICIO</t>
  </si>
  <si>
    <t>EGGERS</t>
  </si>
  <si>
    <t>3-14</t>
  </si>
  <si>
    <t>URIBE CLAUDIA</t>
  </si>
  <si>
    <t>POHL JAQUELINE</t>
  </si>
  <si>
    <t>16</t>
  </si>
  <si>
    <t>RUPERTUS CLAUDIA</t>
  </si>
  <si>
    <t>MIRANDA RODRIGO</t>
  </si>
  <si>
    <t>JARA PAMELA</t>
  </si>
  <si>
    <t>GONZALEZ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</si>
</sst>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 vertical="center"/>
    </xf>
    <xf numFmtId="166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>
      <alignment horizontal="center" vertical="center"/>
    </xf>
    <xf numFmtId="1" fontId="28" fillId="2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Border="1"/>
    <xf numFmtId="0" fontId="29" fillId="25" borderId="1" xfId="0" applyFont="1" applyFill="1" applyBorder="1" applyAlignment="1" applyProtection="1">
      <alignment horizontal="center" vertical="center"/>
      <protection locked="0"/>
    </xf>
    <xf numFmtId="0" fontId="29" fillId="25" borderId="1" xfId="0" applyFont="1" applyFill="1" applyBorder="1" applyAlignment="1" applyProtection="1">
      <alignment horizontal="left" vertical="center"/>
      <protection locked="0"/>
    </xf>
    <xf numFmtId="42" fontId="29" fillId="21" borderId="1" xfId="0" applyNumberFormat="1" applyFont="1" applyFill="1" applyBorder="1" applyAlignment="1">
      <alignment horizontal="center"/>
    </xf>
    <xf numFmtId="42" fontId="30" fillId="11" borderId="1" xfId="0" applyNumberFormat="1" applyFont="1" applyFill="1" applyBorder="1" applyAlignment="1">
      <alignment horizontal="center"/>
    </xf>
    <xf numFmtId="49" fontId="26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31"/>
  <sheetViews>
    <sheetView topLeftCell="A4" zoomScale="90" zoomScaleNormal="90" workbookViewId="0">
      <selection activeCell="E17" sqref="E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SUCURSAL NO ENCONTRADA</v>
      </c>
      <c r="H3" s="120" t="s">
        <v>178</v>
      </c>
      <c r="I3" s="107" t="str">
        <f>IFERROR(VLOOKUP($A$2,DATOS!$A$2:$N$15,8,FALSE),"SUCURSAL NO ENCONTRADA")</f>
        <v>SUCURSAL NO ENCONTRADA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SUCURSAL NO ENCONTRADA</v>
      </c>
      <c r="H4" s="120" t="s">
        <v>176</v>
      </c>
      <c r="I4" s="10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SUCURSAL NO ENCONTRADA</v>
      </c>
      <c r="H5" s="120" t="s">
        <v>175</v>
      </c>
      <c r="I5" s="107" t="str">
        <f>IFERROR(VLOOKUP($A$2,DATOS!$A$2:$N$15,10,FALSE),"SUCURSAL NO ENCONTRADA")</f>
        <v>SUCURSAL NO ENCONTRADA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SUCURSAL NO ENCONTRADA</v>
      </c>
      <c r="H6" s="120" t="s">
        <v>179</v>
      </c>
      <c r="I6" s="107" t="str">
        <f>IFERROR(VLOOKUP($A$2,DATOS!$A$2:$N$15,11,FALSE),"SUCURSAL NO ENCONTRADA")</f>
        <v>SUCURSAL NO ENCONTRADA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SUCURSAL NO ENCONTRADA</v>
      </c>
      <c r="H7" s="120" t="s">
        <v>176</v>
      </c>
      <c r="I7" s="107" t="str">
        <f>IFERROR(VLOOKUP($A$2,DATOS!$A$2:$N$15,12,FALSE),"SUCURSAL NO ENCONTRADA")</f>
        <v>SUCURSAL NO ENCONTRADA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85980</v>
      </c>
      <c r="C11" s="105">
        <v>42010</v>
      </c>
      <c r="D11" s="103" t="s">
        <v>576</v>
      </c>
      <c r="E11" s="102" t="s">
        <v>577</v>
      </c>
      <c r="F11" s="103" t="s">
        <v>567</v>
      </c>
      <c r="G11" s="9"/>
      <c r="H11" s="12" t="s">
        <v>432</v>
      </c>
      <c r="I11" s="132">
        <v>1</v>
      </c>
      <c r="J11" s="98">
        <f>IF(F11="","",VLOOKUP(F11,ARANCEL!$E$2:$F$123,2,FALSE))</f>
        <v>30428.999999999996</v>
      </c>
      <c r="K11" s="99">
        <f t="shared" ref="K11:K19" si="0">IF(I11=0,"",J11*I11)</f>
        <v>30428.999999999996</v>
      </c>
      <c r="L11" s="12"/>
      <c r="M11" s="104"/>
    </row>
    <row r="12" spans="1:28" x14ac:dyDescent="0.25">
      <c r="A12" s="114">
        <v>2</v>
      </c>
      <c r="B12" s="114">
        <v>85508</v>
      </c>
      <c r="C12" s="115">
        <v>42009</v>
      </c>
      <c r="D12" s="116" t="s">
        <v>579</v>
      </c>
      <c r="E12" s="114" t="s">
        <v>577</v>
      </c>
      <c r="F12" s="116" t="s">
        <v>115</v>
      </c>
      <c r="G12" s="117"/>
      <c r="H12" s="111" t="s">
        <v>434</v>
      </c>
      <c r="I12" s="118">
        <v>1</v>
      </c>
      <c r="J12" s="98">
        <f>IF(F12="","",VLOOKUP(F12,ARANCEL!$E$2:$F$123,2,FALSE))</f>
        <v>33370.239999999998</v>
      </c>
      <c r="K12" s="113">
        <f t="shared" si="0"/>
        <v>33370.239999999998</v>
      </c>
      <c r="L12" s="111"/>
      <c r="M12" s="112"/>
    </row>
    <row r="13" spans="1:28" x14ac:dyDescent="0.25">
      <c r="A13" s="102">
        <v>3</v>
      </c>
      <c r="B13" s="102">
        <v>85618</v>
      </c>
      <c r="C13" s="105">
        <v>42009</v>
      </c>
      <c r="D13" s="103" t="s">
        <v>580</v>
      </c>
      <c r="E13" s="102" t="s">
        <v>577</v>
      </c>
      <c r="F13" s="103" t="s">
        <v>115</v>
      </c>
      <c r="G13" s="9"/>
      <c r="H13" s="12" t="s">
        <v>581</v>
      </c>
      <c r="I13" s="132">
        <v>1</v>
      </c>
      <c r="J13" s="98">
        <f>IF(F13="","",VLOOKUP(F13,ARANCEL!$E$2:$F$123,2,FALSE))</f>
        <v>33370.239999999998</v>
      </c>
      <c r="K13" s="99">
        <f t="shared" si="0"/>
        <v>33370.239999999998</v>
      </c>
      <c r="L13" s="12"/>
      <c r="M13" s="104"/>
    </row>
    <row r="14" spans="1:28" x14ac:dyDescent="0.25">
      <c r="A14" s="102">
        <v>4</v>
      </c>
      <c r="B14" s="102">
        <v>85071</v>
      </c>
      <c r="C14" s="105">
        <v>42004</v>
      </c>
      <c r="D14" s="103" t="s">
        <v>583</v>
      </c>
      <c r="E14" s="102" t="s">
        <v>549</v>
      </c>
      <c r="F14" s="103" t="s">
        <v>196</v>
      </c>
      <c r="G14" s="9"/>
      <c r="H14" s="12" t="s">
        <v>422</v>
      </c>
      <c r="I14" s="132">
        <v>1</v>
      </c>
      <c r="J14" s="98">
        <f>IF(F14="","",VLOOKUP(F14,ARANCEL!$E$2:$F$123,2,FALSE))</f>
        <v>45643.96</v>
      </c>
      <c r="K14" s="99">
        <f t="shared" si="0"/>
        <v>45643.96</v>
      </c>
      <c r="L14" s="12"/>
      <c r="M14" s="104"/>
    </row>
    <row r="15" spans="1:28" x14ac:dyDescent="0.25">
      <c r="A15" s="114">
        <v>5</v>
      </c>
      <c r="B15" s="114">
        <v>85126</v>
      </c>
      <c r="C15" s="115">
        <v>42011</v>
      </c>
      <c r="D15" s="116" t="s">
        <v>584</v>
      </c>
      <c r="E15" s="114" t="s">
        <v>577</v>
      </c>
      <c r="F15" s="116" t="s">
        <v>116</v>
      </c>
      <c r="G15" s="117"/>
      <c r="H15" s="111" t="s">
        <v>497</v>
      </c>
      <c r="I15" s="118">
        <v>1</v>
      </c>
      <c r="J15" s="98">
        <f>IF(F15="","",VLOOKUP(F15,ARANCEL!$E$2:$F$123,2,FALSE))</f>
        <v>5274.3600000000006</v>
      </c>
      <c r="K15" s="113">
        <f t="shared" si="0"/>
        <v>5274.3600000000006</v>
      </c>
      <c r="L15" s="111"/>
      <c r="M15" s="112"/>
    </row>
    <row r="16" spans="1:28" x14ac:dyDescent="0.25">
      <c r="A16" s="102">
        <v>6</v>
      </c>
      <c r="B16" s="114">
        <v>85126</v>
      </c>
      <c r="C16" s="115">
        <v>42011</v>
      </c>
      <c r="D16" s="116" t="s">
        <v>584</v>
      </c>
      <c r="E16" s="114" t="s">
        <v>577</v>
      </c>
      <c r="F16" s="116" t="s">
        <v>222</v>
      </c>
      <c r="G16" s="117"/>
      <c r="H16" s="111" t="s">
        <v>497</v>
      </c>
      <c r="I16" s="118">
        <v>1</v>
      </c>
      <c r="J16" s="98">
        <f>IF(F16="","",VLOOKUP(F16,ARANCEL!$E$2:$F$123,2,FALSE))</f>
        <v>14098.999999999998</v>
      </c>
      <c r="K16" s="113">
        <f t="shared" si="0"/>
        <v>14098.999999999998</v>
      </c>
      <c r="L16" s="111"/>
      <c r="M16" s="112"/>
    </row>
    <row r="17" spans="1:13" x14ac:dyDescent="0.25">
      <c r="A17" s="102">
        <v>7</v>
      </c>
      <c r="B17" s="114">
        <v>85122</v>
      </c>
      <c r="C17" s="115">
        <v>42009</v>
      </c>
      <c r="D17" s="116" t="s">
        <v>585</v>
      </c>
      <c r="E17" s="114" t="s">
        <v>577</v>
      </c>
      <c r="F17" s="116" t="s">
        <v>116</v>
      </c>
      <c r="G17" s="117"/>
      <c r="H17" s="111" t="s">
        <v>407</v>
      </c>
      <c r="I17" s="118">
        <v>1</v>
      </c>
      <c r="J17" s="98">
        <f>IF(F17="","",VLOOKUP(F17,ARANCEL!$E$2:$F$123,2,FALSE))</f>
        <v>5274.3600000000006</v>
      </c>
      <c r="K17" s="113">
        <f t="shared" si="0"/>
        <v>5274.3600000000006</v>
      </c>
      <c r="L17" s="111"/>
      <c r="M17" s="112"/>
    </row>
    <row r="18" spans="1:13" x14ac:dyDescent="0.25">
      <c r="A18" s="114">
        <v>8</v>
      </c>
      <c r="B18" s="114">
        <v>85122</v>
      </c>
      <c r="C18" s="115">
        <v>42009</v>
      </c>
      <c r="D18" s="116" t="s">
        <v>585</v>
      </c>
      <c r="E18" s="114" t="s">
        <v>577</v>
      </c>
      <c r="F18" s="116" t="s">
        <v>222</v>
      </c>
      <c r="G18" s="117"/>
      <c r="H18" s="111" t="s">
        <v>407</v>
      </c>
      <c r="I18" s="118">
        <v>1</v>
      </c>
      <c r="J18" s="98">
        <f>IF(F18="","",VLOOKUP(F18,ARANCEL!$E$2:$F$123,2,FALSE))</f>
        <v>14098.999999999998</v>
      </c>
      <c r="K18" s="113">
        <f t="shared" si="0"/>
        <v>14098.999999999998</v>
      </c>
      <c r="L18" s="111"/>
      <c r="M18" s="112"/>
    </row>
    <row r="19" spans="1:13" x14ac:dyDescent="0.25">
      <c r="A19" s="102">
        <v>9</v>
      </c>
      <c r="B19" s="114"/>
      <c r="C19" s="115"/>
      <c r="D19" s="116"/>
      <c r="E19" s="114"/>
      <c r="F19" s="116"/>
      <c r="G19" s="117"/>
      <c r="H19" s="111"/>
      <c r="I19" s="118"/>
      <c r="J19" s="98" t="str">
        <f>IF(F19="","",VLOOKUP(F19,ARANCEL!$E$2:$F$123,2,FALSE))</f>
        <v/>
      </c>
      <c r="K19" s="113" t="str">
        <f t="shared" si="0"/>
        <v/>
      </c>
      <c r="L19" s="111"/>
      <c r="M19" s="112"/>
    </row>
    <row r="20" spans="1:13" x14ac:dyDescent="0.25">
      <c r="A20" s="102">
        <v>10</v>
      </c>
      <c r="B20" s="114"/>
      <c r="C20" s="115"/>
      <c r="D20" s="116"/>
      <c r="E20" s="114"/>
      <c r="F20" s="116"/>
      <c r="G20" s="117"/>
      <c r="H20" s="111"/>
      <c r="I20" s="118"/>
      <c r="J20" s="98" t="str">
        <f>IF(F20="","",VLOOKUP(F20,ARANCEL!$E$2:$F$123,2,FALSE))</f>
        <v/>
      </c>
      <c r="K20" s="113" t="str">
        <f t="shared" ref="K20:K22" si="1">IF(I20=0,"",J20*I20)</f>
        <v/>
      </c>
      <c r="L20" s="111"/>
      <c r="M20" s="112"/>
    </row>
    <row r="21" spans="1:13" x14ac:dyDescent="0.25">
      <c r="A21" s="114">
        <v>11</v>
      </c>
      <c r="B21" s="114"/>
      <c r="C21" s="115"/>
      <c r="D21" s="116"/>
      <c r="E21" s="114"/>
      <c r="F21" s="116"/>
      <c r="G21" s="117"/>
      <c r="H21" s="111"/>
      <c r="I21" s="118"/>
      <c r="J21" s="98" t="str">
        <f>IF(F21="","",VLOOKUP(F21,ARANCEL!$E$2:$F$123,2,FALSE))</f>
        <v/>
      </c>
      <c r="K21" s="113" t="str">
        <f t="shared" si="1"/>
        <v/>
      </c>
      <c r="L21" s="111"/>
      <c r="M21" s="112"/>
    </row>
    <row r="22" spans="1:13" x14ac:dyDescent="0.25">
      <c r="A22" s="102">
        <v>12</v>
      </c>
      <c r="B22" s="114"/>
      <c r="C22" s="115"/>
      <c r="D22" s="116"/>
      <c r="E22" s="114"/>
      <c r="F22" s="116"/>
      <c r="G22" s="117"/>
      <c r="H22" s="111"/>
      <c r="I22" s="118"/>
      <c r="J22" s="98" t="str">
        <f>IF(F22="","",VLOOKUP(F22,ARANCEL!$E$2:$F$123,2,FALSE))</f>
        <v/>
      </c>
      <c r="K22" s="113" t="str">
        <f t="shared" si="1"/>
        <v/>
      </c>
      <c r="L22" s="111"/>
      <c r="M22" s="112"/>
    </row>
    <row r="25" spans="1:13" ht="20.25" customHeight="1" x14ac:dyDescent="0.25">
      <c r="A25" s="137" t="s">
        <v>379</v>
      </c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1:13" ht="24" x14ac:dyDescent="0.25">
      <c r="A26" s="100" t="s">
        <v>96</v>
      </c>
      <c r="B26" s="100" t="s">
        <v>97</v>
      </c>
      <c r="C26" s="101" t="s">
        <v>101</v>
      </c>
      <c r="D26" s="100" t="s">
        <v>98</v>
      </c>
      <c r="E26" s="100" t="s">
        <v>99</v>
      </c>
      <c r="F26" s="100" t="s">
        <v>100</v>
      </c>
      <c r="G26" s="100" t="s">
        <v>103</v>
      </c>
      <c r="H26" s="100" t="s">
        <v>102</v>
      </c>
      <c r="I26" s="100" t="s">
        <v>108</v>
      </c>
      <c r="J26" s="101" t="s">
        <v>104</v>
      </c>
      <c r="K26" s="101" t="s">
        <v>105</v>
      </c>
      <c r="L26" s="101" t="s">
        <v>180</v>
      </c>
      <c r="M26" s="101" t="s">
        <v>106</v>
      </c>
    </row>
    <row r="27" spans="1:13" x14ac:dyDescent="0.25">
      <c r="A27" s="102">
        <v>1</v>
      </c>
      <c r="B27" s="102">
        <v>859810</v>
      </c>
      <c r="C27" s="105">
        <v>42010</v>
      </c>
      <c r="D27" s="103" t="s">
        <v>576</v>
      </c>
      <c r="E27" s="102" t="s">
        <v>577</v>
      </c>
      <c r="F27" s="103" t="s">
        <v>414</v>
      </c>
      <c r="G27" s="9"/>
      <c r="H27" s="12" t="s">
        <v>578</v>
      </c>
      <c r="I27" s="132">
        <v>2</v>
      </c>
      <c r="J27" s="98"/>
      <c r="K27" s="99"/>
      <c r="L27" s="12"/>
      <c r="M27" s="104"/>
    </row>
    <row r="28" spans="1:13" x14ac:dyDescent="0.25">
      <c r="A28" s="102">
        <v>2</v>
      </c>
      <c r="B28" s="102">
        <v>85077</v>
      </c>
      <c r="C28" s="105">
        <v>42009</v>
      </c>
      <c r="D28" s="103" t="s">
        <v>582</v>
      </c>
      <c r="E28" s="102" t="s">
        <v>577</v>
      </c>
      <c r="F28" s="103" t="s">
        <v>414</v>
      </c>
      <c r="G28" s="9"/>
      <c r="H28" s="12" t="s">
        <v>425</v>
      </c>
      <c r="I28" s="132">
        <v>1</v>
      </c>
      <c r="J28" s="98"/>
      <c r="K28" s="99"/>
      <c r="L28" s="12"/>
      <c r="M28" s="104"/>
    </row>
    <row r="29" spans="1:13" x14ac:dyDescent="0.25">
      <c r="A29" s="102">
        <v>3</v>
      </c>
      <c r="B29" s="102"/>
      <c r="C29" s="105"/>
      <c r="D29" s="103"/>
      <c r="E29" s="102"/>
      <c r="F29" s="103"/>
      <c r="G29" s="9"/>
      <c r="H29" s="12"/>
      <c r="I29" s="132"/>
      <c r="J29" s="98"/>
      <c r="K29" s="99"/>
      <c r="L29" s="12"/>
      <c r="M29" s="104"/>
    </row>
    <row r="30" spans="1:13" x14ac:dyDescent="0.25">
      <c r="A30" s="102">
        <v>4</v>
      </c>
      <c r="B30" s="102"/>
      <c r="C30" s="105"/>
      <c r="D30" s="103"/>
      <c r="E30" s="102"/>
      <c r="F30" s="103"/>
      <c r="G30" s="9"/>
      <c r="H30" s="12"/>
      <c r="I30" s="132"/>
      <c r="J30" s="98"/>
      <c r="K30" s="99"/>
      <c r="L30" s="12"/>
      <c r="M30" s="104"/>
    </row>
    <row r="31" spans="1:13" x14ac:dyDescent="0.25">
      <c r="A31" s="102">
        <v>5</v>
      </c>
      <c r="B31" s="102"/>
      <c r="C31" s="105"/>
      <c r="D31" s="103"/>
      <c r="E31" s="102"/>
      <c r="F31" s="103"/>
      <c r="G31" s="9"/>
      <c r="H31" s="12"/>
      <c r="I31" s="132"/>
      <c r="J31" s="98"/>
      <c r="K31" s="99"/>
      <c r="L31" s="12"/>
      <c r="M31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5:K2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AB69"/>
  <sheetViews>
    <sheetView zoomScale="90" zoomScaleNormal="90" workbookViewId="0">
      <selection activeCell="H12" sqref="H1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4.57031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21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 xml:space="preserve">SOC. ODONTOLÓGICA UNO SALUD ESTACIÓN CENTRAL LTDA. </v>
      </c>
      <c r="H3" s="11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76.244.474-7</v>
      </c>
      <c r="H4" s="11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PASEO ARAUCO ESTACIÓN SAN FRANCISCO DE BORJA 122 LOCAL S-122 A </v>
      </c>
      <c r="H5" s="11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10" t="s">
        <v>179</v>
      </c>
      <c r="I6" s="107" t="str">
        <f>IFERROR(VLOOKUP($A$2,DATOS!$A$2:$N$15,11,FALSE),"SUCURSAL NO ENCONTRADA")</f>
        <v>JAVIER JARPA
DIANA GUZMAN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ESTACIÓN CENTRAL LTDA.</v>
      </c>
      <c r="H7" s="110" t="s">
        <v>176</v>
      </c>
      <c r="I7" s="107" t="str">
        <f>IFERROR(VLOOKUP($A$2,DATOS!$A$2:$N$15,12,FALSE),"SUCURSAL NO ENCONTRADA")</f>
        <v>jjarpa@unosalud.cl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0" t="s">
        <v>175</v>
      </c>
      <c r="I8" s="107" t="str">
        <f>IFERROR(VLOOKUP($A$2,DATOS!$A$2:$N$15,13,FALSE),"SUCURSAL NO ENCONTRADA")</f>
        <v>22 7638941
22 7638942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85889</v>
      </c>
      <c r="C11" s="105">
        <v>42010</v>
      </c>
      <c r="D11" s="103" t="s">
        <v>452</v>
      </c>
      <c r="E11" s="102" t="s">
        <v>404</v>
      </c>
      <c r="F11" s="103" t="s">
        <v>369</v>
      </c>
      <c r="G11" s="9"/>
      <c r="H11" s="12" t="s">
        <v>384</v>
      </c>
      <c r="I11" s="132">
        <v>1</v>
      </c>
      <c r="J11" s="98">
        <f>IF(F11="","",VLOOKUP(F11,ARANCEL!$E$2:$F$123,2,FALSE))</f>
        <v>25800.249999999996</v>
      </c>
      <c r="K11" s="99">
        <f t="shared" ref="K11:K18" si="0">IF(I11=0,"",J11*I11)</f>
        <v>25800.249999999996</v>
      </c>
      <c r="L11" s="12"/>
      <c r="M11" s="104"/>
    </row>
    <row r="12" spans="1:28" x14ac:dyDescent="0.25">
      <c r="A12" s="102">
        <v>2</v>
      </c>
      <c r="B12" s="102">
        <v>85299</v>
      </c>
      <c r="C12" s="105">
        <v>42004</v>
      </c>
      <c r="D12" s="103" t="s">
        <v>418</v>
      </c>
      <c r="E12" s="102" t="s">
        <v>404</v>
      </c>
      <c r="F12" s="103" t="s">
        <v>115</v>
      </c>
      <c r="G12" s="9"/>
      <c r="H12" s="12" t="s">
        <v>419</v>
      </c>
      <c r="I12" s="132">
        <v>1</v>
      </c>
      <c r="J12" s="98">
        <f>IF(F12="","",VLOOKUP(F12,ARANCEL!$E$2:$F$123,2,FALSE))</f>
        <v>33370.239999999998</v>
      </c>
      <c r="K12" s="99">
        <f t="shared" si="0"/>
        <v>33370.239999999998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1"/>
      <c r="B23" s="127" t="s">
        <v>389</v>
      </c>
      <c r="C23" s="122">
        <v>41807</v>
      </c>
      <c r="D23" s="128" t="s">
        <v>390</v>
      </c>
      <c r="E23" s="127" t="s">
        <v>391</v>
      </c>
      <c r="F23" s="128" t="s">
        <v>392</v>
      </c>
      <c r="G23" s="123" t="s">
        <v>384</v>
      </c>
      <c r="H23" s="124"/>
      <c r="I23" s="125">
        <v>1</v>
      </c>
      <c r="J23" s="129"/>
      <c r="K23" s="130"/>
      <c r="L23" s="124"/>
      <c r="M23" s="104"/>
    </row>
    <row r="24" spans="1:13" ht="24" x14ac:dyDescent="0.25">
      <c r="A24" s="126"/>
      <c r="B24" s="127">
        <v>33393</v>
      </c>
      <c r="C24" s="122">
        <v>41828</v>
      </c>
      <c r="D24" s="128" t="s">
        <v>393</v>
      </c>
      <c r="E24" s="127" t="s">
        <v>391</v>
      </c>
      <c r="F24" s="128" t="s">
        <v>392</v>
      </c>
      <c r="G24" s="123" t="s">
        <v>384</v>
      </c>
      <c r="H24" s="126"/>
      <c r="I24" s="125">
        <v>1</v>
      </c>
      <c r="J24" s="129"/>
      <c r="K24" s="130"/>
      <c r="L24" s="126"/>
      <c r="M24" s="131" t="s">
        <v>451</v>
      </c>
    </row>
    <row r="25" spans="1:13" x14ac:dyDescent="0.25">
      <c r="A25" s="126"/>
      <c r="B25" s="127" t="s">
        <v>394</v>
      </c>
      <c r="C25" s="122">
        <v>41928</v>
      </c>
      <c r="D25" s="128" t="s">
        <v>395</v>
      </c>
      <c r="E25" s="127" t="s">
        <v>396</v>
      </c>
      <c r="F25" s="128" t="s">
        <v>397</v>
      </c>
      <c r="G25" s="123" t="s">
        <v>398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/>
      <c r="B26" s="127" t="s">
        <v>399</v>
      </c>
      <c r="C26" s="122">
        <v>41929</v>
      </c>
      <c r="D26" s="128" t="s">
        <v>400</v>
      </c>
      <c r="E26" s="127" t="s">
        <v>396</v>
      </c>
      <c r="F26" s="128" t="s">
        <v>401</v>
      </c>
      <c r="G26" s="123" t="s">
        <v>402</v>
      </c>
      <c r="H26" s="126"/>
      <c r="I26" s="125">
        <v>2</v>
      </c>
      <c r="J26" s="129"/>
      <c r="K26" s="130"/>
      <c r="L26" s="126"/>
      <c r="M26" s="14"/>
    </row>
    <row r="27" spans="1:13" x14ac:dyDescent="0.25">
      <c r="A27" s="126"/>
      <c r="B27" s="127">
        <v>52789</v>
      </c>
      <c r="C27" s="122">
        <v>41922</v>
      </c>
      <c r="D27" s="128" t="s">
        <v>403</v>
      </c>
      <c r="E27" s="127" t="s">
        <v>404</v>
      </c>
      <c r="F27" s="128" t="s">
        <v>401</v>
      </c>
      <c r="G27" s="123" t="s">
        <v>382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/>
      <c r="B28" s="127" t="s">
        <v>405</v>
      </c>
      <c r="C28" s="122">
        <v>41928</v>
      </c>
      <c r="D28" s="128" t="s">
        <v>406</v>
      </c>
      <c r="E28" s="127" t="s">
        <v>396</v>
      </c>
      <c r="F28" s="128" t="s">
        <v>397</v>
      </c>
      <c r="G28" s="123" t="s">
        <v>407</v>
      </c>
      <c r="H28" s="126"/>
      <c r="I28" s="125">
        <v>1</v>
      </c>
      <c r="J28" s="129"/>
      <c r="K28" s="130"/>
      <c r="L28" s="126"/>
      <c r="M28" s="14"/>
    </row>
    <row r="29" spans="1:13" x14ac:dyDescent="0.25">
      <c r="A29" s="126"/>
      <c r="B29" s="127">
        <v>54888</v>
      </c>
      <c r="C29" s="122">
        <v>41928</v>
      </c>
      <c r="D29" s="128" t="s">
        <v>408</v>
      </c>
      <c r="E29" s="127" t="s">
        <v>396</v>
      </c>
      <c r="F29" s="128" t="s">
        <v>392</v>
      </c>
      <c r="G29" s="123" t="s">
        <v>382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/>
      <c r="B30" s="127">
        <v>55496</v>
      </c>
      <c r="C30" s="122">
        <v>41929</v>
      </c>
      <c r="D30" s="128" t="s">
        <v>409</v>
      </c>
      <c r="E30" s="127" t="s">
        <v>391</v>
      </c>
      <c r="F30" s="128" t="s">
        <v>392</v>
      </c>
      <c r="G30" s="123" t="s">
        <v>384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/>
      <c r="B31" s="127">
        <v>64810</v>
      </c>
      <c r="C31" s="122">
        <v>41960</v>
      </c>
      <c r="D31" s="128" t="s">
        <v>410</v>
      </c>
      <c r="E31" s="127" t="s">
        <v>411</v>
      </c>
      <c r="F31" s="128" t="s">
        <v>392</v>
      </c>
      <c r="G31" s="123" t="s">
        <v>382</v>
      </c>
      <c r="H31" s="126"/>
      <c r="I31" s="125">
        <v>1</v>
      </c>
      <c r="J31" s="129"/>
      <c r="K31" s="130"/>
      <c r="L31" s="126"/>
      <c r="M31" s="14"/>
    </row>
    <row r="32" spans="1:13" x14ac:dyDescent="0.25">
      <c r="A32" s="126"/>
      <c r="B32" s="127">
        <v>64810</v>
      </c>
      <c r="C32" s="122">
        <v>41960</v>
      </c>
      <c r="D32" s="128" t="s">
        <v>410</v>
      </c>
      <c r="E32" s="127" t="s">
        <v>411</v>
      </c>
      <c r="F32" s="128" t="s">
        <v>412</v>
      </c>
      <c r="G32" s="123" t="s">
        <v>384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/>
      <c r="B33" s="127">
        <v>67060</v>
      </c>
      <c r="C33" s="122">
        <v>41963</v>
      </c>
      <c r="D33" s="128" t="s">
        <v>413</v>
      </c>
      <c r="E33" s="127" t="s">
        <v>396</v>
      </c>
      <c r="F33" s="128" t="s">
        <v>414</v>
      </c>
      <c r="G33" s="123" t="s">
        <v>415</v>
      </c>
      <c r="H33" s="126"/>
      <c r="I33" s="125">
        <v>2</v>
      </c>
      <c r="J33" s="129"/>
      <c r="K33" s="130"/>
      <c r="L33" s="126"/>
      <c r="M33" s="14"/>
    </row>
    <row r="34" spans="1:13" x14ac:dyDescent="0.25">
      <c r="A34" s="126"/>
      <c r="B34" s="127">
        <v>72696</v>
      </c>
      <c r="C34" s="122">
        <v>41977</v>
      </c>
      <c r="D34" s="128" t="s">
        <v>416</v>
      </c>
      <c r="E34" s="127" t="s">
        <v>396</v>
      </c>
      <c r="F34" s="128" t="s">
        <v>414</v>
      </c>
      <c r="G34" s="123" t="s">
        <v>417</v>
      </c>
      <c r="H34" s="126"/>
      <c r="I34" s="125">
        <v>2</v>
      </c>
      <c r="J34" s="129"/>
      <c r="K34" s="130"/>
      <c r="L34" s="126"/>
      <c r="M34" s="14"/>
    </row>
    <row r="35" spans="1:13" x14ac:dyDescent="0.25">
      <c r="A35" s="126"/>
      <c r="B35" s="127" t="s">
        <v>454</v>
      </c>
      <c r="C35" s="122">
        <v>42010</v>
      </c>
      <c r="D35" s="128" t="s">
        <v>420</v>
      </c>
      <c r="E35" s="127" t="s">
        <v>396</v>
      </c>
      <c r="F35" s="128" t="s">
        <v>455</v>
      </c>
      <c r="G35" s="123" t="s">
        <v>384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/>
      <c r="B36" s="127" t="s">
        <v>453</v>
      </c>
      <c r="C36" s="122">
        <v>42006</v>
      </c>
      <c r="D36" s="128" t="s">
        <v>421</v>
      </c>
      <c r="E36" s="127" t="s">
        <v>404</v>
      </c>
      <c r="F36" s="128" t="s">
        <v>445</v>
      </c>
      <c r="G36" s="123" t="s">
        <v>422</v>
      </c>
      <c r="H36" s="126"/>
      <c r="I36" s="125">
        <v>1</v>
      </c>
      <c r="J36" s="129"/>
      <c r="K36" s="130"/>
      <c r="L36" s="126"/>
      <c r="M36" s="14"/>
    </row>
    <row r="37" spans="1:13" x14ac:dyDescent="0.25">
      <c r="A37" s="126"/>
      <c r="B37" s="127">
        <v>84264</v>
      </c>
      <c r="C37" s="122">
        <v>42003</v>
      </c>
      <c r="D37" s="128" t="s">
        <v>423</v>
      </c>
      <c r="E37" s="127" t="s">
        <v>396</v>
      </c>
      <c r="F37" s="128" t="s">
        <v>424</v>
      </c>
      <c r="G37" s="123" t="s">
        <v>425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/>
      <c r="B38" s="127"/>
      <c r="C38" s="122"/>
      <c r="D38" s="128"/>
      <c r="E38" s="127"/>
      <c r="F38" s="128"/>
      <c r="G38" s="123"/>
      <c r="H38" s="126"/>
      <c r="I38" s="125"/>
      <c r="J38" s="129"/>
      <c r="K38" s="130"/>
      <c r="L38" s="126"/>
      <c r="M38" s="14"/>
    </row>
    <row r="39" spans="1:13" x14ac:dyDescent="0.25">
      <c r="A39" s="126"/>
      <c r="B39" s="127"/>
      <c r="C39" s="122"/>
      <c r="D39" s="128"/>
      <c r="E39" s="127"/>
      <c r="F39" s="128"/>
      <c r="G39" s="123"/>
      <c r="H39" s="126"/>
      <c r="I39" s="125"/>
      <c r="J39" s="129"/>
      <c r="K39" s="130"/>
      <c r="L39" s="126"/>
      <c r="M39" s="14"/>
    </row>
    <row r="40" spans="1:13" x14ac:dyDescent="0.25">
      <c r="A40" s="126"/>
      <c r="B40" s="127"/>
      <c r="C40" s="122"/>
      <c r="D40" s="128"/>
      <c r="E40" s="127"/>
      <c r="F40" s="128"/>
      <c r="G40" s="123"/>
      <c r="H40" s="126"/>
      <c r="I40" s="125"/>
      <c r="J40" s="129"/>
      <c r="K40" s="130"/>
      <c r="L40" s="126"/>
      <c r="M40" s="14"/>
    </row>
    <row r="41" spans="1:13" x14ac:dyDescent="0.25">
      <c r="A41" s="126"/>
      <c r="B41" s="127"/>
      <c r="C41" s="122"/>
      <c r="D41" s="128"/>
      <c r="E41" s="127"/>
      <c r="F41" s="128"/>
      <c r="G41" s="123"/>
      <c r="H41" s="126"/>
      <c r="I41" s="125"/>
      <c r="J41" s="129"/>
      <c r="K41" s="130"/>
      <c r="L41" s="126"/>
      <c r="M41" s="14"/>
    </row>
    <row r="42" spans="1:13" x14ac:dyDescent="0.25">
      <c r="A42" s="126"/>
      <c r="B42" s="127"/>
      <c r="C42" s="122"/>
      <c r="D42" s="128"/>
      <c r="E42" s="127"/>
      <c r="F42" s="128"/>
      <c r="G42" s="123"/>
      <c r="H42" s="126"/>
      <c r="I42" s="125"/>
      <c r="J42" s="129"/>
      <c r="K42" s="130"/>
      <c r="L42" s="126"/>
      <c r="M42" s="14"/>
    </row>
    <row r="43" spans="1:13" x14ac:dyDescent="0.25">
      <c r="A43" s="126"/>
      <c r="B43" s="127"/>
      <c r="C43" s="122"/>
      <c r="D43" s="128"/>
      <c r="E43" s="127"/>
      <c r="F43" s="128"/>
      <c r="G43" s="123"/>
      <c r="H43" s="126"/>
      <c r="I43" s="125"/>
      <c r="J43" s="129"/>
      <c r="K43" s="130"/>
      <c r="L43" s="126"/>
      <c r="M43" s="14"/>
    </row>
    <row r="44" spans="1:13" x14ac:dyDescent="0.25">
      <c r="A44" s="126"/>
      <c r="B44" s="127"/>
      <c r="C44" s="122"/>
      <c r="D44" s="128"/>
      <c r="E44" s="127"/>
      <c r="F44" s="128"/>
      <c r="G44" s="123"/>
      <c r="H44" s="126"/>
      <c r="I44" s="125"/>
      <c r="J44" s="129"/>
      <c r="K44" s="130"/>
      <c r="L44" s="126"/>
      <c r="M44" s="14"/>
    </row>
    <row r="45" spans="1:13" x14ac:dyDescent="0.25">
      <c r="A45" s="126"/>
      <c r="B45" s="127"/>
      <c r="C45" s="122"/>
      <c r="D45" s="128"/>
      <c r="E45" s="127"/>
      <c r="F45" s="128"/>
      <c r="G45" s="123"/>
      <c r="H45" s="126"/>
      <c r="I45" s="125"/>
      <c r="J45" s="129"/>
      <c r="K45" s="130"/>
      <c r="L45" s="126"/>
      <c r="M45" s="14"/>
    </row>
    <row r="46" spans="1:13" x14ac:dyDescent="0.25">
      <c r="A46" s="126"/>
      <c r="B46" s="127"/>
      <c r="C46" s="122"/>
      <c r="D46" s="128"/>
      <c r="E46" s="127"/>
      <c r="F46" s="128"/>
      <c r="G46" s="123"/>
      <c r="H46" s="126"/>
      <c r="I46" s="125"/>
      <c r="J46" s="129"/>
      <c r="K46" s="130"/>
      <c r="L46" s="126"/>
      <c r="M46" s="14"/>
    </row>
    <row r="47" spans="1:13" x14ac:dyDescent="0.25">
      <c r="A47" s="126"/>
      <c r="B47" s="127"/>
      <c r="C47" s="122"/>
      <c r="D47" s="128"/>
      <c r="E47" s="127"/>
      <c r="F47" s="128"/>
      <c r="G47" s="123"/>
      <c r="H47" s="126"/>
      <c r="I47" s="125"/>
      <c r="J47" s="129"/>
      <c r="K47" s="130"/>
      <c r="L47" s="126"/>
      <c r="M47" s="14"/>
    </row>
    <row r="48" spans="1:13" x14ac:dyDescent="0.25">
      <c r="A48" s="126"/>
      <c r="B48" s="127"/>
      <c r="C48" s="122"/>
      <c r="D48" s="128"/>
      <c r="E48" s="127"/>
      <c r="F48" s="128"/>
      <c r="G48" s="123"/>
      <c r="H48" s="126"/>
      <c r="I48" s="125"/>
      <c r="J48" s="129"/>
      <c r="K48" s="130"/>
      <c r="L48" s="126"/>
      <c r="M48" s="14"/>
    </row>
    <row r="49" spans="1:13" x14ac:dyDescent="0.25">
      <c r="A49" s="126"/>
      <c r="B49" s="127"/>
      <c r="C49" s="122"/>
      <c r="D49" s="128"/>
      <c r="E49" s="127"/>
      <c r="F49" s="128"/>
      <c r="G49" s="123"/>
      <c r="H49" s="126"/>
      <c r="I49" s="125"/>
      <c r="J49" s="129"/>
      <c r="K49" s="130"/>
      <c r="L49" s="126"/>
      <c r="M49" s="14"/>
    </row>
    <row r="50" spans="1:13" x14ac:dyDescent="0.25">
      <c r="A50" s="126"/>
      <c r="B50" s="127"/>
      <c r="C50" s="122"/>
      <c r="D50" s="128"/>
      <c r="E50" s="127"/>
      <c r="F50" s="128"/>
      <c r="G50" s="123"/>
      <c r="H50" s="126"/>
      <c r="I50" s="125"/>
      <c r="J50" s="129"/>
      <c r="K50" s="130"/>
      <c r="L50" s="126"/>
      <c r="M50" s="14"/>
    </row>
    <row r="51" spans="1:13" x14ac:dyDescent="0.25">
      <c r="A51" s="126"/>
      <c r="B51" s="127"/>
      <c r="C51" s="122"/>
      <c r="D51" s="128"/>
      <c r="E51" s="127"/>
      <c r="F51" s="128"/>
      <c r="G51" s="123"/>
      <c r="H51" s="126"/>
      <c r="I51" s="125"/>
      <c r="J51" s="129"/>
      <c r="K51" s="130"/>
      <c r="L51" s="126"/>
      <c r="M51" s="14"/>
    </row>
    <row r="52" spans="1:13" x14ac:dyDescent="0.25">
      <c r="A52" s="126"/>
      <c r="B52" s="127"/>
      <c r="C52" s="122"/>
      <c r="D52" s="128"/>
      <c r="E52" s="127"/>
      <c r="F52" s="128"/>
      <c r="G52" s="123"/>
      <c r="H52" s="126"/>
      <c r="I52" s="125"/>
      <c r="J52" s="129"/>
      <c r="K52" s="130"/>
      <c r="L52" s="126"/>
      <c r="M52" s="14"/>
    </row>
    <row r="53" spans="1:13" x14ac:dyDescent="0.25">
      <c r="A53" s="126"/>
      <c r="B53" s="127"/>
      <c r="C53" s="122"/>
      <c r="D53" s="128"/>
      <c r="E53" s="127"/>
      <c r="F53" s="128"/>
      <c r="G53" s="123"/>
      <c r="H53" s="126"/>
      <c r="I53" s="125"/>
      <c r="J53" s="129"/>
      <c r="K53" s="130"/>
      <c r="L53" s="126"/>
      <c r="M53" s="14"/>
    </row>
    <row r="54" spans="1:13" x14ac:dyDescent="0.25">
      <c r="A54" s="126"/>
      <c r="B54" s="127"/>
      <c r="C54" s="122"/>
      <c r="D54" s="128"/>
      <c r="E54" s="127"/>
      <c r="F54" s="128"/>
      <c r="G54" s="123"/>
      <c r="H54" s="126"/>
      <c r="I54" s="125"/>
      <c r="J54" s="129"/>
      <c r="K54" s="130"/>
      <c r="L54" s="126"/>
      <c r="M54" s="14"/>
    </row>
    <row r="55" spans="1:13" x14ac:dyDescent="0.25">
      <c r="A55" s="126"/>
      <c r="B55" s="127"/>
      <c r="C55" s="122"/>
      <c r="D55" s="128"/>
      <c r="E55" s="127"/>
      <c r="F55" s="128"/>
      <c r="G55" s="123"/>
      <c r="H55" s="126"/>
      <c r="I55" s="125"/>
      <c r="J55" s="129"/>
      <c r="K55" s="130"/>
      <c r="L55" s="126"/>
      <c r="M55" s="14"/>
    </row>
    <row r="56" spans="1:13" x14ac:dyDescent="0.25">
      <c r="A56" s="126"/>
      <c r="B56" s="127"/>
      <c r="C56" s="122"/>
      <c r="D56" s="128"/>
      <c r="E56" s="127"/>
      <c r="F56" s="128"/>
      <c r="G56" s="123"/>
      <c r="H56" s="126"/>
      <c r="I56" s="125"/>
      <c r="J56" s="129"/>
      <c r="K56" s="130"/>
      <c r="L56" s="126"/>
      <c r="M56" s="14"/>
    </row>
    <row r="57" spans="1:13" x14ac:dyDescent="0.25">
      <c r="A57" s="126"/>
      <c r="B57" s="127"/>
      <c r="C57" s="122"/>
      <c r="D57" s="128"/>
      <c r="E57" s="127"/>
      <c r="F57" s="128"/>
      <c r="G57" s="123"/>
      <c r="H57" s="126"/>
      <c r="I57" s="125"/>
      <c r="J57" s="129"/>
      <c r="K57" s="130"/>
      <c r="L57" s="126"/>
      <c r="M57" s="14"/>
    </row>
    <row r="58" spans="1:13" x14ac:dyDescent="0.25">
      <c r="A58" s="126"/>
      <c r="B58" s="127"/>
      <c r="C58" s="122"/>
      <c r="D58" s="128"/>
      <c r="E58" s="127"/>
      <c r="F58" s="128"/>
      <c r="G58" s="123"/>
      <c r="H58" s="126"/>
      <c r="I58" s="125"/>
      <c r="J58" s="129"/>
      <c r="K58" s="130"/>
      <c r="L58" s="126"/>
      <c r="M58" s="14"/>
    </row>
    <row r="59" spans="1:13" x14ac:dyDescent="0.25">
      <c r="A59" s="126"/>
      <c r="B59" s="127"/>
      <c r="C59" s="122"/>
      <c r="D59" s="128"/>
      <c r="E59" s="127"/>
      <c r="F59" s="128"/>
      <c r="G59" s="123"/>
      <c r="H59" s="126"/>
      <c r="I59" s="125"/>
      <c r="J59" s="129"/>
      <c r="K59" s="130"/>
      <c r="L59" s="126"/>
      <c r="M59" s="14"/>
    </row>
    <row r="60" spans="1:13" x14ac:dyDescent="0.25">
      <c r="A60" s="126"/>
      <c r="B60" s="127"/>
      <c r="C60" s="122"/>
      <c r="D60" s="128"/>
      <c r="E60" s="127"/>
      <c r="F60" s="128"/>
      <c r="G60" s="123"/>
      <c r="H60" s="126"/>
      <c r="I60" s="125"/>
      <c r="J60" s="129"/>
      <c r="K60" s="130"/>
      <c r="L60" s="126"/>
      <c r="M60" s="14"/>
    </row>
    <row r="61" spans="1:13" x14ac:dyDescent="0.25">
      <c r="A61" s="126"/>
      <c r="B61" s="127"/>
      <c r="C61" s="122"/>
      <c r="D61" s="128"/>
      <c r="E61" s="127"/>
      <c r="F61" s="128"/>
      <c r="G61" s="123"/>
      <c r="H61" s="126"/>
      <c r="I61" s="125"/>
      <c r="J61" s="129"/>
      <c r="K61" s="130"/>
      <c r="L61" s="126"/>
      <c r="M61" s="14"/>
    </row>
    <row r="62" spans="1:13" x14ac:dyDescent="0.25">
      <c r="A62" s="126"/>
      <c r="B62" s="127"/>
      <c r="C62" s="122"/>
      <c r="D62" s="128"/>
      <c r="E62" s="127"/>
      <c r="F62" s="128"/>
      <c r="G62" s="123"/>
      <c r="H62" s="126"/>
      <c r="I62" s="125"/>
      <c r="J62" s="129"/>
      <c r="K62" s="130"/>
      <c r="L62" s="126"/>
      <c r="M62" s="14"/>
    </row>
    <row r="63" spans="1:13" x14ac:dyDescent="0.25">
      <c r="A63" s="126"/>
      <c r="B63" s="127"/>
      <c r="C63" s="122"/>
      <c r="D63" s="128"/>
      <c r="E63" s="127"/>
      <c r="F63" s="128"/>
      <c r="G63" s="123"/>
      <c r="H63" s="126"/>
      <c r="I63" s="125"/>
      <c r="J63" s="129"/>
      <c r="K63" s="130"/>
      <c r="L63" s="126"/>
      <c r="M63" s="14"/>
    </row>
    <row r="64" spans="1:13" x14ac:dyDescent="0.25">
      <c r="A64" s="126"/>
      <c r="B64" s="127"/>
      <c r="C64" s="122"/>
      <c r="D64" s="128"/>
      <c r="E64" s="127"/>
      <c r="F64" s="128"/>
      <c r="G64" s="123"/>
      <c r="H64" s="126"/>
      <c r="I64" s="125"/>
      <c r="J64" s="129"/>
      <c r="K64" s="130"/>
      <c r="L64" s="126"/>
      <c r="M64" s="14"/>
    </row>
    <row r="65" spans="1:13" x14ac:dyDescent="0.25">
      <c r="A65" s="126"/>
      <c r="B65" s="127"/>
      <c r="C65" s="122"/>
      <c r="D65" s="128"/>
      <c r="E65" s="127"/>
      <c r="F65" s="128"/>
      <c r="G65" s="123"/>
      <c r="H65" s="126"/>
      <c r="I65" s="125"/>
      <c r="J65" s="129"/>
      <c r="K65" s="130"/>
      <c r="L65" s="126"/>
      <c r="M65" s="14"/>
    </row>
    <row r="66" spans="1:13" x14ac:dyDescent="0.25">
      <c r="A66" s="126"/>
      <c r="B66" s="127"/>
      <c r="C66" s="122"/>
      <c r="D66" s="128"/>
      <c r="E66" s="127"/>
      <c r="F66" s="128"/>
      <c r="G66" s="123"/>
      <c r="H66" s="126"/>
      <c r="I66" s="125"/>
      <c r="J66" s="129"/>
      <c r="K66" s="130"/>
      <c r="L66" s="126"/>
      <c r="M66" s="14"/>
    </row>
    <row r="67" spans="1:13" x14ac:dyDescent="0.25">
      <c r="A67" s="126"/>
      <c r="B67" s="127"/>
      <c r="C67" s="122"/>
      <c r="D67" s="128"/>
      <c r="E67" s="127"/>
      <c r="F67" s="128"/>
      <c r="G67" s="123"/>
      <c r="H67" s="126"/>
      <c r="I67" s="125"/>
      <c r="J67" s="129"/>
      <c r="K67" s="130"/>
      <c r="L67" s="126"/>
      <c r="M67" s="14"/>
    </row>
    <row r="68" spans="1:13" x14ac:dyDescent="0.25">
      <c r="A68" s="126"/>
      <c r="B68" s="127"/>
      <c r="C68" s="122"/>
      <c r="D68" s="128"/>
      <c r="E68" s="127"/>
      <c r="F68" s="128"/>
      <c r="G68" s="123"/>
      <c r="H68" s="126"/>
      <c r="I68" s="125"/>
      <c r="J68" s="129"/>
      <c r="K68" s="130"/>
      <c r="L68" s="126"/>
      <c r="M68" s="14"/>
    </row>
    <row r="69" spans="1:13" x14ac:dyDescent="0.25">
      <c r="A69" s="126"/>
      <c r="B69" s="127"/>
      <c r="C69" s="122"/>
      <c r="D69" s="128"/>
      <c r="E69" s="127"/>
      <c r="F69" s="128"/>
      <c r="G69" s="123"/>
      <c r="H69" s="126"/>
      <c r="I69" s="125"/>
      <c r="J69" s="129"/>
      <c r="K69" s="130"/>
      <c r="L69" s="126"/>
      <c r="M6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B41"/>
  <sheetViews>
    <sheetView zoomScale="90" zoomScaleNormal="90" workbookViewId="0">
      <selection activeCell="D19" sqref="D19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426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 xml:space="preserve">SOC. ODONTOLÓGICA UNO SALUD LA FLORIDA LTDA. </v>
      </c>
      <c r="H3" s="119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76.368.014-2</v>
      </c>
      <c r="H4" s="119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FROILAN ROA 894, LA FLORIDA. </v>
      </c>
      <c r="H5" s="119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19" t="s">
        <v>179</v>
      </c>
      <c r="I6" s="107" t="str">
        <f>IFERROR(VLOOKUP($A$2,DATOS!$A$2:$N$15,11,FALSE),"SUCURSAL NO ENCONTRADA")</f>
        <v/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LA FLORIDA LTDA.</v>
      </c>
      <c r="H7" s="119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7">
        <f>IFERROR(VLOOKUP($A$2,DATOS!$A$2:$N$15,13,FALSE),"SUCURSAL NO ENCONTRADA")</f>
        <v>0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85734</v>
      </c>
      <c r="C11" s="105">
        <v>42010</v>
      </c>
      <c r="D11" s="103" t="s">
        <v>456</v>
      </c>
      <c r="E11" s="102" t="s">
        <v>441</v>
      </c>
      <c r="F11" s="103" t="s">
        <v>231</v>
      </c>
      <c r="G11" s="9"/>
      <c r="H11" s="12" t="s">
        <v>384</v>
      </c>
      <c r="I11" s="132">
        <v>1</v>
      </c>
      <c r="J11" s="98">
        <f>IF(F11="","",VLOOKUP(F11,ARANCEL!$E$2:$F$123,2,FALSE))</f>
        <v>22299.074999999997</v>
      </c>
      <c r="K11" s="99">
        <f t="shared" ref="K11:K18" si="0">IF(I11=0,"",J11*I11)</f>
        <v>22299.074999999997</v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2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/>
      <c r="B23" s="127" t="s">
        <v>427</v>
      </c>
      <c r="C23" s="122">
        <v>41925</v>
      </c>
      <c r="D23" s="128" t="s">
        <v>428</v>
      </c>
      <c r="E23" s="127" t="s">
        <v>429</v>
      </c>
      <c r="F23" s="128" t="s">
        <v>397</v>
      </c>
      <c r="G23" s="123" t="s">
        <v>430</v>
      </c>
      <c r="H23" s="126"/>
      <c r="I23" s="125">
        <v>1</v>
      </c>
      <c r="J23" s="129"/>
      <c r="K23" s="130"/>
      <c r="L23" s="126"/>
      <c r="M23" s="14"/>
    </row>
    <row r="24" spans="1:13" x14ac:dyDescent="0.25">
      <c r="A24" s="126"/>
      <c r="B24" s="127">
        <v>53827</v>
      </c>
      <c r="C24" s="122">
        <v>41925</v>
      </c>
      <c r="D24" s="128" t="s">
        <v>431</v>
      </c>
      <c r="E24" s="127" t="s">
        <v>429</v>
      </c>
      <c r="F24" s="128" t="s">
        <v>414</v>
      </c>
      <c r="G24" s="123" t="s">
        <v>432</v>
      </c>
      <c r="H24" s="126"/>
      <c r="I24" s="125">
        <v>1</v>
      </c>
      <c r="J24" s="129"/>
      <c r="K24" s="130"/>
      <c r="L24" s="126"/>
      <c r="M24" s="14"/>
    </row>
    <row r="25" spans="1:13" x14ac:dyDescent="0.25">
      <c r="A25" s="126"/>
      <c r="B25" s="127">
        <v>53385</v>
      </c>
      <c r="C25" s="122">
        <v>41925</v>
      </c>
      <c r="D25" s="128" t="s">
        <v>433</v>
      </c>
      <c r="E25" s="127" t="s">
        <v>429</v>
      </c>
      <c r="F25" s="128" t="s">
        <v>414</v>
      </c>
      <c r="G25" s="123" t="s">
        <v>434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/>
      <c r="B26" s="127">
        <v>52831</v>
      </c>
      <c r="C26" s="122">
        <v>41922</v>
      </c>
      <c r="D26" s="128" t="s">
        <v>435</v>
      </c>
      <c r="E26" s="127" t="s">
        <v>436</v>
      </c>
      <c r="F26" s="128" t="s">
        <v>437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/>
      <c r="B27" s="127">
        <v>60202</v>
      </c>
      <c r="C27" s="122">
        <v>41942</v>
      </c>
      <c r="D27" s="128" t="s">
        <v>438</v>
      </c>
      <c r="E27" s="127" t="s">
        <v>439</v>
      </c>
      <c r="F27" s="128" t="s">
        <v>401</v>
      </c>
      <c r="G27" s="123" t="s">
        <v>384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/>
      <c r="B28" s="127">
        <v>69301</v>
      </c>
      <c r="C28" s="122">
        <v>41969</v>
      </c>
      <c r="D28" s="128" t="s">
        <v>440</v>
      </c>
      <c r="E28" s="127" t="s">
        <v>441</v>
      </c>
      <c r="F28" s="128" t="s">
        <v>392</v>
      </c>
      <c r="G28" s="123" t="s">
        <v>402</v>
      </c>
      <c r="H28" s="126"/>
      <c r="I28" s="125">
        <v>2</v>
      </c>
      <c r="J28" s="129"/>
      <c r="K28" s="130"/>
      <c r="L28" s="126"/>
      <c r="M28" s="14"/>
    </row>
    <row r="29" spans="1:13" x14ac:dyDescent="0.25">
      <c r="A29" s="126"/>
      <c r="B29" s="127">
        <v>70149</v>
      </c>
      <c r="C29" s="122">
        <v>41970</v>
      </c>
      <c r="D29" s="128" t="s">
        <v>442</v>
      </c>
      <c r="E29" s="127" t="s">
        <v>441</v>
      </c>
      <c r="F29" s="128" t="s">
        <v>414</v>
      </c>
      <c r="G29" s="123" t="s">
        <v>398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/>
      <c r="B30" s="127" t="s">
        <v>443</v>
      </c>
      <c r="C30" s="122">
        <v>41991</v>
      </c>
      <c r="D30" s="128" t="s">
        <v>444</v>
      </c>
      <c r="E30" s="127" t="s">
        <v>441</v>
      </c>
      <c r="F30" s="128" t="s">
        <v>445</v>
      </c>
      <c r="G30" s="123" t="s">
        <v>446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/>
      <c r="B31" s="127" t="s">
        <v>447</v>
      </c>
      <c r="C31" s="122">
        <v>41989</v>
      </c>
      <c r="D31" s="128" t="s">
        <v>448</v>
      </c>
      <c r="E31" s="127" t="s">
        <v>441</v>
      </c>
      <c r="F31" s="128" t="s">
        <v>445</v>
      </c>
      <c r="G31" s="123" t="s">
        <v>449</v>
      </c>
      <c r="H31" s="126"/>
      <c r="I31" s="125">
        <v>1</v>
      </c>
      <c r="J31" s="129"/>
      <c r="K31" s="130"/>
      <c r="L31" s="126"/>
      <c r="M31" s="14"/>
    </row>
    <row r="32" spans="1:13" x14ac:dyDescent="0.25">
      <c r="A32" s="126"/>
      <c r="B32" s="127">
        <v>84537</v>
      </c>
      <c r="C32" s="122">
        <v>42003</v>
      </c>
      <c r="D32" s="128" t="s">
        <v>450</v>
      </c>
      <c r="E32" s="127" t="s">
        <v>441</v>
      </c>
      <c r="F32" s="128" t="s">
        <v>414</v>
      </c>
      <c r="G32" s="123" t="s">
        <v>432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/>
      <c r="B33" s="127"/>
      <c r="C33" s="122"/>
      <c r="D33" s="128"/>
      <c r="E33" s="127"/>
      <c r="F33" s="128"/>
      <c r="G33" s="123"/>
      <c r="H33" s="126"/>
      <c r="I33" s="125"/>
      <c r="J33" s="129"/>
      <c r="K33" s="130"/>
      <c r="L33" s="126"/>
      <c r="M33" s="14"/>
    </row>
    <row r="34" spans="1:13" x14ac:dyDescent="0.25">
      <c r="A34" s="126"/>
      <c r="B34" s="127"/>
      <c r="C34" s="122"/>
      <c r="D34" s="128"/>
      <c r="E34" s="127"/>
      <c r="F34" s="128"/>
      <c r="G34" s="123"/>
      <c r="H34" s="126"/>
      <c r="I34" s="125"/>
      <c r="J34" s="129"/>
      <c r="K34" s="130"/>
      <c r="L34" s="126"/>
      <c r="M34" s="14"/>
    </row>
    <row r="35" spans="1:13" x14ac:dyDescent="0.25">
      <c r="A35" s="126"/>
      <c r="B35" s="127"/>
      <c r="C35" s="122"/>
      <c r="D35" s="128"/>
      <c r="E35" s="127"/>
      <c r="F35" s="128"/>
      <c r="G35" s="123"/>
      <c r="H35" s="126"/>
      <c r="I35" s="125"/>
      <c r="J35" s="129"/>
      <c r="K35" s="130"/>
      <c r="L35" s="126"/>
      <c r="M35" s="14"/>
    </row>
    <row r="36" spans="1:13" x14ac:dyDescent="0.25">
      <c r="A36" s="126"/>
      <c r="B36" s="127"/>
      <c r="C36" s="122"/>
      <c r="D36" s="128"/>
      <c r="E36" s="127"/>
      <c r="F36" s="128"/>
      <c r="G36" s="123"/>
      <c r="H36" s="126"/>
      <c r="I36" s="125"/>
      <c r="J36" s="129"/>
      <c r="K36" s="130"/>
      <c r="L36" s="126"/>
      <c r="M36" s="14"/>
    </row>
    <row r="37" spans="1:13" x14ac:dyDescent="0.25">
      <c r="A37" s="126"/>
      <c r="B37" s="127"/>
      <c r="C37" s="122"/>
      <c r="D37" s="128"/>
      <c r="E37" s="127"/>
      <c r="F37" s="128"/>
      <c r="G37" s="123"/>
      <c r="H37" s="126"/>
      <c r="I37" s="125"/>
      <c r="J37" s="129"/>
      <c r="K37" s="130"/>
      <c r="L37" s="126"/>
      <c r="M37" s="14"/>
    </row>
    <row r="38" spans="1:13" x14ac:dyDescent="0.25">
      <c r="A38" s="126"/>
      <c r="B38" s="127"/>
      <c r="C38" s="122"/>
      <c r="D38" s="128"/>
      <c r="E38" s="127"/>
      <c r="F38" s="128"/>
      <c r="G38" s="123"/>
      <c r="H38" s="126"/>
      <c r="I38" s="125"/>
      <c r="J38" s="129"/>
      <c r="K38" s="130"/>
      <c r="L38" s="126"/>
      <c r="M38" s="14"/>
    </row>
    <row r="39" spans="1:13" x14ac:dyDescent="0.25">
      <c r="A39" s="126"/>
      <c r="B39" s="127"/>
      <c r="C39" s="122"/>
      <c r="D39" s="128"/>
      <c r="E39" s="127"/>
      <c r="F39" s="128"/>
      <c r="G39" s="123"/>
      <c r="H39" s="126"/>
      <c r="I39" s="125"/>
      <c r="J39" s="129"/>
      <c r="K39" s="130"/>
      <c r="L39" s="126"/>
      <c r="M39" s="14"/>
    </row>
    <row r="40" spans="1:13" x14ac:dyDescent="0.25">
      <c r="A40" s="126"/>
      <c r="B40" s="127"/>
      <c r="C40" s="122"/>
      <c r="D40" s="128"/>
      <c r="E40" s="127"/>
      <c r="F40" s="128"/>
      <c r="G40" s="123"/>
      <c r="H40" s="126"/>
      <c r="I40" s="125"/>
      <c r="J40" s="129"/>
      <c r="K40" s="130"/>
      <c r="L40" s="126"/>
      <c r="M40" s="14"/>
    </row>
    <row r="41" spans="1:13" x14ac:dyDescent="0.25">
      <c r="A41" s="126"/>
      <c r="B41" s="127"/>
      <c r="C41" s="122"/>
      <c r="D41" s="128"/>
      <c r="E41" s="127"/>
      <c r="F41" s="128"/>
      <c r="G41" s="123"/>
      <c r="H41" s="126"/>
      <c r="I41" s="125"/>
      <c r="J41" s="129"/>
      <c r="K41" s="130"/>
      <c r="L41" s="126"/>
      <c r="M41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AB47"/>
  <sheetViews>
    <sheetView zoomScale="90" zoomScaleNormal="90" workbookViewId="0">
      <selection activeCell="P8" sqref="P8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FEISA SALUD LTDA</v>
      </c>
      <c r="H3" s="120" t="s">
        <v>178</v>
      </c>
      <c r="I3" s="107" t="str">
        <f>IFERROR(VLOOKUP($A$2,DATOS!$A$2:$N$15,8,FALSE),"SUCURSAL NO ENCONTRADA")</f>
        <v>FEDERICO CASTILLO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76.339.245-7</v>
      </c>
      <c r="H4" s="120" t="s">
        <v>176</v>
      </c>
      <c r="I4" s="107" t="str">
        <f>IFERROR(VLOOKUP($A$2,DATOS!$A$2:$N$15,9,FALSE),"SUCURSAL NO ENCONTRADA")</f>
        <v>fcastillo@unosalud.cl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AVENIDA 5 DE ABRIL 33 LOCAL 35, MAIPU</v>
      </c>
      <c r="H5" s="120" t="s">
        <v>175</v>
      </c>
      <c r="I5" s="107" t="str">
        <f>IFERROR(VLOOKUP($A$2,DATOS!$A$2:$N$15,10,FALSE),"SUCURSAL NO ENCONTRADA")</f>
        <v>7856 7410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DE ATENCION ODONTOLOGICA</v>
      </c>
      <c r="H6" s="120" t="s">
        <v>179</v>
      </c>
      <c r="I6" s="107" t="str">
        <f>IFERROR(VLOOKUP($A$2,DATOS!$A$2:$N$15,11,FALSE),"SUCURSAL NO ENCONTRADA")</f>
        <v>CLAUDIA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MAIPU</v>
      </c>
      <c r="H7" s="120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>
        <f>IFERROR(VLOOKUP($A$2,DATOS!$A$2:$N$15,7,FALSE),"SUCURSAL NO ENCONTRADA")</f>
        <v>0</v>
      </c>
      <c r="D8" s="97"/>
      <c r="E8" s="97"/>
      <c r="F8" s="27"/>
      <c r="G8" s="26"/>
      <c r="H8" s="120" t="s">
        <v>175</v>
      </c>
      <c r="I8" s="107">
        <f>IFERROR(VLOOKUP($A$2,DATOS!$A$2:$N$15,13,FALSE),"SUCURSAL NO ENCONTRADA")</f>
        <v>0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85719</v>
      </c>
      <c r="C11" s="105">
        <v>42011</v>
      </c>
      <c r="D11" s="103" t="s">
        <v>495</v>
      </c>
      <c r="E11" s="102" t="s">
        <v>411</v>
      </c>
      <c r="F11" s="103" t="s">
        <v>116</v>
      </c>
      <c r="G11" s="9"/>
      <c r="H11" s="12" t="s">
        <v>432</v>
      </c>
      <c r="I11" s="132">
        <v>1</v>
      </c>
      <c r="J11" s="98">
        <f>IF(F11="","",VLOOKUP(F11,ARANCEL!$E$2:$F$123,2,FALSE))</f>
        <v>5274.3600000000006</v>
      </c>
      <c r="K11" s="99">
        <f t="shared" ref="K11:K21" si="0">IF(I11=0,"",J11*I11)</f>
        <v>5274.3600000000006</v>
      </c>
      <c r="L11" s="12"/>
      <c r="M11" s="104"/>
    </row>
    <row r="12" spans="1:28" x14ac:dyDescent="0.25">
      <c r="A12" s="102">
        <v>2</v>
      </c>
      <c r="B12" s="102">
        <v>85719</v>
      </c>
      <c r="C12" s="105">
        <v>42011</v>
      </c>
      <c r="D12" s="103" t="s">
        <v>495</v>
      </c>
      <c r="E12" s="102" t="s">
        <v>411</v>
      </c>
      <c r="F12" s="103" t="s">
        <v>222</v>
      </c>
      <c r="G12" s="9"/>
      <c r="H12" s="12" t="s">
        <v>432</v>
      </c>
      <c r="I12" s="132">
        <v>1</v>
      </c>
      <c r="J12" s="98">
        <f>IF(F12="","",VLOOKUP(F12,ARANCEL!$E$2:$F$123,2,FALSE))</f>
        <v>14098.999999999998</v>
      </c>
      <c r="K12" s="99">
        <f t="shared" si="0"/>
        <v>14098.999999999998</v>
      </c>
      <c r="L12" s="12"/>
      <c r="M12" s="104"/>
    </row>
    <row r="13" spans="1:28" x14ac:dyDescent="0.25">
      <c r="A13" s="102">
        <v>3</v>
      </c>
      <c r="B13" s="102">
        <v>85541</v>
      </c>
      <c r="C13" s="105">
        <v>42010</v>
      </c>
      <c r="D13" s="103" t="s">
        <v>480</v>
      </c>
      <c r="E13" s="102" t="s">
        <v>475</v>
      </c>
      <c r="F13" s="103" t="s">
        <v>367</v>
      </c>
      <c r="G13" s="9"/>
      <c r="H13" s="12" t="s">
        <v>384</v>
      </c>
      <c r="I13" s="132">
        <v>1</v>
      </c>
      <c r="J13" s="98">
        <f>IF(F13="","",VLOOKUP(F13,ARANCEL!$E$2:$F$123,2,FALSE))</f>
        <v>55057.687499999993</v>
      </c>
      <c r="K13" s="99">
        <f t="shared" si="0"/>
        <v>55057.687499999993</v>
      </c>
      <c r="L13" s="12"/>
      <c r="M13" s="104"/>
    </row>
    <row r="14" spans="1:28" x14ac:dyDescent="0.25">
      <c r="A14" s="102">
        <v>4</v>
      </c>
      <c r="B14" s="114">
        <v>85186</v>
      </c>
      <c r="C14" s="115">
        <v>42009</v>
      </c>
      <c r="D14" s="116" t="s">
        <v>481</v>
      </c>
      <c r="E14" s="114" t="s">
        <v>475</v>
      </c>
      <c r="F14" s="116" t="s">
        <v>115</v>
      </c>
      <c r="G14" s="117"/>
      <c r="H14" s="111" t="s">
        <v>415</v>
      </c>
      <c r="I14" s="118">
        <v>2</v>
      </c>
      <c r="J14" s="98">
        <f>IF(F14="","",VLOOKUP(F14,ARANCEL!$E$2:$F$123,2,FALSE))</f>
        <v>33370.239999999998</v>
      </c>
      <c r="K14" s="113">
        <f t="shared" si="0"/>
        <v>66740.479999999996</v>
      </c>
      <c r="L14" s="111"/>
      <c r="M14" s="112"/>
    </row>
    <row r="15" spans="1:28" x14ac:dyDescent="0.25">
      <c r="A15" s="102">
        <v>5</v>
      </c>
      <c r="B15" s="114">
        <v>85123</v>
      </c>
      <c r="C15" s="115">
        <v>42004</v>
      </c>
      <c r="D15" s="116" t="s">
        <v>496</v>
      </c>
      <c r="E15" s="114" t="s">
        <v>475</v>
      </c>
      <c r="F15" s="116" t="s">
        <v>116</v>
      </c>
      <c r="G15" s="117"/>
      <c r="H15" s="111" t="s">
        <v>449</v>
      </c>
      <c r="I15" s="118">
        <v>1</v>
      </c>
      <c r="J15" s="98">
        <f>IF(F15="","",VLOOKUP(F15,ARANCEL!$E$2:$F$123,2,FALSE))</f>
        <v>5274.3600000000006</v>
      </c>
      <c r="K15" s="113">
        <f t="shared" si="0"/>
        <v>5274.3600000000006</v>
      </c>
      <c r="L15" s="111"/>
      <c r="M15" s="112"/>
    </row>
    <row r="16" spans="1:28" x14ac:dyDescent="0.25">
      <c r="A16" s="102">
        <v>6</v>
      </c>
      <c r="B16" s="114">
        <v>85123</v>
      </c>
      <c r="C16" s="115">
        <v>42004</v>
      </c>
      <c r="D16" s="116" t="s">
        <v>496</v>
      </c>
      <c r="E16" s="114" t="s">
        <v>475</v>
      </c>
      <c r="F16" s="116" t="s">
        <v>216</v>
      </c>
      <c r="G16" s="117"/>
      <c r="H16" s="111" t="s">
        <v>497</v>
      </c>
      <c r="I16" s="118">
        <v>1</v>
      </c>
      <c r="J16" s="98">
        <f>IF(F16="","",VLOOKUP(F16,ARANCEL!$E$2:$F$123,2,FALSE))</f>
        <v>17243.560000000001</v>
      </c>
      <c r="K16" s="113">
        <f t="shared" ref="K16:K18" si="1">IF(I16=0,"",J16*I16)</f>
        <v>17243.560000000001</v>
      </c>
      <c r="L16" s="111"/>
      <c r="M16" s="112"/>
    </row>
    <row r="17" spans="1:13" x14ac:dyDescent="0.25">
      <c r="A17" s="102">
        <v>7</v>
      </c>
      <c r="B17" s="114">
        <v>82219</v>
      </c>
      <c r="C17" s="115">
        <v>41995</v>
      </c>
      <c r="D17" s="116" t="s">
        <v>380</v>
      </c>
      <c r="E17" s="114" t="s">
        <v>381</v>
      </c>
      <c r="F17" s="116" t="s">
        <v>570</v>
      </c>
      <c r="G17" s="117"/>
      <c r="H17" s="111" t="s">
        <v>382</v>
      </c>
      <c r="I17" s="118">
        <v>1</v>
      </c>
      <c r="J17" s="108">
        <v>-18764</v>
      </c>
      <c r="K17" s="108">
        <f t="shared" si="1"/>
        <v>-18764</v>
      </c>
      <c r="L17" s="111"/>
      <c r="M17" s="112" t="s">
        <v>571</v>
      </c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1"/>
        <v/>
      </c>
      <c r="L18" s="111"/>
      <c r="M18" s="112"/>
    </row>
    <row r="19" spans="1:13" x14ac:dyDescent="0.25">
      <c r="A19" s="102">
        <v>9</v>
      </c>
      <c r="B19" s="114"/>
      <c r="C19" s="115"/>
      <c r="D19" s="116"/>
      <c r="E19" s="114"/>
      <c r="F19" s="116"/>
      <c r="G19" s="117"/>
      <c r="H19" s="111"/>
      <c r="I19" s="118"/>
      <c r="J19" s="98" t="str">
        <f>IF(F19="","",VLOOKUP(F19,ARANCEL!$E$2:$F$123,2,FALSE))</f>
        <v/>
      </c>
      <c r="K19" s="113" t="str">
        <f t="shared" si="0"/>
        <v/>
      </c>
      <c r="L19" s="111"/>
      <c r="M19" s="112"/>
    </row>
    <row r="20" spans="1:13" x14ac:dyDescent="0.25">
      <c r="A20" s="102">
        <v>10</v>
      </c>
      <c r="B20" s="114"/>
      <c r="C20" s="115"/>
      <c r="D20" s="116"/>
      <c r="E20" s="114"/>
      <c r="F20" s="116"/>
      <c r="G20" s="117"/>
      <c r="H20" s="111"/>
      <c r="I20" s="118"/>
      <c r="J20" s="98" t="str">
        <f>IF(F20="","",VLOOKUP(F20,ARANCEL!$E$2:$F$123,2,FALSE))</f>
        <v/>
      </c>
      <c r="K20" s="113" t="str">
        <f t="shared" si="0"/>
        <v/>
      </c>
      <c r="L20" s="111"/>
      <c r="M20" s="112"/>
    </row>
    <row r="21" spans="1:13" x14ac:dyDescent="0.25">
      <c r="A21" s="102">
        <v>11</v>
      </c>
      <c r="B21" s="114"/>
      <c r="C21" s="115"/>
      <c r="D21" s="116"/>
      <c r="E21" s="114"/>
      <c r="F21" s="116"/>
      <c r="G21" s="117"/>
      <c r="H21" s="111"/>
      <c r="I21" s="118"/>
      <c r="J21" s="98" t="str">
        <f>IF(F21="","",VLOOKUP(F21,ARANCEL!$E$2:$F$123,2,FALSE))</f>
        <v/>
      </c>
      <c r="K21" s="113" t="str">
        <f t="shared" si="0"/>
        <v/>
      </c>
      <c r="L21" s="111"/>
      <c r="M21" s="112"/>
    </row>
    <row r="24" spans="1:13" ht="20.25" customHeight="1" x14ac:dyDescent="0.25">
      <c r="A24" s="137" t="s">
        <v>379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6">
        <v>1</v>
      </c>
      <c r="B26" s="127">
        <v>40442</v>
      </c>
      <c r="C26" s="122">
        <v>41852</v>
      </c>
      <c r="D26" s="128" t="s">
        <v>457</v>
      </c>
      <c r="E26" s="127" t="s">
        <v>411</v>
      </c>
      <c r="F26" s="128" t="s">
        <v>437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>
        <v>2</v>
      </c>
      <c r="B27" s="127" t="s">
        <v>458</v>
      </c>
      <c r="C27" s="122">
        <v>41911</v>
      </c>
      <c r="D27" s="128" t="s">
        <v>459</v>
      </c>
      <c r="E27" s="127" t="s">
        <v>411</v>
      </c>
      <c r="F27" s="128" t="s">
        <v>397</v>
      </c>
      <c r="G27" s="123" t="s">
        <v>460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>
        <v>3</v>
      </c>
      <c r="B28" s="127">
        <v>53634</v>
      </c>
      <c r="C28" s="122">
        <v>41898</v>
      </c>
      <c r="D28" s="128" t="s">
        <v>461</v>
      </c>
      <c r="E28" s="127" t="s">
        <v>411</v>
      </c>
      <c r="F28" s="128" t="s">
        <v>437</v>
      </c>
      <c r="G28" s="123" t="s">
        <v>402</v>
      </c>
      <c r="H28" s="126"/>
      <c r="I28" s="125">
        <v>2</v>
      </c>
      <c r="J28" s="129"/>
      <c r="K28" s="130"/>
      <c r="L28" s="126"/>
      <c r="M28" s="14"/>
    </row>
    <row r="29" spans="1:13" x14ac:dyDescent="0.25">
      <c r="A29" s="126">
        <v>4</v>
      </c>
      <c r="B29" s="127">
        <v>56609</v>
      </c>
      <c r="C29" s="122">
        <v>41913</v>
      </c>
      <c r="D29" s="128" t="s">
        <v>462</v>
      </c>
      <c r="E29" s="127" t="s">
        <v>411</v>
      </c>
      <c r="F29" s="128" t="s">
        <v>414</v>
      </c>
      <c r="G29" s="123" t="s">
        <v>463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>
        <v>5</v>
      </c>
      <c r="B30" s="127">
        <v>54572</v>
      </c>
      <c r="C30" s="122">
        <v>41927</v>
      </c>
      <c r="D30" s="128" t="s">
        <v>464</v>
      </c>
      <c r="E30" s="127" t="s">
        <v>411</v>
      </c>
      <c r="F30" s="128" t="s">
        <v>414</v>
      </c>
      <c r="G30" s="123" t="s">
        <v>432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>
        <v>6</v>
      </c>
      <c r="B31" s="127">
        <v>56018</v>
      </c>
      <c r="C31" s="122">
        <v>41932</v>
      </c>
      <c r="D31" s="128" t="s">
        <v>465</v>
      </c>
      <c r="E31" s="127" t="s">
        <v>411</v>
      </c>
      <c r="F31" s="128" t="s">
        <v>466</v>
      </c>
      <c r="G31" s="123" t="s">
        <v>402</v>
      </c>
      <c r="H31" s="126"/>
      <c r="I31" s="125">
        <v>2</v>
      </c>
      <c r="J31" s="129"/>
      <c r="K31" s="130"/>
      <c r="L31" s="126"/>
      <c r="M31" s="14"/>
    </row>
    <row r="32" spans="1:13" x14ac:dyDescent="0.25">
      <c r="A32" s="126">
        <v>7</v>
      </c>
      <c r="B32" s="127" t="s">
        <v>467</v>
      </c>
      <c r="C32" s="122">
        <v>41941</v>
      </c>
      <c r="D32" s="128" t="s">
        <v>468</v>
      </c>
      <c r="E32" s="127" t="s">
        <v>411</v>
      </c>
      <c r="F32" s="128" t="s">
        <v>469</v>
      </c>
      <c r="G32" s="123" t="s">
        <v>382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>
        <v>8</v>
      </c>
      <c r="B33" s="127">
        <v>59655</v>
      </c>
      <c r="C33" s="122">
        <v>41941</v>
      </c>
      <c r="D33" s="128" t="s">
        <v>468</v>
      </c>
      <c r="E33" s="127" t="s">
        <v>411</v>
      </c>
      <c r="F33" s="128" t="s">
        <v>392</v>
      </c>
      <c r="G33" s="123" t="s">
        <v>384</v>
      </c>
      <c r="H33" s="126"/>
      <c r="I33" s="125">
        <v>1</v>
      </c>
      <c r="J33" s="129"/>
      <c r="K33" s="130"/>
      <c r="L33" s="126"/>
      <c r="M33" s="14"/>
    </row>
    <row r="34" spans="1:13" x14ac:dyDescent="0.25">
      <c r="A34" s="126">
        <v>9</v>
      </c>
      <c r="B34" s="127">
        <v>60515</v>
      </c>
      <c r="C34" s="122">
        <v>41942</v>
      </c>
      <c r="D34" s="128" t="s">
        <v>470</v>
      </c>
      <c r="E34" s="127" t="s">
        <v>411</v>
      </c>
      <c r="F34" s="128" t="s">
        <v>414</v>
      </c>
      <c r="G34" s="123" t="s">
        <v>463</v>
      </c>
      <c r="H34" s="126"/>
      <c r="I34" s="125">
        <v>1</v>
      </c>
      <c r="J34" s="129"/>
      <c r="K34" s="130"/>
      <c r="L34" s="126"/>
      <c r="M34" s="14"/>
    </row>
    <row r="35" spans="1:13" x14ac:dyDescent="0.25">
      <c r="A35" s="126">
        <v>10</v>
      </c>
      <c r="B35" s="127">
        <v>63197</v>
      </c>
      <c r="C35" s="122">
        <v>41953</v>
      </c>
      <c r="D35" s="128" t="s">
        <v>471</v>
      </c>
      <c r="E35" s="127" t="s">
        <v>411</v>
      </c>
      <c r="F35" s="128" t="s">
        <v>472</v>
      </c>
      <c r="G35" s="123" t="s">
        <v>432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>
        <v>11</v>
      </c>
      <c r="B36" s="127">
        <v>62253</v>
      </c>
      <c r="C36" s="122">
        <v>41953</v>
      </c>
      <c r="D36" s="128" t="s">
        <v>473</v>
      </c>
      <c r="E36" s="127" t="s">
        <v>411</v>
      </c>
      <c r="F36" s="128" t="s">
        <v>401</v>
      </c>
      <c r="G36" s="123" t="s">
        <v>382</v>
      </c>
      <c r="H36" s="126"/>
      <c r="I36" s="125">
        <v>1</v>
      </c>
      <c r="J36" s="129"/>
      <c r="K36" s="130"/>
      <c r="L36" s="126"/>
      <c r="M36" s="14"/>
    </row>
    <row r="37" spans="1:13" x14ac:dyDescent="0.25">
      <c r="A37" s="126">
        <v>12</v>
      </c>
      <c r="B37" s="127">
        <v>68036</v>
      </c>
      <c r="C37" s="122">
        <v>41968</v>
      </c>
      <c r="D37" s="128" t="s">
        <v>474</v>
      </c>
      <c r="E37" s="127" t="s">
        <v>475</v>
      </c>
      <c r="F37" s="128" t="s">
        <v>437</v>
      </c>
      <c r="G37" s="123" t="s">
        <v>384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>
        <v>13</v>
      </c>
      <c r="B38" s="127" t="s">
        <v>476</v>
      </c>
      <c r="C38" s="122">
        <v>41990</v>
      </c>
      <c r="D38" s="128" t="s">
        <v>477</v>
      </c>
      <c r="E38" s="127" t="s">
        <v>411</v>
      </c>
      <c r="F38" s="128" t="s">
        <v>478</v>
      </c>
      <c r="G38" s="123" t="s">
        <v>402</v>
      </c>
      <c r="H38" s="126"/>
      <c r="I38" s="125">
        <v>2</v>
      </c>
      <c r="J38" s="129"/>
      <c r="K38" s="130"/>
      <c r="L38" s="126"/>
      <c r="M38" s="14"/>
    </row>
    <row r="39" spans="1:13" x14ac:dyDescent="0.25">
      <c r="A39" s="126">
        <v>15</v>
      </c>
      <c r="B39" s="127">
        <v>71010</v>
      </c>
      <c r="C39" s="122">
        <v>41974</v>
      </c>
      <c r="D39" s="128" t="s">
        <v>479</v>
      </c>
      <c r="E39" s="127" t="s">
        <v>475</v>
      </c>
      <c r="F39" s="128" t="s">
        <v>392</v>
      </c>
      <c r="G39" s="123" t="s">
        <v>384</v>
      </c>
      <c r="H39" s="126"/>
      <c r="I39" s="125">
        <v>1</v>
      </c>
      <c r="J39" s="129"/>
      <c r="K39" s="130"/>
      <c r="L39" s="126"/>
      <c r="M39" s="14"/>
    </row>
    <row r="40" spans="1:13" x14ac:dyDescent="0.25">
      <c r="A40" s="126">
        <v>22</v>
      </c>
      <c r="B40" s="127" t="s">
        <v>482</v>
      </c>
      <c r="C40" s="122">
        <v>41995</v>
      </c>
      <c r="D40" s="128" t="s">
        <v>483</v>
      </c>
      <c r="E40" s="127" t="s">
        <v>475</v>
      </c>
      <c r="F40" s="128" t="s">
        <v>445</v>
      </c>
      <c r="G40" s="123" t="s">
        <v>407</v>
      </c>
      <c r="H40" s="126"/>
      <c r="I40" s="125">
        <v>1</v>
      </c>
      <c r="J40" s="129"/>
      <c r="K40" s="130"/>
      <c r="L40" s="126"/>
      <c r="M40" s="14"/>
    </row>
    <row r="41" spans="1:13" x14ac:dyDescent="0.25">
      <c r="A41" s="126">
        <v>23</v>
      </c>
      <c r="B41" s="127" t="s">
        <v>484</v>
      </c>
      <c r="C41" s="122">
        <v>41996</v>
      </c>
      <c r="D41" s="128" t="s">
        <v>485</v>
      </c>
      <c r="E41" s="127" t="s">
        <v>475</v>
      </c>
      <c r="F41" s="128" t="s">
        <v>445</v>
      </c>
      <c r="G41" s="123" t="s">
        <v>434</v>
      </c>
      <c r="H41" s="126"/>
      <c r="I41" s="125">
        <v>1</v>
      </c>
      <c r="J41" s="129"/>
      <c r="K41" s="130"/>
      <c r="L41" s="126"/>
      <c r="M41" s="14"/>
    </row>
    <row r="42" spans="1:13" x14ac:dyDescent="0.25">
      <c r="A42" s="126">
        <v>24</v>
      </c>
      <c r="B42" s="127" t="s">
        <v>486</v>
      </c>
      <c r="C42" s="122">
        <v>42002</v>
      </c>
      <c r="D42" s="128" t="s">
        <v>487</v>
      </c>
      <c r="E42" s="127" t="s">
        <v>411</v>
      </c>
      <c r="F42" s="128" t="s">
        <v>478</v>
      </c>
      <c r="G42" s="123" t="s">
        <v>382</v>
      </c>
      <c r="H42" s="126"/>
      <c r="I42" s="125">
        <v>1</v>
      </c>
      <c r="J42" s="129"/>
      <c r="K42" s="130"/>
      <c r="L42" s="126"/>
      <c r="M42" s="14"/>
    </row>
    <row r="43" spans="1:13" x14ac:dyDescent="0.25">
      <c r="A43" s="126">
        <v>25</v>
      </c>
      <c r="B43" s="127">
        <v>82256</v>
      </c>
      <c r="C43" s="122">
        <v>42002</v>
      </c>
      <c r="D43" s="128" t="s">
        <v>488</v>
      </c>
      <c r="E43" s="127" t="s">
        <v>411</v>
      </c>
      <c r="F43" s="128" t="s">
        <v>401</v>
      </c>
      <c r="G43" s="123" t="s">
        <v>384</v>
      </c>
      <c r="H43" s="126"/>
      <c r="I43" s="125">
        <v>1</v>
      </c>
      <c r="J43" s="129"/>
      <c r="K43" s="130"/>
      <c r="L43" s="126"/>
      <c r="M43" s="14"/>
    </row>
    <row r="44" spans="1:13" x14ac:dyDescent="0.25">
      <c r="A44" s="126">
        <v>26</v>
      </c>
      <c r="B44" s="127" t="s">
        <v>494</v>
      </c>
      <c r="C44" s="122">
        <v>42010</v>
      </c>
      <c r="D44" s="128" t="s">
        <v>489</v>
      </c>
      <c r="E44" s="127" t="s">
        <v>475</v>
      </c>
      <c r="F44" s="128" t="s">
        <v>478</v>
      </c>
      <c r="G44" s="123" t="s">
        <v>384</v>
      </c>
      <c r="H44" s="126"/>
      <c r="I44" s="125">
        <v>1</v>
      </c>
      <c r="J44" s="129"/>
      <c r="K44" s="130"/>
      <c r="L44" s="126"/>
      <c r="M44" s="14"/>
    </row>
    <row r="45" spans="1:13" x14ac:dyDescent="0.25">
      <c r="A45" s="126">
        <v>27</v>
      </c>
      <c r="B45" s="127">
        <v>84307</v>
      </c>
      <c r="C45" s="122">
        <v>41644</v>
      </c>
      <c r="D45" s="128" t="s">
        <v>490</v>
      </c>
      <c r="E45" s="127" t="s">
        <v>411</v>
      </c>
      <c r="F45" s="128" t="s">
        <v>491</v>
      </c>
      <c r="G45" s="123" t="s">
        <v>460</v>
      </c>
      <c r="H45" s="126"/>
      <c r="I45" s="125">
        <v>1</v>
      </c>
      <c r="J45" s="129"/>
      <c r="K45" s="130"/>
      <c r="L45" s="126"/>
      <c r="M45" s="14"/>
    </row>
    <row r="46" spans="1:13" x14ac:dyDescent="0.25">
      <c r="A46" s="126">
        <v>28</v>
      </c>
      <c r="B46" s="127">
        <v>84070</v>
      </c>
      <c r="C46" s="122">
        <v>42002</v>
      </c>
      <c r="D46" s="128" t="s">
        <v>492</v>
      </c>
      <c r="E46" s="127" t="s">
        <v>411</v>
      </c>
      <c r="F46" s="128" t="s">
        <v>414</v>
      </c>
      <c r="G46" s="123" t="s">
        <v>460</v>
      </c>
      <c r="H46" s="126"/>
      <c r="I46" s="125">
        <v>1</v>
      </c>
      <c r="J46" s="129"/>
      <c r="K46" s="130"/>
      <c r="L46" s="126"/>
      <c r="M46" s="14"/>
    </row>
    <row r="47" spans="1:13" x14ac:dyDescent="0.25">
      <c r="A47" s="126">
        <v>29</v>
      </c>
      <c r="B47" s="127">
        <v>84417</v>
      </c>
      <c r="C47" s="122">
        <v>42002</v>
      </c>
      <c r="D47" s="128" t="s">
        <v>493</v>
      </c>
      <c r="E47" s="127" t="s">
        <v>475</v>
      </c>
      <c r="F47" s="128" t="s">
        <v>401</v>
      </c>
      <c r="G47" s="123" t="s">
        <v>384</v>
      </c>
      <c r="H47" s="126"/>
      <c r="I47" s="125">
        <v>1</v>
      </c>
      <c r="J47" s="129"/>
      <c r="K47" s="130"/>
      <c r="L47" s="126"/>
      <c r="M4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AB53"/>
  <sheetViews>
    <sheetView zoomScale="90" zoomScaleNormal="90" workbookViewId="0">
      <selection activeCell="I13" sqref="I1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0" hidden="1" customWidth="1"/>
    <col min="9" max="9" width="8.42578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SOC. ODONTOLÓGICA UNO SALUD MONEDA LTDA.</v>
      </c>
      <c r="H3" s="12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76.144.936-2</v>
      </c>
      <c r="H4" s="12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MONEDA 953</v>
      </c>
      <c r="H5" s="12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DANIEL SILVA
MARJORIE NARANJO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MONEDA LTDA.</v>
      </c>
      <c r="H7" s="120" t="s">
        <v>176</v>
      </c>
      <c r="I7" s="107" t="str">
        <f>IFERROR(VLOOKUP($A$2,DATOS!$A$2:$N$15,12,FALSE),"SUCURSAL NO ENCONTRADA")</f>
        <v>dsilva@unosalud.cl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7638928
22 7638928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58401</v>
      </c>
      <c r="C11" s="105">
        <v>42006</v>
      </c>
      <c r="D11" s="103" t="s">
        <v>537</v>
      </c>
      <c r="E11" s="102" t="s">
        <v>527</v>
      </c>
      <c r="F11" s="103" t="s">
        <v>216</v>
      </c>
      <c r="G11" s="9"/>
      <c r="H11" s="12" t="s">
        <v>538</v>
      </c>
      <c r="I11" s="132">
        <v>1</v>
      </c>
      <c r="J11" s="98">
        <f>IF(F11="","",VLOOKUP(F11,ARANCEL!$E$2:$F$123,2,FALSE))</f>
        <v>17243.560000000001</v>
      </c>
      <c r="K11" s="99">
        <f t="shared" ref="K11:K18" si="0">IF(I11=0,"",J11*I11)</f>
        <v>17243.560000000001</v>
      </c>
      <c r="L11" s="12"/>
      <c r="M11" s="104"/>
    </row>
    <row r="12" spans="1:28" x14ac:dyDescent="0.25">
      <c r="A12" s="102">
        <v>2</v>
      </c>
      <c r="B12" s="102">
        <v>85574</v>
      </c>
      <c r="C12" s="105">
        <v>42010</v>
      </c>
      <c r="D12" s="103" t="s">
        <v>535</v>
      </c>
      <c r="E12" s="102" t="s">
        <v>499</v>
      </c>
      <c r="F12" s="103" t="s">
        <v>229</v>
      </c>
      <c r="G12" s="9"/>
      <c r="H12" s="12" t="s">
        <v>402</v>
      </c>
      <c r="I12" s="132">
        <v>2</v>
      </c>
      <c r="J12" s="98">
        <f>IF(F12="","",VLOOKUP(F12,ARANCEL!$E$2:$F$123,2,FALSE))</f>
        <v>44597.287499999999</v>
      </c>
      <c r="K12" s="99">
        <f t="shared" si="0"/>
        <v>89194.574999999997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1</v>
      </c>
      <c r="B23" s="127">
        <v>69551</v>
      </c>
      <c r="C23" s="122">
        <v>41586</v>
      </c>
      <c r="D23" s="128" t="s">
        <v>498</v>
      </c>
      <c r="E23" s="127" t="s">
        <v>499</v>
      </c>
      <c r="F23" s="128" t="s">
        <v>500</v>
      </c>
      <c r="G23" s="123" t="s">
        <v>384</v>
      </c>
      <c r="H23" s="126"/>
      <c r="I23" s="125">
        <v>1</v>
      </c>
      <c r="J23" s="129"/>
      <c r="K23" s="130"/>
      <c r="L23" s="126"/>
      <c r="M23" s="14"/>
    </row>
    <row r="24" spans="1:13" x14ac:dyDescent="0.25">
      <c r="A24" s="126">
        <v>2</v>
      </c>
      <c r="B24" s="127">
        <v>83987</v>
      </c>
      <c r="C24" s="122">
        <v>41586</v>
      </c>
      <c r="D24" s="128" t="s">
        <v>498</v>
      </c>
      <c r="E24" s="127" t="s">
        <v>499</v>
      </c>
      <c r="F24" s="128" t="s">
        <v>501</v>
      </c>
      <c r="G24" s="123" t="s">
        <v>384</v>
      </c>
      <c r="H24" s="126"/>
      <c r="I24" s="125">
        <v>1</v>
      </c>
      <c r="J24" s="129"/>
      <c r="K24" s="130"/>
      <c r="L24" s="126"/>
      <c r="M24" s="14"/>
    </row>
    <row r="25" spans="1:13" x14ac:dyDescent="0.25">
      <c r="A25" s="126">
        <v>3</v>
      </c>
      <c r="B25" s="127">
        <v>69551</v>
      </c>
      <c r="C25" s="122">
        <v>41586</v>
      </c>
      <c r="D25" s="128" t="s">
        <v>498</v>
      </c>
      <c r="E25" s="127" t="s">
        <v>499</v>
      </c>
      <c r="F25" s="128" t="s">
        <v>466</v>
      </c>
      <c r="G25" s="123" t="s">
        <v>384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>
        <v>4</v>
      </c>
      <c r="B26" s="127">
        <v>78441</v>
      </c>
      <c r="C26" s="122">
        <v>41979</v>
      </c>
      <c r="D26" s="128" t="s">
        <v>498</v>
      </c>
      <c r="E26" s="127" t="s">
        <v>499</v>
      </c>
      <c r="F26" s="128" t="s">
        <v>392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>
        <v>5</v>
      </c>
      <c r="B27" s="127">
        <v>80462</v>
      </c>
      <c r="C27" s="122">
        <v>41985</v>
      </c>
      <c r="D27" s="128" t="s">
        <v>498</v>
      </c>
      <c r="E27" s="127" t="s">
        <v>499</v>
      </c>
      <c r="F27" s="128" t="s">
        <v>392</v>
      </c>
      <c r="G27" s="123" t="s">
        <v>384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>
        <v>6</v>
      </c>
      <c r="B28" s="127">
        <v>74223</v>
      </c>
      <c r="C28" s="122">
        <v>41603</v>
      </c>
      <c r="D28" s="128" t="s">
        <v>502</v>
      </c>
      <c r="E28" s="127" t="s">
        <v>503</v>
      </c>
      <c r="F28" s="128" t="s">
        <v>414</v>
      </c>
      <c r="G28" s="123" t="s">
        <v>434</v>
      </c>
      <c r="H28" s="126"/>
      <c r="I28" s="125">
        <v>1</v>
      </c>
      <c r="J28" s="129"/>
      <c r="K28" s="130"/>
      <c r="L28" s="126"/>
      <c r="M28" s="14"/>
    </row>
    <row r="29" spans="1:13" x14ac:dyDescent="0.25">
      <c r="A29" s="126">
        <v>7</v>
      </c>
      <c r="B29" s="127">
        <v>5620</v>
      </c>
      <c r="C29" s="122">
        <v>41725</v>
      </c>
      <c r="D29" s="128" t="s">
        <v>504</v>
      </c>
      <c r="E29" s="127" t="s">
        <v>505</v>
      </c>
      <c r="F29" s="128" t="s">
        <v>392</v>
      </c>
      <c r="G29" s="123" t="s">
        <v>384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>
        <v>8</v>
      </c>
      <c r="B30" s="127" t="s">
        <v>506</v>
      </c>
      <c r="C30" s="122">
        <v>41746</v>
      </c>
      <c r="D30" s="128" t="s">
        <v>507</v>
      </c>
      <c r="E30" s="127" t="s">
        <v>508</v>
      </c>
      <c r="F30" s="128" t="s">
        <v>509</v>
      </c>
      <c r="G30" s="123" t="s">
        <v>384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>
        <v>9</v>
      </c>
      <c r="B31" s="127">
        <v>8025</v>
      </c>
      <c r="C31" s="122">
        <v>41733</v>
      </c>
      <c r="D31" s="128" t="s">
        <v>510</v>
      </c>
      <c r="E31" s="127" t="s">
        <v>511</v>
      </c>
      <c r="F31" s="128" t="s">
        <v>392</v>
      </c>
      <c r="G31" s="123" t="s">
        <v>512</v>
      </c>
      <c r="H31" s="126" t="s">
        <v>513</v>
      </c>
      <c r="I31" s="125">
        <v>2</v>
      </c>
      <c r="J31" s="129"/>
      <c r="K31" s="130"/>
      <c r="L31" s="126"/>
      <c r="M31" s="14"/>
    </row>
    <row r="32" spans="1:13" x14ac:dyDescent="0.25">
      <c r="A32" s="126">
        <v>10</v>
      </c>
      <c r="B32" s="127" t="s">
        <v>514</v>
      </c>
      <c r="C32" s="122">
        <v>41744</v>
      </c>
      <c r="D32" s="128" t="s">
        <v>515</v>
      </c>
      <c r="E32" s="127" t="s">
        <v>503</v>
      </c>
      <c r="F32" s="128" t="s">
        <v>392</v>
      </c>
      <c r="G32" s="123" t="s">
        <v>382</v>
      </c>
      <c r="H32" s="126" t="s">
        <v>516</v>
      </c>
      <c r="I32" s="125">
        <v>1</v>
      </c>
      <c r="J32" s="129"/>
      <c r="K32" s="130"/>
      <c r="L32" s="126"/>
      <c r="M32" s="14"/>
    </row>
    <row r="33" spans="1:13" x14ac:dyDescent="0.25">
      <c r="A33" s="126">
        <v>11</v>
      </c>
      <c r="B33" s="127">
        <v>22473</v>
      </c>
      <c r="C33" s="122">
        <v>41787</v>
      </c>
      <c r="D33" s="128" t="s">
        <v>517</v>
      </c>
      <c r="E33" s="127" t="s">
        <v>518</v>
      </c>
      <c r="F33" s="128" t="s">
        <v>519</v>
      </c>
      <c r="G33" s="123" t="s">
        <v>460</v>
      </c>
      <c r="H33" s="126"/>
      <c r="I33" s="125">
        <v>1</v>
      </c>
      <c r="J33" s="129"/>
      <c r="K33" s="130"/>
      <c r="L33" s="126"/>
      <c r="M33" s="14"/>
    </row>
    <row r="34" spans="1:13" x14ac:dyDescent="0.25">
      <c r="A34" s="126">
        <v>12</v>
      </c>
      <c r="B34" s="127">
        <v>25496</v>
      </c>
      <c r="C34" s="122">
        <v>41799</v>
      </c>
      <c r="D34" s="128" t="s">
        <v>520</v>
      </c>
      <c r="E34" s="127" t="s">
        <v>503</v>
      </c>
      <c r="F34" s="128" t="s">
        <v>401</v>
      </c>
      <c r="G34" s="123" t="s">
        <v>382</v>
      </c>
      <c r="H34" s="126"/>
      <c r="I34" s="125">
        <v>1</v>
      </c>
      <c r="J34" s="129"/>
      <c r="K34" s="130"/>
      <c r="L34" s="126"/>
      <c r="M34" s="14"/>
    </row>
    <row r="35" spans="1:13" x14ac:dyDescent="0.25">
      <c r="A35" s="126">
        <v>13</v>
      </c>
      <c r="B35" s="127">
        <v>35319</v>
      </c>
      <c r="C35" s="122">
        <v>41834</v>
      </c>
      <c r="D35" s="128" t="s">
        <v>521</v>
      </c>
      <c r="E35" s="127" t="s">
        <v>499</v>
      </c>
      <c r="F35" s="128" t="s">
        <v>401</v>
      </c>
      <c r="G35" s="123" t="s">
        <v>382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>
        <v>14</v>
      </c>
      <c r="B36" s="127">
        <v>43375</v>
      </c>
      <c r="C36" s="122">
        <v>41864</v>
      </c>
      <c r="D36" s="128" t="s">
        <v>522</v>
      </c>
      <c r="E36" s="127" t="s">
        <v>505</v>
      </c>
      <c r="F36" s="128" t="s">
        <v>523</v>
      </c>
      <c r="G36" s="123" t="s">
        <v>524</v>
      </c>
      <c r="H36" s="126"/>
      <c r="I36" s="125">
        <v>2</v>
      </c>
      <c r="J36" s="129"/>
      <c r="K36" s="130"/>
      <c r="L36" s="126"/>
      <c r="M36" s="14"/>
    </row>
    <row r="37" spans="1:13" x14ac:dyDescent="0.25">
      <c r="A37" s="126">
        <v>15</v>
      </c>
      <c r="B37" s="127">
        <v>46685</v>
      </c>
      <c r="C37" s="122">
        <v>41877</v>
      </c>
      <c r="D37" s="128" t="s">
        <v>525</v>
      </c>
      <c r="E37" s="127" t="s">
        <v>511</v>
      </c>
      <c r="F37" s="128" t="s">
        <v>392</v>
      </c>
      <c r="G37" s="123" t="s">
        <v>384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>
        <v>16</v>
      </c>
      <c r="B38" s="127">
        <v>53181</v>
      </c>
      <c r="C38" s="122">
        <v>41922</v>
      </c>
      <c r="D38" s="128" t="s">
        <v>526</v>
      </c>
      <c r="E38" s="127" t="s">
        <v>527</v>
      </c>
      <c r="F38" s="128" t="s">
        <v>424</v>
      </c>
      <c r="G38" s="123" t="s">
        <v>432</v>
      </c>
      <c r="H38" s="126"/>
      <c r="I38" s="125">
        <v>1</v>
      </c>
      <c r="J38" s="129"/>
      <c r="K38" s="130"/>
      <c r="L38" s="126"/>
      <c r="M38" s="14"/>
    </row>
    <row r="39" spans="1:13" x14ac:dyDescent="0.25">
      <c r="A39" s="126">
        <v>17</v>
      </c>
      <c r="B39" s="127">
        <v>55565</v>
      </c>
      <c r="C39" s="122">
        <v>41929</v>
      </c>
      <c r="D39" s="128" t="s">
        <v>528</v>
      </c>
      <c r="E39" s="127" t="s">
        <v>527</v>
      </c>
      <c r="F39" s="128" t="s">
        <v>437</v>
      </c>
      <c r="G39" s="123" t="s">
        <v>384</v>
      </c>
      <c r="H39" s="126"/>
      <c r="I39" s="125">
        <v>1</v>
      </c>
      <c r="J39" s="129"/>
      <c r="K39" s="130"/>
      <c r="L39" s="126"/>
      <c r="M39" s="14"/>
    </row>
    <row r="40" spans="1:13" x14ac:dyDescent="0.25">
      <c r="A40" s="126">
        <v>18</v>
      </c>
      <c r="B40" s="127">
        <v>60536</v>
      </c>
      <c r="C40" s="122">
        <v>41946</v>
      </c>
      <c r="D40" s="128" t="s">
        <v>529</v>
      </c>
      <c r="E40" s="127" t="s">
        <v>511</v>
      </c>
      <c r="F40" s="128" t="s">
        <v>401</v>
      </c>
      <c r="G40" s="123" t="s">
        <v>382</v>
      </c>
      <c r="H40" s="126"/>
      <c r="I40" s="125">
        <v>1</v>
      </c>
      <c r="J40" s="129"/>
      <c r="K40" s="130"/>
      <c r="L40" s="126"/>
      <c r="M40" s="14"/>
    </row>
    <row r="41" spans="1:13" x14ac:dyDescent="0.25">
      <c r="A41" s="126">
        <v>19</v>
      </c>
      <c r="B41" s="127">
        <v>61372</v>
      </c>
      <c r="C41" s="122">
        <v>41948</v>
      </c>
      <c r="D41" s="128" t="s">
        <v>530</v>
      </c>
      <c r="E41" s="127" t="s">
        <v>527</v>
      </c>
      <c r="F41" s="128" t="s">
        <v>424</v>
      </c>
      <c r="G41" s="123" t="s">
        <v>434</v>
      </c>
      <c r="H41" s="126"/>
      <c r="I41" s="125">
        <v>1</v>
      </c>
      <c r="J41" s="129"/>
      <c r="K41" s="130"/>
      <c r="L41" s="126"/>
      <c r="M41" s="14"/>
    </row>
    <row r="42" spans="1:13" x14ac:dyDescent="0.25">
      <c r="A42" s="126">
        <v>20</v>
      </c>
      <c r="B42" s="127">
        <v>65968</v>
      </c>
      <c r="C42" s="122">
        <v>41961</v>
      </c>
      <c r="D42" s="128" t="s">
        <v>531</v>
      </c>
      <c r="E42" s="127" t="s">
        <v>532</v>
      </c>
      <c r="F42" s="128" t="s">
        <v>437</v>
      </c>
      <c r="G42" s="123" t="s">
        <v>384</v>
      </c>
      <c r="H42" s="126"/>
      <c r="I42" s="125">
        <v>1</v>
      </c>
      <c r="J42" s="129"/>
      <c r="K42" s="130"/>
      <c r="L42" s="126"/>
      <c r="M42" s="14"/>
    </row>
    <row r="43" spans="1:13" x14ac:dyDescent="0.25">
      <c r="A43" s="126">
        <v>21</v>
      </c>
      <c r="B43" s="127">
        <v>70960</v>
      </c>
      <c r="C43" s="122">
        <v>41976</v>
      </c>
      <c r="D43" s="128" t="s">
        <v>533</v>
      </c>
      <c r="E43" s="127" t="s">
        <v>511</v>
      </c>
      <c r="F43" s="128" t="s">
        <v>437</v>
      </c>
      <c r="G43" s="123" t="s">
        <v>384</v>
      </c>
      <c r="H43" s="126"/>
      <c r="I43" s="125">
        <v>1</v>
      </c>
      <c r="J43" s="129"/>
      <c r="K43" s="129"/>
      <c r="L43" s="126"/>
      <c r="M43" s="14"/>
    </row>
    <row r="44" spans="1:13" x14ac:dyDescent="0.25">
      <c r="A44" s="126">
        <v>22</v>
      </c>
      <c r="B44" s="127">
        <v>74790</v>
      </c>
      <c r="C44" s="122">
        <v>41984</v>
      </c>
      <c r="D44" s="128" t="s">
        <v>534</v>
      </c>
      <c r="E44" s="127" t="s">
        <v>532</v>
      </c>
      <c r="F44" s="128" t="s">
        <v>437</v>
      </c>
      <c r="G44" s="123" t="s">
        <v>384</v>
      </c>
      <c r="H44" s="126"/>
      <c r="I44" s="125">
        <v>1</v>
      </c>
      <c r="J44" s="129"/>
      <c r="K44" s="129"/>
      <c r="L44" s="126"/>
      <c r="M44" s="14"/>
    </row>
    <row r="45" spans="1:13" x14ac:dyDescent="0.25">
      <c r="A45" s="126">
        <v>23</v>
      </c>
      <c r="B45" s="127">
        <v>84413</v>
      </c>
      <c r="C45" s="122">
        <v>42002</v>
      </c>
      <c r="D45" s="128" t="s">
        <v>536</v>
      </c>
      <c r="E45" s="127" t="s">
        <v>527</v>
      </c>
      <c r="F45" s="128" t="s">
        <v>401</v>
      </c>
      <c r="G45" s="123" t="s">
        <v>382</v>
      </c>
      <c r="H45" s="126"/>
      <c r="I45" s="125">
        <v>1</v>
      </c>
      <c r="J45" s="129"/>
      <c r="K45" s="129"/>
      <c r="L45" s="126"/>
      <c r="M45" s="14"/>
    </row>
    <row r="46" spans="1:13" x14ac:dyDescent="0.25">
      <c r="A46" s="126">
        <v>24</v>
      </c>
      <c r="B46" s="127">
        <v>85231</v>
      </c>
      <c r="C46" s="122">
        <v>42004</v>
      </c>
      <c r="D46" s="128" t="s">
        <v>539</v>
      </c>
      <c r="E46" s="127" t="s">
        <v>527</v>
      </c>
      <c r="F46" s="128" t="s">
        <v>392</v>
      </c>
      <c r="G46" s="123"/>
      <c r="H46" s="126"/>
      <c r="I46" s="125">
        <v>1</v>
      </c>
      <c r="J46" s="129"/>
      <c r="K46" s="129"/>
      <c r="L46" s="126"/>
      <c r="M46" s="14"/>
    </row>
    <row r="47" spans="1:13" x14ac:dyDescent="0.25">
      <c r="A47" s="126">
        <v>25</v>
      </c>
      <c r="B47" s="127"/>
      <c r="C47" s="122"/>
      <c r="D47" s="128"/>
      <c r="E47" s="127"/>
      <c r="F47" s="128"/>
      <c r="G47" s="123"/>
      <c r="H47" s="126"/>
      <c r="I47" s="125"/>
      <c r="J47" s="129" t="str">
        <f>IF(F47="","",VLOOKUP(F47,ARANCEL!$E$2:$F$123,2,FALSE))</f>
        <v/>
      </c>
      <c r="K47" s="129" t="str">
        <f t="shared" ref="K47:K53" si="1">IF(I47=0,"",J47*I47)</f>
        <v/>
      </c>
      <c r="L47" s="126"/>
      <c r="M47" s="14"/>
    </row>
    <row r="48" spans="1:13" x14ac:dyDescent="0.25">
      <c r="A48" s="126">
        <v>26</v>
      </c>
      <c r="B48" s="127"/>
      <c r="C48" s="122"/>
      <c r="D48" s="128"/>
      <c r="E48" s="127"/>
      <c r="F48" s="128"/>
      <c r="G48" s="123"/>
      <c r="H48" s="126"/>
      <c r="I48" s="125"/>
      <c r="J48" s="129" t="str">
        <f>IF(F48="","",VLOOKUP(F48,ARANCEL!$E$2:$F$123,2,FALSE))</f>
        <v/>
      </c>
      <c r="K48" s="129" t="str">
        <f t="shared" si="1"/>
        <v/>
      </c>
      <c r="L48" s="126"/>
      <c r="M48" s="14"/>
    </row>
    <row r="49" spans="1:13" x14ac:dyDescent="0.25">
      <c r="A49" s="126">
        <v>27</v>
      </c>
      <c r="B49" s="127"/>
      <c r="C49" s="122"/>
      <c r="D49" s="128"/>
      <c r="E49" s="127"/>
      <c r="F49" s="128"/>
      <c r="G49" s="123"/>
      <c r="H49" s="126"/>
      <c r="I49" s="125"/>
      <c r="J49" s="129" t="str">
        <f>IF(F49="","",VLOOKUP(F49,ARANCEL!$E$2:$F$123,2,FALSE))</f>
        <v/>
      </c>
      <c r="K49" s="129" t="str">
        <f t="shared" si="1"/>
        <v/>
      </c>
      <c r="L49" s="126"/>
      <c r="M49" s="14"/>
    </row>
    <row r="50" spans="1:13" x14ac:dyDescent="0.25">
      <c r="A50" s="126">
        <v>28</v>
      </c>
      <c r="B50" s="127"/>
      <c r="C50" s="122"/>
      <c r="D50" s="128"/>
      <c r="E50" s="127"/>
      <c r="F50" s="128"/>
      <c r="G50" s="123"/>
      <c r="H50" s="126"/>
      <c r="I50" s="125"/>
      <c r="J50" s="129" t="str">
        <f>IF(F50="","",VLOOKUP(F50,ARANCEL!$E$2:$F$123,2,FALSE))</f>
        <v/>
      </c>
      <c r="K50" s="129" t="str">
        <f t="shared" si="1"/>
        <v/>
      </c>
      <c r="L50" s="126"/>
      <c r="M50" s="14"/>
    </row>
    <row r="51" spans="1:13" x14ac:dyDescent="0.25">
      <c r="A51" s="126">
        <v>29</v>
      </c>
      <c r="B51" s="127"/>
      <c r="C51" s="122"/>
      <c r="D51" s="128"/>
      <c r="E51" s="127"/>
      <c r="F51" s="128"/>
      <c r="G51" s="123"/>
      <c r="H51" s="126"/>
      <c r="I51" s="125"/>
      <c r="J51" s="129" t="str">
        <f>IF(F51="","",VLOOKUP(F51,ARANCEL!$E$2:$F$123,2,FALSE))</f>
        <v/>
      </c>
      <c r="K51" s="129" t="str">
        <f t="shared" si="1"/>
        <v/>
      </c>
      <c r="L51" s="126"/>
      <c r="M51" s="14"/>
    </row>
    <row r="52" spans="1:13" x14ac:dyDescent="0.25">
      <c r="A52" s="126">
        <v>30</v>
      </c>
      <c r="B52" s="127"/>
      <c r="C52" s="122"/>
      <c r="D52" s="128"/>
      <c r="E52" s="127"/>
      <c r="F52" s="128"/>
      <c r="G52" s="123"/>
      <c r="H52" s="126"/>
      <c r="I52" s="125"/>
      <c r="J52" s="129" t="str">
        <f>IF(F52="","",VLOOKUP(F52,ARANCEL!$E$2:$F$123,2,FALSE))</f>
        <v/>
      </c>
      <c r="K52" s="129" t="str">
        <f t="shared" si="1"/>
        <v/>
      </c>
      <c r="L52" s="126"/>
      <c r="M52" s="14"/>
    </row>
    <row r="53" spans="1:13" x14ac:dyDescent="0.25">
      <c r="A53" s="126">
        <v>31</v>
      </c>
      <c r="B53" s="127"/>
      <c r="C53" s="122"/>
      <c r="D53" s="128"/>
      <c r="E53" s="127"/>
      <c r="F53" s="128"/>
      <c r="G53" s="123"/>
      <c r="H53" s="126"/>
      <c r="I53" s="125"/>
      <c r="J53" s="129" t="str">
        <f>IF(F53="","",VLOOKUP(F53,ARANCEL!$E$2:$F$123,2,FALSE))</f>
        <v/>
      </c>
      <c r="K53" s="129" t="str">
        <f t="shared" si="1"/>
        <v/>
      </c>
      <c r="L53" s="126"/>
      <c r="M53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28"/>
  <sheetViews>
    <sheetView topLeftCell="A7" zoomScale="90" zoomScaleNormal="90" workbookViewId="0">
      <selection activeCell="A24" sqref="A24:XFD2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SOCIEDAD ODONTOLOGICA B Y B LTDA</v>
      </c>
      <c r="H3" s="120" t="s">
        <v>178</v>
      </c>
      <c r="I3" s="107" t="str">
        <f>IFERROR(VLOOKUP($A$2,DATOS!$A$2:$N$15,8,FALSE),"SUCURSAL NO ENCONTRADA")</f>
        <v>CATALINA BLANLOT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76.339.573-1</v>
      </c>
      <c r="H4" s="120" t="s">
        <v>176</v>
      </c>
      <c r="I4" s="107" t="str">
        <f>IFERROR(VLOOKUP($A$2,DATOS!$A$2:$N$15,9,FALSE),"SUCURSAL NO ENCONTRADA")</f>
        <v>cblanlot@unosalud.cl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EYZAGUIRRE 650, SAN BERNARDO </v>
      </c>
      <c r="H5" s="120" t="s">
        <v>175</v>
      </c>
      <c r="I5" s="107">
        <f>IFERROR(VLOOKUP($A$2,DATOS!$A$2:$N$15,10,FALSE),"SUCURSAL NO ENCONTRADA")</f>
        <v>0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SCARLETTE FERNANDEZ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SAN BERNARDO</v>
      </c>
      <c r="H7" s="120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>
        <f>IFERROR(VLOOKUP($A$2,DATOS!$A$2:$N$15,7,FALSE),"SUCURSAL NO ENCONTRADA")</f>
        <v>0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22 7638958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70078</v>
      </c>
      <c r="C11" s="105">
        <v>41971</v>
      </c>
      <c r="D11" s="103" t="s">
        <v>385</v>
      </c>
      <c r="E11" s="102" t="s">
        <v>383</v>
      </c>
      <c r="F11" s="103" t="s">
        <v>387</v>
      </c>
      <c r="G11" s="9"/>
      <c r="H11" s="12" t="s">
        <v>384</v>
      </c>
      <c r="I11" s="106">
        <v>1</v>
      </c>
      <c r="J11" s="108">
        <v>-18764</v>
      </c>
      <c r="K11" s="108">
        <f>IF(I11=0,"",J11*I11)</f>
        <v>-18764</v>
      </c>
      <c r="L11" s="12"/>
      <c r="M11" s="104" t="s">
        <v>572</v>
      </c>
    </row>
    <row r="12" spans="1:28" x14ac:dyDescent="0.25">
      <c r="A12" s="102">
        <v>2</v>
      </c>
      <c r="B12" s="102">
        <v>85635</v>
      </c>
      <c r="C12" s="105">
        <v>42009</v>
      </c>
      <c r="D12" s="103" t="s">
        <v>573</v>
      </c>
      <c r="E12" s="102" t="s">
        <v>574</v>
      </c>
      <c r="F12" s="103" t="s">
        <v>567</v>
      </c>
      <c r="G12" s="9"/>
      <c r="H12" s="12" t="s">
        <v>446</v>
      </c>
      <c r="I12" s="132">
        <v>1</v>
      </c>
      <c r="J12" s="98">
        <f>IF(F12="","",VLOOKUP(F12,ARANCEL!$E$2:$F$123,2,FALSE))</f>
        <v>30428.999999999996</v>
      </c>
      <c r="K12" s="99">
        <f t="shared" ref="K12:K18" si="0">IF(I12=0,"",J12*I12)</f>
        <v>30428.999999999996</v>
      </c>
      <c r="L12" s="12"/>
      <c r="M12" s="104"/>
    </row>
    <row r="13" spans="1:28" x14ac:dyDescent="0.25">
      <c r="A13" s="102">
        <v>4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5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6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7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8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9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1</v>
      </c>
      <c r="B23" s="127">
        <v>85448</v>
      </c>
      <c r="C23" s="122">
        <v>42006</v>
      </c>
      <c r="D23" s="128" t="s">
        <v>575</v>
      </c>
      <c r="E23" s="127" t="s">
        <v>574</v>
      </c>
      <c r="F23" s="128" t="s">
        <v>414</v>
      </c>
      <c r="G23" s="123"/>
      <c r="H23" s="111">
        <v>12</v>
      </c>
      <c r="I23" s="125">
        <v>1</v>
      </c>
      <c r="J23" s="129"/>
      <c r="K23" s="129"/>
      <c r="L23" s="126"/>
      <c r="M23" s="14"/>
    </row>
    <row r="24" spans="1:13" x14ac:dyDescent="0.25">
      <c r="A24" s="126">
        <v>3</v>
      </c>
      <c r="B24" s="127"/>
      <c r="C24" s="122"/>
      <c r="D24" s="128"/>
      <c r="E24" s="127"/>
      <c r="F24" s="128"/>
      <c r="G24" s="123"/>
      <c r="H24" s="111"/>
      <c r="I24" s="125"/>
      <c r="J24" s="129"/>
      <c r="K24" s="129"/>
      <c r="L24" s="126"/>
      <c r="M24" s="14"/>
    </row>
    <row r="25" spans="1:13" x14ac:dyDescent="0.25">
      <c r="A25" s="126">
        <v>4</v>
      </c>
      <c r="B25" s="127"/>
      <c r="C25" s="122"/>
      <c r="D25" s="128"/>
      <c r="E25" s="127"/>
      <c r="F25" s="128"/>
      <c r="G25" s="123"/>
      <c r="H25" s="111"/>
      <c r="I25" s="125"/>
      <c r="J25" s="129"/>
      <c r="K25" s="129"/>
      <c r="L25" s="126"/>
      <c r="M25" s="14"/>
    </row>
    <row r="26" spans="1:13" x14ac:dyDescent="0.25">
      <c r="A26" s="126">
        <v>5</v>
      </c>
      <c r="B26" s="127"/>
      <c r="C26" s="122"/>
      <c r="D26" s="128"/>
      <c r="E26" s="127"/>
      <c r="F26" s="128"/>
      <c r="G26" s="123"/>
      <c r="H26" s="111"/>
      <c r="I26" s="125"/>
      <c r="J26" s="129"/>
      <c r="K26" s="129"/>
      <c r="L26" s="126"/>
      <c r="M26" s="14"/>
    </row>
    <row r="27" spans="1:13" x14ac:dyDescent="0.25">
      <c r="A27" s="126">
        <v>6</v>
      </c>
      <c r="B27" s="127"/>
      <c r="C27" s="122"/>
      <c r="D27" s="128"/>
      <c r="E27" s="127"/>
      <c r="F27" s="128"/>
      <c r="G27" s="123"/>
      <c r="H27" s="111"/>
      <c r="I27" s="125"/>
      <c r="J27" s="129"/>
      <c r="K27" s="129"/>
      <c r="L27" s="126"/>
      <c r="M27" s="14"/>
    </row>
    <row r="28" spans="1:13" x14ac:dyDescent="0.25">
      <c r="A28" s="126">
        <v>7</v>
      </c>
      <c r="B28" s="127"/>
      <c r="C28" s="122"/>
      <c r="D28" s="128"/>
      <c r="E28" s="127"/>
      <c r="F28" s="128"/>
      <c r="G28" s="123"/>
      <c r="H28" s="126"/>
      <c r="I28" s="125"/>
      <c r="J28" s="129"/>
      <c r="K28" s="129"/>
      <c r="L28" s="126"/>
      <c r="M28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AB37"/>
  <sheetViews>
    <sheetView tabSelected="1" topLeftCell="A9" zoomScale="90" zoomScaleNormal="90" workbookViewId="0">
      <selection activeCell="B14" sqref="B1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" hidden="1" customWidth="1"/>
    <col min="9" max="9" width="1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39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SOC. ODONTOLÓGICA UNO SALUD SANTA LUCIA LTDA</v>
      </c>
      <c r="H3" s="12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 xml:space="preserve">76.324.872-0 </v>
      </c>
      <c r="H4" s="12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SANTA ROSA 12 LOCAL 14, SANTIAGO.</v>
      </c>
      <c r="H5" s="12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CONSTANZA CERDA
TERESA GUZMAN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SANTA LUCIA LTDA.</v>
      </c>
      <c r="H7" s="120" t="s">
        <v>176</v>
      </c>
      <c r="I7" s="107" t="str">
        <f>IFERROR(VLOOKUP($A$2,DATOS!$A$2:$N$15,12,FALSE),"SUCURSAL NO ENCONTRADA")</f>
        <v>ccerda@unosalud.cl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7638984
22 7638985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85978</v>
      </c>
      <c r="C11" s="105">
        <v>42009</v>
      </c>
      <c r="D11" s="103" t="s">
        <v>561</v>
      </c>
      <c r="E11" s="102" t="s">
        <v>429</v>
      </c>
      <c r="F11" s="103" t="s">
        <v>115</v>
      </c>
      <c r="G11" s="9"/>
      <c r="H11" s="12" t="s">
        <v>449</v>
      </c>
      <c r="I11" s="132">
        <v>1</v>
      </c>
      <c r="J11" s="98">
        <f>IF(F11="","",VLOOKUP(F11,ARANCEL!$E$2:$F$123,2,FALSE))</f>
        <v>33370.239999999998</v>
      </c>
      <c r="K11" s="99">
        <f t="shared" ref="K11:K18" si="0">IF(I11=0,"",J11*I11)</f>
        <v>33370.239999999998</v>
      </c>
      <c r="L11" s="12"/>
      <c r="M11" s="104"/>
    </row>
    <row r="12" spans="1:28" x14ac:dyDescent="0.25">
      <c r="A12" s="102">
        <v>2</v>
      </c>
      <c r="B12" s="102">
        <v>85763</v>
      </c>
      <c r="C12" s="105">
        <v>42009</v>
      </c>
      <c r="D12" s="103" t="s">
        <v>565</v>
      </c>
      <c r="E12" s="102" t="s">
        <v>566</v>
      </c>
      <c r="F12" s="103" t="s">
        <v>567</v>
      </c>
      <c r="G12" s="9"/>
      <c r="H12" s="12" t="s">
        <v>568</v>
      </c>
      <c r="I12" s="132">
        <v>1</v>
      </c>
      <c r="J12" s="98">
        <f>IF(F12="","",VLOOKUP(F12,ARANCEL!$E$2:$F$123,2,FALSE))</f>
        <v>30428.999999999996</v>
      </c>
      <c r="K12" s="99">
        <f t="shared" si="0"/>
        <v>30428.999999999996</v>
      </c>
      <c r="L12" s="12"/>
      <c r="M12" s="104"/>
    </row>
    <row r="13" spans="1:28" x14ac:dyDescent="0.25">
      <c r="A13" s="102">
        <v>3</v>
      </c>
      <c r="B13" s="102">
        <v>85440</v>
      </c>
      <c r="C13" s="105">
        <v>42009</v>
      </c>
      <c r="D13" s="103" t="s">
        <v>569</v>
      </c>
      <c r="E13" s="102" t="s">
        <v>429</v>
      </c>
      <c r="F13" s="103" t="s">
        <v>567</v>
      </c>
      <c r="G13" s="9"/>
      <c r="H13" s="12" t="s">
        <v>419</v>
      </c>
      <c r="I13" s="132">
        <v>1</v>
      </c>
      <c r="J13" s="98">
        <f>IF(F13="","",VLOOKUP(F13,ARANCEL!$E$2:$F$123,2,FALSE))</f>
        <v>30428.999999999996</v>
      </c>
      <c r="K13" s="99">
        <f t="shared" si="0"/>
        <v>30428.999999999996</v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2</v>
      </c>
      <c r="B23" s="127">
        <v>50931</v>
      </c>
      <c r="C23" s="122">
        <v>41890</v>
      </c>
      <c r="D23" s="128" t="s">
        <v>540</v>
      </c>
      <c r="E23" s="127" t="s">
        <v>429</v>
      </c>
      <c r="F23" s="128" t="s">
        <v>414</v>
      </c>
      <c r="G23" s="123" t="s">
        <v>432</v>
      </c>
      <c r="H23" s="126"/>
      <c r="I23" s="125">
        <v>1</v>
      </c>
      <c r="J23" s="129"/>
      <c r="K23" s="129"/>
      <c r="L23" s="126"/>
      <c r="M23" s="14"/>
    </row>
    <row r="24" spans="1:13" x14ac:dyDescent="0.25">
      <c r="A24" s="126">
        <v>3</v>
      </c>
      <c r="B24" s="127">
        <v>56403</v>
      </c>
      <c r="C24" s="122">
        <v>41933</v>
      </c>
      <c r="D24" s="128" t="s">
        <v>541</v>
      </c>
      <c r="E24" s="127" t="s">
        <v>542</v>
      </c>
      <c r="F24" s="128" t="s">
        <v>437</v>
      </c>
      <c r="G24" s="123" t="s">
        <v>384</v>
      </c>
      <c r="H24" s="126"/>
      <c r="I24" s="125">
        <v>1</v>
      </c>
      <c r="J24" s="129"/>
      <c r="K24" s="129"/>
      <c r="L24" s="126"/>
      <c r="M24" s="14"/>
    </row>
    <row r="25" spans="1:13" x14ac:dyDescent="0.25">
      <c r="A25" s="126">
        <v>4</v>
      </c>
      <c r="B25" s="127" t="s">
        <v>543</v>
      </c>
      <c r="C25" s="122">
        <v>41968</v>
      </c>
      <c r="D25" s="128" t="s">
        <v>544</v>
      </c>
      <c r="E25" s="127" t="s">
        <v>429</v>
      </c>
      <c r="F25" s="128" t="s">
        <v>545</v>
      </c>
      <c r="G25" s="123" t="s">
        <v>398</v>
      </c>
      <c r="H25" s="126"/>
      <c r="I25" s="125">
        <v>1</v>
      </c>
      <c r="J25" s="129"/>
      <c r="K25" s="129"/>
      <c r="L25" s="126"/>
      <c r="M25" s="14"/>
    </row>
    <row r="26" spans="1:13" x14ac:dyDescent="0.25">
      <c r="A26" s="126">
        <v>5</v>
      </c>
      <c r="B26" s="127" t="s">
        <v>546</v>
      </c>
      <c r="C26" s="122">
        <v>41956</v>
      </c>
      <c r="D26" s="128" t="s">
        <v>547</v>
      </c>
      <c r="E26" s="127" t="s">
        <v>429</v>
      </c>
      <c r="F26" s="128" t="s">
        <v>392</v>
      </c>
      <c r="G26" s="123" t="s">
        <v>402</v>
      </c>
      <c r="H26" s="126"/>
      <c r="I26" s="125">
        <v>2</v>
      </c>
      <c r="J26" s="129"/>
      <c r="K26" s="129"/>
      <c r="L26" s="126"/>
      <c r="M26" s="14"/>
    </row>
    <row r="27" spans="1:13" x14ac:dyDescent="0.25">
      <c r="A27" s="126">
        <v>6</v>
      </c>
      <c r="B27" s="127">
        <v>62734</v>
      </c>
      <c r="C27" s="122">
        <v>41953</v>
      </c>
      <c r="D27" s="128" t="s">
        <v>548</v>
      </c>
      <c r="E27" s="127" t="s">
        <v>549</v>
      </c>
      <c r="F27" s="128" t="s">
        <v>437</v>
      </c>
      <c r="G27" s="123" t="s">
        <v>550</v>
      </c>
      <c r="H27" s="126"/>
      <c r="I27" s="125">
        <v>1</v>
      </c>
      <c r="J27" s="129"/>
      <c r="K27" s="129"/>
      <c r="L27" s="126"/>
      <c r="M27" s="14"/>
    </row>
    <row r="28" spans="1:13" x14ac:dyDescent="0.25">
      <c r="A28" s="126">
        <v>7</v>
      </c>
      <c r="B28" s="127">
        <v>62683</v>
      </c>
      <c r="C28" s="122">
        <v>41953</v>
      </c>
      <c r="D28" s="128" t="s">
        <v>551</v>
      </c>
      <c r="E28" s="127" t="s">
        <v>429</v>
      </c>
      <c r="F28" s="128" t="s">
        <v>437</v>
      </c>
      <c r="G28" s="123" t="s">
        <v>384</v>
      </c>
      <c r="H28" s="126"/>
      <c r="I28" s="125">
        <v>1</v>
      </c>
      <c r="J28" s="129"/>
      <c r="K28" s="129"/>
      <c r="L28" s="126"/>
      <c r="M28" s="14"/>
    </row>
    <row r="29" spans="1:13" x14ac:dyDescent="0.25">
      <c r="A29" s="126">
        <v>8</v>
      </c>
      <c r="B29" s="127" t="s">
        <v>552</v>
      </c>
      <c r="C29" s="122">
        <v>41991</v>
      </c>
      <c r="D29" s="128" t="s">
        <v>547</v>
      </c>
      <c r="E29" s="127" t="s">
        <v>429</v>
      </c>
      <c r="F29" s="128" t="s">
        <v>392</v>
      </c>
      <c r="G29" s="123" t="s">
        <v>402</v>
      </c>
      <c r="H29" s="126"/>
      <c r="I29" s="125">
        <v>2</v>
      </c>
      <c r="J29" s="129"/>
      <c r="K29" s="129"/>
      <c r="L29" s="126"/>
      <c r="M29" s="14"/>
    </row>
    <row r="30" spans="1:13" x14ac:dyDescent="0.25">
      <c r="A30" s="126">
        <v>9</v>
      </c>
      <c r="B30" s="127">
        <v>69118</v>
      </c>
      <c r="C30" s="122">
        <v>41968</v>
      </c>
      <c r="D30" s="128" t="s">
        <v>553</v>
      </c>
      <c r="E30" s="127" t="s">
        <v>429</v>
      </c>
      <c r="F30" s="128" t="s">
        <v>414</v>
      </c>
      <c r="G30" s="123" t="s">
        <v>449</v>
      </c>
      <c r="H30" s="126"/>
      <c r="I30" s="125">
        <v>1</v>
      </c>
      <c r="J30" s="129"/>
      <c r="K30" s="129"/>
      <c r="L30" s="126"/>
      <c r="M30" s="14"/>
    </row>
    <row r="31" spans="1:13" x14ac:dyDescent="0.25">
      <c r="A31" s="126">
        <v>11</v>
      </c>
      <c r="B31" s="127">
        <v>69661</v>
      </c>
      <c r="C31" s="122">
        <v>41974</v>
      </c>
      <c r="D31" s="128" t="s">
        <v>554</v>
      </c>
      <c r="E31" s="127" t="s">
        <v>555</v>
      </c>
      <c r="F31" s="128" t="s">
        <v>437</v>
      </c>
      <c r="G31" s="123" t="s">
        <v>384</v>
      </c>
      <c r="H31" s="126"/>
      <c r="I31" s="125">
        <v>1</v>
      </c>
      <c r="J31" s="129"/>
      <c r="K31" s="129"/>
      <c r="L31" s="126"/>
      <c r="M31" s="14"/>
    </row>
    <row r="32" spans="1:13" x14ac:dyDescent="0.25">
      <c r="A32" s="126">
        <v>12</v>
      </c>
      <c r="B32" s="127">
        <v>71643</v>
      </c>
      <c r="C32" s="122">
        <v>41974</v>
      </c>
      <c r="D32" s="128" t="s">
        <v>414</v>
      </c>
      <c r="E32" s="127" t="s">
        <v>429</v>
      </c>
      <c r="F32" s="128" t="s">
        <v>414</v>
      </c>
      <c r="G32" s="123" t="s">
        <v>556</v>
      </c>
      <c r="H32" s="126"/>
      <c r="I32" s="125">
        <v>1</v>
      </c>
      <c r="J32" s="129"/>
      <c r="K32" s="129"/>
      <c r="L32" s="126"/>
      <c r="M32" s="14"/>
    </row>
    <row r="33" spans="1:13" x14ac:dyDescent="0.25">
      <c r="A33" s="126">
        <v>14</v>
      </c>
      <c r="B33" s="127" t="s">
        <v>557</v>
      </c>
      <c r="C33" s="122">
        <v>41996</v>
      </c>
      <c r="D33" s="128" t="s">
        <v>558</v>
      </c>
      <c r="E33" s="127" t="s">
        <v>429</v>
      </c>
      <c r="F33" s="128" t="s">
        <v>414</v>
      </c>
      <c r="G33" s="123" t="s">
        <v>460</v>
      </c>
      <c r="H33" s="126"/>
      <c r="I33" s="125">
        <v>1</v>
      </c>
      <c r="J33" s="129"/>
      <c r="K33" s="129"/>
      <c r="L33" s="126"/>
      <c r="M33" s="14"/>
    </row>
    <row r="34" spans="1:13" x14ac:dyDescent="0.25">
      <c r="A34" s="126">
        <v>16</v>
      </c>
      <c r="B34" s="127">
        <v>82516</v>
      </c>
      <c r="C34" s="122">
        <v>41995</v>
      </c>
      <c r="D34" s="128" t="s">
        <v>559</v>
      </c>
      <c r="E34" s="127" t="s">
        <v>429</v>
      </c>
      <c r="F34" s="128" t="s">
        <v>414</v>
      </c>
      <c r="G34" s="123" t="s">
        <v>560</v>
      </c>
      <c r="H34" s="126"/>
      <c r="I34" s="125">
        <v>1</v>
      </c>
      <c r="J34" s="129"/>
      <c r="K34" s="129"/>
      <c r="L34" s="126"/>
      <c r="M34" s="14"/>
    </row>
    <row r="35" spans="1:13" x14ac:dyDescent="0.25">
      <c r="A35" s="126">
        <v>19</v>
      </c>
      <c r="B35" s="127">
        <v>84620</v>
      </c>
      <c r="C35" s="122">
        <v>42003</v>
      </c>
      <c r="D35" s="128" t="s">
        <v>562</v>
      </c>
      <c r="E35" s="127" t="s">
        <v>429</v>
      </c>
      <c r="F35" s="128" t="s">
        <v>414</v>
      </c>
      <c r="G35" s="123" t="s">
        <v>425</v>
      </c>
      <c r="H35" s="126"/>
      <c r="I35" s="125">
        <v>1</v>
      </c>
      <c r="J35" s="129"/>
      <c r="K35" s="129"/>
      <c r="L35" s="126"/>
      <c r="M35" s="14"/>
    </row>
    <row r="36" spans="1:13" x14ac:dyDescent="0.25">
      <c r="A36" s="126">
        <v>20</v>
      </c>
      <c r="B36" s="127">
        <v>84797</v>
      </c>
      <c r="C36" s="122">
        <v>42003</v>
      </c>
      <c r="D36" s="128" t="s">
        <v>563</v>
      </c>
      <c r="E36" s="127" t="s">
        <v>429</v>
      </c>
      <c r="F36" s="128" t="s">
        <v>414</v>
      </c>
      <c r="G36" s="123" t="s">
        <v>564</v>
      </c>
      <c r="H36" s="126"/>
      <c r="I36" s="125">
        <v>1</v>
      </c>
      <c r="J36" s="129"/>
      <c r="K36" s="129"/>
      <c r="L36" s="126"/>
      <c r="M36" s="14"/>
    </row>
    <row r="37" spans="1:13" x14ac:dyDescent="0.25">
      <c r="A37" s="102"/>
      <c r="B37" s="102"/>
      <c r="C37" s="105"/>
      <c r="D37" s="103"/>
      <c r="E37" s="102"/>
      <c r="F37" s="103"/>
      <c r="G37" s="9"/>
      <c r="H37" s="12"/>
      <c r="I37" s="132"/>
      <c r="J37" s="98" t="str">
        <f>IF(F37="","",VLOOKUP(F37,ARANCEL!$E$2:$F$123,2,FALSE))</f>
        <v/>
      </c>
      <c r="K37" s="99" t="str">
        <f>IF(I37=0,"",J37*I37)</f>
        <v/>
      </c>
      <c r="L37" s="12"/>
      <c r="M37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zoomScale="90" zoomScaleNormal="90" workbookViewId="0">
      <selection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SUCURSAL NO ENCONTRADA</v>
      </c>
      <c r="H3" s="95" t="s">
        <v>178</v>
      </c>
      <c r="I3" s="107" t="str">
        <f>IFERROR(VLOOKUP($A$2,DATOS!$A$2:$N$15,8,FALSE),"SUCURSAL NO ENCONTRADA")</f>
        <v>SUCURSAL NO ENCONTRADA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SUCURSAL NO ENCONTRADA</v>
      </c>
      <c r="H4" s="95" t="s">
        <v>176</v>
      </c>
      <c r="I4" s="10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SUCURSAL NO ENCONTRADA</v>
      </c>
      <c r="H5" s="95" t="s">
        <v>175</v>
      </c>
      <c r="I5" s="107" t="str">
        <f>IFERROR(VLOOKUP($A$2,DATOS!$A$2:$N$15,10,FALSE),"SUCURSAL NO ENCONTRADA")</f>
        <v>SUCURSAL NO ENCONTRADA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SUCURSAL NO ENCONTRADA</v>
      </c>
      <c r="H6" s="95" t="s">
        <v>179</v>
      </c>
      <c r="I6" s="107" t="str">
        <f>IFERROR(VLOOKUP($A$2,DATOS!$A$2:$N$15,11,FALSE),"SUCURSAL NO ENCONTRADA")</f>
        <v>SUCURSAL NO ENCONTRADA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SUCURSAL NO ENCONTRADA</v>
      </c>
      <c r="H7" s="95" t="s">
        <v>176</v>
      </c>
      <c r="I7" s="107" t="str">
        <f>IFERROR(VLOOKUP($A$2,DATOS!$A$2:$N$15,12,FALSE),"SUCURSAL NO ENCONTRADA")</f>
        <v>SUCURSAL NO ENCONTRADA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175</v>
      </c>
      <c r="I8" s="10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/>
      <c r="C11" s="105"/>
      <c r="D11" s="103"/>
      <c r="E11" s="102"/>
      <c r="F11" s="103"/>
      <c r="G11" s="9"/>
      <c r="H11" s="12"/>
      <c r="I11" s="132"/>
      <c r="J11" s="98" t="str">
        <f>IF(F11="","",VLOOKUP(F11,ARANCEL!$E$2:$F$123,2,FALSE))</f>
        <v/>
      </c>
      <c r="K11" s="99" t="str">
        <f t="shared" ref="K11:K18" si="0">IF(I11=0,"",J11*I11)</f>
        <v/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2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02"/>
      <c r="B23" s="102"/>
      <c r="C23" s="105"/>
      <c r="D23" s="103"/>
      <c r="E23" s="102"/>
      <c r="F23" s="103"/>
      <c r="G23" s="9"/>
      <c r="H23" s="12"/>
      <c r="I23" s="132"/>
      <c r="J23" s="98" t="str">
        <f>IF(F23="","",VLOOKUP(F23,ARANCEL!$E$2:$F$123,2,FALSE))</f>
        <v/>
      </c>
      <c r="K23" s="99" t="str">
        <f>IF(I23=0,"",J23*I23)</f>
        <v/>
      </c>
      <c r="L23" s="12"/>
      <c r="M23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/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9" workbookViewId="0">
      <selection activeCell="A57" sqref="A5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24" x14ac:dyDescent="0.25">
      <c r="A1" s="29" t="s">
        <v>342</v>
      </c>
      <c r="B1" s="29" t="s">
        <v>343</v>
      </c>
      <c r="C1" s="29" t="s">
        <v>344</v>
      </c>
      <c r="D1" s="30" t="s">
        <v>345</v>
      </c>
      <c r="E1" s="29" t="s">
        <v>346</v>
      </c>
      <c r="F1" s="86" t="s">
        <v>378</v>
      </c>
    </row>
    <row r="2" spans="1:6" ht="22.5" x14ac:dyDescent="0.25">
      <c r="A2" s="28" t="s">
        <v>203</v>
      </c>
      <c r="B2" s="28" t="s">
        <v>255</v>
      </c>
      <c r="C2" s="28"/>
      <c r="D2" s="35"/>
      <c r="E2" s="37" t="s">
        <v>115</v>
      </c>
      <c r="F2" s="75">
        <v>33370.239999999998</v>
      </c>
    </row>
    <row r="3" spans="1:6" ht="22.5" x14ac:dyDescent="0.25">
      <c r="A3" s="28" t="s">
        <v>202</v>
      </c>
      <c r="B3" s="28" t="s">
        <v>255</v>
      </c>
      <c r="C3" s="28"/>
      <c r="D3" s="35"/>
      <c r="E3" s="37" t="s">
        <v>348</v>
      </c>
      <c r="F3" s="75">
        <v>29439.999999999996</v>
      </c>
    </row>
    <row r="4" spans="1:6" ht="33.75" x14ac:dyDescent="0.25">
      <c r="A4" s="28" t="s">
        <v>256</v>
      </c>
      <c r="B4" s="28" t="s">
        <v>255</v>
      </c>
      <c r="C4" s="28" t="s">
        <v>347</v>
      </c>
      <c r="D4" s="35"/>
      <c r="E4" s="37" t="s">
        <v>349</v>
      </c>
      <c r="F4" s="75">
        <v>51627.64</v>
      </c>
    </row>
    <row r="5" spans="1:6" ht="22.5" x14ac:dyDescent="0.25">
      <c r="A5" s="28" t="s">
        <v>257</v>
      </c>
      <c r="B5" s="28" t="s">
        <v>255</v>
      </c>
      <c r="C5" s="36" t="s">
        <v>350</v>
      </c>
      <c r="D5" s="35"/>
      <c r="E5" s="37" t="s">
        <v>351</v>
      </c>
      <c r="F5" s="75">
        <v>7100.56</v>
      </c>
    </row>
    <row r="6" spans="1:6" x14ac:dyDescent="0.25">
      <c r="A6" s="34" t="s">
        <v>205</v>
      </c>
      <c r="B6" s="34" t="s">
        <v>258</v>
      </c>
      <c r="C6" s="38"/>
      <c r="D6" s="39"/>
      <c r="E6" s="40" t="s">
        <v>204</v>
      </c>
      <c r="F6" s="76">
        <v>57959.999999999993</v>
      </c>
    </row>
    <row r="7" spans="1:6" ht="22.5" x14ac:dyDescent="0.25">
      <c r="A7" s="34" t="s">
        <v>243</v>
      </c>
      <c r="B7" s="34" t="s">
        <v>258</v>
      </c>
      <c r="C7" s="38" t="s">
        <v>339</v>
      </c>
      <c r="D7" s="39"/>
      <c r="E7" s="40" t="s">
        <v>352</v>
      </c>
      <c r="F7" s="76">
        <v>57959.999999999993</v>
      </c>
    </row>
    <row r="8" spans="1:6" x14ac:dyDescent="0.25">
      <c r="A8" s="34" t="s">
        <v>195</v>
      </c>
      <c r="B8" s="34" t="s">
        <v>258</v>
      </c>
      <c r="C8" s="38"/>
      <c r="D8" s="39"/>
      <c r="E8" s="40" t="s">
        <v>194</v>
      </c>
      <c r="F8" s="76">
        <v>55061.999999999993</v>
      </c>
    </row>
    <row r="9" spans="1:6" x14ac:dyDescent="0.25">
      <c r="A9" s="34" t="s">
        <v>220</v>
      </c>
      <c r="B9" s="34" t="s">
        <v>258</v>
      </c>
      <c r="C9" s="38"/>
      <c r="D9" s="39"/>
      <c r="E9" s="40" t="s">
        <v>219</v>
      </c>
      <c r="F9" s="76">
        <v>55061.999999999993</v>
      </c>
    </row>
    <row r="10" spans="1:6" x14ac:dyDescent="0.25">
      <c r="A10" s="34" t="s">
        <v>259</v>
      </c>
      <c r="B10" s="34" t="s">
        <v>258</v>
      </c>
      <c r="C10" s="38"/>
      <c r="D10" s="39"/>
      <c r="E10" s="40" t="s">
        <v>353</v>
      </c>
      <c r="F10" s="76">
        <v>115919.99999999999</v>
      </c>
    </row>
    <row r="11" spans="1:6" x14ac:dyDescent="0.25">
      <c r="A11" s="34" t="s">
        <v>199</v>
      </c>
      <c r="B11" s="34" t="s">
        <v>258</v>
      </c>
      <c r="C11" s="38"/>
      <c r="D11" s="39"/>
      <c r="E11" s="40" t="s">
        <v>198</v>
      </c>
      <c r="F11" s="76">
        <v>149730</v>
      </c>
    </row>
    <row r="12" spans="1:6" x14ac:dyDescent="0.25">
      <c r="A12" s="34" t="s">
        <v>260</v>
      </c>
      <c r="B12" s="34" t="s">
        <v>258</v>
      </c>
      <c r="C12" s="38" t="s">
        <v>339</v>
      </c>
      <c r="D12" s="39"/>
      <c r="E12" s="40" t="s">
        <v>354</v>
      </c>
      <c r="F12" s="76">
        <v>57959.999999999993</v>
      </c>
    </row>
    <row r="13" spans="1:6" x14ac:dyDescent="0.25">
      <c r="A13" s="41" t="s">
        <v>215</v>
      </c>
      <c r="B13" s="41" t="s">
        <v>261</v>
      </c>
      <c r="C13" s="42"/>
      <c r="D13" s="43"/>
      <c r="E13" s="44"/>
      <c r="F13" s="77">
        <v>49701.159999999996</v>
      </c>
    </row>
    <row r="14" spans="1:6" x14ac:dyDescent="0.25">
      <c r="A14" s="41" t="s">
        <v>192</v>
      </c>
      <c r="B14" s="41" t="s">
        <v>261</v>
      </c>
      <c r="C14" s="42"/>
      <c r="D14" s="43"/>
      <c r="E14" s="44"/>
      <c r="F14" s="77">
        <v>49701.159999999996</v>
      </c>
    </row>
    <row r="15" spans="1:6" x14ac:dyDescent="0.25">
      <c r="A15" s="49" t="s">
        <v>188</v>
      </c>
      <c r="B15" s="49" t="s">
        <v>262</v>
      </c>
      <c r="C15" s="50"/>
      <c r="D15" s="51"/>
      <c r="E15" s="52" t="s">
        <v>116</v>
      </c>
      <c r="F15" s="78">
        <v>5274.3600000000006</v>
      </c>
    </row>
    <row r="16" spans="1:6" x14ac:dyDescent="0.25">
      <c r="A16" s="49" t="s">
        <v>187</v>
      </c>
      <c r="B16" s="49" t="s">
        <v>262</v>
      </c>
      <c r="C16" s="50"/>
      <c r="D16" s="51"/>
      <c r="E16" s="52" t="s">
        <v>187</v>
      </c>
      <c r="F16" s="78">
        <v>5274.3600000000006</v>
      </c>
    </row>
    <row r="17" spans="1:6" x14ac:dyDescent="0.25">
      <c r="A17" s="49" t="s">
        <v>263</v>
      </c>
      <c r="B17" s="49" t="s">
        <v>262</v>
      </c>
      <c r="C17" s="50"/>
      <c r="D17" s="51"/>
      <c r="E17" s="52"/>
      <c r="F17" s="78">
        <v>0</v>
      </c>
    </row>
    <row r="18" spans="1:6" x14ac:dyDescent="0.25">
      <c r="A18" s="49" t="s">
        <v>264</v>
      </c>
      <c r="B18" s="49" t="s">
        <v>262</v>
      </c>
      <c r="C18" s="50"/>
      <c r="D18" s="51"/>
      <c r="E18" s="52"/>
      <c r="F18" s="78">
        <v>0</v>
      </c>
    </row>
    <row r="19" spans="1:6" x14ac:dyDescent="0.25">
      <c r="A19" s="45" t="s">
        <v>218</v>
      </c>
      <c r="B19" s="45" t="s">
        <v>265</v>
      </c>
      <c r="C19" s="46"/>
      <c r="D19" s="47"/>
      <c r="E19" s="48" t="s">
        <v>567</v>
      </c>
      <c r="F19" s="79">
        <v>30428.999999999996</v>
      </c>
    </row>
    <row r="20" spans="1:6" x14ac:dyDescent="0.25">
      <c r="A20" s="45" t="s">
        <v>193</v>
      </c>
      <c r="B20" s="45" t="s">
        <v>265</v>
      </c>
      <c r="C20" s="46"/>
      <c r="D20" s="47"/>
      <c r="E20" s="48"/>
      <c r="F20" s="79">
        <v>30428.999999999996</v>
      </c>
    </row>
    <row r="21" spans="1:6" x14ac:dyDescent="0.25">
      <c r="A21" s="45" t="s">
        <v>266</v>
      </c>
      <c r="B21" s="45" t="s">
        <v>265</v>
      </c>
      <c r="C21" s="46"/>
      <c r="D21" s="47"/>
      <c r="E21" s="48"/>
      <c r="F21" s="79">
        <v>33472.36</v>
      </c>
    </row>
    <row r="22" spans="1:6" x14ac:dyDescent="0.25">
      <c r="A22" s="45" t="s">
        <v>267</v>
      </c>
      <c r="B22" s="45" t="s">
        <v>265</v>
      </c>
      <c r="C22" s="46"/>
      <c r="D22" s="47"/>
      <c r="E22" s="48"/>
      <c r="F22" s="79">
        <v>15214.960000000001</v>
      </c>
    </row>
    <row r="23" spans="1:6" x14ac:dyDescent="0.25">
      <c r="A23" s="45" t="s">
        <v>268</v>
      </c>
      <c r="B23" s="45" t="s">
        <v>265</v>
      </c>
      <c r="C23" s="46" t="s">
        <v>355</v>
      </c>
      <c r="D23" s="47"/>
      <c r="E23" s="48"/>
      <c r="F23" s="79">
        <v>9129.16</v>
      </c>
    </row>
    <row r="24" spans="1:6" x14ac:dyDescent="0.25">
      <c r="A24" s="53" t="s">
        <v>270</v>
      </c>
      <c r="B24" s="53" t="s">
        <v>269</v>
      </c>
      <c r="C24" s="54"/>
      <c r="D24" s="55"/>
      <c r="E24" s="56" t="s">
        <v>365</v>
      </c>
      <c r="F24" s="80">
        <v>9129.16</v>
      </c>
    </row>
    <row r="25" spans="1:6" x14ac:dyDescent="0.25">
      <c r="A25" s="53" t="s">
        <v>271</v>
      </c>
      <c r="B25" s="53" t="s">
        <v>269</v>
      </c>
      <c r="C25" s="54"/>
      <c r="D25" s="55"/>
      <c r="E25" s="56"/>
      <c r="F25" s="80">
        <v>13186.36</v>
      </c>
    </row>
    <row r="26" spans="1:6" x14ac:dyDescent="0.25">
      <c r="A26" s="53" t="s">
        <v>272</v>
      </c>
      <c r="B26" s="53" t="s">
        <v>269</v>
      </c>
      <c r="C26" s="54"/>
      <c r="D26" s="55"/>
      <c r="E26" s="56" t="s">
        <v>366</v>
      </c>
      <c r="F26" s="80">
        <v>24343.199999999997</v>
      </c>
    </row>
    <row r="27" spans="1:6" x14ac:dyDescent="0.25">
      <c r="A27" s="53" t="s">
        <v>273</v>
      </c>
      <c r="B27" s="53" t="s">
        <v>269</v>
      </c>
      <c r="C27" s="54"/>
      <c r="D27" s="55"/>
      <c r="E27" s="56"/>
      <c r="F27" s="80">
        <v>45643.96</v>
      </c>
    </row>
    <row r="28" spans="1:6" x14ac:dyDescent="0.25">
      <c r="A28" s="53" t="s">
        <v>217</v>
      </c>
      <c r="B28" s="53" t="s">
        <v>269</v>
      </c>
      <c r="C28" s="54"/>
      <c r="D28" s="55"/>
      <c r="E28" s="56" t="s">
        <v>216</v>
      </c>
      <c r="F28" s="80">
        <v>17243.560000000001</v>
      </c>
    </row>
    <row r="29" spans="1:6" x14ac:dyDescent="0.25">
      <c r="A29" s="53" t="s">
        <v>223</v>
      </c>
      <c r="B29" s="53" t="s">
        <v>269</v>
      </c>
      <c r="C29" s="54"/>
      <c r="D29" s="55"/>
      <c r="E29" s="56" t="s">
        <v>222</v>
      </c>
      <c r="F29" s="80">
        <v>14098.999999999998</v>
      </c>
    </row>
    <row r="30" spans="1:6" x14ac:dyDescent="0.25">
      <c r="A30" s="53" t="s">
        <v>224</v>
      </c>
      <c r="B30" s="53" t="s">
        <v>269</v>
      </c>
      <c r="C30" s="54"/>
      <c r="D30" s="55"/>
      <c r="E30" s="56" t="s">
        <v>364</v>
      </c>
      <c r="F30" s="80">
        <v>23836.28</v>
      </c>
    </row>
    <row r="31" spans="1:6" x14ac:dyDescent="0.25">
      <c r="A31" s="53" t="s">
        <v>242</v>
      </c>
      <c r="B31" s="53" t="s">
        <v>269</v>
      </c>
      <c r="C31" s="54"/>
      <c r="D31" s="55"/>
      <c r="E31" s="56"/>
      <c r="F31" s="80">
        <v>3651.48</v>
      </c>
    </row>
    <row r="32" spans="1:6" x14ac:dyDescent="0.25">
      <c r="A32" s="57" t="s">
        <v>275</v>
      </c>
      <c r="B32" s="57" t="s">
        <v>274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340</v>
      </c>
      <c r="B33" s="57" t="s">
        <v>274</v>
      </c>
      <c r="C33" s="58" t="s">
        <v>276</v>
      </c>
      <c r="D33" s="59"/>
      <c r="E33" s="60"/>
      <c r="F33" s="81">
        <v>83071.399999999994</v>
      </c>
    </row>
    <row r="34" spans="1:6" x14ac:dyDescent="0.25">
      <c r="A34" s="57" t="s">
        <v>233</v>
      </c>
      <c r="B34" s="57" t="s">
        <v>274</v>
      </c>
      <c r="C34" s="58"/>
      <c r="D34" s="59"/>
      <c r="E34" s="60" t="s">
        <v>367</v>
      </c>
      <c r="F34" s="81">
        <v>55057.687499999993</v>
      </c>
    </row>
    <row r="35" spans="1:6" x14ac:dyDescent="0.25">
      <c r="A35" s="57" t="s">
        <v>206</v>
      </c>
      <c r="B35" s="57" t="s">
        <v>274</v>
      </c>
      <c r="C35" s="58"/>
      <c r="D35" s="59"/>
      <c r="E35" s="60" t="s">
        <v>368</v>
      </c>
      <c r="F35" s="81">
        <v>9129.16</v>
      </c>
    </row>
    <row r="36" spans="1:6" ht="22.5" x14ac:dyDescent="0.25">
      <c r="A36" s="57" t="s">
        <v>227</v>
      </c>
      <c r="B36" s="57" t="s">
        <v>274</v>
      </c>
      <c r="C36" s="58" t="s">
        <v>277</v>
      </c>
      <c r="D36" s="59"/>
      <c r="E36" s="60" t="s">
        <v>369</v>
      </c>
      <c r="F36" s="81">
        <v>25800.249999999996</v>
      </c>
    </row>
    <row r="37" spans="1:6" x14ac:dyDescent="0.25">
      <c r="A37" s="57" t="s">
        <v>228</v>
      </c>
      <c r="B37" s="57" t="s">
        <v>274</v>
      </c>
      <c r="C37" s="58"/>
      <c r="D37" s="59"/>
      <c r="E37" s="60" t="s">
        <v>377</v>
      </c>
      <c r="F37" s="81">
        <v>35500.959999999999</v>
      </c>
    </row>
    <row r="38" spans="1:6" x14ac:dyDescent="0.25">
      <c r="A38" s="57" t="s">
        <v>278</v>
      </c>
      <c r="B38" s="57" t="s">
        <v>274</v>
      </c>
      <c r="C38" s="58"/>
      <c r="D38" s="59"/>
      <c r="E38" s="60"/>
      <c r="F38" s="81">
        <v>42600.6</v>
      </c>
    </row>
    <row r="39" spans="1:6" x14ac:dyDescent="0.25">
      <c r="A39" s="57" t="s">
        <v>253</v>
      </c>
      <c r="B39" s="57" t="s">
        <v>274</v>
      </c>
      <c r="C39" s="58"/>
      <c r="D39" s="59"/>
      <c r="E39" s="60" t="s">
        <v>370</v>
      </c>
      <c r="F39" s="81">
        <v>53758.36</v>
      </c>
    </row>
    <row r="40" spans="1:6" x14ac:dyDescent="0.25">
      <c r="A40" s="57" t="s">
        <v>230</v>
      </c>
      <c r="B40" s="57" t="s">
        <v>274</v>
      </c>
      <c r="C40" s="58"/>
      <c r="D40" s="59"/>
      <c r="E40" s="60" t="s">
        <v>229</v>
      </c>
      <c r="F40" s="81">
        <v>44597.287499999999</v>
      </c>
    </row>
    <row r="41" spans="1:6" x14ac:dyDescent="0.25">
      <c r="A41" s="57" t="s">
        <v>341</v>
      </c>
      <c r="B41" s="57" t="s">
        <v>274</v>
      </c>
      <c r="C41" s="58"/>
      <c r="D41" s="59"/>
      <c r="E41" s="60" t="s">
        <v>231</v>
      </c>
      <c r="F41" s="81">
        <v>22299.074999999997</v>
      </c>
    </row>
    <row r="42" spans="1:6" x14ac:dyDescent="0.25">
      <c r="A42" s="57" t="s">
        <v>279</v>
      </c>
      <c r="B42" s="57" t="s">
        <v>274</v>
      </c>
      <c r="C42" s="58"/>
      <c r="D42" s="59"/>
      <c r="E42" s="60"/>
      <c r="F42" s="81">
        <v>17250</v>
      </c>
    </row>
    <row r="43" spans="1:6" x14ac:dyDescent="0.25">
      <c r="A43" s="57" t="s">
        <v>245</v>
      </c>
      <c r="B43" s="57" t="s">
        <v>274</v>
      </c>
      <c r="C43" s="58"/>
      <c r="D43" s="59"/>
      <c r="E43" s="60" t="s">
        <v>244</v>
      </c>
      <c r="F43" s="81">
        <v>17243.560000000001</v>
      </c>
    </row>
    <row r="44" spans="1:6" x14ac:dyDescent="0.25">
      <c r="A44" s="57" t="s">
        <v>280</v>
      </c>
      <c r="B44" s="57" t="s">
        <v>274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246</v>
      </c>
      <c r="B45" s="57" t="s">
        <v>274</v>
      </c>
      <c r="C45" s="58"/>
      <c r="D45" s="59"/>
      <c r="E45" s="60" t="s">
        <v>371</v>
      </c>
      <c r="F45" s="81">
        <v>10143</v>
      </c>
    </row>
    <row r="46" spans="1:6" ht="22.5" x14ac:dyDescent="0.25">
      <c r="A46" s="57" t="s">
        <v>248</v>
      </c>
      <c r="B46" s="57" t="s">
        <v>274</v>
      </c>
      <c r="C46" s="58"/>
      <c r="D46" s="59"/>
      <c r="E46" s="60" t="s">
        <v>247</v>
      </c>
      <c r="F46" s="81">
        <v>12499.349999999999</v>
      </c>
    </row>
    <row r="47" spans="1:6" x14ac:dyDescent="0.25">
      <c r="A47" s="57" t="s">
        <v>250</v>
      </c>
      <c r="B47" s="57" t="s">
        <v>274</v>
      </c>
      <c r="C47" s="58"/>
      <c r="D47" s="59"/>
      <c r="E47" s="60" t="s">
        <v>249</v>
      </c>
      <c r="F47" s="81">
        <v>10400.599999999999</v>
      </c>
    </row>
    <row r="48" spans="1:6" x14ac:dyDescent="0.25">
      <c r="A48" s="57" t="s">
        <v>281</v>
      </c>
      <c r="B48" s="57" t="s">
        <v>274</v>
      </c>
      <c r="C48" s="58"/>
      <c r="D48" s="59"/>
      <c r="E48" s="60"/>
      <c r="F48" s="81">
        <v>5071.96</v>
      </c>
    </row>
    <row r="49" spans="1:6" x14ac:dyDescent="0.25">
      <c r="A49" s="61" t="s">
        <v>234</v>
      </c>
      <c r="B49" s="61" t="s">
        <v>282</v>
      </c>
      <c r="C49" s="62"/>
      <c r="D49" s="63"/>
      <c r="E49" s="64" t="s">
        <v>118</v>
      </c>
      <c r="F49" s="82">
        <v>65929.959999999992</v>
      </c>
    </row>
    <row r="50" spans="1:6" x14ac:dyDescent="0.25">
      <c r="A50" s="61" t="s">
        <v>283</v>
      </c>
      <c r="B50" s="61" t="s">
        <v>282</v>
      </c>
      <c r="C50" s="62"/>
      <c r="D50" s="63"/>
      <c r="E50" s="64" t="s">
        <v>372</v>
      </c>
      <c r="F50" s="82">
        <v>87229.799999999988</v>
      </c>
    </row>
    <row r="51" spans="1:6" x14ac:dyDescent="0.25">
      <c r="A51" s="61" t="s">
        <v>236</v>
      </c>
      <c r="B51" s="61" t="s">
        <v>282</v>
      </c>
      <c r="C51" s="62"/>
      <c r="D51" s="63"/>
      <c r="E51" s="64" t="s">
        <v>235</v>
      </c>
      <c r="F51" s="82">
        <v>40572</v>
      </c>
    </row>
    <row r="52" spans="1:6" x14ac:dyDescent="0.25">
      <c r="A52" s="61" t="s">
        <v>252</v>
      </c>
      <c r="B52" s="61" t="s">
        <v>282</v>
      </c>
      <c r="C52" s="62"/>
      <c r="D52" s="63"/>
      <c r="E52" s="64" t="s">
        <v>251</v>
      </c>
      <c r="F52" s="82">
        <v>19272.16</v>
      </c>
    </row>
    <row r="53" spans="1:6" x14ac:dyDescent="0.25">
      <c r="A53" s="61" t="s">
        <v>284</v>
      </c>
      <c r="B53" s="61" t="s">
        <v>282</v>
      </c>
      <c r="C53" s="62"/>
      <c r="D53" s="63"/>
      <c r="E53" s="64"/>
      <c r="F53" s="82">
        <v>23329.360000000001</v>
      </c>
    </row>
    <row r="54" spans="1:6" ht="45" x14ac:dyDescent="0.25">
      <c r="A54" s="33" t="s">
        <v>208</v>
      </c>
      <c r="B54" s="33" t="s">
        <v>356</v>
      </c>
      <c r="C54" s="65" t="s">
        <v>285</v>
      </c>
      <c r="D54" s="66"/>
      <c r="E54" s="67"/>
      <c r="F54" s="83">
        <v>110519.59999999999</v>
      </c>
    </row>
    <row r="55" spans="1:6" ht="45" x14ac:dyDescent="0.25">
      <c r="A55" s="33" t="s">
        <v>357</v>
      </c>
      <c r="B55" s="33" t="s">
        <v>356</v>
      </c>
      <c r="C55" s="65" t="s">
        <v>285</v>
      </c>
      <c r="D55" s="66"/>
      <c r="E55" s="67"/>
      <c r="F55" s="83">
        <v>204520.59999999998</v>
      </c>
    </row>
    <row r="56" spans="1:6" ht="22.5" x14ac:dyDescent="0.25">
      <c r="A56" s="33" t="s">
        <v>232</v>
      </c>
      <c r="B56" s="33" t="s">
        <v>356</v>
      </c>
      <c r="C56" s="65" t="s">
        <v>286</v>
      </c>
      <c r="D56" s="66"/>
      <c r="E56" s="67"/>
      <c r="F56" s="83">
        <v>334719</v>
      </c>
    </row>
    <row r="57" spans="1:6" ht="22.5" x14ac:dyDescent="0.25">
      <c r="A57" s="33" t="s">
        <v>197</v>
      </c>
      <c r="B57" s="33" t="s">
        <v>356</v>
      </c>
      <c r="C57" s="65" t="s">
        <v>287</v>
      </c>
      <c r="D57" s="66"/>
      <c r="E57" s="67" t="s">
        <v>196</v>
      </c>
      <c r="F57" s="83">
        <v>45643.96</v>
      </c>
    </row>
    <row r="58" spans="1:6" ht="22.5" x14ac:dyDescent="0.25">
      <c r="A58" s="33" t="s">
        <v>201</v>
      </c>
      <c r="B58" s="33" t="s">
        <v>356</v>
      </c>
      <c r="C58" s="65" t="s">
        <v>288</v>
      </c>
      <c r="D58" s="66"/>
      <c r="E58" s="67" t="s">
        <v>200</v>
      </c>
      <c r="F58" s="83">
        <v>42600.6</v>
      </c>
    </row>
    <row r="59" spans="1:6" ht="22.5" x14ac:dyDescent="0.25">
      <c r="A59" s="33" t="s">
        <v>225</v>
      </c>
      <c r="B59" s="33" t="s">
        <v>356</v>
      </c>
      <c r="C59" s="65" t="s">
        <v>289</v>
      </c>
      <c r="D59" s="66"/>
      <c r="E59" s="67" t="s">
        <v>373</v>
      </c>
      <c r="F59" s="83">
        <v>22314.6</v>
      </c>
    </row>
    <row r="60" spans="1:6" x14ac:dyDescent="0.25">
      <c r="A60" s="33" t="s">
        <v>290</v>
      </c>
      <c r="B60" s="33" t="s">
        <v>356</v>
      </c>
      <c r="C60" s="65" t="s">
        <v>358</v>
      </c>
      <c r="D60" s="66"/>
      <c r="E60" s="67" t="s">
        <v>374</v>
      </c>
      <c r="F60" s="83">
        <v>0</v>
      </c>
    </row>
    <row r="61" spans="1:6" ht="22.5" x14ac:dyDescent="0.25">
      <c r="A61" s="33" t="s">
        <v>291</v>
      </c>
      <c r="B61" s="33" t="s">
        <v>356</v>
      </c>
      <c r="C61" s="65" t="s">
        <v>359</v>
      </c>
      <c r="D61" s="66"/>
      <c r="E61" s="67"/>
      <c r="F61" s="83">
        <v>84000.599999999991</v>
      </c>
    </row>
    <row r="62" spans="1:6" ht="33.75" x14ac:dyDescent="0.25">
      <c r="A62" s="33" t="s">
        <v>292</v>
      </c>
      <c r="B62" s="33" t="s">
        <v>356</v>
      </c>
      <c r="C62" s="65" t="s">
        <v>360</v>
      </c>
      <c r="D62" s="66"/>
      <c r="E62" s="67"/>
      <c r="F62" s="83">
        <v>60519.899999999994</v>
      </c>
    </row>
    <row r="63" spans="1:6" x14ac:dyDescent="0.25">
      <c r="A63" s="33" t="s">
        <v>210</v>
      </c>
      <c r="B63" s="33" t="s">
        <v>356</v>
      </c>
      <c r="C63" s="65" t="s">
        <v>339</v>
      </c>
      <c r="D63" s="66"/>
      <c r="E63" s="67" t="s">
        <v>209</v>
      </c>
      <c r="F63" s="83">
        <v>2738.8399999999997</v>
      </c>
    </row>
    <row r="64" spans="1:6" x14ac:dyDescent="0.25">
      <c r="A64" s="33" t="s">
        <v>293</v>
      </c>
      <c r="B64" s="33" t="s">
        <v>356</v>
      </c>
      <c r="C64" s="65" t="s">
        <v>339</v>
      </c>
      <c r="D64" s="66"/>
      <c r="E64" s="67"/>
      <c r="F64" s="83">
        <v>5274.3600000000006</v>
      </c>
    </row>
    <row r="65" spans="1:6" x14ac:dyDescent="0.25">
      <c r="A65" s="33" t="s">
        <v>294</v>
      </c>
      <c r="B65" s="33" t="s">
        <v>356</v>
      </c>
      <c r="C65" s="65" t="s">
        <v>339</v>
      </c>
      <c r="D65" s="66"/>
      <c r="E65" s="67"/>
      <c r="F65" s="83">
        <v>0</v>
      </c>
    </row>
    <row r="66" spans="1:6" x14ac:dyDescent="0.25">
      <c r="A66" s="33" t="s">
        <v>295</v>
      </c>
      <c r="B66" s="33" t="s">
        <v>356</v>
      </c>
      <c r="C66" s="65" t="s">
        <v>339</v>
      </c>
      <c r="D66" s="66"/>
      <c r="E66" s="67"/>
      <c r="F66" s="83">
        <v>7100.56</v>
      </c>
    </row>
    <row r="67" spans="1:6" ht="33.75" x14ac:dyDescent="0.25">
      <c r="A67" s="33" t="s">
        <v>296</v>
      </c>
      <c r="B67" s="33" t="s">
        <v>356</v>
      </c>
      <c r="C67" s="65" t="s">
        <v>297</v>
      </c>
      <c r="D67" s="66"/>
      <c r="E67" s="67"/>
      <c r="F67" s="83">
        <v>632923.19999999995</v>
      </c>
    </row>
    <row r="68" spans="1:6" ht="33.75" x14ac:dyDescent="0.25">
      <c r="A68" s="33" t="s">
        <v>298</v>
      </c>
      <c r="B68" s="33" t="s">
        <v>356</v>
      </c>
      <c r="C68" s="65" t="s">
        <v>299</v>
      </c>
      <c r="D68" s="66"/>
      <c r="E68" s="67"/>
      <c r="F68" s="83">
        <v>547722</v>
      </c>
    </row>
    <row r="69" spans="1:6" ht="22.5" x14ac:dyDescent="0.25">
      <c r="A69" s="33" t="s">
        <v>212</v>
      </c>
      <c r="B69" s="33" t="s">
        <v>356</v>
      </c>
      <c r="C69" s="65"/>
      <c r="D69" s="66"/>
      <c r="E69" s="67" t="s">
        <v>211</v>
      </c>
      <c r="F69" s="83">
        <v>13997.8</v>
      </c>
    </row>
    <row r="70" spans="1:6" ht="22.5" x14ac:dyDescent="0.25">
      <c r="A70" s="33" t="s">
        <v>214</v>
      </c>
      <c r="B70" s="33" t="s">
        <v>356</v>
      </c>
      <c r="C70" s="65" t="s">
        <v>300</v>
      </c>
      <c r="D70" s="66"/>
      <c r="E70" s="67" t="s">
        <v>375</v>
      </c>
      <c r="F70" s="83">
        <v>15721.88</v>
      </c>
    </row>
    <row r="71" spans="1:6" ht="33.75" x14ac:dyDescent="0.25">
      <c r="A71" s="33" t="s">
        <v>213</v>
      </c>
      <c r="B71" s="33" t="s">
        <v>356</v>
      </c>
      <c r="C71" s="65" t="s">
        <v>301</v>
      </c>
      <c r="D71" s="66"/>
      <c r="E71" s="67"/>
      <c r="F71" s="83">
        <v>16735.72</v>
      </c>
    </row>
    <row r="72" spans="1:6" ht="22.5" x14ac:dyDescent="0.25">
      <c r="A72" s="33" t="s">
        <v>302</v>
      </c>
      <c r="B72" s="33" t="s">
        <v>356</v>
      </c>
      <c r="C72" s="65"/>
      <c r="D72" s="66"/>
      <c r="E72" s="67"/>
      <c r="F72" s="83">
        <v>0</v>
      </c>
    </row>
    <row r="73" spans="1:6" x14ac:dyDescent="0.25">
      <c r="A73" s="33" t="s">
        <v>238</v>
      </c>
      <c r="B73" s="33" t="s">
        <v>356</v>
      </c>
      <c r="C73" s="65"/>
      <c r="D73" s="66"/>
      <c r="E73" s="67" t="s">
        <v>237</v>
      </c>
      <c r="F73" s="83">
        <v>8520.119999999999</v>
      </c>
    </row>
    <row r="74" spans="1:6" x14ac:dyDescent="0.25">
      <c r="A74" s="33" t="s">
        <v>241</v>
      </c>
      <c r="B74" s="33" t="s">
        <v>356</v>
      </c>
      <c r="C74" s="65"/>
      <c r="D74" s="66"/>
      <c r="E74" s="67" t="s">
        <v>240</v>
      </c>
      <c r="F74" s="83">
        <v>5274.3600000000006</v>
      </c>
    </row>
    <row r="75" spans="1:6" ht="22.5" x14ac:dyDescent="0.25">
      <c r="A75" s="33" t="s">
        <v>303</v>
      </c>
      <c r="B75" s="33" t="s">
        <v>356</v>
      </c>
      <c r="C75" s="65"/>
      <c r="D75" s="66"/>
      <c r="E75" s="67"/>
      <c r="F75" s="83">
        <v>0</v>
      </c>
    </row>
    <row r="76" spans="1:6" x14ac:dyDescent="0.25">
      <c r="A76" s="33" t="s">
        <v>304</v>
      </c>
      <c r="B76" s="33" t="s">
        <v>356</v>
      </c>
      <c r="C76" s="65"/>
      <c r="D76" s="66"/>
      <c r="E76" s="67"/>
      <c r="F76" s="83">
        <v>0</v>
      </c>
    </row>
    <row r="77" spans="1:6" x14ac:dyDescent="0.25">
      <c r="A77" s="33" t="s">
        <v>305</v>
      </c>
      <c r="B77" s="33" t="s">
        <v>356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306</v>
      </c>
      <c r="B78" s="87" t="s">
        <v>362</v>
      </c>
      <c r="C78" s="88" t="s">
        <v>361</v>
      </c>
      <c r="D78" s="89"/>
      <c r="E78" s="90"/>
      <c r="F78" s="91">
        <v>17243.560000000001</v>
      </c>
    </row>
    <row r="79" spans="1:6" ht="33.75" x14ac:dyDescent="0.25">
      <c r="A79" s="87" t="s">
        <v>307</v>
      </c>
      <c r="B79" s="87" t="s">
        <v>362</v>
      </c>
      <c r="C79" s="88" t="s">
        <v>361</v>
      </c>
      <c r="D79" s="89"/>
      <c r="E79" s="90"/>
      <c r="F79" s="91">
        <v>14200.199999999999</v>
      </c>
    </row>
    <row r="80" spans="1:6" ht="33.75" x14ac:dyDescent="0.25">
      <c r="A80" s="87" t="s">
        <v>308</v>
      </c>
      <c r="B80" s="87" t="s">
        <v>362</v>
      </c>
      <c r="C80" s="88" t="s">
        <v>361</v>
      </c>
      <c r="D80" s="89"/>
      <c r="E80" s="90"/>
      <c r="F80" s="91">
        <v>17243.560000000001</v>
      </c>
    </row>
    <row r="81" spans="1:6" ht="33.75" x14ac:dyDescent="0.25">
      <c r="A81" s="87" t="s">
        <v>309</v>
      </c>
      <c r="B81" s="87" t="s">
        <v>362</v>
      </c>
      <c r="C81" s="88" t="s">
        <v>361</v>
      </c>
      <c r="D81" s="89"/>
      <c r="E81" s="90"/>
      <c r="F81" s="91">
        <v>12171.599999999999</v>
      </c>
    </row>
    <row r="82" spans="1:6" ht="33.75" x14ac:dyDescent="0.25">
      <c r="A82" s="87" t="s">
        <v>310</v>
      </c>
      <c r="B82" s="87" t="s">
        <v>362</v>
      </c>
      <c r="C82" s="88" t="s">
        <v>361</v>
      </c>
      <c r="D82" s="89"/>
      <c r="E82" s="90"/>
      <c r="F82" s="91">
        <v>8621.32</v>
      </c>
    </row>
    <row r="83" spans="1:6" ht="33.75" x14ac:dyDescent="0.25">
      <c r="A83" s="87" t="s">
        <v>311</v>
      </c>
      <c r="B83" s="87" t="s">
        <v>362</v>
      </c>
      <c r="C83" s="88" t="s">
        <v>361</v>
      </c>
      <c r="D83" s="89"/>
      <c r="E83" s="90"/>
      <c r="F83" s="91">
        <v>20286</v>
      </c>
    </row>
    <row r="84" spans="1:6" ht="33.75" x14ac:dyDescent="0.25">
      <c r="A84" s="87" t="s">
        <v>312</v>
      </c>
      <c r="B84" s="87" t="s">
        <v>362</v>
      </c>
      <c r="C84" s="88" t="s">
        <v>361</v>
      </c>
      <c r="D84" s="89"/>
      <c r="E84" s="90"/>
      <c r="F84" s="91">
        <v>20286</v>
      </c>
    </row>
    <row r="85" spans="1:6" x14ac:dyDescent="0.25">
      <c r="A85" s="71" t="s">
        <v>313</v>
      </c>
      <c r="B85" s="71" t="s">
        <v>363</v>
      </c>
      <c r="C85" s="72"/>
      <c r="D85" s="73"/>
      <c r="E85" s="74"/>
      <c r="F85" s="84">
        <v>35500.959999999999</v>
      </c>
    </row>
    <row r="86" spans="1:6" x14ac:dyDescent="0.25">
      <c r="A86" s="71" t="s">
        <v>314</v>
      </c>
      <c r="B86" s="71" t="s">
        <v>363</v>
      </c>
      <c r="C86" s="72"/>
      <c r="D86" s="73"/>
      <c r="E86" s="74"/>
      <c r="F86" s="84">
        <v>50714.999999999993</v>
      </c>
    </row>
    <row r="87" spans="1:6" x14ac:dyDescent="0.25">
      <c r="A87" s="71" t="s">
        <v>315</v>
      </c>
      <c r="B87" s="71" t="s">
        <v>363</v>
      </c>
      <c r="C87" s="72"/>
      <c r="D87" s="73"/>
      <c r="E87" s="74"/>
      <c r="F87" s="84">
        <v>15214.960000000001</v>
      </c>
    </row>
    <row r="88" spans="1:6" x14ac:dyDescent="0.25">
      <c r="A88" s="71" t="s">
        <v>316</v>
      </c>
      <c r="B88" s="71" t="s">
        <v>363</v>
      </c>
      <c r="C88" s="72"/>
      <c r="D88" s="73"/>
      <c r="E88" s="74"/>
      <c r="F88" s="84">
        <v>55786.96</v>
      </c>
    </row>
    <row r="89" spans="1:6" x14ac:dyDescent="0.25">
      <c r="A89" s="71" t="s">
        <v>317</v>
      </c>
      <c r="B89" s="71" t="s">
        <v>363</v>
      </c>
      <c r="C89" s="72"/>
      <c r="D89" s="73"/>
      <c r="E89" s="74"/>
      <c r="F89" s="84">
        <v>65929.959999999992</v>
      </c>
    </row>
    <row r="90" spans="1:6" x14ac:dyDescent="0.25">
      <c r="A90" s="71" t="s">
        <v>318</v>
      </c>
      <c r="B90" s="71" t="s">
        <v>363</v>
      </c>
      <c r="C90" s="72"/>
      <c r="D90" s="73"/>
      <c r="E90" s="74"/>
      <c r="F90" s="84">
        <v>65929.959999999992</v>
      </c>
    </row>
    <row r="91" spans="1:6" x14ac:dyDescent="0.25">
      <c r="A91" s="71" t="s">
        <v>319</v>
      </c>
      <c r="B91" s="71" t="s">
        <v>363</v>
      </c>
      <c r="C91" s="72"/>
      <c r="D91" s="73"/>
      <c r="E91" s="74"/>
      <c r="F91" s="84">
        <v>65929.959999999992</v>
      </c>
    </row>
    <row r="92" spans="1:6" x14ac:dyDescent="0.25">
      <c r="A92" s="71" t="s">
        <v>320</v>
      </c>
      <c r="B92" s="71" t="s">
        <v>363</v>
      </c>
      <c r="C92" s="72"/>
      <c r="D92" s="73"/>
      <c r="E92" s="74"/>
      <c r="F92" s="84">
        <v>35500.959999999999</v>
      </c>
    </row>
    <row r="93" spans="1:6" x14ac:dyDescent="0.25">
      <c r="A93" s="71" t="s">
        <v>321</v>
      </c>
      <c r="B93" s="71" t="s">
        <v>363</v>
      </c>
      <c r="C93" s="72"/>
      <c r="D93" s="73"/>
      <c r="E93" s="74"/>
      <c r="F93" s="84">
        <v>35500.959999999999</v>
      </c>
    </row>
    <row r="94" spans="1:6" x14ac:dyDescent="0.25">
      <c r="A94" s="71" t="s">
        <v>322</v>
      </c>
      <c r="B94" s="71" t="s">
        <v>363</v>
      </c>
      <c r="C94" s="72"/>
      <c r="D94" s="73"/>
      <c r="E94" s="74"/>
      <c r="F94" s="84">
        <v>45643.96</v>
      </c>
    </row>
    <row r="95" spans="1:6" x14ac:dyDescent="0.25">
      <c r="A95" s="71" t="s">
        <v>323</v>
      </c>
      <c r="B95" s="71" t="s">
        <v>363</v>
      </c>
      <c r="C95" s="72"/>
      <c r="D95" s="73"/>
      <c r="E95" s="74"/>
      <c r="F95" s="84">
        <v>45643.96</v>
      </c>
    </row>
    <row r="96" spans="1:6" x14ac:dyDescent="0.25">
      <c r="A96" s="71" t="s">
        <v>324</v>
      </c>
      <c r="B96" s="71" t="s">
        <v>363</v>
      </c>
      <c r="C96" s="72"/>
      <c r="D96" s="73"/>
      <c r="E96" s="74"/>
      <c r="F96" s="84">
        <v>30428.999999999996</v>
      </c>
    </row>
    <row r="97" spans="1:6" x14ac:dyDescent="0.25">
      <c r="A97" s="71" t="s">
        <v>239</v>
      </c>
      <c r="B97" s="71" t="s">
        <v>363</v>
      </c>
      <c r="C97" s="72"/>
      <c r="D97" s="73"/>
      <c r="E97" s="74"/>
      <c r="F97" s="84">
        <v>8114.4</v>
      </c>
    </row>
    <row r="98" spans="1:6" x14ac:dyDescent="0.25">
      <c r="A98" s="71" t="s">
        <v>325</v>
      </c>
      <c r="B98" s="71" t="s">
        <v>363</v>
      </c>
      <c r="C98" s="72"/>
      <c r="D98" s="73"/>
      <c r="E98" s="74"/>
      <c r="F98" s="84">
        <v>35500.959999999999</v>
      </c>
    </row>
    <row r="99" spans="1:6" x14ac:dyDescent="0.25">
      <c r="A99" s="71" t="s">
        <v>326</v>
      </c>
      <c r="B99" s="71" t="s">
        <v>363</v>
      </c>
      <c r="C99" s="72" t="s">
        <v>355</v>
      </c>
      <c r="D99" s="73"/>
      <c r="E99" s="74" t="s">
        <v>376</v>
      </c>
      <c r="F99" s="84">
        <v>9129.16</v>
      </c>
    </row>
    <row r="100" spans="1:6" x14ac:dyDescent="0.25">
      <c r="A100" s="71" t="s">
        <v>327</v>
      </c>
      <c r="B100" s="71" t="s">
        <v>363</v>
      </c>
      <c r="C100" s="72"/>
      <c r="D100" s="73"/>
      <c r="E100" s="74"/>
      <c r="F100" s="84">
        <v>18764.32</v>
      </c>
    </row>
    <row r="101" spans="1:6" x14ac:dyDescent="0.25">
      <c r="A101" s="71" t="s">
        <v>328</v>
      </c>
      <c r="B101" s="71" t="s">
        <v>363</v>
      </c>
      <c r="C101" s="72"/>
      <c r="D101" s="73"/>
      <c r="E101" s="74"/>
      <c r="F101" s="84">
        <v>22314.6</v>
      </c>
    </row>
    <row r="102" spans="1:6" x14ac:dyDescent="0.25">
      <c r="A102" s="71" t="s">
        <v>329</v>
      </c>
      <c r="B102" s="71" t="s">
        <v>363</v>
      </c>
      <c r="C102" s="72"/>
      <c r="D102" s="73"/>
      <c r="E102" s="74"/>
      <c r="F102" s="84">
        <v>33472.36</v>
      </c>
    </row>
    <row r="103" spans="1:6" x14ac:dyDescent="0.25">
      <c r="A103" s="71" t="s">
        <v>330</v>
      </c>
      <c r="B103" s="71" t="s">
        <v>363</v>
      </c>
      <c r="C103" s="72"/>
      <c r="D103" s="73"/>
      <c r="E103" s="74"/>
      <c r="F103" s="84">
        <v>40572</v>
      </c>
    </row>
    <row r="104" spans="1:6" x14ac:dyDescent="0.25">
      <c r="A104" s="71" t="s">
        <v>331</v>
      </c>
      <c r="B104" s="71" t="s">
        <v>363</v>
      </c>
      <c r="C104" s="72"/>
      <c r="D104" s="73"/>
      <c r="E104" s="74"/>
      <c r="F104" s="84">
        <v>33472.36</v>
      </c>
    </row>
    <row r="105" spans="1:6" x14ac:dyDescent="0.25">
      <c r="A105" s="71" t="s">
        <v>332</v>
      </c>
      <c r="B105" s="71" t="s">
        <v>363</v>
      </c>
      <c r="C105" s="72"/>
      <c r="D105" s="73"/>
      <c r="E105" s="74"/>
      <c r="F105" s="84">
        <v>15214.960000000001</v>
      </c>
    </row>
    <row r="106" spans="1:6" x14ac:dyDescent="0.25">
      <c r="A106" s="71" t="s">
        <v>333</v>
      </c>
      <c r="B106" s="71" t="s">
        <v>363</v>
      </c>
      <c r="C106" s="72"/>
      <c r="D106" s="73"/>
      <c r="E106" s="74"/>
      <c r="F106" s="84">
        <v>22314.6</v>
      </c>
    </row>
    <row r="107" spans="1:6" x14ac:dyDescent="0.25">
      <c r="A107" s="71" t="s">
        <v>334</v>
      </c>
      <c r="B107" s="71" t="s">
        <v>363</v>
      </c>
      <c r="C107" s="72"/>
      <c r="D107" s="73"/>
      <c r="E107" s="74"/>
      <c r="F107" s="84">
        <v>15214.960000000001</v>
      </c>
    </row>
    <row r="108" spans="1:6" x14ac:dyDescent="0.25">
      <c r="A108" s="71" t="s">
        <v>335</v>
      </c>
      <c r="B108" s="71" t="s">
        <v>363</v>
      </c>
      <c r="C108" s="72"/>
      <c r="D108" s="73"/>
      <c r="E108" s="74"/>
      <c r="F108" s="84">
        <v>25357.96</v>
      </c>
    </row>
    <row r="109" spans="1:6" x14ac:dyDescent="0.25">
      <c r="A109" s="71" t="s">
        <v>336</v>
      </c>
      <c r="B109" s="71" t="s">
        <v>363</v>
      </c>
      <c r="C109" s="72"/>
      <c r="D109" s="73"/>
      <c r="E109" s="74"/>
      <c r="F109" s="84">
        <v>30428.999999999996</v>
      </c>
    </row>
    <row r="110" spans="1:6" x14ac:dyDescent="0.25">
      <c r="A110" s="71" t="s">
        <v>337</v>
      </c>
      <c r="B110" s="71" t="s">
        <v>363</v>
      </c>
      <c r="C110" s="72"/>
      <c r="D110" s="73"/>
      <c r="E110" s="74"/>
      <c r="F110" s="84">
        <v>35500.959999999999</v>
      </c>
    </row>
    <row r="111" spans="1:6" x14ac:dyDescent="0.25">
      <c r="A111" s="32" t="s">
        <v>221</v>
      </c>
      <c r="B111" s="32" t="s">
        <v>338</v>
      </c>
      <c r="C111" s="68"/>
      <c r="D111" s="69"/>
      <c r="E111" s="70" t="s">
        <v>221</v>
      </c>
      <c r="F111" s="85">
        <v>18764.32</v>
      </c>
    </row>
    <row r="112" spans="1:6" x14ac:dyDescent="0.25">
      <c r="A112" s="32" t="s">
        <v>226</v>
      </c>
      <c r="B112" s="32" t="s">
        <v>338</v>
      </c>
      <c r="C112" s="68"/>
      <c r="D112" s="69"/>
      <c r="E112" s="70" t="s">
        <v>226</v>
      </c>
      <c r="F112" s="85">
        <v>18764.32</v>
      </c>
    </row>
    <row r="113" spans="1:6" x14ac:dyDescent="0.25">
      <c r="A113" s="32" t="s">
        <v>254</v>
      </c>
      <c r="B113" s="32" t="s">
        <v>338</v>
      </c>
      <c r="C113" s="68"/>
      <c r="D113" s="69"/>
      <c r="E113" s="70" t="s">
        <v>254</v>
      </c>
      <c r="F113" s="85">
        <v>14200.199999999999</v>
      </c>
    </row>
    <row r="114" spans="1:6" x14ac:dyDescent="0.25">
      <c r="A114" s="32" t="s">
        <v>207</v>
      </c>
      <c r="B114" s="32" t="s">
        <v>338</v>
      </c>
      <c r="C114" s="68"/>
      <c r="D114" s="69"/>
      <c r="E114" s="70" t="s">
        <v>207</v>
      </c>
      <c r="F114" s="85">
        <v>36514.799999999996</v>
      </c>
    </row>
    <row r="115" spans="1:6" ht="33.75" x14ac:dyDescent="0.25">
      <c r="A115" s="32" t="s">
        <v>181</v>
      </c>
      <c r="B115" s="32" t="s">
        <v>338</v>
      </c>
      <c r="C115" s="68" t="s">
        <v>182</v>
      </c>
      <c r="D115" s="69"/>
      <c r="E115" s="70" t="s">
        <v>181</v>
      </c>
      <c r="F115" s="85">
        <v>22310</v>
      </c>
    </row>
    <row r="116" spans="1:6" ht="90" x14ac:dyDescent="0.25">
      <c r="A116" s="32" t="s">
        <v>183</v>
      </c>
      <c r="B116" s="32" t="s">
        <v>338</v>
      </c>
      <c r="C116" s="68" t="s">
        <v>184</v>
      </c>
      <c r="D116" s="69"/>
      <c r="E116" s="70" t="s">
        <v>183</v>
      </c>
      <c r="F116" s="85">
        <v>18764</v>
      </c>
    </row>
    <row r="117" spans="1:6" ht="67.5" x14ac:dyDescent="0.25">
      <c r="A117" s="32" t="s">
        <v>185</v>
      </c>
      <c r="B117" s="32" t="s">
        <v>338</v>
      </c>
      <c r="C117" s="68" t="s">
        <v>186</v>
      </c>
      <c r="D117" s="69"/>
      <c r="E117" s="70" t="s">
        <v>185</v>
      </c>
      <c r="F117" s="85">
        <v>18764</v>
      </c>
    </row>
    <row r="118" spans="1:6" x14ac:dyDescent="0.25">
      <c r="A118" s="32" t="s">
        <v>189</v>
      </c>
      <c r="B118" s="32" t="s">
        <v>338</v>
      </c>
      <c r="C118" s="68"/>
      <c r="D118" s="69"/>
      <c r="E118" s="70" t="s">
        <v>189</v>
      </c>
      <c r="F118" s="85">
        <v>4521</v>
      </c>
    </row>
    <row r="119" spans="1:6" x14ac:dyDescent="0.25">
      <c r="A119" s="32" t="s">
        <v>190</v>
      </c>
      <c r="B119" s="32" t="s">
        <v>338</v>
      </c>
      <c r="C119" s="68"/>
      <c r="D119" s="69"/>
      <c r="E119" s="70" t="s">
        <v>190</v>
      </c>
      <c r="F119" s="85">
        <v>12374</v>
      </c>
    </row>
    <row r="120" spans="1:6" x14ac:dyDescent="0.25">
      <c r="A120" s="32" t="s">
        <v>221</v>
      </c>
      <c r="B120" s="32" t="s">
        <v>338</v>
      </c>
      <c r="C120" s="68"/>
      <c r="D120" s="69"/>
      <c r="E120" s="70" t="s">
        <v>221</v>
      </c>
      <c r="F120" s="85">
        <v>18764.32</v>
      </c>
    </row>
    <row r="121" spans="1:6" x14ac:dyDescent="0.25">
      <c r="A121" s="32" t="s">
        <v>254</v>
      </c>
      <c r="B121" s="32" t="s">
        <v>338</v>
      </c>
      <c r="C121" s="68"/>
      <c r="D121" s="69"/>
      <c r="E121" s="70" t="s">
        <v>254</v>
      </c>
      <c r="F121" s="85">
        <v>14200.199999999999</v>
      </c>
    </row>
    <row r="122" spans="1:6" x14ac:dyDescent="0.25">
      <c r="A122" s="32" t="s">
        <v>191</v>
      </c>
      <c r="B122" s="32" t="s">
        <v>338</v>
      </c>
      <c r="C122" s="68"/>
      <c r="D122" s="69"/>
      <c r="E122" s="70" t="s">
        <v>191</v>
      </c>
      <c r="F122" s="85">
        <v>18764</v>
      </c>
    </row>
    <row r="123" spans="1:6" x14ac:dyDescent="0.25">
      <c r="A123" s="32" t="s">
        <v>207</v>
      </c>
      <c r="B123" s="32" t="s">
        <v>338</v>
      </c>
      <c r="C123" s="68"/>
      <c r="D123" s="69"/>
      <c r="E123" s="70" t="s">
        <v>207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426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34</v>
      </c>
      <c r="B6" s="2" t="s">
        <v>44</v>
      </c>
      <c r="C6" s="3" t="s">
        <v>45</v>
      </c>
      <c r="D6" s="2" t="s">
        <v>46</v>
      </c>
      <c r="E6" s="2" t="s">
        <v>11</v>
      </c>
      <c r="F6" s="2" t="s">
        <v>137</v>
      </c>
      <c r="G6" s="2"/>
      <c r="H6" s="1" t="s">
        <v>143</v>
      </c>
      <c r="I6" s="4" t="s">
        <v>47</v>
      </c>
      <c r="J6" s="3"/>
      <c r="K6" s="2" t="s">
        <v>150</v>
      </c>
      <c r="L6" s="4"/>
      <c r="M6" s="5" t="s">
        <v>66</v>
      </c>
      <c r="N6" s="4" t="s">
        <v>48</v>
      </c>
    </row>
    <row r="7" spans="1:14" ht="33" customHeight="1" x14ac:dyDescent="0.25">
      <c r="A7" s="8" t="s">
        <v>35</v>
      </c>
      <c r="B7" s="2" t="s">
        <v>122</v>
      </c>
      <c r="C7" s="3" t="s">
        <v>49</v>
      </c>
      <c r="D7" s="2" t="s">
        <v>128</v>
      </c>
      <c r="E7" s="2" t="s">
        <v>50</v>
      </c>
      <c r="F7" s="2" t="s">
        <v>138</v>
      </c>
      <c r="G7" s="2"/>
      <c r="H7" s="1" t="s">
        <v>144</v>
      </c>
      <c r="I7" s="4" t="s">
        <v>51</v>
      </c>
      <c r="J7" s="3" t="s">
        <v>52</v>
      </c>
      <c r="K7" s="2" t="s">
        <v>53</v>
      </c>
      <c r="L7" s="4"/>
      <c r="M7" s="3"/>
      <c r="N7" s="4"/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386</v>
      </c>
      <c r="I10" s="4" t="s">
        <v>69</v>
      </c>
      <c r="J10" s="109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  <row r="15" spans="1:14" x14ac:dyDescent="0.25">
      <c r="A15" s="15" t="s">
        <v>157</v>
      </c>
      <c r="B15" s="16" t="s">
        <v>158</v>
      </c>
      <c r="C15" s="17" t="s">
        <v>159</v>
      </c>
      <c r="D15" s="16" t="s">
        <v>160</v>
      </c>
      <c r="E15" s="16" t="s">
        <v>161</v>
      </c>
      <c r="F15" s="16" t="s">
        <v>162</v>
      </c>
      <c r="G15" s="16" t="s">
        <v>163</v>
      </c>
      <c r="H15" s="18" t="s">
        <v>164</v>
      </c>
      <c r="I15" s="19" t="s">
        <v>165</v>
      </c>
      <c r="J15" s="9">
        <v>94460339</v>
      </c>
      <c r="K15" s="16" t="s">
        <v>166</v>
      </c>
      <c r="L15" s="20" t="s">
        <v>165</v>
      </c>
      <c r="M15" s="21" t="s">
        <v>167</v>
      </c>
      <c r="N15" s="19" t="s">
        <v>165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PUERTO MONTT</vt:lpstr>
      <vt:lpstr>ESTACION CENTRAL</vt:lpstr>
      <vt:lpstr>LA FLORIDA</vt:lpstr>
      <vt:lpstr>MAIPU</vt:lpstr>
      <vt:lpstr>MONEDA</vt:lpstr>
      <vt:lpstr>SAN BERNARDO</vt:lpstr>
      <vt:lpstr>SANTA LUCIA</vt:lpstr>
      <vt:lpstr>PLANILLA</vt:lpstr>
      <vt:lpstr>FACTURACION</vt:lpstr>
      <vt:lpstr>ARANCEL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2015-01-06T21:06:14Z</cp:lastPrinted>
  <dcterms:created xsi:type="dcterms:W3CDTF">2014-12-18T14:07:09Z</dcterms:created>
  <dcterms:modified xsi:type="dcterms:W3CDTF">2015-01-07T11:01:07Z</dcterms:modified>
</cp:coreProperties>
</file>